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983c452ea29c3a06/Desktop/"/>
    </mc:Choice>
  </mc:AlternateContent>
  <xr:revisionPtr revIDLastSave="259" documentId="13_ncr:1_{990FD147-9C76-456F-B46A-79371EA36339}" xr6:coauthVersionLast="47" xr6:coauthVersionMax="47" xr10:uidLastSave="{91B46E34-BD26-4F7C-8816-D569E599D224}"/>
  <bookViews>
    <workbookView xWindow="-108" yWindow="-108" windowWidth="23256" windowHeight="12456" firstSheet="1" activeTab="4" xr2:uid="{00000000-000D-0000-FFFF-FFFF00000000}"/>
  </bookViews>
  <sheets>
    <sheet name="Лист2" sheetId="3" state="hidden" r:id="rId1"/>
    <sheet name="Reja" sheetId="6" r:id="rId2"/>
    <sheet name="Data" sheetId="1" r:id="rId3"/>
    <sheet name="RFM mijozlar tahlili" sheetId="7" r:id="rId4"/>
    <sheet name="Hulosa" sheetId="9" r:id="rId5"/>
  </sheets>
  <definedNames>
    <definedName name="_xlnm._FilterDatabase" localSheetId="2" hidden="1">Data!$A$1:$L$7344</definedName>
    <definedName name="_xlnm._FilterDatabase" localSheetId="0" hidden="1">Лист2!$H$1:$H$3733</definedName>
    <definedName name="solver_eng" localSheetId="3"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7" l="1"/>
  <c r="N3" i="7"/>
  <c r="M3" i="7"/>
  <c r="L3" i="7"/>
  <c r="K3" i="7"/>
  <c r="J3"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 i="7"/>
  <c r="A5" i="7" a="1"/>
  <c r="C7" i="7" s="1"/>
  <c r="F7" i="7" s="1"/>
  <c r="G7" i="7" s="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5593" i="1"/>
  <c r="C5594" i="1"/>
  <c r="C5595" i="1"/>
  <c r="C5596" i="1"/>
  <c r="C5597" i="1"/>
  <c r="C4789" i="1"/>
  <c r="C4790" i="1"/>
  <c r="C4791" i="1"/>
  <c r="C4792" i="1"/>
  <c r="C4793" i="1"/>
  <c r="C4794" i="1"/>
  <c r="C4795" i="1"/>
  <c r="C4796" i="1"/>
  <c r="C4797" i="1"/>
  <c r="C4798" i="1"/>
  <c r="C4799" i="1"/>
  <c r="C4800" i="1"/>
  <c r="C4801" i="1"/>
  <c r="C4802" i="1"/>
  <c r="C4803" i="1"/>
  <c r="C4804" i="1"/>
  <c r="C3989" i="1"/>
  <c r="C3229" i="1"/>
  <c r="C3230" i="1"/>
  <c r="C3231" i="1"/>
  <c r="C3232" i="1"/>
  <c r="C3233" i="1"/>
  <c r="C3234" i="1"/>
  <c r="C3235" i="1"/>
  <c r="C3236" i="1"/>
  <c r="C3237" i="1"/>
  <c r="C3238" i="1"/>
  <c r="C3239" i="1"/>
  <c r="C3240" i="1"/>
  <c r="C3241" i="1"/>
  <c r="C3242" i="1"/>
  <c r="C3243" i="1"/>
  <c r="C3244" i="1"/>
  <c r="C3245" i="1"/>
  <c r="C3246" i="1"/>
  <c r="C2516" i="1"/>
  <c r="C2517" i="1"/>
  <c r="C2518" i="1"/>
  <c r="C2519" i="1"/>
  <c r="C2520" i="1"/>
  <c r="C2521" i="1"/>
  <c r="C2522" i="1"/>
  <c r="C2523" i="1"/>
  <c r="C2524" i="1"/>
  <c r="C2525" i="1"/>
  <c r="C2526" i="1"/>
  <c r="C2527" i="1"/>
  <c r="C2528" i="1"/>
  <c r="C2529" i="1"/>
  <c r="C2530" i="1"/>
  <c r="C2531"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 i="1"/>
  <c r="C3" i="1"/>
  <c r="C4" i="1"/>
  <c r="C5" i="1"/>
  <c r="C6" i="1"/>
  <c r="C7"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294" i="1"/>
  <c r="C1295" i="1"/>
  <c r="C1296" i="1"/>
  <c r="C1297" i="1"/>
  <c r="C1298" i="1"/>
  <c r="C1299" i="1"/>
  <c r="C1300" i="1"/>
  <c r="C1301" i="1"/>
  <c r="C1302" i="1"/>
  <c r="C1303" i="1"/>
  <c r="C1304" i="1"/>
  <c r="C1305" i="1"/>
  <c r="C1306" i="1"/>
  <c r="C1307" i="1"/>
  <c r="C1308" i="1"/>
  <c r="C1309" i="1"/>
  <c r="C1310" i="1"/>
  <c r="C1311" i="1"/>
  <c r="C1312" i="1"/>
  <c r="C1313"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2563" i="1"/>
  <c r="C2564" i="1"/>
  <c r="C2565" i="1"/>
  <c r="C2566" i="1"/>
  <c r="C2567" i="1"/>
  <c r="C2568" i="1"/>
  <c r="C2569" i="1"/>
  <c r="C2570" i="1"/>
  <c r="C2571" i="1"/>
  <c r="C2572" i="1"/>
  <c r="C2573" i="1"/>
  <c r="C2574" i="1"/>
  <c r="C2575"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8" i="1"/>
  <c r="C9" i="1"/>
  <c r="C10" i="1"/>
  <c r="C11" i="1"/>
  <c r="C12" i="1"/>
  <c r="C13" i="1"/>
  <c r="C14" i="1"/>
  <c r="C15" i="1"/>
  <c r="C16" i="1"/>
  <c r="C17" i="1"/>
  <c r="C18" i="1"/>
  <c r="C19" i="1"/>
  <c r="C1396" i="1"/>
  <c r="C1397" i="1"/>
  <c r="C1398" i="1"/>
  <c r="C1399" i="1"/>
  <c r="C1400" i="1"/>
  <c r="C1401" i="1"/>
  <c r="C1402" i="1"/>
  <c r="C1403" i="1"/>
  <c r="C1404" i="1"/>
  <c r="C1405" i="1"/>
  <c r="C1406" i="1"/>
  <c r="C1407" i="1"/>
  <c r="C1408" i="1"/>
  <c r="C1409" i="1"/>
  <c r="C1410" i="1"/>
  <c r="C1411" i="1"/>
  <c r="C1412" i="1"/>
  <c r="C141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20" i="1"/>
  <c r="C21" i="1"/>
  <c r="C22" i="1"/>
  <c r="C23" i="1"/>
  <c r="C24" i="1"/>
  <c r="C25" i="1"/>
  <c r="C26" i="1"/>
  <c r="C27" i="1"/>
  <c r="C28" i="1"/>
  <c r="C29" i="1"/>
  <c r="C30" i="1"/>
  <c r="C31" i="1"/>
  <c r="C32" i="1"/>
  <c r="C33" i="1"/>
  <c r="C34" i="1"/>
  <c r="C35" i="1"/>
  <c r="C36" i="1"/>
  <c r="C37" i="1"/>
  <c r="C38" i="1"/>
  <c r="C39" i="1"/>
  <c r="C40" i="1"/>
  <c r="C41" i="1"/>
  <c r="C42" i="1"/>
  <c r="C43" i="1"/>
  <c r="C44" i="1"/>
  <c r="C2576" i="1"/>
  <c r="C2577" i="1"/>
  <c r="C2578" i="1"/>
  <c r="C2282" i="1"/>
  <c r="C2283" i="1"/>
  <c r="C2284" i="1"/>
  <c r="C2285" i="1"/>
  <c r="C2286" i="1"/>
  <c r="C2287" i="1"/>
  <c r="C2288" i="1"/>
  <c r="C2289" i="1"/>
  <c r="C2290" i="1"/>
  <c r="C2291" i="1"/>
  <c r="C2292" i="1"/>
  <c r="C2293" i="1"/>
  <c r="C2294" i="1"/>
  <c r="C2295" i="1"/>
  <c r="C2296" i="1"/>
  <c r="C2297" i="1"/>
  <c r="C2298" i="1"/>
  <c r="C2299" i="1"/>
  <c r="C2300" i="1"/>
  <c r="C1841" i="1"/>
  <c r="C1842" i="1"/>
  <c r="C1843" i="1"/>
  <c r="C1844" i="1"/>
  <c r="C1845" i="1"/>
  <c r="C1846" i="1"/>
  <c r="C1847" i="1"/>
  <c r="C1414" i="1"/>
  <c r="C1415" i="1"/>
  <c r="C1416" i="1"/>
  <c r="C1417" i="1"/>
  <c r="C1418" i="1"/>
  <c r="C916" i="1"/>
  <c r="C917" i="1"/>
  <c r="C918" i="1"/>
  <c r="C919" i="1"/>
  <c r="C920" i="1"/>
  <c r="C921" i="1"/>
  <c r="C922" i="1"/>
  <c r="C923" i="1"/>
  <c r="C924" i="1"/>
  <c r="C925" i="1"/>
  <c r="C926" i="1"/>
  <c r="C927" i="1"/>
  <c r="C928" i="1"/>
  <c r="C929" i="1"/>
  <c r="C930"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45" i="1"/>
  <c r="C46" i="1"/>
  <c r="C47" i="1"/>
  <c r="C48" i="1"/>
  <c r="C49" i="1"/>
  <c r="C50" i="1"/>
  <c r="C51" i="1"/>
  <c r="C52" i="1"/>
  <c r="C53" i="1"/>
  <c r="C54" i="1"/>
  <c r="C55" i="1"/>
  <c r="C56" i="1"/>
  <c r="C57" i="1"/>
  <c r="C58" i="1"/>
  <c r="C59" i="1"/>
  <c r="C60" i="1"/>
  <c r="C61" i="1"/>
  <c r="C62" i="1"/>
  <c r="C63" i="1"/>
  <c r="C64" i="1"/>
  <c r="C65" i="1"/>
  <c r="C66" i="1"/>
  <c r="C67" i="1"/>
  <c r="C68" i="1"/>
  <c r="C69" i="1"/>
  <c r="C2301" i="1"/>
  <c r="C2302" i="1"/>
  <c r="C2303" i="1"/>
  <c r="C2304"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70" i="1"/>
  <c r="C71" i="1"/>
  <c r="C72" i="1"/>
  <c r="C73" i="1"/>
  <c r="C74" i="1"/>
  <c r="C75" i="1"/>
  <c r="C76" i="1"/>
  <c r="C77" i="1"/>
  <c r="C78" i="1"/>
  <c r="C79" i="1"/>
  <c r="C80" i="1"/>
  <c r="C81" i="1"/>
  <c r="C82" i="1"/>
  <c r="C83" i="1"/>
  <c r="C84" i="1"/>
  <c r="C85" i="1"/>
  <c r="C86" i="1"/>
  <c r="C87" i="1"/>
  <c r="C88" i="1"/>
  <c r="C6499" i="1"/>
  <c r="C6500" i="1"/>
  <c r="C6501" i="1"/>
  <c r="C6502" i="1"/>
  <c r="C6503" i="1"/>
  <c r="C6504" i="1"/>
  <c r="C6505" i="1"/>
  <c r="C6506" i="1"/>
  <c r="C6507" i="1"/>
  <c r="C6508" i="1"/>
  <c r="C6509" i="1"/>
  <c r="C6510" i="1"/>
  <c r="C6511" i="1"/>
  <c r="C6512" i="1"/>
  <c r="C6513" i="1"/>
  <c r="C6514" i="1"/>
  <c r="C6515" i="1"/>
  <c r="C6516" i="1"/>
  <c r="C6517" i="1"/>
  <c r="C6518" i="1"/>
  <c r="C6519" i="1"/>
  <c r="C5674" i="1"/>
  <c r="C5675" i="1"/>
  <c r="C5676" i="1"/>
  <c r="C5677" i="1"/>
  <c r="C5678" i="1"/>
  <c r="C5679" i="1"/>
  <c r="C5680" i="1"/>
  <c r="C5681" i="1"/>
  <c r="C5682" i="1"/>
  <c r="C4990" i="1"/>
  <c r="C4991" i="1"/>
  <c r="C4992" i="1"/>
  <c r="C4993" i="1"/>
  <c r="C4994" i="1"/>
  <c r="C4995" i="1"/>
  <c r="C4996"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89" i="1"/>
  <c r="C90" i="1"/>
  <c r="C91" i="1"/>
  <c r="C92" i="1"/>
  <c r="C93" i="1"/>
  <c r="C6520" i="1"/>
  <c r="C6521" i="1"/>
  <c r="C4112" i="1"/>
  <c r="C4113" i="1"/>
  <c r="C4114" i="1"/>
  <c r="C4115" i="1"/>
  <c r="C4116" i="1"/>
  <c r="C4117" i="1"/>
  <c r="C4118" i="1"/>
  <c r="C4119" i="1"/>
  <c r="C4120" i="1"/>
  <c r="C4121" i="1"/>
  <c r="C4122" i="1"/>
  <c r="C412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2602" i="1"/>
  <c r="C2603" i="1"/>
  <c r="C2604" i="1"/>
  <c r="C2605" i="1"/>
  <c r="C2606" i="1"/>
  <c r="C2607" i="1"/>
  <c r="C2608" i="1"/>
  <c r="C2341" i="1"/>
  <c r="C2342" i="1"/>
  <c r="C2343" i="1"/>
  <c r="C2344" i="1"/>
  <c r="C2345" i="1"/>
  <c r="C2346" i="1"/>
  <c r="C2347" i="1"/>
  <c r="C2348" i="1"/>
  <c r="C2349" i="1"/>
  <c r="C2350" i="1"/>
  <c r="C2351" i="1"/>
  <c r="C2352" i="1"/>
  <c r="C2353" i="1"/>
  <c r="C2354" i="1"/>
  <c r="C2355" i="1"/>
  <c r="C2356" i="1"/>
  <c r="C2357" i="1"/>
  <c r="C2358" i="1"/>
  <c r="C2359" i="1"/>
  <c r="C2360" i="1"/>
  <c r="C2361" i="1"/>
  <c r="C2362" i="1"/>
  <c r="C1926" i="1"/>
  <c r="C1927" i="1"/>
  <c r="C1928" i="1"/>
  <c r="C1929" i="1"/>
  <c r="C1930" i="1"/>
  <c r="C1931" i="1"/>
  <c r="C1932" i="1"/>
  <c r="C1933" i="1"/>
  <c r="C1934" i="1"/>
  <c r="C1935" i="1"/>
  <c r="C1936" i="1"/>
  <c r="C1937" i="1"/>
  <c r="C1938" i="1"/>
  <c r="C1939" i="1"/>
  <c r="C1940" i="1"/>
  <c r="C1941" i="1"/>
  <c r="C1942" i="1"/>
  <c r="C1943" i="1"/>
  <c r="C1944" i="1"/>
  <c r="C1945" i="1"/>
  <c r="C1946" i="1"/>
  <c r="C1947" i="1"/>
  <c r="C1536" i="1"/>
  <c r="C1537" i="1"/>
  <c r="C1538" i="1"/>
  <c r="C1539" i="1"/>
  <c r="C1540" i="1"/>
  <c r="C1541" i="1"/>
  <c r="C1542" i="1"/>
  <c r="C1543" i="1"/>
  <c r="C1544" i="1"/>
  <c r="C1545" i="1"/>
  <c r="C1546" i="1"/>
  <c r="C1547" i="1"/>
  <c r="C1548"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475" i="1"/>
  <c r="C476" i="1"/>
  <c r="C477" i="1"/>
  <c r="C478" i="1"/>
  <c r="C479" i="1"/>
  <c r="C480" i="1"/>
  <c r="C481" i="1"/>
  <c r="C482" i="1"/>
  <c r="C483" i="1"/>
  <c r="C484" i="1"/>
  <c r="C485" i="1"/>
  <c r="C486" i="1"/>
  <c r="C487" i="1"/>
  <c r="C488" i="1"/>
  <c r="C489" i="1"/>
  <c r="C490"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491" i="1"/>
  <c r="C492" i="1"/>
  <c r="C493" i="1"/>
  <c r="C494" i="1"/>
  <c r="C495" i="1"/>
  <c r="C496" i="1"/>
  <c r="C497" i="1"/>
  <c r="C498" i="1"/>
  <c r="C499" i="1"/>
  <c r="C500" i="1"/>
  <c r="C501" i="1"/>
  <c r="C502" i="1"/>
  <c r="C503" i="1"/>
  <c r="C504" i="1"/>
  <c r="C505" i="1"/>
  <c r="C506" i="1"/>
  <c r="C507" i="1"/>
  <c r="C508" i="1"/>
  <c r="C509" i="1"/>
  <c r="C510" i="1"/>
  <c r="C511" i="1"/>
  <c r="C512" i="1"/>
  <c r="C513" i="1"/>
  <c r="C126" i="1"/>
  <c r="C127" i="1"/>
  <c r="C128" i="1"/>
  <c r="C129" i="1"/>
  <c r="C130" i="1"/>
  <c r="C131" i="1"/>
  <c r="C132" i="1"/>
  <c r="C133" i="1"/>
  <c r="C134" i="1"/>
  <c r="C135" i="1"/>
  <c r="C136" i="1"/>
  <c r="C137" i="1"/>
  <c r="C1110" i="1"/>
  <c r="C1111" i="1"/>
  <c r="C138" i="1"/>
  <c r="C139" i="1"/>
  <c r="C2643" i="1"/>
  <c r="C2644" i="1"/>
  <c r="C2645" i="1"/>
  <c r="C2646" i="1"/>
  <c r="C1974" i="1"/>
  <c r="C1975" i="1"/>
  <c r="C3391" i="1"/>
  <c r="C3392" i="1"/>
  <c r="C3393" i="1"/>
  <c r="C3394" i="1"/>
  <c r="C3395" i="1"/>
  <c r="C3396" i="1"/>
  <c r="C3397" i="1"/>
  <c r="C3398" i="1"/>
  <c r="C3399" i="1"/>
  <c r="C2647" i="1"/>
  <c r="C2648" i="1"/>
  <c r="C2649" i="1"/>
  <c r="C2650" i="1"/>
  <c r="C2651" i="1"/>
  <c r="C2652" i="1"/>
  <c r="C2653" i="1"/>
  <c r="C2654" i="1"/>
  <c r="C2655" i="1"/>
  <c r="C2656" i="1"/>
  <c r="C2657" i="1"/>
  <c r="C2402" i="1"/>
  <c r="C2403" i="1"/>
  <c r="C2404" i="1"/>
  <c r="C2405" i="1"/>
  <c r="C2406" i="1"/>
  <c r="C2407" i="1"/>
  <c r="C2408" i="1"/>
  <c r="C2409" i="1"/>
  <c r="C2410" i="1"/>
  <c r="C2411" i="1"/>
  <c r="C1976" i="1"/>
  <c r="C1977" i="1"/>
  <c r="C1978" i="1"/>
  <c r="C1979" i="1"/>
  <c r="C1980" i="1"/>
  <c r="C1981" i="1"/>
  <c r="C1982" i="1"/>
  <c r="C1983" i="1"/>
  <c r="C1575" i="1"/>
  <c r="C1576" i="1"/>
  <c r="C1577" i="1"/>
  <c r="C1578" i="1"/>
  <c r="C1579" i="1"/>
  <c r="C1580" i="1"/>
  <c r="C1581" i="1"/>
  <c r="C1112" i="1"/>
  <c r="C1113" i="1"/>
  <c r="C1114" i="1"/>
  <c r="C1115" i="1"/>
  <c r="C514" i="1"/>
  <c r="C515" i="1"/>
  <c r="C516" i="1"/>
  <c r="C517" i="1"/>
  <c r="C518" i="1"/>
  <c r="C519" i="1"/>
  <c r="C140"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6225" i="1"/>
  <c r="A5" i="7" l="1"/>
  <c r="C5" i="7" s="1"/>
  <c r="F5" i="7" s="1"/>
  <c r="G5" i="7" s="1"/>
  <c r="E6" i="7"/>
  <c r="E18" i="7"/>
  <c r="E30" i="7"/>
  <c r="E42" i="7"/>
  <c r="E54" i="7"/>
  <c r="E66" i="7"/>
  <c r="E78" i="7"/>
  <c r="E90" i="7"/>
  <c r="E102" i="7"/>
  <c r="E114" i="7"/>
  <c r="E126" i="7"/>
  <c r="E138" i="7"/>
  <c r="E150" i="7"/>
  <c r="E162" i="7"/>
  <c r="E174" i="7"/>
  <c r="E186" i="7"/>
  <c r="E198" i="7"/>
  <c r="E210" i="7"/>
  <c r="E222" i="7"/>
  <c r="E234" i="7"/>
  <c r="E246" i="7"/>
  <c r="E258" i="7"/>
  <c r="E270" i="7"/>
  <c r="E282" i="7"/>
  <c r="E294" i="7"/>
  <c r="E306" i="7"/>
  <c r="E318" i="7"/>
  <c r="E330" i="7"/>
  <c r="E342" i="7"/>
  <c r="E354" i="7"/>
  <c r="E366" i="7"/>
  <c r="E378" i="7"/>
  <c r="E390" i="7"/>
  <c r="E402" i="7"/>
  <c r="E414" i="7"/>
  <c r="E426" i="7"/>
  <c r="E438" i="7"/>
  <c r="E450" i="7"/>
  <c r="E462" i="7"/>
  <c r="E474" i="7"/>
  <c r="E486" i="7"/>
  <c r="E498" i="7"/>
  <c r="E510" i="7"/>
  <c r="E522" i="7"/>
  <c r="E534" i="7"/>
  <c r="D16" i="7"/>
  <c r="D28" i="7"/>
  <c r="D40" i="7"/>
  <c r="D52" i="7"/>
  <c r="D64" i="7"/>
  <c r="D76" i="7"/>
  <c r="D88" i="7"/>
  <c r="D100" i="7"/>
  <c r="D112" i="7"/>
  <c r="D124" i="7"/>
  <c r="D136" i="7"/>
  <c r="D148" i="7"/>
  <c r="D160" i="7"/>
  <c r="D172" i="7"/>
  <c r="D184" i="7"/>
  <c r="D196" i="7"/>
  <c r="D208" i="7"/>
  <c r="D220" i="7"/>
  <c r="D232" i="7"/>
  <c r="D244" i="7"/>
  <c r="D256" i="7"/>
  <c r="D268" i="7"/>
  <c r="D280" i="7"/>
  <c r="D292" i="7"/>
  <c r="D304" i="7"/>
  <c r="D316" i="7"/>
  <c r="D328" i="7"/>
  <c r="D340" i="7"/>
  <c r="D352" i="7"/>
  <c r="D364" i="7"/>
  <c r="D376" i="7"/>
  <c r="D388" i="7"/>
  <c r="D400" i="7"/>
  <c r="D412" i="7"/>
  <c r="D424" i="7"/>
  <c r="D436" i="7"/>
  <c r="D448" i="7"/>
  <c r="D460" i="7"/>
  <c r="D472" i="7"/>
  <c r="D484" i="7"/>
  <c r="E10" i="7"/>
  <c r="E22" i="7"/>
  <c r="E34" i="7"/>
  <c r="E46" i="7"/>
  <c r="E58" i="7"/>
  <c r="E70" i="7"/>
  <c r="E82" i="7"/>
  <c r="E94" i="7"/>
  <c r="E106" i="7"/>
  <c r="E118" i="7"/>
  <c r="E130" i="7"/>
  <c r="E142" i="7"/>
  <c r="E154" i="7"/>
  <c r="E166" i="7"/>
  <c r="E178" i="7"/>
  <c r="E190" i="7"/>
  <c r="E202" i="7"/>
  <c r="E214" i="7"/>
  <c r="E226" i="7"/>
  <c r="E238" i="7"/>
  <c r="E250" i="7"/>
  <c r="E262" i="7"/>
  <c r="E274" i="7"/>
  <c r="E286" i="7"/>
  <c r="E298" i="7"/>
  <c r="E310" i="7"/>
  <c r="E322" i="7"/>
  <c r="E334" i="7"/>
  <c r="E346" i="7"/>
  <c r="E358" i="7"/>
  <c r="E370" i="7"/>
  <c r="E382" i="7"/>
  <c r="E394" i="7"/>
  <c r="E406" i="7"/>
  <c r="E418" i="7"/>
  <c r="E430" i="7"/>
  <c r="E442" i="7"/>
  <c r="E454" i="7"/>
  <c r="E466" i="7"/>
  <c r="E478" i="7"/>
  <c r="E490" i="7"/>
  <c r="E502" i="7"/>
  <c r="E514" i="7"/>
  <c r="E526" i="7"/>
  <c r="D8" i="7"/>
  <c r="D20" i="7"/>
  <c r="D32" i="7"/>
  <c r="D44" i="7"/>
  <c r="D56" i="7"/>
  <c r="D68" i="7"/>
  <c r="D80" i="7"/>
  <c r="D92" i="7"/>
  <c r="D104" i="7"/>
  <c r="D116" i="7"/>
  <c r="D128" i="7"/>
  <c r="D140" i="7"/>
  <c r="D152" i="7"/>
  <c r="D164" i="7"/>
  <c r="D176" i="7"/>
  <c r="D188" i="7"/>
  <c r="D200" i="7"/>
  <c r="D212" i="7"/>
  <c r="D224" i="7"/>
  <c r="D236" i="7"/>
  <c r="D248" i="7"/>
  <c r="D260" i="7"/>
  <c r="D272" i="7"/>
  <c r="D284" i="7"/>
  <c r="D296" i="7"/>
  <c r="D308" i="7"/>
  <c r="D320" i="7"/>
  <c r="D332" i="7"/>
  <c r="D344" i="7"/>
  <c r="D356" i="7"/>
  <c r="D368" i="7"/>
  <c r="D380" i="7"/>
  <c r="D392" i="7"/>
  <c r="D404" i="7"/>
  <c r="D416" i="7"/>
  <c r="D428" i="7"/>
  <c r="D440" i="7"/>
  <c r="D452" i="7"/>
  <c r="D464" i="7"/>
  <c r="D476" i="7"/>
  <c r="D488" i="7"/>
  <c r="E7" i="7"/>
  <c r="E21" i="7"/>
  <c r="E36" i="7"/>
  <c r="E50" i="7"/>
  <c r="E64" i="7"/>
  <c r="E79" i="7"/>
  <c r="E93" i="7"/>
  <c r="E108" i="7"/>
  <c r="E122" i="7"/>
  <c r="E136" i="7"/>
  <c r="E151" i="7"/>
  <c r="E165" i="7"/>
  <c r="E180" i="7"/>
  <c r="E194" i="7"/>
  <c r="E208" i="7"/>
  <c r="E223" i="7"/>
  <c r="E237" i="7"/>
  <c r="E252" i="7"/>
  <c r="E266" i="7"/>
  <c r="E280" i="7"/>
  <c r="E295" i="7"/>
  <c r="E309" i="7"/>
  <c r="E324" i="7"/>
  <c r="E338" i="7"/>
  <c r="E352" i="7"/>
  <c r="E367" i="7"/>
  <c r="E381" i="7"/>
  <c r="E396" i="7"/>
  <c r="E410" i="7"/>
  <c r="E424" i="7"/>
  <c r="E439" i="7"/>
  <c r="E453" i="7"/>
  <c r="E468" i="7"/>
  <c r="E482" i="7"/>
  <c r="E496" i="7"/>
  <c r="E511" i="7"/>
  <c r="E525" i="7"/>
  <c r="D10" i="7"/>
  <c r="D24" i="7"/>
  <c r="D38" i="7"/>
  <c r="D53" i="7"/>
  <c r="D67" i="7"/>
  <c r="D82" i="7"/>
  <c r="D96" i="7"/>
  <c r="D110" i="7"/>
  <c r="D125" i="7"/>
  <c r="D139" i="7"/>
  <c r="D154" i="7"/>
  <c r="D168" i="7"/>
  <c r="D182" i="7"/>
  <c r="D197" i="7"/>
  <c r="D211" i="7"/>
  <c r="D226" i="7"/>
  <c r="D240" i="7"/>
  <c r="D254" i="7"/>
  <c r="D269" i="7"/>
  <c r="D283" i="7"/>
  <c r="D298" i="7"/>
  <c r="D312" i="7"/>
  <c r="D326" i="7"/>
  <c r="D341" i="7"/>
  <c r="D355" i="7"/>
  <c r="D370" i="7"/>
  <c r="D384" i="7"/>
  <c r="D398" i="7"/>
  <c r="D413" i="7"/>
  <c r="D427" i="7"/>
  <c r="D442" i="7"/>
  <c r="D456" i="7"/>
  <c r="D470" i="7"/>
  <c r="D485" i="7"/>
  <c r="D498" i="7"/>
  <c r="D510" i="7"/>
  <c r="D522" i="7"/>
  <c r="D534" i="7"/>
  <c r="C16" i="7"/>
  <c r="F16" i="7" s="1"/>
  <c r="G16" i="7" s="1"/>
  <c r="C28" i="7"/>
  <c r="F28" i="7" s="1"/>
  <c r="G28" i="7" s="1"/>
  <c r="C40" i="7"/>
  <c r="F40" i="7" s="1"/>
  <c r="G40" i="7" s="1"/>
  <c r="C52" i="7"/>
  <c r="F52" i="7" s="1"/>
  <c r="G52" i="7" s="1"/>
  <c r="C64" i="7"/>
  <c r="F64" i="7" s="1"/>
  <c r="G64" i="7" s="1"/>
  <c r="C76" i="7"/>
  <c r="F76" i="7" s="1"/>
  <c r="G76" i="7" s="1"/>
  <c r="C88" i="7"/>
  <c r="F88" i="7" s="1"/>
  <c r="G88" i="7" s="1"/>
  <c r="C100" i="7"/>
  <c r="F100" i="7" s="1"/>
  <c r="G100" i="7" s="1"/>
  <c r="C112" i="7"/>
  <c r="F112" i="7" s="1"/>
  <c r="G112" i="7" s="1"/>
  <c r="C124" i="7"/>
  <c r="F124" i="7" s="1"/>
  <c r="G124" i="7" s="1"/>
  <c r="E23" i="7"/>
  <c r="E38" i="7"/>
  <c r="E53" i="7"/>
  <c r="E69" i="7"/>
  <c r="E85" i="7"/>
  <c r="E100" i="7"/>
  <c r="E116" i="7"/>
  <c r="E132" i="7"/>
  <c r="E147" i="7"/>
  <c r="E163" i="7"/>
  <c r="E179" i="7"/>
  <c r="E195" i="7"/>
  <c r="E211" i="7"/>
  <c r="E227" i="7"/>
  <c r="E242" i="7"/>
  <c r="E257" i="7"/>
  <c r="E273" i="7"/>
  <c r="E289" i="7"/>
  <c r="E304" i="7"/>
  <c r="E320" i="7"/>
  <c r="E336" i="7"/>
  <c r="E351" i="7"/>
  <c r="E368" i="7"/>
  <c r="E384" i="7"/>
  <c r="E399" i="7"/>
  <c r="E415" i="7"/>
  <c r="E431" i="7"/>
  <c r="E446" i="7"/>
  <c r="E461" i="7"/>
  <c r="E477" i="7"/>
  <c r="E493" i="7"/>
  <c r="E508" i="7"/>
  <c r="E524" i="7"/>
  <c r="D11" i="7"/>
  <c r="D26" i="7"/>
  <c r="D42" i="7"/>
  <c r="D58" i="7"/>
  <c r="D73" i="7"/>
  <c r="D89" i="7"/>
  <c r="D105" i="7"/>
  <c r="D120" i="7"/>
  <c r="D135" i="7"/>
  <c r="D151" i="7"/>
  <c r="D167" i="7"/>
  <c r="D183" i="7"/>
  <c r="D199" i="7"/>
  <c r="D215" i="7"/>
  <c r="D230" i="7"/>
  <c r="D246" i="7"/>
  <c r="D262" i="7"/>
  <c r="D277" i="7"/>
  <c r="D293" i="7"/>
  <c r="D309" i="7"/>
  <c r="D324" i="7"/>
  <c r="D339" i="7"/>
  <c r="D357" i="7"/>
  <c r="D372" i="7"/>
  <c r="D387" i="7"/>
  <c r="D403" i="7"/>
  <c r="D419" i="7"/>
  <c r="D434" i="7"/>
  <c r="D450" i="7"/>
  <c r="D466" i="7"/>
  <c r="D481" i="7"/>
  <c r="D496" i="7"/>
  <c r="D509" i="7"/>
  <c r="D523" i="7"/>
  <c r="C6" i="7"/>
  <c r="F6" i="7" s="1"/>
  <c r="G6" i="7" s="1"/>
  <c r="C19" i="7"/>
  <c r="F19" i="7" s="1"/>
  <c r="G19" i="7" s="1"/>
  <c r="C32" i="7"/>
  <c r="F32" i="7" s="1"/>
  <c r="G32" i="7" s="1"/>
  <c r="C45" i="7"/>
  <c r="F45" i="7" s="1"/>
  <c r="G45" i="7" s="1"/>
  <c r="C58" i="7"/>
  <c r="F58" i="7" s="1"/>
  <c r="G58" i="7" s="1"/>
  <c r="C71" i="7"/>
  <c r="F71" i="7" s="1"/>
  <c r="G71" i="7" s="1"/>
  <c r="C84" i="7"/>
  <c r="F84" i="7" s="1"/>
  <c r="G84" i="7" s="1"/>
  <c r="C97" i="7"/>
  <c r="F97" i="7" s="1"/>
  <c r="G97" i="7" s="1"/>
  <c r="C110" i="7"/>
  <c r="F110" i="7" s="1"/>
  <c r="G110" i="7" s="1"/>
  <c r="C123" i="7"/>
  <c r="F123" i="7" s="1"/>
  <c r="G123" i="7" s="1"/>
  <c r="C136" i="7"/>
  <c r="F136" i="7" s="1"/>
  <c r="G136" i="7" s="1"/>
  <c r="C148" i="7"/>
  <c r="F148" i="7" s="1"/>
  <c r="G148" i="7" s="1"/>
  <c r="C160" i="7"/>
  <c r="F160" i="7" s="1"/>
  <c r="G160" i="7" s="1"/>
  <c r="C172" i="7"/>
  <c r="F172" i="7" s="1"/>
  <c r="G172" i="7" s="1"/>
  <c r="C184" i="7"/>
  <c r="F184" i="7" s="1"/>
  <c r="G184" i="7" s="1"/>
  <c r="C196" i="7"/>
  <c r="F196" i="7" s="1"/>
  <c r="G196" i="7" s="1"/>
  <c r="C208" i="7"/>
  <c r="F208" i="7" s="1"/>
  <c r="G208" i="7" s="1"/>
  <c r="C220" i="7"/>
  <c r="F220" i="7" s="1"/>
  <c r="G220" i="7" s="1"/>
  <c r="E20" i="7"/>
  <c r="E39" i="7"/>
  <c r="E56" i="7"/>
  <c r="E73" i="7"/>
  <c r="E89" i="7"/>
  <c r="E107" i="7"/>
  <c r="E124" i="7"/>
  <c r="E141" i="7"/>
  <c r="E158" i="7"/>
  <c r="E175" i="7"/>
  <c r="E192" i="7"/>
  <c r="E209" i="7"/>
  <c r="E228" i="7"/>
  <c r="E244" i="7"/>
  <c r="E261" i="7"/>
  <c r="E278" i="7"/>
  <c r="E296" i="7"/>
  <c r="E313" i="7"/>
  <c r="E329" i="7"/>
  <c r="E347" i="7"/>
  <c r="E363" i="7"/>
  <c r="E380" i="7"/>
  <c r="E398" i="7"/>
  <c r="E416" i="7"/>
  <c r="E433" i="7"/>
  <c r="E449" i="7"/>
  <c r="E467" i="7"/>
  <c r="E484" i="7"/>
  <c r="E501" i="7"/>
  <c r="E518" i="7"/>
  <c r="D22" i="7"/>
  <c r="D39" i="7"/>
  <c r="D57" i="7"/>
  <c r="D74" i="7"/>
  <c r="D91" i="7"/>
  <c r="D108" i="7"/>
  <c r="D126" i="7"/>
  <c r="D143" i="7"/>
  <c r="D159" i="7"/>
  <c r="D177" i="7"/>
  <c r="D193" i="7"/>
  <c r="D210" i="7"/>
  <c r="D228" i="7"/>
  <c r="D245" i="7"/>
  <c r="D263" i="7"/>
  <c r="D279" i="7"/>
  <c r="D297" i="7"/>
  <c r="D314" i="7"/>
  <c r="D331" i="7"/>
  <c r="D348" i="7"/>
  <c r="D365" i="7"/>
  <c r="D382" i="7"/>
  <c r="D399" i="7"/>
  <c r="D417" i="7"/>
  <c r="D433" i="7"/>
  <c r="D451" i="7"/>
  <c r="D468" i="7"/>
  <c r="D486" i="7"/>
  <c r="D501" i="7"/>
  <c r="D515" i="7"/>
  <c r="D529" i="7"/>
  <c r="C13" i="7"/>
  <c r="F13" i="7" s="1"/>
  <c r="G13" i="7" s="1"/>
  <c r="C27" i="7"/>
  <c r="F27" i="7" s="1"/>
  <c r="G27" i="7" s="1"/>
  <c r="C42" i="7"/>
  <c r="F42" i="7" s="1"/>
  <c r="G42" i="7" s="1"/>
  <c r="C56" i="7"/>
  <c r="F56" i="7" s="1"/>
  <c r="G56" i="7" s="1"/>
  <c r="C70" i="7"/>
  <c r="F70" i="7" s="1"/>
  <c r="G70" i="7" s="1"/>
  <c r="C85" i="7"/>
  <c r="F85" i="7" s="1"/>
  <c r="G85" i="7" s="1"/>
  <c r="C99" i="7"/>
  <c r="F99" i="7" s="1"/>
  <c r="G99" i="7" s="1"/>
  <c r="C114" i="7"/>
  <c r="F114" i="7" s="1"/>
  <c r="G114" i="7" s="1"/>
  <c r="C128" i="7"/>
  <c r="F128" i="7" s="1"/>
  <c r="G128" i="7" s="1"/>
  <c r="C141" i="7"/>
  <c r="F141" i="7" s="1"/>
  <c r="G141" i="7" s="1"/>
  <c r="C154" i="7"/>
  <c r="F154" i="7" s="1"/>
  <c r="G154" i="7" s="1"/>
  <c r="C167" i="7"/>
  <c r="F167" i="7" s="1"/>
  <c r="G167" i="7" s="1"/>
  <c r="C180" i="7"/>
  <c r="F180" i="7" s="1"/>
  <c r="G180" i="7" s="1"/>
  <c r="C193" i="7"/>
  <c r="F193" i="7" s="1"/>
  <c r="G193" i="7" s="1"/>
  <c r="C206" i="7"/>
  <c r="F206" i="7" s="1"/>
  <c r="G206" i="7" s="1"/>
  <c r="C219" i="7"/>
  <c r="F219" i="7" s="1"/>
  <c r="G219" i="7" s="1"/>
  <c r="C232" i="7"/>
  <c r="F232" i="7" s="1"/>
  <c r="G232" i="7" s="1"/>
  <c r="C244" i="7"/>
  <c r="F244" i="7" s="1"/>
  <c r="G244" i="7" s="1"/>
  <c r="C256" i="7"/>
  <c r="F256" i="7" s="1"/>
  <c r="G256" i="7" s="1"/>
  <c r="C268" i="7"/>
  <c r="F268" i="7" s="1"/>
  <c r="G268" i="7" s="1"/>
  <c r="C280" i="7"/>
  <c r="F280" i="7" s="1"/>
  <c r="G280" i="7" s="1"/>
  <c r="C292" i="7"/>
  <c r="F292" i="7" s="1"/>
  <c r="G292" i="7" s="1"/>
  <c r="C304" i="7"/>
  <c r="F304" i="7" s="1"/>
  <c r="G304" i="7" s="1"/>
  <c r="E25" i="7"/>
  <c r="E43" i="7"/>
  <c r="E61" i="7"/>
  <c r="E80" i="7"/>
  <c r="E98" i="7"/>
  <c r="E117" i="7"/>
  <c r="E135" i="7"/>
  <c r="E155" i="7"/>
  <c r="E172" i="7"/>
  <c r="E191" i="7"/>
  <c r="E212" i="7"/>
  <c r="E230" i="7"/>
  <c r="E248" i="7"/>
  <c r="E267" i="7"/>
  <c r="E285" i="7"/>
  <c r="E303" i="7"/>
  <c r="E323" i="7"/>
  <c r="E341" i="7"/>
  <c r="E360" i="7"/>
  <c r="E377" i="7"/>
  <c r="E397" i="7"/>
  <c r="E417" i="7"/>
  <c r="E435" i="7"/>
  <c r="E455" i="7"/>
  <c r="E472" i="7"/>
  <c r="E491" i="7"/>
  <c r="E509" i="7"/>
  <c r="E529" i="7"/>
  <c r="D17" i="7"/>
  <c r="D35" i="7"/>
  <c r="D54" i="7"/>
  <c r="D72" i="7"/>
  <c r="D93" i="7"/>
  <c r="D111" i="7"/>
  <c r="D130" i="7"/>
  <c r="D147" i="7"/>
  <c r="D166" i="7"/>
  <c r="D186" i="7"/>
  <c r="D204" i="7"/>
  <c r="D222" i="7"/>
  <c r="D241" i="7"/>
  <c r="D259" i="7"/>
  <c r="D278" i="7"/>
  <c r="D299" i="7"/>
  <c r="D317" i="7"/>
  <c r="D335" i="7"/>
  <c r="D353" i="7"/>
  <c r="D373" i="7"/>
  <c r="D391" i="7"/>
  <c r="D409" i="7"/>
  <c r="D429" i="7"/>
  <c r="D446" i="7"/>
  <c r="D465" i="7"/>
  <c r="D483" i="7"/>
  <c r="D502" i="7"/>
  <c r="D517" i="7"/>
  <c r="D532" i="7"/>
  <c r="C18" i="7"/>
  <c r="F18" i="7" s="1"/>
  <c r="G18" i="7" s="1"/>
  <c r="C34" i="7"/>
  <c r="F34" i="7" s="1"/>
  <c r="G34" i="7" s="1"/>
  <c r="C49" i="7"/>
  <c r="F49" i="7" s="1"/>
  <c r="G49" i="7" s="1"/>
  <c r="C65" i="7"/>
  <c r="F65" i="7" s="1"/>
  <c r="G65" i="7" s="1"/>
  <c r="C80" i="7"/>
  <c r="F80" i="7" s="1"/>
  <c r="G80" i="7" s="1"/>
  <c r="C95" i="7"/>
  <c r="F95" i="7" s="1"/>
  <c r="G95" i="7" s="1"/>
  <c r="C111" i="7"/>
  <c r="F111" i="7" s="1"/>
  <c r="G111" i="7" s="1"/>
  <c r="C127" i="7"/>
  <c r="F127" i="7" s="1"/>
  <c r="G127" i="7" s="1"/>
  <c r="C142" i="7"/>
  <c r="F142" i="7" s="1"/>
  <c r="G142" i="7" s="1"/>
  <c r="C156" i="7"/>
  <c r="F156" i="7" s="1"/>
  <c r="G156" i="7" s="1"/>
  <c r="C170" i="7"/>
  <c r="F170" i="7" s="1"/>
  <c r="G170" i="7" s="1"/>
  <c r="C185" i="7"/>
  <c r="F185" i="7" s="1"/>
  <c r="G185" i="7" s="1"/>
  <c r="C199" i="7"/>
  <c r="F199" i="7" s="1"/>
  <c r="G199" i="7" s="1"/>
  <c r="C213" i="7"/>
  <c r="F213" i="7" s="1"/>
  <c r="G213" i="7" s="1"/>
  <c r="C227" i="7"/>
  <c r="F227" i="7" s="1"/>
  <c r="G227" i="7" s="1"/>
  <c r="C240" i="7"/>
  <c r="F240" i="7" s="1"/>
  <c r="G240" i="7" s="1"/>
  <c r="C253" i="7"/>
  <c r="F253" i="7" s="1"/>
  <c r="G253" i="7" s="1"/>
  <c r="C266" i="7"/>
  <c r="F266" i="7" s="1"/>
  <c r="G266" i="7" s="1"/>
  <c r="C279" i="7"/>
  <c r="F279" i="7" s="1"/>
  <c r="G279" i="7" s="1"/>
  <c r="C293" i="7"/>
  <c r="F293" i="7" s="1"/>
  <c r="G293" i="7" s="1"/>
  <c r="C306" i="7"/>
  <c r="F306" i="7" s="1"/>
  <c r="G306" i="7" s="1"/>
  <c r="C318" i="7"/>
  <c r="F318" i="7" s="1"/>
  <c r="G318" i="7" s="1"/>
  <c r="C330" i="7"/>
  <c r="F330" i="7" s="1"/>
  <c r="G330" i="7" s="1"/>
  <c r="C342" i="7"/>
  <c r="F342" i="7" s="1"/>
  <c r="G342" i="7" s="1"/>
  <c r="C354" i="7"/>
  <c r="F354" i="7" s="1"/>
  <c r="G354" i="7" s="1"/>
  <c r="C366" i="7"/>
  <c r="F366" i="7" s="1"/>
  <c r="G366" i="7" s="1"/>
  <c r="C378" i="7"/>
  <c r="F378" i="7" s="1"/>
  <c r="G378" i="7" s="1"/>
  <c r="C390" i="7"/>
  <c r="F390" i="7" s="1"/>
  <c r="G390" i="7" s="1"/>
  <c r="C402" i="7"/>
  <c r="F402" i="7" s="1"/>
  <c r="G402" i="7" s="1"/>
  <c r="C414" i="7"/>
  <c r="F414" i="7" s="1"/>
  <c r="G414" i="7" s="1"/>
  <c r="C426" i="7"/>
  <c r="F426" i="7" s="1"/>
  <c r="G426" i="7" s="1"/>
  <c r="C438" i="7"/>
  <c r="F438" i="7" s="1"/>
  <c r="G438" i="7" s="1"/>
  <c r="C450" i="7"/>
  <c r="F450" i="7" s="1"/>
  <c r="G450" i="7" s="1"/>
  <c r="C462" i="7"/>
  <c r="F462" i="7" s="1"/>
  <c r="G462" i="7" s="1"/>
  <c r="C474" i="7"/>
  <c r="F474" i="7" s="1"/>
  <c r="G474" i="7" s="1"/>
  <c r="C486" i="7"/>
  <c r="F486" i="7" s="1"/>
  <c r="G486" i="7" s="1"/>
  <c r="C498" i="7"/>
  <c r="F498" i="7" s="1"/>
  <c r="G498" i="7" s="1"/>
  <c r="C510" i="7"/>
  <c r="F510" i="7" s="1"/>
  <c r="G510" i="7" s="1"/>
  <c r="C522" i="7"/>
  <c r="F522" i="7" s="1"/>
  <c r="G522" i="7" s="1"/>
  <c r="C534" i="7"/>
  <c r="F534" i="7" s="1"/>
  <c r="G534" i="7" s="1"/>
  <c r="B15" i="7"/>
  <c r="B27" i="7"/>
  <c r="B39" i="7"/>
  <c r="B51" i="7"/>
  <c r="B63" i="7"/>
  <c r="B75" i="7"/>
  <c r="B87" i="7"/>
  <c r="B99" i="7"/>
  <c r="B111" i="7"/>
  <c r="B123" i="7"/>
  <c r="B135" i="7"/>
  <c r="B147" i="7"/>
  <c r="B159" i="7"/>
  <c r="B171" i="7"/>
  <c r="B183" i="7"/>
  <c r="B195" i="7"/>
  <c r="B207" i="7"/>
  <c r="B219" i="7"/>
  <c r="B231" i="7"/>
  <c r="B243" i="7"/>
  <c r="B255" i="7"/>
  <c r="B267" i="7"/>
  <c r="B279" i="7"/>
  <c r="B291" i="7"/>
  <c r="B303" i="7"/>
  <c r="B315" i="7"/>
  <c r="B327" i="7"/>
  <c r="B339" i="7"/>
  <c r="B351" i="7"/>
  <c r="B363" i="7"/>
  <c r="B375" i="7"/>
  <c r="B387" i="7"/>
  <c r="B399" i="7"/>
  <c r="B411" i="7"/>
  <c r="B423" i="7"/>
  <c r="B435" i="7"/>
  <c r="B447" i="7"/>
  <c r="B459" i="7"/>
  <c r="B471" i="7"/>
  <c r="B483" i="7"/>
  <c r="B495" i="7"/>
  <c r="B507" i="7"/>
  <c r="B519" i="7"/>
  <c r="B531" i="7"/>
  <c r="E8" i="7"/>
  <c r="E26" i="7"/>
  <c r="E44" i="7"/>
  <c r="E62" i="7"/>
  <c r="E81" i="7"/>
  <c r="E99" i="7"/>
  <c r="E119" i="7"/>
  <c r="E137" i="7"/>
  <c r="E156" i="7"/>
  <c r="E173" i="7"/>
  <c r="E193" i="7"/>
  <c r="E213" i="7"/>
  <c r="E231" i="7"/>
  <c r="E249" i="7"/>
  <c r="E268" i="7"/>
  <c r="E287" i="7"/>
  <c r="E305" i="7"/>
  <c r="E325" i="7"/>
  <c r="E343" i="7"/>
  <c r="E361" i="7"/>
  <c r="E379" i="7"/>
  <c r="E400" i="7"/>
  <c r="E419" i="7"/>
  <c r="E436" i="7"/>
  <c r="E456" i="7"/>
  <c r="E473" i="7"/>
  <c r="E492" i="7"/>
  <c r="E512" i="7"/>
  <c r="E530" i="7"/>
  <c r="E27" i="7"/>
  <c r="E48" i="7"/>
  <c r="E71" i="7"/>
  <c r="E92" i="7"/>
  <c r="E113" i="7"/>
  <c r="E139" i="7"/>
  <c r="E160" i="7"/>
  <c r="E183" i="7"/>
  <c r="E204" i="7"/>
  <c r="E225" i="7"/>
  <c r="E251" i="7"/>
  <c r="E272" i="7"/>
  <c r="E293" i="7"/>
  <c r="E316" i="7"/>
  <c r="E339" i="7"/>
  <c r="E362" i="7"/>
  <c r="E386" i="7"/>
  <c r="E407" i="7"/>
  <c r="E428" i="7"/>
  <c r="E451" i="7"/>
  <c r="E475" i="7"/>
  <c r="E497" i="7"/>
  <c r="E519" i="7"/>
  <c r="D12" i="7"/>
  <c r="D31" i="7"/>
  <c r="D50" i="7"/>
  <c r="D71" i="7"/>
  <c r="D94" i="7"/>
  <c r="D114" i="7"/>
  <c r="D133" i="7"/>
  <c r="D155" i="7"/>
  <c r="D174" i="7"/>
  <c r="D194" i="7"/>
  <c r="D216" i="7"/>
  <c r="D235" i="7"/>
  <c r="D255" i="7"/>
  <c r="D275" i="7"/>
  <c r="D295" i="7"/>
  <c r="D318" i="7"/>
  <c r="D337" i="7"/>
  <c r="D359" i="7"/>
  <c r="D378" i="7"/>
  <c r="D397" i="7"/>
  <c r="D420" i="7"/>
  <c r="D439" i="7"/>
  <c r="D459" i="7"/>
  <c r="D479" i="7"/>
  <c r="D499" i="7"/>
  <c r="D516" i="7"/>
  <c r="D533" i="7"/>
  <c r="C21" i="7"/>
  <c r="F21" i="7" s="1"/>
  <c r="G21" i="7" s="1"/>
  <c r="C37" i="7"/>
  <c r="F37" i="7" s="1"/>
  <c r="G37" i="7" s="1"/>
  <c r="C54" i="7"/>
  <c r="F54" i="7" s="1"/>
  <c r="G54" i="7" s="1"/>
  <c r="C72" i="7"/>
  <c r="F72" i="7" s="1"/>
  <c r="G72" i="7" s="1"/>
  <c r="C89" i="7"/>
  <c r="F89" i="7" s="1"/>
  <c r="G89" i="7" s="1"/>
  <c r="C105" i="7"/>
  <c r="F105" i="7" s="1"/>
  <c r="G105" i="7" s="1"/>
  <c r="C121" i="7"/>
  <c r="F121" i="7" s="1"/>
  <c r="G121" i="7" s="1"/>
  <c r="C138" i="7"/>
  <c r="F138" i="7" s="1"/>
  <c r="G138" i="7" s="1"/>
  <c r="C153" i="7"/>
  <c r="F153" i="7" s="1"/>
  <c r="G153" i="7" s="1"/>
  <c r="C169" i="7"/>
  <c r="F169" i="7" s="1"/>
  <c r="G169" i="7" s="1"/>
  <c r="C186" i="7"/>
  <c r="F186" i="7" s="1"/>
  <c r="G186" i="7" s="1"/>
  <c r="C201" i="7"/>
  <c r="F201" i="7" s="1"/>
  <c r="G201" i="7" s="1"/>
  <c r="C216" i="7"/>
  <c r="F216" i="7" s="1"/>
  <c r="G216" i="7" s="1"/>
  <c r="C231" i="7"/>
  <c r="F231" i="7" s="1"/>
  <c r="G231" i="7" s="1"/>
  <c r="C246" i="7"/>
  <c r="F246" i="7" s="1"/>
  <c r="G246" i="7" s="1"/>
  <c r="C260" i="7"/>
  <c r="F260" i="7" s="1"/>
  <c r="G260" i="7" s="1"/>
  <c r="C274" i="7"/>
  <c r="F274" i="7" s="1"/>
  <c r="G274" i="7" s="1"/>
  <c r="C288" i="7"/>
  <c r="F288" i="7" s="1"/>
  <c r="G288" i="7" s="1"/>
  <c r="C302" i="7"/>
  <c r="F302" i="7" s="1"/>
  <c r="G302" i="7" s="1"/>
  <c r="C316" i="7"/>
  <c r="F316" i="7" s="1"/>
  <c r="G316" i="7" s="1"/>
  <c r="C329" i="7"/>
  <c r="F329" i="7" s="1"/>
  <c r="G329" i="7" s="1"/>
  <c r="C343" i="7"/>
  <c r="F343" i="7" s="1"/>
  <c r="G343" i="7" s="1"/>
  <c r="C356" i="7"/>
  <c r="F356" i="7" s="1"/>
  <c r="G356" i="7" s="1"/>
  <c r="C369" i="7"/>
  <c r="F369" i="7" s="1"/>
  <c r="G369" i="7" s="1"/>
  <c r="C382" i="7"/>
  <c r="F382" i="7" s="1"/>
  <c r="G382" i="7" s="1"/>
  <c r="C395" i="7"/>
  <c r="F395" i="7" s="1"/>
  <c r="G395" i="7" s="1"/>
  <c r="C408" i="7"/>
  <c r="F408" i="7" s="1"/>
  <c r="G408" i="7" s="1"/>
  <c r="C421" i="7"/>
  <c r="F421" i="7" s="1"/>
  <c r="G421" i="7" s="1"/>
  <c r="C434" i="7"/>
  <c r="F434" i="7" s="1"/>
  <c r="G434" i="7" s="1"/>
  <c r="C447" i="7"/>
  <c r="F447" i="7" s="1"/>
  <c r="G447" i="7" s="1"/>
  <c r="C460" i="7"/>
  <c r="F460" i="7" s="1"/>
  <c r="G460" i="7" s="1"/>
  <c r="C473" i="7"/>
  <c r="F473" i="7" s="1"/>
  <c r="G473" i="7" s="1"/>
  <c r="C487" i="7"/>
  <c r="F487" i="7" s="1"/>
  <c r="G487" i="7" s="1"/>
  <c r="C500" i="7"/>
  <c r="F500" i="7" s="1"/>
  <c r="G500" i="7" s="1"/>
  <c r="C513" i="7"/>
  <c r="F513" i="7" s="1"/>
  <c r="G513" i="7" s="1"/>
  <c r="C526" i="7"/>
  <c r="F526" i="7" s="1"/>
  <c r="G526" i="7" s="1"/>
  <c r="B8" i="7"/>
  <c r="B21" i="7"/>
  <c r="B34" i="7"/>
  <c r="B47" i="7"/>
  <c r="B60" i="7"/>
  <c r="B73" i="7"/>
  <c r="B86" i="7"/>
  <c r="B100" i="7"/>
  <c r="B113" i="7"/>
  <c r="B126" i="7"/>
  <c r="B139" i="7"/>
  <c r="B152" i="7"/>
  <c r="B165" i="7"/>
  <c r="B178" i="7"/>
  <c r="B191" i="7"/>
  <c r="B204" i="7"/>
  <c r="B217" i="7"/>
  <c r="B230" i="7"/>
  <c r="B244" i="7"/>
  <c r="B257" i="7"/>
  <c r="B270" i="7"/>
  <c r="B283" i="7"/>
  <c r="B296" i="7"/>
  <c r="B309" i="7"/>
  <c r="B322" i="7"/>
  <c r="B335" i="7"/>
  <c r="B348" i="7"/>
  <c r="B361" i="7"/>
  <c r="B374" i="7"/>
  <c r="B388" i="7"/>
  <c r="B401" i="7"/>
  <c r="B414" i="7"/>
  <c r="B427" i="7"/>
  <c r="B440" i="7"/>
  <c r="B453" i="7"/>
  <c r="B466" i="7"/>
  <c r="B479" i="7"/>
  <c r="B492" i="7"/>
  <c r="B505" i="7"/>
  <c r="B518" i="7"/>
  <c r="B532" i="7"/>
  <c r="E28" i="7"/>
  <c r="E49" i="7"/>
  <c r="E72" i="7"/>
  <c r="E95" i="7"/>
  <c r="E115" i="7"/>
  <c r="E140" i="7"/>
  <c r="E161" i="7"/>
  <c r="E184" i="7"/>
  <c r="E205" i="7"/>
  <c r="E229" i="7"/>
  <c r="E253" i="7"/>
  <c r="E275" i="7"/>
  <c r="E297" i="7"/>
  <c r="E317" i="7"/>
  <c r="E340" i="7"/>
  <c r="E364" i="7"/>
  <c r="E387" i="7"/>
  <c r="E408" i="7"/>
  <c r="E429" i="7"/>
  <c r="E452" i="7"/>
  <c r="E476" i="7"/>
  <c r="E499" i="7"/>
  <c r="E520" i="7"/>
  <c r="D13" i="7"/>
  <c r="D33" i="7"/>
  <c r="D51" i="7"/>
  <c r="D75" i="7"/>
  <c r="D95" i="7"/>
  <c r="D115" i="7"/>
  <c r="D134" i="7"/>
  <c r="D156" i="7"/>
  <c r="D175" i="7"/>
  <c r="D195" i="7"/>
  <c r="D217" i="7"/>
  <c r="D237" i="7"/>
  <c r="D257" i="7"/>
  <c r="D276" i="7"/>
  <c r="D300" i="7"/>
  <c r="D319" i="7"/>
  <c r="D338" i="7"/>
  <c r="D360" i="7"/>
  <c r="D379" i="7"/>
  <c r="D401" i="7"/>
  <c r="E9" i="7"/>
  <c r="E32" i="7"/>
  <c r="E59" i="7"/>
  <c r="E86" i="7"/>
  <c r="E111" i="7"/>
  <c r="E143" i="7"/>
  <c r="E168" i="7"/>
  <c r="E196" i="7"/>
  <c r="E219" i="7"/>
  <c r="E245" i="7"/>
  <c r="E276" i="7"/>
  <c r="E301" i="7"/>
  <c r="E328" i="7"/>
  <c r="E355" i="7"/>
  <c r="E383" i="7"/>
  <c r="E409" i="7"/>
  <c r="E437" i="7"/>
  <c r="E463" i="7"/>
  <c r="E488" i="7"/>
  <c r="E516" i="7"/>
  <c r="D14" i="7"/>
  <c r="D37" i="7"/>
  <c r="D62" i="7"/>
  <c r="D85" i="7"/>
  <c r="D109" i="7"/>
  <c r="D137" i="7"/>
  <c r="D161" i="7"/>
  <c r="D185" i="7"/>
  <c r="D207" i="7"/>
  <c r="D233" i="7"/>
  <c r="D258" i="7"/>
  <c r="D285" i="7"/>
  <c r="D306" i="7"/>
  <c r="D330" i="7"/>
  <c r="D354" i="7"/>
  <c r="D381" i="7"/>
  <c r="D406" i="7"/>
  <c r="D426" i="7"/>
  <c r="D449" i="7"/>
  <c r="D473" i="7"/>
  <c r="D493" i="7"/>
  <c r="D512" i="7"/>
  <c r="D530" i="7"/>
  <c r="C20" i="7"/>
  <c r="F20" i="7" s="1"/>
  <c r="G20" i="7" s="1"/>
  <c r="C38" i="7"/>
  <c r="F38" i="7" s="1"/>
  <c r="G38" i="7" s="1"/>
  <c r="C57" i="7"/>
  <c r="F57" i="7" s="1"/>
  <c r="G57" i="7" s="1"/>
  <c r="C75" i="7"/>
  <c r="F75" i="7" s="1"/>
  <c r="G75" i="7" s="1"/>
  <c r="C93" i="7"/>
  <c r="F93" i="7" s="1"/>
  <c r="G93" i="7" s="1"/>
  <c r="C113" i="7"/>
  <c r="F113" i="7" s="1"/>
  <c r="G113" i="7" s="1"/>
  <c r="C131" i="7"/>
  <c r="F131" i="7" s="1"/>
  <c r="G131" i="7" s="1"/>
  <c r="C147" i="7"/>
  <c r="F147" i="7" s="1"/>
  <c r="G147" i="7" s="1"/>
  <c r="C164" i="7"/>
  <c r="F164" i="7" s="1"/>
  <c r="G164" i="7" s="1"/>
  <c r="C181" i="7"/>
  <c r="F181" i="7" s="1"/>
  <c r="G181" i="7" s="1"/>
  <c r="C198" i="7"/>
  <c r="F198" i="7" s="1"/>
  <c r="G198" i="7" s="1"/>
  <c r="C215" i="7"/>
  <c r="F215" i="7" s="1"/>
  <c r="G215" i="7" s="1"/>
  <c r="C233" i="7"/>
  <c r="F233" i="7" s="1"/>
  <c r="G233" i="7" s="1"/>
  <c r="C248" i="7"/>
  <c r="F248" i="7" s="1"/>
  <c r="G248" i="7" s="1"/>
  <c r="C263" i="7"/>
  <c r="F263" i="7" s="1"/>
  <c r="G263" i="7" s="1"/>
  <c r="C278" i="7"/>
  <c r="F278" i="7" s="1"/>
  <c r="G278" i="7" s="1"/>
  <c r="C295" i="7"/>
  <c r="F295" i="7" s="1"/>
  <c r="G295" i="7" s="1"/>
  <c r="C310" i="7"/>
  <c r="F310" i="7" s="1"/>
  <c r="G310" i="7" s="1"/>
  <c r="C324" i="7"/>
  <c r="F324" i="7" s="1"/>
  <c r="G324" i="7" s="1"/>
  <c r="C338" i="7"/>
  <c r="F338" i="7" s="1"/>
  <c r="G338" i="7" s="1"/>
  <c r="C352" i="7"/>
  <c r="F352" i="7" s="1"/>
  <c r="G352" i="7" s="1"/>
  <c r="C367" i="7"/>
  <c r="F367" i="7" s="1"/>
  <c r="G367" i="7" s="1"/>
  <c r="C381" i="7"/>
  <c r="F381" i="7" s="1"/>
  <c r="G381" i="7" s="1"/>
  <c r="C396" i="7"/>
  <c r="F396" i="7" s="1"/>
  <c r="G396" i="7" s="1"/>
  <c r="C410" i="7"/>
  <c r="F410" i="7" s="1"/>
  <c r="G410" i="7" s="1"/>
  <c r="C424" i="7"/>
  <c r="F424" i="7" s="1"/>
  <c r="G424" i="7" s="1"/>
  <c r="C439" i="7"/>
  <c r="F439" i="7" s="1"/>
  <c r="G439" i="7" s="1"/>
  <c r="C453" i="7"/>
  <c r="F453" i="7" s="1"/>
  <c r="G453" i="7" s="1"/>
  <c r="C467" i="7"/>
  <c r="F467" i="7" s="1"/>
  <c r="G467" i="7" s="1"/>
  <c r="C481" i="7"/>
  <c r="F481" i="7" s="1"/>
  <c r="G481" i="7" s="1"/>
  <c r="C495" i="7"/>
  <c r="F495" i="7" s="1"/>
  <c r="G495" i="7" s="1"/>
  <c r="C509" i="7"/>
  <c r="F509" i="7" s="1"/>
  <c r="G509" i="7" s="1"/>
  <c r="C524" i="7"/>
  <c r="F524" i="7" s="1"/>
  <c r="G524" i="7" s="1"/>
  <c r="B7" i="7"/>
  <c r="B22" i="7"/>
  <c r="B36" i="7"/>
  <c r="B50" i="7"/>
  <c r="B65" i="7"/>
  <c r="B79" i="7"/>
  <c r="B93" i="7"/>
  <c r="B107" i="7"/>
  <c r="B121" i="7"/>
  <c r="B136" i="7"/>
  <c r="B150" i="7"/>
  <c r="B164" i="7"/>
  <c r="B179" i="7"/>
  <c r="B193" i="7"/>
  <c r="B208" i="7"/>
  <c r="B222" i="7"/>
  <c r="B236" i="7"/>
  <c r="B250" i="7"/>
  <c r="B264" i="7"/>
  <c r="B278" i="7"/>
  <c r="B293" i="7"/>
  <c r="B307" i="7"/>
  <c r="B321" i="7"/>
  <c r="B336" i="7"/>
  <c r="B350" i="7"/>
  <c r="B365" i="7"/>
  <c r="B379" i="7"/>
  <c r="B393" i="7"/>
  <c r="B407" i="7"/>
  <c r="B421" i="7"/>
  <c r="B436" i="7"/>
  <c r="B450" i="7"/>
  <c r="B464" i="7"/>
  <c r="B478" i="7"/>
  <c r="B493" i="7"/>
  <c r="B508" i="7"/>
  <c r="B522" i="7"/>
  <c r="E11" i="7"/>
  <c r="E33" i="7"/>
  <c r="E60" i="7"/>
  <c r="E87" i="7"/>
  <c r="E112" i="7"/>
  <c r="E144" i="7"/>
  <c r="E169" i="7"/>
  <c r="E197" i="7"/>
  <c r="E220" i="7"/>
  <c r="E247" i="7"/>
  <c r="E277" i="7"/>
  <c r="E302" i="7"/>
  <c r="E331" i="7"/>
  <c r="E356" i="7"/>
  <c r="E385" i="7"/>
  <c r="E411" i="7"/>
  <c r="E440" i="7"/>
  <c r="E464" i="7"/>
  <c r="E489" i="7"/>
  <c r="E517" i="7"/>
  <c r="D15" i="7"/>
  <c r="D41" i="7"/>
  <c r="D63" i="7"/>
  <c r="D86" i="7"/>
  <c r="D113" i="7"/>
  <c r="D138" i="7"/>
  <c r="D162" i="7"/>
  <c r="D187" i="7"/>
  <c r="D209" i="7"/>
  <c r="D234" i="7"/>
  <c r="D261" i="7"/>
  <c r="D286" i="7"/>
  <c r="D307" i="7"/>
  <c r="D333" i="7"/>
  <c r="D358" i="7"/>
  <c r="D383" i="7"/>
  <c r="D407" i="7"/>
  <c r="D430" i="7"/>
  <c r="D453" i="7"/>
  <c r="D474" i="7"/>
  <c r="D494" i="7"/>
  <c r="D513" i="7"/>
  <c r="D531" i="7"/>
  <c r="C22" i="7"/>
  <c r="F22" i="7" s="1"/>
  <c r="G22" i="7" s="1"/>
  <c r="C39" i="7"/>
  <c r="F39" i="7" s="1"/>
  <c r="G39" i="7" s="1"/>
  <c r="C59" i="7"/>
  <c r="F59" i="7" s="1"/>
  <c r="G59" i="7" s="1"/>
  <c r="C77" i="7"/>
  <c r="F77" i="7" s="1"/>
  <c r="G77" i="7" s="1"/>
  <c r="C94" i="7"/>
  <c r="F94" i="7" s="1"/>
  <c r="G94" i="7" s="1"/>
  <c r="C115" i="7"/>
  <c r="F115" i="7" s="1"/>
  <c r="G115" i="7" s="1"/>
  <c r="C132" i="7"/>
  <c r="F132" i="7" s="1"/>
  <c r="G132" i="7" s="1"/>
  <c r="C149" i="7"/>
  <c r="F149" i="7" s="1"/>
  <c r="G149" i="7" s="1"/>
  <c r="C165" i="7"/>
  <c r="F165" i="7" s="1"/>
  <c r="G165" i="7" s="1"/>
  <c r="C182" i="7"/>
  <c r="F182" i="7" s="1"/>
  <c r="G182" i="7" s="1"/>
  <c r="C200" i="7"/>
  <c r="F200" i="7" s="1"/>
  <c r="G200" i="7" s="1"/>
  <c r="C217" i="7"/>
  <c r="F217" i="7" s="1"/>
  <c r="G217" i="7" s="1"/>
  <c r="C234" i="7"/>
  <c r="F234" i="7" s="1"/>
  <c r="G234" i="7" s="1"/>
  <c r="C249" i="7"/>
  <c r="F249" i="7" s="1"/>
  <c r="G249" i="7" s="1"/>
  <c r="E14" i="7"/>
  <c r="E40" i="7"/>
  <c r="E67" i="7"/>
  <c r="E96" i="7"/>
  <c r="E123" i="7"/>
  <c r="E148" i="7"/>
  <c r="E176" i="7"/>
  <c r="E201" i="7"/>
  <c r="E232" i="7"/>
  <c r="E256" i="7"/>
  <c r="E283" i="7"/>
  <c r="E311" i="7"/>
  <c r="E12" i="7"/>
  <c r="E45" i="7"/>
  <c r="E77" i="7"/>
  <c r="E13" i="7"/>
  <c r="E47" i="7"/>
  <c r="E83" i="7"/>
  <c r="E121" i="7"/>
  <c r="E153" i="7"/>
  <c r="E188" i="7"/>
  <c r="E224" i="7"/>
  <c r="E263" i="7"/>
  <c r="E299" i="7"/>
  <c r="E333" i="7"/>
  <c r="E369" i="7"/>
  <c r="E395" i="7"/>
  <c r="E427" i="7"/>
  <c r="E460" i="7"/>
  <c r="E495" i="7"/>
  <c r="E528" i="7"/>
  <c r="D27" i="7"/>
  <c r="D59" i="7"/>
  <c r="D84" i="7"/>
  <c r="D118" i="7"/>
  <c r="D145" i="7"/>
  <c r="D173" i="7"/>
  <c r="D203" i="7"/>
  <c r="D231" i="7"/>
  <c r="D265" i="7"/>
  <c r="D290" i="7"/>
  <c r="D322" i="7"/>
  <c r="D349" i="7"/>
  <c r="D377" i="7"/>
  <c r="D410" i="7"/>
  <c r="D437" i="7"/>
  <c r="D462" i="7"/>
  <c r="D490" i="7"/>
  <c r="D511" i="7"/>
  <c r="C26" i="7"/>
  <c r="F26" i="7" s="1"/>
  <c r="G26" i="7" s="1"/>
  <c r="C48" i="7"/>
  <c r="F48" i="7" s="1"/>
  <c r="G48" i="7" s="1"/>
  <c r="C69" i="7"/>
  <c r="F69" i="7" s="1"/>
  <c r="G69" i="7" s="1"/>
  <c r="C92" i="7"/>
  <c r="F92" i="7" s="1"/>
  <c r="G92" i="7" s="1"/>
  <c r="C117" i="7"/>
  <c r="F117" i="7" s="1"/>
  <c r="G117" i="7" s="1"/>
  <c r="C137" i="7"/>
  <c r="F137" i="7" s="1"/>
  <c r="G137" i="7" s="1"/>
  <c r="C158" i="7"/>
  <c r="F158" i="7" s="1"/>
  <c r="G158" i="7" s="1"/>
  <c r="C177" i="7"/>
  <c r="F177" i="7" s="1"/>
  <c r="G177" i="7" s="1"/>
  <c r="C197" i="7"/>
  <c r="F197" i="7" s="1"/>
  <c r="G197" i="7" s="1"/>
  <c r="C221" i="7"/>
  <c r="F221" i="7" s="1"/>
  <c r="G221" i="7" s="1"/>
  <c r="C238" i="7"/>
  <c r="F238" i="7" s="1"/>
  <c r="G238" i="7" s="1"/>
  <c r="C257" i="7"/>
  <c r="F257" i="7" s="1"/>
  <c r="G257" i="7" s="1"/>
  <c r="C273" i="7"/>
  <c r="F273" i="7" s="1"/>
  <c r="G273" i="7" s="1"/>
  <c r="C290" i="7"/>
  <c r="F290" i="7" s="1"/>
  <c r="G290" i="7" s="1"/>
  <c r="C308" i="7"/>
  <c r="F308" i="7" s="1"/>
  <c r="G308" i="7" s="1"/>
  <c r="C323" i="7"/>
  <c r="F323" i="7" s="1"/>
  <c r="G323" i="7" s="1"/>
  <c r="C339" i="7"/>
  <c r="F339" i="7" s="1"/>
  <c r="G339" i="7" s="1"/>
  <c r="C355" i="7"/>
  <c r="F355" i="7" s="1"/>
  <c r="G355" i="7" s="1"/>
  <c r="C371" i="7"/>
  <c r="F371" i="7" s="1"/>
  <c r="G371" i="7" s="1"/>
  <c r="C386" i="7"/>
  <c r="F386" i="7" s="1"/>
  <c r="G386" i="7" s="1"/>
  <c r="C401" i="7"/>
  <c r="F401" i="7" s="1"/>
  <c r="G401" i="7" s="1"/>
  <c r="C417" i="7"/>
  <c r="F417" i="7" s="1"/>
  <c r="G417" i="7" s="1"/>
  <c r="C432" i="7"/>
  <c r="F432" i="7" s="1"/>
  <c r="G432" i="7" s="1"/>
  <c r="C448" i="7"/>
  <c r="F448" i="7" s="1"/>
  <c r="G448" i="7" s="1"/>
  <c r="C464" i="7"/>
  <c r="F464" i="7" s="1"/>
  <c r="G464" i="7" s="1"/>
  <c r="C479" i="7"/>
  <c r="F479" i="7" s="1"/>
  <c r="G479" i="7" s="1"/>
  <c r="C494" i="7"/>
  <c r="F494" i="7" s="1"/>
  <c r="G494" i="7" s="1"/>
  <c r="C511" i="7"/>
  <c r="F511" i="7" s="1"/>
  <c r="G511" i="7" s="1"/>
  <c r="C527" i="7"/>
  <c r="F527" i="7" s="1"/>
  <c r="G527" i="7" s="1"/>
  <c r="B11" i="7"/>
  <c r="B26" i="7"/>
  <c r="B42" i="7"/>
  <c r="B57" i="7"/>
  <c r="B72" i="7"/>
  <c r="B89" i="7"/>
  <c r="B104" i="7"/>
  <c r="B119" i="7"/>
  <c r="B134" i="7"/>
  <c r="B151" i="7"/>
  <c r="B167" i="7"/>
  <c r="B182" i="7"/>
  <c r="B198" i="7"/>
  <c r="B213" i="7"/>
  <c r="B228" i="7"/>
  <c r="B245" i="7"/>
  <c r="B260" i="7"/>
  <c r="B275" i="7"/>
  <c r="B290" i="7"/>
  <c r="B306" i="7"/>
  <c r="B323" i="7"/>
  <c r="E15" i="7"/>
  <c r="E55" i="7"/>
  <c r="E101" i="7"/>
  <c r="E133" i="7"/>
  <c r="E177" i="7"/>
  <c r="E216" i="7"/>
  <c r="E255" i="7"/>
  <c r="E291" i="7"/>
  <c r="E332" i="7"/>
  <c r="E371" i="7"/>
  <c r="E403" i="7"/>
  <c r="E441" i="7"/>
  <c r="E471" i="7"/>
  <c r="E506" i="7"/>
  <c r="D9" i="7"/>
  <c r="D46" i="7"/>
  <c r="D78" i="7"/>
  <c r="D106" i="7"/>
  <c r="D142" i="7"/>
  <c r="D171" i="7"/>
  <c r="D205" i="7"/>
  <c r="D239" i="7"/>
  <c r="D270" i="7"/>
  <c r="D302" i="7"/>
  <c r="D334" i="7"/>
  <c r="D366" i="7"/>
  <c r="D395" i="7"/>
  <c r="D425" i="7"/>
  <c r="D457" i="7"/>
  <c r="D487" i="7"/>
  <c r="D508" i="7"/>
  <c r="C8" i="7"/>
  <c r="F8" i="7" s="1"/>
  <c r="G8" i="7" s="1"/>
  <c r="C30" i="7"/>
  <c r="F30" i="7" s="1"/>
  <c r="G30" i="7" s="1"/>
  <c r="C53" i="7"/>
  <c r="F53" i="7" s="1"/>
  <c r="G53" i="7" s="1"/>
  <c r="C79" i="7"/>
  <c r="F79" i="7" s="1"/>
  <c r="G79" i="7" s="1"/>
  <c r="C103" i="7"/>
  <c r="F103" i="7" s="1"/>
  <c r="G103" i="7" s="1"/>
  <c r="C126" i="7"/>
  <c r="F126" i="7" s="1"/>
  <c r="G126" i="7" s="1"/>
  <c r="C150" i="7"/>
  <c r="F150" i="7" s="1"/>
  <c r="G150" i="7" s="1"/>
  <c r="C173" i="7"/>
  <c r="F173" i="7" s="1"/>
  <c r="G173" i="7" s="1"/>
  <c r="C192" i="7"/>
  <c r="F192" i="7" s="1"/>
  <c r="G192" i="7" s="1"/>
  <c r="C214" i="7"/>
  <c r="F214" i="7" s="1"/>
  <c r="G214" i="7" s="1"/>
  <c r="C237" i="7"/>
  <c r="F237" i="7" s="1"/>
  <c r="G237" i="7" s="1"/>
  <c r="C258" i="7"/>
  <c r="F258" i="7" s="1"/>
  <c r="G258" i="7" s="1"/>
  <c r="C276" i="7"/>
  <c r="F276" i="7" s="1"/>
  <c r="G276" i="7" s="1"/>
  <c r="C296" i="7"/>
  <c r="F296" i="7" s="1"/>
  <c r="G296" i="7" s="1"/>
  <c r="C313" i="7"/>
  <c r="F313" i="7" s="1"/>
  <c r="G313" i="7" s="1"/>
  <c r="C331" i="7"/>
  <c r="F331" i="7" s="1"/>
  <c r="G331" i="7" s="1"/>
  <c r="C347" i="7"/>
  <c r="F347" i="7" s="1"/>
  <c r="G347" i="7" s="1"/>
  <c r="C363" i="7"/>
  <c r="F363" i="7" s="1"/>
  <c r="G363" i="7" s="1"/>
  <c r="C380" i="7"/>
  <c r="F380" i="7" s="1"/>
  <c r="G380" i="7" s="1"/>
  <c r="C398" i="7"/>
  <c r="F398" i="7" s="1"/>
  <c r="G398" i="7" s="1"/>
  <c r="C415" i="7"/>
  <c r="F415" i="7" s="1"/>
  <c r="G415" i="7" s="1"/>
  <c r="C431" i="7"/>
  <c r="F431" i="7" s="1"/>
  <c r="G431" i="7" s="1"/>
  <c r="C449" i="7"/>
  <c r="F449" i="7" s="1"/>
  <c r="G449" i="7" s="1"/>
  <c r="C466" i="7"/>
  <c r="F466" i="7" s="1"/>
  <c r="G466" i="7" s="1"/>
  <c r="C483" i="7"/>
  <c r="F483" i="7" s="1"/>
  <c r="G483" i="7" s="1"/>
  <c r="C501" i="7"/>
  <c r="F501" i="7" s="1"/>
  <c r="G501" i="7" s="1"/>
  <c r="C517" i="7"/>
  <c r="F517" i="7" s="1"/>
  <c r="G517" i="7" s="1"/>
  <c r="C533" i="7"/>
  <c r="F533" i="7" s="1"/>
  <c r="G533" i="7" s="1"/>
  <c r="B19" i="7"/>
  <c r="B37" i="7"/>
  <c r="B54" i="7"/>
  <c r="B70" i="7"/>
  <c r="B88" i="7"/>
  <c r="B105" i="7"/>
  <c r="B122" i="7"/>
  <c r="B140" i="7"/>
  <c r="B156" i="7"/>
  <c r="B173" i="7"/>
  <c r="B189" i="7"/>
  <c r="B206" i="7"/>
  <c r="B224" i="7"/>
  <c r="B240" i="7"/>
  <c r="B258" i="7"/>
  <c r="B274" i="7"/>
  <c r="B292" i="7"/>
  <c r="B310" i="7"/>
  <c r="B326" i="7"/>
  <c r="B342" i="7"/>
  <c r="B357" i="7"/>
  <c r="B372" i="7"/>
  <c r="B389" i="7"/>
  <c r="B404" i="7"/>
  <c r="B419" i="7"/>
  <c r="B434" i="7"/>
  <c r="B451" i="7"/>
  <c r="B467" i="7"/>
  <c r="B482" i="7"/>
  <c r="B498" i="7"/>
  <c r="B513" i="7"/>
  <c r="B528" i="7"/>
  <c r="E17" i="7"/>
  <c r="E104" i="7"/>
  <c r="E145" i="7"/>
  <c r="E182" i="7"/>
  <c r="E260" i="7"/>
  <c r="E373" i="7"/>
  <c r="E444" i="7"/>
  <c r="E513" i="7"/>
  <c r="D81" i="7"/>
  <c r="D179" i="7"/>
  <c r="D273" i="7"/>
  <c r="D369" i="7"/>
  <c r="D432" i="7"/>
  <c r="D491" i="7"/>
  <c r="C33" i="7"/>
  <c r="F33" i="7" s="1"/>
  <c r="G33" i="7" s="1"/>
  <c r="C106" i="7"/>
  <c r="F106" i="7" s="1"/>
  <c r="G106" i="7" s="1"/>
  <c r="C175" i="7"/>
  <c r="F175" i="7" s="1"/>
  <c r="G175" i="7" s="1"/>
  <c r="C222" i="7"/>
  <c r="F222" i="7" s="1"/>
  <c r="G222" i="7" s="1"/>
  <c r="C281" i="7"/>
  <c r="F281" i="7" s="1"/>
  <c r="G281" i="7" s="1"/>
  <c r="C315" i="7"/>
  <c r="F315" i="7" s="1"/>
  <c r="G315" i="7" s="1"/>
  <c r="C349" i="7"/>
  <c r="F349" i="7" s="1"/>
  <c r="G349" i="7" s="1"/>
  <c r="C400" i="7"/>
  <c r="F400" i="7" s="1"/>
  <c r="G400" i="7" s="1"/>
  <c r="C435" i="7"/>
  <c r="F435" i="7" s="1"/>
  <c r="G435" i="7" s="1"/>
  <c r="C469" i="7"/>
  <c r="F469" i="7" s="1"/>
  <c r="G469" i="7" s="1"/>
  <c r="C519" i="7"/>
  <c r="F519" i="7" s="1"/>
  <c r="G519" i="7" s="1"/>
  <c r="E16" i="7"/>
  <c r="E57" i="7"/>
  <c r="E103" i="7"/>
  <c r="E134" i="7"/>
  <c r="E181" i="7"/>
  <c r="E217" i="7"/>
  <c r="E259" i="7"/>
  <c r="E292" i="7"/>
  <c r="E335" i="7"/>
  <c r="E372" i="7"/>
  <c r="E404" i="7"/>
  <c r="E443" i="7"/>
  <c r="E479" i="7"/>
  <c r="E507" i="7"/>
  <c r="D18" i="7"/>
  <c r="D47" i="7"/>
  <c r="D79" i="7"/>
  <c r="D107" i="7"/>
  <c r="D144" i="7"/>
  <c r="D178" i="7"/>
  <c r="D206" i="7"/>
  <c r="D242" i="7"/>
  <c r="D271" i="7"/>
  <c r="D303" i="7"/>
  <c r="D336" i="7"/>
  <c r="D367" i="7"/>
  <c r="D396" i="7"/>
  <c r="D431" i="7"/>
  <c r="D458" i="7"/>
  <c r="D489" i="7"/>
  <c r="D514" i="7"/>
  <c r="C9" i="7"/>
  <c r="F9" i="7" s="1"/>
  <c r="G9" i="7" s="1"/>
  <c r="C31" i="7"/>
  <c r="F31" i="7" s="1"/>
  <c r="G31" i="7" s="1"/>
  <c r="C55" i="7"/>
  <c r="F55" i="7" s="1"/>
  <c r="G55" i="7" s="1"/>
  <c r="C81" i="7"/>
  <c r="F81" i="7" s="1"/>
  <c r="G81" i="7" s="1"/>
  <c r="C104" i="7"/>
  <c r="F104" i="7" s="1"/>
  <c r="G104" i="7" s="1"/>
  <c r="C129" i="7"/>
  <c r="F129" i="7" s="1"/>
  <c r="G129" i="7" s="1"/>
  <c r="C151" i="7"/>
  <c r="F151" i="7" s="1"/>
  <c r="G151" i="7" s="1"/>
  <c r="C174" i="7"/>
  <c r="F174" i="7" s="1"/>
  <c r="G174" i="7" s="1"/>
  <c r="C194" i="7"/>
  <c r="F194" i="7" s="1"/>
  <c r="G194" i="7" s="1"/>
  <c r="C218" i="7"/>
  <c r="F218" i="7" s="1"/>
  <c r="G218" i="7" s="1"/>
  <c r="C239" i="7"/>
  <c r="F239" i="7" s="1"/>
  <c r="G239" i="7" s="1"/>
  <c r="C259" i="7"/>
  <c r="F259" i="7" s="1"/>
  <c r="G259" i="7" s="1"/>
  <c r="C277" i="7"/>
  <c r="F277" i="7" s="1"/>
  <c r="G277" i="7" s="1"/>
  <c r="C297" i="7"/>
  <c r="F297" i="7" s="1"/>
  <c r="G297" i="7" s="1"/>
  <c r="C314" i="7"/>
  <c r="F314" i="7" s="1"/>
  <c r="G314" i="7" s="1"/>
  <c r="C332" i="7"/>
  <c r="F332" i="7" s="1"/>
  <c r="G332" i="7" s="1"/>
  <c r="C348" i="7"/>
  <c r="F348" i="7" s="1"/>
  <c r="G348" i="7" s="1"/>
  <c r="C364" i="7"/>
  <c r="F364" i="7" s="1"/>
  <c r="G364" i="7" s="1"/>
  <c r="C383" i="7"/>
  <c r="F383" i="7" s="1"/>
  <c r="G383" i="7" s="1"/>
  <c r="C399" i="7"/>
  <c r="F399" i="7" s="1"/>
  <c r="G399" i="7" s="1"/>
  <c r="C416" i="7"/>
  <c r="F416" i="7" s="1"/>
  <c r="G416" i="7" s="1"/>
  <c r="C433" i="7"/>
  <c r="F433" i="7" s="1"/>
  <c r="G433" i="7" s="1"/>
  <c r="C451" i="7"/>
  <c r="F451" i="7" s="1"/>
  <c r="G451" i="7" s="1"/>
  <c r="C468" i="7"/>
  <c r="F468" i="7" s="1"/>
  <c r="G468" i="7" s="1"/>
  <c r="C484" i="7"/>
  <c r="F484" i="7" s="1"/>
  <c r="G484" i="7" s="1"/>
  <c r="C502" i="7"/>
  <c r="F502" i="7" s="1"/>
  <c r="G502" i="7" s="1"/>
  <c r="C518" i="7"/>
  <c r="F518" i="7" s="1"/>
  <c r="G518" i="7" s="1"/>
  <c r="B20" i="7"/>
  <c r="B38" i="7"/>
  <c r="B55" i="7"/>
  <c r="B71" i="7"/>
  <c r="B90" i="7"/>
  <c r="B106" i="7"/>
  <c r="B124" i="7"/>
  <c r="B141" i="7"/>
  <c r="B157" i="7"/>
  <c r="B174" i="7"/>
  <c r="B190" i="7"/>
  <c r="B209" i="7"/>
  <c r="B225" i="7"/>
  <c r="B241" i="7"/>
  <c r="B259" i="7"/>
  <c r="B276" i="7"/>
  <c r="B294" i="7"/>
  <c r="B311" i="7"/>
  <c r="B328" i="7"/>
  <c r="B343" i="7"/>
  <c r="B358" i="7"/>
  <c r="B373" i="7"/>
  <c r="B390" i="7"/>
  <c r="B405" i="7"/>
  <c r="B420" i="7"/>
  <c r="B437" i="7"/>
  <c r="B452" i="7"/>
  <c r="B468" i="7"/>
  <c r="B484" i="7"/>
  <c r="B499" i="7"/>
  <c r="B514" i="7"/>
  <c r="B529" i="7"/>
  <c r="E63" i="7"/>
  <c r="E218" i="7"/>
  <c r="E300" i="7"/>
  <c r="E337" i="7"/>
  <c r="E405" i="7"/>
  <c r="E480" i="7"/>
  <c r="D19" i="7"/>
  <c r="D48" i="7"/>
  <c r="D117" i="7"/>
  <c r="D146" i="7"/>
  <c r="D213" i="7"/>
  <c r="D243" i="7"/>
  <c r="D305" i="7"/>
  <c r="D342" i="7"/>
  <c r="D402" i="7"/>
  <c r="D461" i="7"/>
  <c r="D518" i="7"/>
  <c r="C10" i="7"/>
  <c r="F10" i="7" s="1"/>
  <c r="G10" i="7" s="1"/>
  <c r="C60" i="7"/>
  <c r="F60" i="7" s="1"/>
  <c r="G60" i="7" s="1"/>
  <c r="C82" i="7"/>
  <c r="F82" i="7" s="1"/>
  <c r="G82" i="7" s="1"/>
  <c r="C130" i="7"/>
  <c r="F130" i="7" s="1"/>
  <c r="G130" i="7" s="1"/>
  <c r="C152" i="7"/>
  <c r="F152" i="7" s="1"/>
  <c r="G152" i="7" s="1"/>
  <c r="C195" i="7"/>
  <c r="F195" i="7" s="1"/>
  <c r="G195" i="7" s="1"/>
  <c r="C241" i="7"/>
  <c r="F241" i="7" s="1"/>
  <c r="G241" i="7" s="1"/>
  <c r="C261" i="7"/>
  <c r="F261" i="7" s="1"/>
  <c r="G261" i="7" s="1"/>
  <c r="C298" i="7"/>
  <c r="F298" i="7" s="1"/>
  <c r="G298" i="7" s="1"/>
  <c r="C333" i="7"/>
  <c r="F333" i="7" s="1"/>
  <c r="G333" i="7" s="1"/>
  <c r="C365" i="7"/>
  <c r="F365" i="7" s="1"/>
  <c r="G365" i="7" s="1"/>
  <c r="C384" i="7"/>
  <c r="F384" i="7" s="1"/>
  <c r="G384" i="7" s="1"/>
  <c r="C418" i="7"/>
  <c r="F418" i="7" s="1"/>
  <c r="G418" i="7" s="1"/>
  <c r="C452" i="7"/>
  <c r="F452" i="7" s="1"/>
  <c r="G452" i="7" s="1"/>
  <c r="C485" i="7"/>
  <c r="F485" i="7" s="1"/>
  <c r="G485" i="7" s="1"/>
  <c r="C503" i="7"/>
  <c r="F503" i="7" s="1"/>
  <c r="G503" i="7" s="1"/>
  <c r="B23" i="7"/>
  <c r="B40" i="7"/>
  <c r="B56" i="7"/>
  <c r="B74" i="7"/>
  <c r="B91" i="7"/>
  <c r="B108" i="7"/>
  <c r="B125" i="7"/>
  <c r="B142" i="7"/>
  <c r="B158" i="7"/>
  <c r="B175" i="7"/>
  <c r="B192" i="7"/>
  <c r="B210" i="7"/>
  <c r="B226" i="7"/>
  <c r="B242" i="7"/>
  <c r="B261" i="7"/>
  <c r="B277" i="7"/>
  <c r="B295" i="7"/>
  <c r="B312" i="7"/>
  <c r="B329" i="7"/>
  <c r="B344" i="7"/>
  <c r="B359" i="7"/>
  <c r="B391" i="7"/>
  <c r="B406" i="7"/>
  <c r="B422" i="7"/>
  <c r="B438" i="7"/>
  <c r="B454" i="7"/>
  <c r="B469" i="7"/>
  <c r="B485" i="7"/>
  <c r="B500" i="7"/>
  <c r="B515" i="7"/>
  <c r="B530" i="7"/>
  <c r="E19" i="7"/>
  <c r="E65" i="7"/>
  <c r="E105" i="7"/>
  <c r="E146" i="7"/>
  <c r="E185" i="7"/>
  <c r="E221" i="7"/>
  <c r="E264" i="7"/>
  <c r="E307" i="7"/>
  <c r="E344" i="7"/>
  <c r="E374" i="7"/>
  <c r="E412" i="7"/>
  <c r="E445" i="7"/>
  <c r="E481" i="7"/>
  <c r="E515" i="7"/>
  <c r="B376" i="7"/>
  <c r="E29" i="7"/>
  <c r="E88" i="7"/>
  <c r="E152" i="7"/>
  <c r="E206" i="7"/>
  <c r="E269" i="7"/>
  <c r="E321" i="7"/>
  <c r="E376" i="7"/>
  <c r="E425" i="7"/>
  <c r="E485" i="7"/>
  <c r="E533" i="7"/>
  <c r="D49" i="7"/>
  <c r="D97" i="7"/>
  <c r="D131" i="7"/>
  <c r="D180" i="7"/>
  <c r="D221" i="7"/>
  <c r="D264" i="7"/>
  <c r="D310" i="7"/>
  <c r="D347" i="7"/>
  <c r="D390" i="7"/>
  <c r="D435" i="7"/>
  <c r="D471" i="7"/>
  <c r="D505" i="7"/>
  <c r="C11" i="7"/>
  <c r="F11" i="7" s="1"/>
  <c r="G11" i="7" s="1"/>
  <c r="C43" i="7"/>
  <c r="F43" i="7" s="1"/>
  <c r="G43" i="7" s="1"/>
  <c r="C73" i="7"/>
  <c r="F73" i="7" s="1"/>
  <c r="G73" i="7" s="1"/>
  <c r="C107" i="7"/>
  <c r="F107" i="7" s="1"/>
  <c r="G107" i="7" s="1"/>
  <c r="C139" i="7"/>
  <c r="F139" i="7" s="1"/>
  <c r="G139" i="7" s="1"/>
  <c r="C166" i="7"/>
  <c r="F166" i="7" s="1"/>
  <c r="G166" i="7" s="1"/>
  <c r="C202" i="7"/>
  <c r="F202" i="7" s="1"/>
  <c r="G202" i="7" s="1"/>
  <c r="C226" i="7"/>
  <c r="F226" i="7" s="1"/>
  <c r="G226" i="7" s="1"/>
  <c r="C252" i="7"/>
  <c r="F252" i="7" s="1"/>
  <c r="G252" i="7" s="1"/>
  <c r="C282" i="7"/>
  <c r="F282" i="7" s="1"/>
  <c r="G282" i="7" s="1"/>
  <c r="C303" i="7"/>
  <c r="F303" i="7" s="1"/>
  <c r="G303" i="7" s="1"/>
  <c r="C326" i="7"/>
  <c r="F326" i="7" s="1"/>
  <c r="G326" i="7" s="1"/>
  <c r="C350" i="7"/>
  <c r="F350" i="7" s="1"/>
  <c r="G350" i="7" s="1"/>
  <c r="C373" i="7"/>
  <c r="F373" i="7" s="1"/>
  <c r="G373" i="7" s="1"/>
  <c r="C393" i="7"/>
  <c r="F393" i="7" s="1"/>
  <c r="G393" i="7" s="1"/>
  <c r="C419" i="7"/>
  <c r="F419" i="7" s="1"/>
  <c r="G419" i="7" s="1"/>
  <c r="C441" i="7"/>
  <c r="F441" i="7" s="1"/>
  <c r="G441" i="7" s="1"/>
  <c r="C461" i="7"/>
  <c r="F461" i="7" s="1"/>
  <c r="G461" i="7" s="1"/>
  <c r="C488" i="7"/>
  <c r="F488" i="7" s="1"/>
  <c r="G488" i="7" s="1"/>
  <c r="C507" i="7"/>
  <c r="F507" i="7" s="1"/>
  <c r="G507" i="7" s="1"/>
  <c r="C530" i="7"/>
  <c r="F530" i="7" s="1"/>
  <c r="G530" i="7" s="1"/>
  <c r="B24" i="7"/>
  <c r="B45" i="7"/>
  <c r="B67" i="7"/>
  <c r="B92" i="7"/>
  <c r="B114" i="7"/>
  <c r="B133" i="7"/>
  <c r="B160" i="7"/>
  <c r="B181" i="7"/>
  <c r="B202" i="7"/>
  <c r="B227" i="7"/>
  <c r="B249" i="7"/>
  <c r="B271" i="7"/>
  <c r="B297" i="7"/>
  <c r="B317" i="7"/>
  <c r="B338" i="7"/>
  <c r="B360" i="7"/>
  <c r="B381" i="7"/>
  <c r="B400" i="7"/>
  <c r="B424" i="7"/>
  <c r="B443" i="7"/>
  <c r="B462" i="7"/>
  <c r="B486" i="7"/>
  <c r="B504" i="7"/>
  <c r="B525" i="7"/>
  <c r="E31" i="7"/>
  <c r="E91" i="7"/>
  <c r="E157" i="7"/>
  <c r="E207" i="7"/>
  <c r="E271" i="7"/>
  <c r="E326" i="7"/>
  <c r="E388" i="7"/>
  <c r="E432" i="7"/>
  <c r="E487" i="7"/>
  <c r="D6" i="7"/>
  <c r="D55" i="7"/>
  <c r="D98" i="7"/>
  <c r="D132" i="7"/>
  <c r="D181" i="7"/>
  <c r="D223" i="7"/>
  <c r="D266" i="7"/>
  <c r="D311" i="7"/>
  <c r="D350" i="7"/>
  <c r="D393" i="7"/>
  <c r="D438" i="7"/>
  <c r="D475" i="7"/>
  <c r="D506" i="7"/>
  <c r="C12" i="7"/>
  <c r="F12" i="7" s="1"/>
  <c r="G12" i="7" s="1"/>
  <c r="C44" i="7"/>
  <c r="F44" i="7" s="1"/>
  <c r="G44" i="7" s="1"/>
  <c r="C74" i="7"/>
  <c r="F74" i="7" s="1"/>
  <c r="G74" i="7" s="1"/>
  <c r="C108" i="7"/>
  <c r="F108" i="7" s="1"/>
  <c r="G108" i="7" s="1"/>
  <c r="C140" i="7"/>
  <c r="F140" i="7" s="1"/>
  <c r="G140" i="7" s="1"/>
  <c r="C168" i="7"/>
  <c r="F168" i="7" s="1"/>
  <c r="G168" i="7" s="1"/>
  <c r="C203" i="7"/>
  <c r="F203" i="7" s="1"/>
  <c r="G203" i="7" s="1"/>
  <c r="C228" i="7"/>
  <c r="F228" i="7" s="1"/>
  <c r="G228" i="7" s="1"/>
  <c r="C254" i="7"/>
  <c r="F254" i="7" s="1"/>
  <c r="G254" i="7" s="1"/>
  <c r="C283" i="7"/>
  <c r="F283" i="7" s="1"/>
  <c r="G283" i="7" s="1"/>
  <c r="C305" i="7"/>
  <c r="F305" i="7" s="1"/>
  <c r="G305" i="7" s="1"/>
  <c r="C327" i="7"/>
  <c r="F327" i="7" s="1"/>
  <c r="G327" i="7" s="1"/>
  <c r="C351" i="7"/>
  <c r="F351" i="7" s="1"/>
  <c r="G351" i="7" s="1"/>
  <c r="C374" i="7"/>
  <c r="F374" i="7" s="1"/>
  <c r="G374" i="7" s="1"/>
  <c r="C394" i="7"/>
  <c r="F394" i="7" s="1"/>
  <c r="G394" i="7" s="1"/>
  <c r="C420" i="7"/>
  <c r="F420" i="7" s="1"/>
  <c r="G420" i="7" s="1"/>
  <c r="C442" i="7"/>
  <c r="F442" i="7" s="1"/>
  <c r="G442" i="7" s="1"/>
  <c r="C463" i="7"/>
  <c r="F463" i="7" s="1"/>
  <c r="G463" i="7" s="1"/>
  <c r="C489" i="7"/>
  <c r="F489" i="7" s="1"/>
  <c r="G489" i="7" s="1"/>
  <c r="C508" i="7"/>
  <c r="F508" i="7" s="1"/>
  <c r="G508" i="7" s="1"/>
  <c r="C531" i="7"/>
  <c r="F531" i="7" s="1"/>
  <c r="G531" i="7" s="1"/>
  <c r="B25" i="7"/>
  <c r="B46" i="7"/>
  <c r="B68" i="7"/>
  <c r="B94" i="7"/>
  <c r="B115" i="7"/>
  <c r="B137" i="7"/>
  <c r="B161" i="7"/>
  <c r="B184" i="7"/>
  <c r="B203" i="7"/>
  <c r="B229" i="7"/>
  <c r="B251" i="7"/>
  <c r="B272" i="7"/>
  <c r="B298" i="7"/>
  <c r="B318" i="7"/>
  <c r="B340" i="7"/>
  <c r="B362" i="7"/>
  <c r="B382" i="7"/>
  <c r="B402" i="7"/>
  <c r="B425" i="7"/>
  <c r="B444" i="7"/>
  <c r="B463" i="7"/>
  <c r="B487" i="7"/>
  <c r="B506" i="7"/>
  <c r="B526" i="7"/>
  <c r="E35" i="7"/>
  <c r="E159" i="7"/>
  <c r="E215" i="7"/>
  <c r="E279" i="7"/>
  <c r="E327" i="7"/>
  <c r="E389" i="7"/>
  <c r="E434" i="7"/>
  <c r="E494" i="7"/>
  <c r="D7" i="7"/>
  <c r="D60" i="7"/>
  <c r="D99" i="7"/>
  <c r="D141" i="7"/>
  <c r="D189" i="7"/>
  <c r="D225" i="7"/>
  <c r="D267" i="7"/>
  <c r="D313" i="7"/>
  <c r="D351" i="7"/>
  <c r="D394" i="7"/>
  <c r="E37" i="7"/>
  <c r="E120" i="7"/>
  <c r="E189" i="7"/>
  <c r="E265" i="7"/>
  <c r="E349" i="7"/>
  <c r="E420" i="7"/>
  <c r="E483" i="7"/>
  <c r="D25" i="7"/>
  <c r="D77" i="7"/>
  <c r="D129" i="7"/>
  <c r="D192" i="7"/>
  <c r="D250" i="7"/>
  <c r="D301" i="7"/>
  <c r="D363" i="7"/>
  <c r="D418" i="7"/>
  <c r="D467" i="7"/>
  <c r="D507" i="7"/>
  <c r="C17" i="7"/>
  <c r="F17" i="7" s="1"/>
  <c r="G17" i="7" s="1"/>
  <c r="C61" i="7"/>
  <c r="F61" i="7" s="1"/>
  <c r="G61" i="7" s="1"/>
  <c r="C96" i="7"/>
  <c r="F96" i="7" s="1"/>
  <c r="G96" i="7" s="1"/>
  <c r="C134" i="7"/>
  <c r="F134" i="7" s="1"/>
  <c r="G134" i="7" s="1"/>
  <c r="C171" i="7"/>
  <c r="F171" i="7" s="1"/>
  <c r="G171" i="7" s="1"/>
  <c r="C207" i="7"/>
  <c r="F207" i="7" s="1"/>
  <c r="G207" i="7" s="1"/>
  <c r="C242" i="7"/>
  <c r="F242" i="7" s="1"/>
  <c r="G242" i="7" s="1"/>
  <c r="C270" i="7"/>
  <c r="F270" i="7" s="1"/>
  <c r="G270" i="7" s="1"/>
  <c r="C300" i="7"/>
  <c r="F300" i="7" s="1"/>
  <c r="G300" i="7" s="1"/>
  <c r="C328" i="7"/>
  <c r="F328" i="7" s="1"/>
  <c r="G328" i="7" s="1"/>
  <c r="C358" i="7"/>
  <c r="F358" i="7" s="1"/>
  <c r="G358" i="7" s="1"/>
  <c r="C385" i="7"/>
  <c r="F385" i="7" s="1"/>
  <c r="G385" i="7" s="1"/>
  <c r="C409" i="7"/>
  <c r="F409" i="7" s="1"/>
  <c r="G409" i="7" s="1"/>
  <c r="C437" i="7"/>
  <c r="F437" i="7" s="1"/>
  <c r="G437" i="7" s="1"/>
  <c r="C465" i="7"/>
  <c r="F465" i="7" s="1"/>
  <c r="G465" i="7" s="1"/>
  <c r="C492" i="7"/>
  <c r="F492" i="7" s="1"/>
  <c r="G492" i="7" s="1"/>
  <c r="C520" i="7"/>
  <c r="F520" i="7" s="1"/>
  <c r="G520" i="7" s="1"/>
  <c r="B14" i="7"/>
  <c r="B43" i="7"/>
  <c r="B69" i="7"/>
  <c r="B97" i="7"/>
  <c r="B127" i="7"/>
  <c r="B149" i="7"/>
  <c r="B177" i="7"/>
  <c r="B205" i="7"/>
  <c r="B234" i="7"/>
  <c r="B262" i="7"/>
  <c r="B286" i="7"/>
  <c r="B314" i="7"/>
  <c r="B341" i="7"/>
  <c r="B367" i="7"/>
  <c r="B392" i="7"/>
  <c r="B415" i="7"/>
  <c r="B441" i="7"/>
  <c r="B465" i="7"/>
  <c r="B490" i="7"/>
  <c r="B516" i="7"/>
  <c r="E41" i="7"/>
  <c r="E125" i="7"/>
  <c r="E199" i="7"/>
  <c r="E281" i="7"/>
  <c r="E350" i="7"/>
  <c r="E421" i="7"/>
  <c r="E500" i="7"/>
  <c r="D29" i="7"/>
  <c r="D83" i="7"/>
  <c r="D149" i="7"/>
  <c r="D198" i="7"/>
  <c r="D251" i="7"/>
  <c r="D315" i="7"/>
  <c r="D371" i="7"/>
  <c r="D421" i="7"/>
  <c r="D469" i="7"/>
  <c r="D519" i="7"/>
  <c r="C23" i="7"/>
  <c r="F23" i="7" s="1"/>
  <c r="G23" i="7" s="1"/>
  <c r="C62" i="7"/>
  <c r="F62" i="7" s="1"/>
  <c r="G62" i="7" s="1"/>
  <c r="C98" i="7"/>
  <c r="F98" i="7" s="1"/>
  <c r="G98" i="7" s="1"/>
  <c r="C135" i="7"/>
  <c r="F135" i="7" s="1"/>
  <c r="G135" i="7" s="1"/>
  <c r="C176" i="7"/>
  <c r="F176" i="7" s="1"/>
  <c r="G176" i="7" s="1"/>
  <c r="C209" i="7"/>
  <c r="F209" i="7" s="1"/>
  <c r="G209" i="7" s="1"/>
  <c r="C243" i="7"/>
  <c r="F243" i="7" s="1"/>
  <c r="G243" i="7" s="1"/>
  <c r="C271" i="7"/>
  <c r="F271" i="7" s="1"/>
  <c r="G271" i="7" s="1"/>
  <c r="C301" i="7"/>
  <c r="F301" i="7" s="1"/>
  <c r="G301" i="7" s="1"/>
  <c r="C334" i="7"/>
  <c r="F334" i="7" s="1"/>
  <c r="G334" i="7" s="1"/>
  <c r="C359" i="7"/>
  <c r="F359" i="7" s="1"/>
  <c r="G359" i="7" s="1"/>
  <c r="C387" i="7"/>
  <c r="F387" i="7" s="1"/>
  <c r="G387" i="7" s="1"/>
  <c r="C411" i="7"/>
  <c r="F411" i="7" s="1"/>
  <c r="G411" i="7" s="1"/>
  <c r="C440" i="7"/>
  <c r="F440" i="7" s="1"/>
  <c r="G440" i="7" s="1"/>
  <c r="C470" i="7"/>
  <c r="F470" i="7" s="1"/>
  <c r="G470" i="7" s="1"/>
  <c r="C493" i="7"/>
  <c r="F493" i="7" s="1"/>
  <c r="G493" i="7" s="1"/>
  <c r="C521" i="7"/>
  <c r="F521" i="7" s="1"/>
  <c r="G521" i="7" s="1"/>
  <c r="B16" i="7"/>
  <c r="B44" i="7"/>
  <c r="B76" i="7"/>
  <c r="B98" i="7"/>
  <c r="B128" i="7"/>
  <c r="B153" i="7"/>
  <c r="B180" i="7"/>
  <c r="B211" i="7"/>
  <c r="B235" i="7"/>
  <c r="B263" i="7"/>
  <c r="B287" i="7"/>
  <c r="B316" i="7"/>
  <c r="B345" i="7"/>
  <c r="B368" i="7"/>
  <c r="B394" i="7"/>
  <c r="B416" i="7"/>
  <c r="B442" i="7"/>
  <c r="B470" i="7"/>
  <c r="B491" i="7"/>
  <c r="B517" i="7"/>
  <c r="E51" i="7"/>
  <c r="E200" i="7"/>
  <c r="E284" i="7"/>
  <c r="E353" i="7"/>
  <c r="E422" i="7"/>
  <c r="E503" i="7"/>
  <c r="D30" i="7"/>
  <c r="D87" i="7"/>
  <c r="D150" i="7"/>
  <c r="D201" i="7"/>
  <c r="D252" i="7"/>
  <c r="D321" i="7"/>
  <c r="D374" i="7"/>
  <c r="D422" i="7"/>
  <c r="D477" i="7"/>
  <c r="D520" i="7"/>
  <c r="C24" i="7"/>
  <c r="F24" i="7" s="1"/>
  <c r="G24" i="7" s="1"/>
  <c r="C63" i="7"/>
  <c r="F63" i="7" s="1"/>
  <c r="G63" i="7" s="1"/>
  <c r="C101" i="7"/>
  <c r="F101" i="7" s="1"/>
  <c r="G101" i="7" s="1"/>
  <c r="C143" i="7"/>
  <c r="F143" i="7" s="1"/>
  <c r="G143" i="7" s="1"/>
  <c r="C178" i="7"/>
  <c r="F178" i="7" s="1"/>
  <c r="G178" i="7" s="1"/>
  <c r="C210" i="7"/>
  <c r="F210" i="7" s="1"/>
  <c r="G210" i="7" s="1"/>
  <c r="C245" i="7"/>
  <c r="F245" i="7" s="1"/>
  <c r="G245" i="7" s="1"/>
  <c r="C272" i="7"/>
  <c r="F272" i="7" s="1"/>
  <c r="G272" i="7" s="1"/>
  <c r="C307" i="7"/>
  <c r="F307" i="7" s="1"/>
  <c r="G307" i="7" s="1"/>
  <c r="C335" i="7"/>
  <c r="F335" i="7" s="1"/>
  <c r="G335" i="7" s="1"/>
  <c r="C360" i="7"/>
  <c r="F360" i="7" s="1"/>
  <c r="G360" i="7" s="1"/>
  <c r="C388" i="7"/>
  <c r="F388" i="7" s="1"/>
  <c r="G388" i="7" s="1"/>
  <c r="C412" i="7"/>
  <c r="F412" i="7" s="1"/>
  <c r="G412" i="7" s="1"/>
  <c r="C443" i="7"/>
  <c r="F443" i="7" s="1"/>
  <c r="G443" i="7" s="1"/>
  <c r="C471" i="7"/>
  <c r="F471" i="7" s="1"/>
  <c r="G471" i="7" s="1"/>
  <c r="C496" i="7"/>
  <c r="F496" i="7" s="1"/>
  <c r="G496" i="7" s="1"/>
  <c r="C523" i="7"/>
  <c r="F523" i="7" s="1"/>
  <c r="G523" i="7" s="1"/>
  <c r="B17" i="7"/>
  <c r="B48" i="7"/>
  <c r="B77" i="7"/>
  <c r="B101" i="7"/>
  <c r="B129" i="7"/>
  <c r="B154" i="7"/>
  <c r="B185" i="7"/>
  <c r="B212" i="7"/>
  <c r="B237" i="7"/>
  <c r="B265" i="7"/>
  <c r="B288" i="7"/>
  <c r="B319" i="7"/>
  <c r="B346" i="7"/>
  <c r="B369" i="7"/>
  <c r="B395" i="7"/>
  <c r="B417" i="7"/>
  <c r="B445" i="7"/>
  <c r="B472" i="7"/>
  <c r="B494" i="7"/>
  <c r="B520" i="7"/>
  <c r="E52" i="7"/>
  <c r="E128" i="7"/>
  <c r="E203" i="7"/>
  <c r="E288" i="7"/>
  <c r="E357" i="7"/>
  <c r="E423" i="7"/>
  <c r="E504" i="7"/>
  <c r="D34" i="7"/>
  <c r="D90" i="7"/>
  <c r="D153" i="7"/>
  <c r="D202" i="7"/>
  <c r="D253" i="7"/>
  <c r="D323" i="7"/>
  <c r="D375" i="7"/>
  <c r="D423" i="7"/>
  <c r="D478" i="7"/>
  <c r="D521" i="7"/>
  <c r="C25" i="7"/>
  <c r="F25" i="7" s="1"/>
  <c r="G25" i="7" s="1"/>
  <c r="C66" i="7"/>
  <c r="F66" i="7" s="1"/>
  <c r="G66" i="7" s="1"/>
  <c r="C102" i="7"/>
  <c r="F102" i="7" s="1"/>
  <c r="G102" i="7" s="1"/>
  <c r="C144" i="7"/>
  <c r="F144" i="7" s="1"/>
  <c r="G144" i="7" s="1"/>
  <c r="C179" i="7"/>
  <c r="F179" i="7" s="1"/>
  <c r="G179" i="7" s="1"/>
  <c r="C211" i="7"/>
  <c r="F211" i="7" s="1"/>
  <c r="G211" i="7" s="1"/>
  <c r="C247" i="7"/>
  <c r="F247" i="7" s="1"/>
  <c r="G247" i="7" s="1"/>
  <c r="C275" i="7"/>
  <c r="F275" i="7" s="1"/>
  <c r="G275" i="7" s="1"/>
  <c r="C309" i="7"/>
  <c r="F309" i="7" s="1"/>
  <c r="G309" i="7" s="1"/>
  <c r="C336" i="7"/>
  <c r="F336" i="7" s="1"/>
  <c r="G336" i="7" s="1"/>
  <c r="C361" i="7"/>
  <c r="F361" i="7" s="1"/>
  <c r="G361" i="7" s="1"/>
  <c r="C389" i="7"/>
  <c r="F389" i="7" s="1"/>
  <c r="G389" i="7" s="1"/>
  <c r="C413" i="7"/>
  <c r="F413" i="7" s="1"/>
  <c r="G413" i="7" s="1"/>
  <c r="C444" i="7"/>
  <c r="F444" i="7" s="1"/>
  <c r="G444" i="7" s="1"/>
  <c r="C472" i="7"/>
  <c r="F472" i="7" s="1"/>
  <c r="G472" i="7" s="1"/>
  <c r="C497" i="7"/>
  <c r="F497" i="7" s="1"/>
  <c r="G497" i="7" s="1"/>
  <c r="C525" i="7"/>
  <c r="F525" i="7" s="1"/>
  <c r="G525" i="7" s="1"/>
  <c r="B18" i="7"/>
  <c r="B49" i="7"/>
  <c r="B78" i="7"/>
  <c r="B102" i="7"/>
  <c r="B130" i="7"/>
  <c r="B155" i="7"/>
  <c r="B186" i="7"/>
  <c r="B214" i="7"/>
  <c r="B238" i="7"/>
  <c r="B266" i="7"/>
  <c r="B289" i="7"/>
  <c r="B320" i="7"/>
  <c r="B347" i="7"/>
  <c r="B370" i="7"/>
  <c r="B396" i="7"/>
  <c r="B418" i="7"/>
  <c r="B446" i="7"/>
  <c r="B473" i="7"/>
  <c r="B496" i="7"/>
  <c r="B521" i="7"/>
  <c r="E68" i="7"/>
  <c r="E129" i="7"/>
  <c r="E233" i="7"/>
  <c r="E290" i="7"/>
  <c r="E359" i="7"/>
  <c r="E447" i="7"/>
  <c r="E505" i="7"/>
  <c r="D36" i="7"/>
  <c r="D101" i="7"/>
  <c r="D157" i="7"/>
  <c r="D214" i="7"/>
  <c r="D274" i="7"/>
  <c r="D325" i="7"/>
  <c r="D385" i="7"/>
  <c r="D441" i="7"/>
  <c r="D480" i="7"/>
  <c r="D524" i="7"/>
  <c r="C29" i="7"/>
  <c r="F29" i="7" s="1"/>
  <c r="G29" i="7" s="1"/>
  <c r="C67" i="7"/>
  <c r="F67" i="7" s="1"/>
  <c r="G67" i="7" s="1"/>
  <c r="C109" i="7"/>
  <c r="F109" i="7" s="1"/>
  <c r="G109" i="7" s="1"/>
  <c r="C145" i="7"/>
  <c r="F145" i="7" s="1"/>
  <c r="G145" i="7" s="1"/>
  <c r="C183" i="7"/>
  <c r="F183" i="7" s="1"/>
  <c r="G183" i="7" s="1"/>
  <c r="C212" i="7"/>
  <c r="F212" i="7" s="1"/>
  <c r="G212" i="7" s="1"/>
  <c r="C250" i="7"/>
  <c r="F250" i="7" s="1"/>
  <c r="G250" i="7" s="1"/>
  <c r="C284" i="7"/>
  <c r="F284" i="7" s="1"/>
  <c r="G284" i="7" s="1"/>
  <c r="C311" i="7"/>
  <c r="F311" i="7" s="1"/>
  <c r="G311" i="7" s="1"/>
  <c r="C337" i="7"/>
  <c r="F337" i="7" s="1"/>
  <c r="G337" i="7" s="1"/>
  <c r="C362" i="7"/>
  <c r="F362" i="7" s="1"/>
  <c r="G362" i="7" s="1"/>
  <c r="C391" i="7"/>
  <c r="F391" i="7" s="1"/>
  <c r="G391" i="7" s="1"/>
  <c r="C422" i="7"/>
  <c r="F422" i="7" s="1"/>
  <c r="G422" i="7" s="1"/>
  <c r="C445" i="7"/>
  <c r="F445" i="7" s="1"/>
  <c r="G445" i="7" s="1"/>
  <c r="C475" i="7"/>
  <c r="F475" i="7" s="1"/>
  <c r="G475" i="7" s="1"/>
  <c r="C499" i="7"/>
  <c r="F499" i="7" s="1"/>
  <c r="G499" i="7" s="1"/>
  <c r="C528" i="7"/>
  <c r="F528" i="7" s="1"/>
  <c r="G528" i="7" s="1"/>
  <c r="B28" i="7"/>
  <c r="B52" i="7"/>
  <c r="B80" i="7"/>
  <c r="B103" i="7"/>
  <c r="B131" i="7"/>
  <c r="B162" i="7"/>
  <c r="B187" i="7"/>
  <c r="B215" i="7"/>
  <c r="B239" i="7"/>
  <c r="B268" i="7"/>
  <c r="B299" i="7"/>
  <c r="B324" i="7"/>
  <c r="B349" i="7"/>
  <c r="B371" i="7"/>
  <c r="B397" i="7"/>
  <c r="B426" i="7"/>
  <c r="B448" i="7"/>
  <c r="B474" i="7"/>
  <c r="B497" i="7"/>
  <c r="B523" i="7"/>
  <c r="E74" i="7"/>
  <c r="E235" i="7"/>
  <c r="E308" i="7"/>
  <c r="E365" i="7"/>
  <c r="E448" i="7"/>
  <c r="E521" i="7"/>
  <c r="D43" i="7"/>
  <c r="D102" i="7"/>
  <c r="D158" i="7"/>
  <c r="D218" i="7"/>
  <c r="D281" i="7"/>
  <c r="D327" i="7"/>
  <c r="D386" i="7"/>
  <c r="D443" i="7"/>
  <c r="D482" i="7"/>
  <c r="D525" i="7"/>
  <c r="C35" i="7"/>
  <c r="F35" i="7" s="1"/>
  <c r="G35" i="7" s="1"/>
  <c r="C68" i="7"/>
  <c r="F68" i="7" s="1"/>
  <c r="G68" i="7" s="1"/>
  <c r="C116" i="7"/>
  <c r="F116" i="7" s="1"/>
  <c r="G116" i="7" s="1"/>
  <c r="C146" i="7"/>
  <c r="F146" i="7" s="1"/>
  <c r="G146" i="7" s="1"/>
  <c r="C187" i="7"/>
  <c r="F187" i="7" s="1"/>
  <c r="G187" i="7" s="1"/>
  <c r="C223" i="7"/>
  <c r="F223" i="7" s="1"/>
  <c r="G223" i="7" s="1"/>
  <c r="C251" i="7"/>
  <c r="F251" i="7" s="1"/>
  <c r="G251" i="7" s="1"/>
  <c r="C285" i="7"/>
  <c r="F285" i="7" s="1"/>
  <c r="G285" i="7" s="1"/>
  <c r="C312" i="7"/>
  <c r="F312" i="7" s="1"/>
  <c r="G312" i="7" s="1"/>
  <c r="C340" i="7"/>
  <c r="F340" i="7" s="1"/>
  <c r="G340" i="7" s="1"/>
  <c r="C368" i="7"/>
  <c r="F368" i="7" s="1"/>
  <c r="G368" i="7" s="1"/>
  <c r="C392" i="7"/>
  <c r="F392" i="7" s="1"/>
  <c r="G392" i="7" s="1"/>
  <c r="C423" i="7"/>
  <c r="F423" i="7" s="1"/>
  <c r="G423" i="7" s="1"/>
  <c r="C446" i="7"/>
  <c r="F446" i="7" s="1"/>
  <c r="G446" i="7" s="1"/>
  <c r="C476" i="7"/>
  <c r="F476" i="7" s="1"/>
  <c r="G476" i="7" s="1"/>
  <c r="C504" i="7"/>
  <c r="F504" i="7" s="1"/>
  <c r="G504" i="7" s="1"/>
  <c r="C529" i="7"/>
  <c r="F529" i="7" s="1"/>
  <c r="G529" i="7" s="1"/>
  <c r="B29" i="7"/>
  <c r="B53" i="7"/>
  <c r="B81" i="7"/>
  <c r="B109" i="7"/>
  <c r="B132" i="7"/>
  <c r="B163" i="7"/>
  <c r="B188" i="7"/>
  <c r="B216" i="7"/>
  <c r="B246" i="7"/>
  <c r="B269" i="7"/>
  <c r="B300" i="7"/>
  <c r="B325" i="7"/>
  <c r="B352" i="7"/>
  <c r="B377" i="7"/>
  <c r="B398" i="7"/>
  <c r="B428" i="7"/>
  <c r="B449" i="7"/>
  <c r="B475" i="7"/>
  <c r="B501" i="7"/>
  <c r="B524" i="7"/>
  <c r="E75" i="7"/>
  <c r="E236" i="7"/>
  <c r="E312" i="7"/>
  <c r="E375" i="7"/>
  <c r="E457" i="7"/>
  <c r="E523" i="7"/>
  <c r="D45" i="7"/>
  <c r="D103" i="7"/>
  <c r="D163" i="7"/>
  <c r="D219" i="7"/>
  <c r="D282" i="7"/>
  <c r="D329" i="7"/>
  <c r="D389" i="7"/>
  <c r="D444" i="7"/>
  <c r="D492" i="7"/>
  <c r="D526" i="7"/>
  <c r="C36" i="7"/>
  <c r="F36" i="7" s="1"/>
  <c r="G36" i="7" s="1"/>
  <c r="C78" i="7"/>
  <c r="F78" i="7" s="1"/>
  <c r="G78" i="7" s="1"/>
  <c r="C118" i="7"/>
  <c r="F118" i="7" s="1"/>
  <c r="G118" i="7" s="1"/>
  <c r="E109" i="7"/>
  <c r="E171" i="7"/>
  <c r="E243" i="7"/>
  <c r="E345" i="7"/>
  <c r="E401" i="7"/>
  <c r="E469" i="7"/>
  <c r="D21" i="7"/>
  <c r="D69" i="7"/>
  <c r="D123" i="7"/>
  <c r="D190" i="7"/>
  <c r="D247" i="7"/>
  <c r="D291" i="7"/>
  <c r="D361" i="7"/>
  <c r="D414" i="7"/>
  <c r="D455" i="7"/>
  <c r="D503" i="7"/>
  <c r="C14" i="7"/>
  <c r="F14" i="7" s="1"/>
  <c r="G14" i="7" s="1"/>
  <c r="C50" i="7"/>
  <c r="F50" i="7" s="1"/>
  <c r="G50" i="7" s="1"/>
  <c r="C90" i="7"/>
  <c r="F90" i="7" s="1"/>
  <c r="G90" i="7" s="1"/>
  <c r="C125" i="7"/>
  <c r="F125" i="7" s="1"/>
  <c r="G125" i="7" s="1"/>
  <c r="C162" i="7"/>
  <c r="F162" i="7" s="1"/>
  <c r="G162" i="7" s="1"/>
  <c r="C204" i="7"/>
  <c r="F204" i="7" s="1"/>
  <c r="G204" i="7" s="1"/>
  <c r="C235" i="7"/>
  <c r="F235" i="7" s="1"/>
  <c r="G235" i="7" s="1"/>
  <c r="C267" i="7"/>
  <c r="F267" i="7" s="1"/>
  <c r="G267" i="7" s="1"/>
  <c r="C294" i="7"/>
  <c r="F294" i="7" s="1"/>
  <c r="G294" i="7" s="1"/>
  <c r="C322" i="7"/>
  <c r="F322" i="7" s="1"/>
  <c r="G322" i="7" s="1"/>
  <c r="C353" i="7"/>
  <c r="F353" i="7" s="1"/>
  <c r="G353" i="7" s="1"/>
  <c r="C377" i="7"/>
  <c r="F377" i="7" s="1"/>
  <c r="G377" i="7" s="1"/>
  <c r="C406" i="7"/>
  <c r="F406" i="7" s="1"/>
  <c r="G406" i="7" s="1"/>
  <c r="C430" i="7"/>
  <c r="F430" i="7" s="1"/>
  <c r="G430" i="7" s="1"/>
  <c r="C458" i="7"/>
  <c r="F458" i="7" s="1"/>
  <c r="G458" i="7" s="1"/>
  <c r="C490" i="7"/>
  <c r="F490" i="7" s="1"/>
  <c r="G490" i="7" s="1"/>
  <c r="C515" i="7"/>
  <c r="F515" i="7" s="1"/>
  <c r="G515" i="7" s="1"/>
  <c r="B12" i="7"/>
  <c r="B35" i="7"/>
  <c r="B64" i="7"/>
  <c r="B95" i="7"/>
  <c r="B118" i="7"/>
  <c r="B146" i="7"/>
  <c r="B172" i="7"/>
  <c r="B200" i="7"/>
  <c r="B232" i="7"/>
  <c r="B254" i="7"/>
  <c r="B284" i="7"/>
  <c r="B308" i="7"/>
  <c r="B334" i="7"/>
  <c r="B364" i="7"/>
  <c r="B385" i="7"/>
  <c r="B412" i="7"/>
  <c r="B433" i="7"/>
  <c r="B460" i="7"/>
  <c r="B488" i="7"/>
  <c r="B511" i="7"/>
  <c r="E24" i="7"/>
  <c r="E110" i="7"/>
  <c r="E187" i="7"/>
  <c r="E254" i="7"/>
  <c r="E348" i="7"/>
  <c r="E413" i="7"/>
  <c r="E470" i="7"/>
  <c r="D23" i="7"/>
  <c r="D70" i="7"/>
  <c r="D127" i="7"/>
  <c r="D191" i="7"/>
  <c r="D249" i="7"/>
  <c r="D294" i="7"/>
  <c r="D362" i="7"/>
  <c r="D415" i="7"/>
  <c r="D463" i="7"/>
  <c r="D504" i="7"/>
  <c r="C15" i="7"/>
  <c r="F15" i="7" s="1"/>
  <c r="G15" i="7" s="1"/>
  <c r="C51" i="7"/>
  <c r="F51" i="7" s="1"/>
  <c r="G51" i="7" s="1"/>
  <c r="C91" i="7"/>
  <c r="F91" i="7" s="1"/>
  <c r="G91" i="7" s="1"/>
  <c r="C133" i="7"/>
  <c r="F133" i="7" s="1"/>
  <c r="G133" i="7" s="1"/>
  <c r="C163" i="7"/>
  <c r="F163" i="7" s="1"/>
  <c r="G163" i="7" s="1"/>
  <c r="C205" i="7"/>
  <c r="F205" i="7" s="1"/>
  <c r="G205" i="7" s="1"/>
  <c r="C236" i="7"/>
  <c r="F236" i="7" s="1"/>
  <c r="G236" i="7" s="1"/>
  <c r="C269" i="7"/>
  <c r="F269" i="7" s="1"/>
  <c r="G269" i="7" s="1"/>
  <c r="C299" i="7"/>
  <c r="F299" i="7" s="1"/>
  <c r="G299" i="7" s="1"/>
  <c r="C325" i="7"/>
  <c r="F325" i="7" s="1"/>
  <c r="G325" i="7" s="1"/>
  <c r="C357" i="7"/>
  <c r="F357" i="7" s="1"/>
  <c r="G357" i="7" s="1"/>
  <c r="C379" i="7"/>
  <c r="F379" i="7" s="1"/>
  <c r="G379" i="7" s="1"/>
  <c r="C407" i="7"/>
  <c r="F407" i="7" s="1"/>
  <c r="G407" i="7" s="1"/>
  <c r="C436" i="7"/>
  <c r="F436" i="7" s="1"/>
  <c r="G436" i="7" s="1"/>
  <c r="C459" i="7"/>
  <c r="F459" i="7" s="1"/>
  <c r="G459" i="7" s="1"/>
  <c r="C491" i="7"/>
  <c r="F491" i="7" s="1"/>
  <c r="G491" i="7" s="1"/>
  <c r="C516" i="7"/>
  <c r="F516" i="7" s="1"/>
  <c r="G516" i="7" s="1"/>
  <c r="B13" i="7"/>
  <c r="B41" i="7"/>
  <c r="B66" i="7"/>
  <c r="B96" i="7"/>
  <c r="B120" i="7"/>
  <c r="B148" i="7"/>
  <c r="B176" i="7"/>
  <c r="B201" i="7"/>
  <c r="B233" i="7"/>
  <c r="B256" i="7"/>
  <c r="B285" i="7"/>
  <c r="B313" i="7"/>
  <c r="B337" i="7"/>
  <c r="B366" i="7"/>
  <c r="B386" i="7"/>
  <c r="B413" i="7"/>
  <c r="B439" i="7"/>
  <c r="B461" i="7"/>
  <c r="B489" i="7"/>
  <c r="B512" i="7"/>
  <c r="E127" i="7"/>
  <c r="E131" i="7"/>
  <c r="B458" i="7"/>
  <c r="B305" i="7"/>
  <c r="B145" i="7"/>
  <c r="C514" i="7"/>
  <c r="F514" i="7" s="1"/>
  <c r="G514" i="7" s="1"/>
  <c r="C346" i="7"/>
  <c r="F346" i="7" s="1"/>
  <c r="G346" i="7" s="1"/>
  <c r="C161" i="7"/>
  <c r="F161" i="7" s="1"/>
  <c r="G161" i="7" s="1"/>
  <c r="D405" i="7"/>
  <c r="E458" i="7"/>
  <c r="B534" i="7"/>
  <c r="B383" i="7"/>
  <c r="B221" i="7"/>
  <c r="B61" i="7"/>
  <c r="C428" i="7"/>
  <c r="F428" i="7" s="1"/>
  <c r="G428" i="7" s="1"/>
  <c r="C345" i="7"/>
  <c r="F345" i="7" s="1"/>
  <c r="G345" i="7" s="1"/>
  <c r="C159" i="7"/>
  <c r="F159" i="7" s="1"/>
  <c r="G159" i="7" s="1"/>
  <c r="D346" i="7"/>
  <c r="D122" i="7"/>
  <c r="E393" i="7"/>
  <c r="B533" i="7"/>
  <c r="B456" i="7"/>
  <c r="B380" i="7"/>
  <c r="B302" i="7"/>
  <c r="B220" i="7"/>
  <c r="B143" i="7"/>
  <c r="B59" i="7"/>
  <c r="C506" i="7"/>
  <c r="F506" i="7" s="1"/>
  <c r="G506" i="7" s="1"/>
  <c r="C427" i="7"/>
  <c r="F427" i="7" s="1"/>
  <c r="G427" i="7" s="1"/>
  <c r="C344" i="7"/>
  <c r="F344" i="7" s="1"/>
  <c r="G344" i="7" s="1"/>
  <c r="C262" i="7"/>
  <c r="F262" i="7" s="1"/>
  <c r="G262" i="7" s="1"/>
  <c r="C157" i="7"/>
  <c r="F157" i="7" s="1"/>
  <c r="G157" i="7" s="1"/>
  <c r="D528" i="7"/>
  <c r="D345" i="7"/>
  <c r="D121" i="7"/>
  <c r="E392" i="7"/>
  <c r="E97" i="7"/>
  <c r="B509" i="7"/>
  <c r="B431" i="7"/>
  <c r="B355" i="7"/>
  <c r="B281" i="7"/>
  <c r="B197" i="7"/>
  <c r="B116" i="7"/>
  <c r="B32" i="7"/>
  <c r="C480" i="7"/>
  <c r="F480" i="7" s="1"/>
  <c r="G480" i="7" s="1"/>
  <c r="C404" i="7"/>
  <c r="F404" i="7" s="1"/>
  <c r="G404" i="7" s="1"/>
  <c r="C320" i="7"/>
  <c r="F320" i="7" s="1"/>
  <c r="G320" i="7" s="1"/>
  <c r="C229" i="7"/>
  <c r="F229" i="7" s="1"/>
  <c r="G229" i="7" s="1"/>
  <c r="C120" i="7"/>
  <c r="F120" i="7" s="1"/>
  <c r="G120" i="7" s="1"/>
  <c r="D497" i="7"/>
  <c r="D288" i="7"/>
  <c r="D65" i="7"/>
  <c r="E315" i="7"/>
  <c r="B503" i="7"/>
  <c r="B430" i="7"/>
  <c r="B354" i="7"/>
  <c r="B280" i="7"/>
  <c r="B196" i="7"/>
  <c r="B112" i="7"/>
  <c r="B31" i="7"/>
  <c r="C478" i="7"/>
  <c r="F478" i="7" s="1"/>
  <c r="G478" i="7" s="1"/>
  <c r="C403" i="7"/>
  <c r="F403" i="7" s="1"/>
  <c r="G403" i="7" s="1"/>
  <c r="C319" i="7"/>
  <c r="F319" i="7" s="1"/>
  <c r="G319" i="7" s="1"/>
  <c r="C225" i="7"/>
  <c r="F225" i="7" s="1"/>
  <c r="G225" i="7" s="1"/>
  <c r="C119" i="7"/>
  <c r="F119" i="7" s="1"/>
  <c r="G119" i="7" s="1"/>
  <c r="D495" i="7"/>
  <c r="D287" i="7"/>
  <c r="D61" i="7"/>
  <c r="E314" i="7"/>
  <c r="B502" i="7"/>
  <c r="B429" i="7"/>
  <c r="B353" i="7"/>
  <c r="B273" i="7"/>
  <c r="B194" i="7"/>
  <c r="B110" i="7"/>
  <c r="B30" i="7"/>
  <c r="C477" i="7"/>
  <c r="F477" i="7" s="1"/>
  <c r="G477" i="7" s="1"/>
  <c r="C397" i="7"/>
  <c r="F397" i="7" s="1"/>
  <c r="G397" i="7" s="1"/>
  <c r="C317" i="7"/>
  <c r="F317" i="7" s="1"/>
  <c r="G317" i="7" s="1"/>
  <c r="C224" i="7"/>
  <c r="F224" i="7" s="1"/>
  <c r="G224" i="7" s="1"/>
  <c r="C87" i="7"/>
  <c r="F87" i="7" s="1"/>
  <c r="G87" i="7" s="1"/>
  <c r="D454" i="7"/>
  <c r="D238" i="7"/>
  <c r="E532" i="7"/>
  <c r="E241" i="7"/>
  <c r="B481" i="7"/>
  <c r="B410" i="7"/>
  <c r="B333" i="7"/>
  <c r="B253" i="7"/>
  <c r="B170" i="7"/>
  <c r="B85" i="7"/>
  <c r="B10" i="7"/>
  <c r="C457" i="7"/>
  <c r="F457" i="7" s="1"/>
  <c r="G457" i="7" s="1"/>
  <c r="C376" i="7"/>
  <c r="F376" i="7" s="1"/>
  <c r="G376" i="7" s="1"/>
  <c r="C291" i="7"/>
  <c r="F291" i="7" s="1"/>
  <c r="G291" i="7" s="1"/>
  <c r="C191" i="7"/>
  <c r="F191" i="7" s="1"/>
  <c r="G191" i="7" s="1"/>
  <c r="C86" i="7"/>
  <c r="F86" i="7" s="1"/>
  <c r="G86" i="7" s="1"/>
  <c r="D447" i="7"/>
  <c r="D229" i="7"/>
  <c r="E531" i="7"/>
  <c r="E240" i="7"/>
  <c r="B480" i="7"/>
  <c r="B409" i="7"/>
  <c r="B332" i="7"/>
  <c r="B252" i="7"/>
  <c r="B169" i="7"/>
  <c r="B84" i="7"/>
  <c r="B9" i="7"/>
  <c r="C456" i="7"/>
  <c r="F456" i="7" s="1"/>
  <c r="G456" i="7" s="1"/>
  <c r="C375" i="7"/>
  <c r="F375" i="7" s="1"/>
  <c r="G375" i="7" s="1"/>
  <c r="C289" i="7"/>
  <c r="F289" i="7" s="1"/>
  <c r="G289" i="7" s="1"/>
  <c r="C190" i="7"/>
  <c r="F190" i="7" s="1"/>
  <c r="G190" i="7" s="1"/>
  <c r="C83" i="7"/>
  <c r="F83" i="7" s="1"/>
  <c r="G83" i="7" s="1"/>
  <c r="D445" i="7"/>
  <c r="D227" i="7"/>
  <c r="E527" i="7"/>
  <c r="E239" i="7"/>
  <c r="B477" i="7"/>
  <c r="B408" i="7"/>
  <c r="B331" i="7"/>
  <c r="B248" i="7"/>
  <c r="B168" i="7"/>
  <c r="B83" i="7"/>
  <c r="B6" i="7"/>
  <c r="C455" i="7"/>
  <c r="F455" i="7" s="1"/>
  <c r="G455" i="7" s="1"/>
  <c r="C372" i="7"/>
  <c r="F372" i="7" s="1"/>
  <c r="G372" i="7" s="1"/>
  <c r="C287" i="7"/>
  <c r="F287" i="7" s="1"/>
  <c r="G287" i="7" s="1"/>
  <c r="C189" i="7"/>
  <c r="F189" i="7" s="1"/>
  <c r="G189" i="7" s="1"/>
  <c r="C47" i="7"/>
  <c r="F47" i="7" s="1"/>
  <c r="G47" i="7" s="1"/>
  <c r="D411" i="7"/>
  <c r="D170" i="7"/>
  <c r="E465" i="7"/>
  <c r="E170" i="7"/>
  <c r="B476" i="7"/>
  <c r="B403" i="7"/>
  <c r="B330" i="7"/>
  <c r="B247" i="7"/>
  <c r="B166" i="7"/>
  <c r="B82" i="7"/>
  <c r="C532" i="7"/>
  <c r="F532" i="7" s="1"/>
  <c r="G532" i="7" s="1"/>
  <c r="C454" i="7"/>
  <c r="F454" i="7" s="1"/>
  <c r="G454" i="7" s="1"/>
  <c r="C370" i="7"/>
  <c r="F370" i="7" s="1"/>
  <c r="G370" i="7" s="1"/>
  <c r="C286" i="7"/>
  <c r="F286" i="7" s="1"/>
  <c r="G286" i="7" s="1"/>
  <c r="C188" i="7"/>
  <c r="F188" i="7" s="1"/>
  <c r="G188" i="7" s="1"/>
  <c r="C46" i="7"/>
  <c r="F46" i="7" s="1"/>
  <c r="G46" i="7" s="1"/>
  <c r="D408" i="7"/>
  <c r="D169" i="7"/>
  <c r="E459" i="7"/>
  <c r="E167" i="7"/>
  <c r="B384" i="7"/>
  <c r="B223" i="7"/>
  <c r="B62" i="7"/>
  <c r="C429" i="7"/>
  <c r="F429" i="7" s="1"/>
  <c r="G429" i="7" s="1"/>
  <c r="C265" i="7"/>
  <c r="F265" i="7" s="1"/>
  <c r="G265" i="7" s="1"/>
  <c r="C41" i="7"/>
  <c r="F41" i="7" s="1"/>
  <c r="G41" i="7" s="1"/>
  <c r="D165" i="7"/>
  <c r="E164" i="7"/>
  <c r="B457" i="7"/>
  <c r="B304" i="7"/>
  <c r="B144" i="7"/>
  <c r="C512" i="7"/>
  <c r="F512" i="7" s="1"/>
  <c r="G512" i="7" s="1"/>
  <c r="C264" i="7"/>
  <c r="F264" i="7" s="1"/>
  <c r="G264" i="7" s="1"/>
  <c r="E149" i="7"/>
  <c r="B527" i="7"/>
  <c r="B455" i="7"/>
  <c r="B378" i="7"/>
  <c r="B301" i="7"/>
  <c r="B218" i="7"/>
  <c r="B138" i="7"/>
  <c r="B58" i="7"/>
  <c r="C505" i="7"/>
  <c r="F505" i="7" s="1"/>
  <c r="G505" i="7" s="1"/>
  <c r="C425" i="7"/>
  <c r="F425" i="7" s="1"/>
  <c r="G425" i="7" s="1"/>
  <c r="C341" i="7"/>
  <c r="F341" i="7" s="1"/>
  <c r="G341" i="7" s="1"/>
  <c r="C255" i="7"/>
  <c r="F255" i="7" s="1"/>
  <c r="G255" i="7" s="1"/>
  <c r="C155" i="7"/>
  <c r="F155" i="7" s="1"/>
  <c r="G155" i="7" s="1"/>
  <c r="D527" i="7"/>
  <c r="D343" i="7"/>
  <c r="D119" i="7"/>
  <c r="E391" i="7"/>
  <c r="E84" i="7"/>
  <c r="B510" i="7"/>
  <c r="B432" i="7"/>
  <c r="B356" i="7"/>
  <c r="B282" i="7"/>
  <c r="B199" i="7"/>
  <c r="B117" i="7"/>
  <c r="B33" i="7"/>
  <c r="C482" i="7"/>
  <c r="F482" i="7" s="1"/>
  <c r="G482" i="7" s="1"/>
  <c r="C405" i="7"/>
  <c r="F405" i="7" s="1"/>
  <c r="G405" i="7" s="1"/>
  <c r="C321" i="7"/>
  <c r="F321" i="7" s="1"/>
  <c r="G321" i="7" s="1"/>
  <c r="C230" i="7"/>
  <c r="F230" i="7" s="1"/>
  <c r="G230" i="7" s="1"/>
  <c r="C122" i="7"/>
  <c r="F122" i="7" s="1"/>
  <c r="G122" i="7" s="1"/>
  <c r="D500" i="7"/>
  <c r="D289" i="7"/>
  <c r="D66" i="7"/>
  <c r="E319" i="7"/>
  <c r="E76" i="7"/>
  <c r="E5" i="7" l="1"/>
  <c r="B5" i="7"/>
  <c r="D5" i="7"/>
  <c r="D3" i="7" l="1"/>
  <c r="H5" i="7" s="1"/>
  <c r="E3" i="7"/>
  <c r="I236" i="7" l="1"/>
  <c r="I164" i="7"/>
  <c r="I16" i="7"/>
  <c r="I189" i="7"/>
  <c r="I533" i="7"/>
  <c r="I75" i="7"/>
  <c r="I376" i="7"/>
  <c r="I307" i="7"/>
  <c r="I425" i="7"/>
  <c r="I240" i="7"/>
  <c r="I421" i="7"/>
  <c r="I239" i="7"/>
  <c r="I371" i="7"/>
  <c r="I59" i="7"/>
  <c r="I132" i="7"/>
  <c r="I262" i="7"/>
  <c r="I205" i="7"/>
  <c r="I291" i="7"/>
  <c r="I323" i="7"/>
  <c r="I100" i="7"/>
  <c r="I238" i="7"/>
  <c r="I119" i="7"/>
  <c r="I90" i="7"/>
  <c r="I325" i="7"/>
  <c r="I222" i="7"/>
  <c r="I112" i="7"/>
  <c r="I530" i="7"/>
  <c r="I39" i="7"/>
  <c r="I50" i="7"/>
  <c r="I354" i="7"/>
  <c r="I176" i="7"/>
  <c r="I190" i="7"/>
  <c r="I513" i="7"/>
  <c r="I268" i="7"/>
  <c r="I186" i="7"/>
  <c r="I123" i="7"/>
  <c r="I49" i="7"/>
  <c r="I206" i="7"/>
  <c r="I13" i="7"/>
  <c r="I297" i="7"/>
  <c r="I191" i="7"/>
  <c r="I10" i="7"/>
  <c r="I77" i="7"/>
  <c r="I496" i="7"/>
  <c r="I520" i="7"/>
  <c r="I149" i="7"/>
  <c r="I127" i="7"/>
  <c r="I271" i="7"/>
  <c r="I200" i="7"/>
  <c r="I405" i="7"/>
  <c r="I314" i="7"/>
  <c r="I199" i="7"/>
  <c r="I129" i="7"/>
  <c r="I448" i="7"/>
  <c r="I235" i="7"/>
  <c r="I434" i="7"/>
  <c r="I88" i="7"/>
  <c r="I12" i="7"/>
  <c r="I468" i="7"/>
  <c r="I92" i="7"/>
  <c r="I107" i="7"/>
  <c r="I108" i="7"/>
  <c r="I402" i="7"/>
  <c r="I283" i="7"/>
  <c r="I501" i="7"/>
  <c r="I439" i="7"/>
  <c r="I429" i="7"/>
  <c r="I303" i="7"/>
  <c r="I85" i="7"/>
  <c r="I226" i="7"/>
  <c r="I509" i="7"/>
  <c r="I257" i="7"/>
  <c r="I358" i="7"/>
  <c r="I177" i="7"/>
  <c r="I431" i="7"/>
  <c r="I490" i="7"/>
  <c r="I292" i="7"/>
  <c r="I87" i="7"/>
  <c r="I512" i="7"/>
  <c r="I228" i="7"/>
  <c r="I381" i="7"/>
  <c r="I455" i="7"/>
  <c r="I23" i="7"/>
  <c r="I322" i="7"/>
  <c r="I217" i="7"/>
  <c r="I33" i="7"/>
  <c r="I204" i="7"/>
  <c r="I192" i="7"/>
  <c r="I7" i="7"/>
  <c r="I318" i="7"/>
  <c r="I331" i="7"/>
  <c r="I451" i="7"/>
  <c r="I380" i="7"/>
  <c r="I165" i="7"/>
  <c r="I450" i="7"/>
  <c r="I302" i="7"/>
  <c r="I436" i="7"/>
  <c r="I150" i="7"/>
  <c r="I407" i="7"/>
  <c r="I347" i="7"/>
  <c r="I136" i="7"/>
  <c r="I290" i="7"/>
  <c r="I84" i="7"/>
  <c r="I375" i="7"/>
  <c r="I481" i="7"/>
  <c r="I350" i="7"/>
  <c r="I485" i="7"/>
  <c r="I459" i="7"/>
  <c r="I134" i="7"/>
  <c r="I247" i="7"/>
  <c r="I116" i="7"/>
  <c r="I263" i="7"/>
  <c r="I71" i="7"/>
  <c r="I526" i="7"/>
  <c r="I424" i="7"/>
  <c r="I378" i="7"/>
  <c r="I305" i="7"/>
  <c r="I202" i="7"/>
  <c r="I133" i="7"/>
  <c r="I364" i="7"/>
  <c r="I342" i="7"/>
  <c r="I225" i="7"/>
  <c r="I466" i="7"/>
  <c r="I168" i="7"/>
  <c r="I435" i="7"/>
  <c r="I525" i="7"/>
  <c r="I462" i="7"/>
  <c r="I471" i="7"/>
  <c r="I338" i="7"/>
  <c r="I162" i="7"/>
  <c r="I111" i="7"/>
  <c r="I172" i="7"/>
  <c r="I324" i="7"/>
  <c r="I294" i="7"/>
  <c r="I277" i="7"/>
  <c r="I336" i="7"/>
  <c r="I274" i="7"/>
  <c r="I312" i="7"/>
  <c r="I422" i="7"/>
  <c r="I104" i="7"/>
  <c r="I465" i="7"/>
  <c r="I19" i="7"/>
  <c r="I365" i="7"/>
  <c r="I531" i="7"/>
  <c r="I260" i="7"/>
  <c r="I74" i="7"/>
  <c r="I361" i="7"/>
  <c r="I382" i="7"/>
  <c r="I255" i="7"/>
  <c r="I161" i="7"/>
  <c r="I252" i="7"/>
  <c r="I234" i="7"/>
  <c r="I276" i="7"/>
  <c r="I285" i="7"/>
  <c r="I440" i="7"/>
  <c r="I81" i="7"/>
  <c r="I242" i="7"/>
  <c r="I58" i="7"/>
  <c r="I95" i="7"/>
  <c r="I208" i="7"/>
  <c r="I198" i="7"/>
  <c r="I492" i="7"/>
  <c r="I399" i="7"/>
  <c r="I178" i="7"/>
  <c r="I506" i="7"/>
  <c r="I212" i="7"/>
  <c r="I352" i="7"/>
  <c r="I174" i="7"/>
  <c r="I15" i="7"/>
  <c r="I18" i="7"/>
  <c r="I151" i="7"/>
  <c r="I6" i="7"/>
  <c r="I147" i="7"/>
  <c r="I130" i="7"/>
  <c r="I500" i="7"/>
  <c r="I171" i="7"/>
  <c r="I392" i="7"/>
  <c r="I105" i="7"/>
  <c r="I532" i="7"/>
  <c r="I233" i="7"/>
  <c r="I335" i="7"/>
  <c r="I288" i="7"/>
  <c r="I41" i="7"/>
  <c r="I505" i="7"/>
  <c r="I507" i="7"/>
  <c r="I360" i="7"/>
  <c r="I146" i="7"/>
  <c r="I353" i="7"/>
  <c r="I348" i="7"/>
  <c r="I207" i="7"/>
  <c r="I494" i="7"/>
  <c r="I521" i="7"/>
  <c r="I218" i="7"/>
  <c r="I504" i="7"/>
  <c r="I221" i="7"/>
  <c r="I68" i="7"/>
  <c r="I333" i="7"/>
  <c r="I386" i="7"/>
  <c r="I299" i="7"/>
  <c r="I362" i="7"/>
  <c r="I17" i="7"/>
  <c r="I452" i="7"/>
  <c r="I93" i="7"/>
  <c r="I102" i="7"/>
  <c r="I169" i="7"/>
  <c r="I273" i="7"/>
  <c r="I293" i="7"/>
  <c r="I502" i="7"/>
  <c r="I449" i="7"/>
  <c r="I227" i="7"/>
  <c r="I46" i="7"/>
  <c r="I101" i="7"/>
  <c r="I72" i="7"/>
  <c r="I194" i="7"/>
  <c r="I42" i="7"/>
  <c r="I356" i="7"/>
  <c r="I249" i="7"/>
  <c r="I384" i="7"/>
  <c r="I166" i="7"/>
  <c r="I8" i="7"/>
  <c r="I179" i="7"/>
  <c r="I163" i="7"/>
  <c r="I369" i="7"/>
  <c r="I141" i="7"/>
  <c r="I138" i="7"/>
  <c r="I22" i="7"/>
  <c r="I139" i="7"/>
  <c r="I515" i="7"/>
  <c r="I254" i="7"/>
  <c r="I76" i="7"/>
  <c r="I345" i="7"/>
  <c r="I389" i="7"/>
  <c r="I131" i="7"/>
  <c r="I388" i="7"/>
  <c r="I14" i="7"/>
  <c r="I113" i="7"/>
  <c r="I406" i="7"/>
  <c r="I311" i="7"/>
  <c r="I379" i="7"/>
  <c r="I394" i="7"/>
  <c r="I184" i="7"/>
  <c r="I296" i="7"/>
  <c r="I27" i="7"/>
  <c r="I214" i="7"/>
  <c r="I153" i="7"/>
  <c r="I244" i="7"/>
  <c r="I219" i="7"/>
  <c r="I472" i="7"/>
  <c r="I38" i="7"/>
  <c r="I495" i="7"/>
  <c r="I416" i="7"/>
  <c r="I21" i="7"/>
  <c r="I26" i="7"/>
  <c r="I195" i="7"/>
  <c r="I203" i="7"/>
  <c r="I181" i="7"/>
  <c r="I45" i="7"/>
  <c r="I357" i="7"/>
  <c r="I185" i="7"/>
  <c r="I304" i="7"/>
  <c r="I80" i="7"/>
  <c r="I522" i="7"/>
  <c r="I272" i="7"/>
  <c r="I346" i="7"/>
  <c r="I148" i="7"/>
  <c r="I444" i="7"/>
  <c r="I417" i="7"/>
  <c r="I306" i="7"/>
  <c r="I397" i="7"/>
  <c r="I438" i="7"/>
  <c r="I193" i="7"/>
  <c r="I418" i="7"/>
  <c r="I401" i="7"/>
  <c r="I265" i="7"/>
  <c r="I457" i="7"/>
  <c r="I65" i="7"/>
  <c r="I157" i="7"/>
  <c r="I423" i="7"/>
  <c r="I315" i="7"/>
  <c r="I412" i="7"/>
  <c r="I400" i="7"/>
  <c r="I508" i="7"/>
  <c r="I118" i="7"/>
  <c r="I156" i="7"/>
  <c r="I493" i="7"/>
  <c r="I250" i="7"/>
  <c r="I89" i="7"/>
  <c r="I404" i="7"/>
  <c r="I301" i="7"/>
  <c r="I529" i="7"/>
  <c r="I464" i="7"/>
  <c r="I99" i="7"/>
  <c r="I446" i="7"/>
  <c r="I70" i="7"/>
  <c r="I201" i="7"/>
  <c r="I248" i="7"/>
  <c r="I83" i="7"/>
  <c r="I209" i="7"/>
  <c r="I373" i="7"/>
  <c r="I463" i="7"/>
  <c r="I40" i="7"/>
  <c r="I419" i="7"/>
  <c r="I447" i="7"/>
  <c r="I479" i="7"/>
  <c r="I480" i="7"/>
  <c r="I110" i="7"/>
  <c r="I37" i="7"/>
  <c r="I269" i="7"/>
  <c r="I319" i="7"/>
  <c r="I128" i="7"/>
  <c r="I109" i="7"/>
  <c r="I173" i="7"/>
  <c r="I320" i="7"/>
  <c r="I220" i="7"/>
  <c r="I106" i="7"/>
  <c r="I339" i="7"/>
  <c r="I144" i="7"/>
  <c r="I69" i="7"/>
  <c r="I25" i="7"/>
  <c r="I486" i="7"/>
  <c r="I497" i="7"/>
  <c r="I488" i="7"/>
  <c r="I125" i="7"/>
  <c r="I143" i="7"/>
  <c r="I511" i="7"/>
  <c r="I437" i="7"/>
  <c r="I524" i="7"/>
  <c r="I241" i="7"/>
  <c r="I300" i="7"/>
  <c r="I124" i="7"/>
  <c r="I246" i="7"/>
  <c r="I343" i="7"/>
  <c r="I82" i="7"/>
  <c r="I115" i="7"/>
  <c r="I223" i="7"/>
  <c r="I415" i="7"/>
  <c r="I330" i="7"/>
  <c r="I473" i="7"/>
  <c r="I310" i="7"/>
  <c r="I231" i="7"/>
  <c r="I154" i="7"/>
  <c r="I213" i="7"/>
  <c r="I142" i="7"/>
  <c r="I97" i="7"/>
  <c r="I187" i="7"/>
  <c r="I355" i="7"/>
  <c r="I517" i="7"/>
  <c r="I477" i="7"/>
  <c r="I484" i="7"/>
  <c r="I61" i="7"/>
  <c r="I510" i="7"/>
  <c r="I36" i="7"/>
  <c r="I385" i="7"/>
  <c r="I211" i="7"/>
  <c r="I55" i="7"/>
  <c r="I30" i="7"/>
  <c r="I470" i="7"/>
  <c r="I391" i="7"/>
  <c r="I483" i="7"/>
  <c r="I295" i="7"/>
  <c r="I32" i="7"/>
  <c r="I453" i="7"/>
  <c r="I197" i="7"/>
  <c r="I289" i="7"/>
  <c r="I224" i="7"/>
  <c r="I278" i="7"/>
  <c r="I366" i="7"/>
  <c r="I491" i="7"/>
  <c r="I519" i="7"/>
  <c r="I60" i="7"/>
  <c r="I427" i="7"/>
  <c r="I175" i="7"/>
  <c r="I441" i="7"/>
  <c r="I363" i="7"/>
  <c r="I377" i="7"/>
  <c r="I349" i="7"/>
  <c r="I458" i="7"/>
  <c r="I281" i="7"/>
  <c r="I35" i="7"/>
  <c r="I383" i="7"/>
  <c r="I122" i="7"/>
  <c r="I280" i="7"/>
  <c r="I256" i="7"/>
  <c r="I73" i="7"/>
  <c r="I216" i="7"/>
  <c r="I78" i="7"/>
  <c r="I267" i="7"/>
  <c r="I251" i="7"/>
  <c r="I516" i="7"/>
  <c r="I460" i="7"/>
  <c r="I398" i="7"/>
  <c r="I243" i="7"/>
  <c r="I96" i="7"/>
  <c r="I158" i="7"/>
  <c r="I103" i="7"/>
  <c r="I155" i="7"/>
  <c r="I523" i="7"/>
  <c r="I167" i="7"/>
  <c r="I135" i="7"/>
  <c r="I117" i="7"/>
  <c r="I408" i="7"/>
  <c r="I121" i="7"/>
  <c r="I275" i="7"/>
  <c r="I409" i="7"/>
  <c r="I31" i="7"/>
  <c r="I445" i="7"/>
  <c r="I140" i="7"/>
  <c r="I245" i="7"/>
  <c r="I24" i="7"/>
  <c r="I279" i="7"/>
  <c r="I476" i="7"/>
  <c r="I467" i="7"/>
  <c r="I43" i="7"/>
  <c r="I498" i="7"/>
  <c r="I287" i="7"/>
  <c r="I196" i="7"/>
  <c r="I47" i="7"/>
  <c r="I395" i="7"/>
  <c r="I182" i="7"/>
  <c r="I91" i="7"/>
  <c r="I326" i="7"/>
  <c r="I469" i="7"/>
  <c r="I321" i="7"/>
  <c r="I432" i="7"/>
  <c r="I499" i="7"/>
  <c r="I328" i="7"/>
  <c r="I188" i="7"/>
  <c r="I261" i="7"/>
  <c r="I210" i="7"/>
  <c r="I62" i="7"/>
  <c r="I478" i="7"/>
  <c r="I67" i="7"/>
  <c r="I426" i="7"/>
  <c r="I337" i="7"/>
  <c r="I284" i="7"/>
  <c r="I344" i="7"/>
  <c r="I152" i="7"/>
  <c r="I52" i="7"/>
  <c r="I229" i="7"/>
  <c r="I9" i="7"/>
  <c r="I266" i="7"/>
  <c r="I489" i="7"/>
  <c r="I461" i="7"/>
  <c r="I232" i="7"/>
  <c r="I56" i="7"/>
  <c r="I66" i="7"/>
  <c r="I334" i="7"/>
  <c r="I340" i="7"/>
  <c r="I367" i="7"/>
  <c r="I308" i="7"/>
  <c r="I11" i="7"/>
  <c r="I368" i="7"/>
  <c r="I351" i="7"/>
  <c r="I403" i="7"/>
  <c r="I282" i="7"/>
  <c r="I393" i="7"/>
  <c r="I29" i="7"/>
  <c r="I327" i="7"/>
  <c r="I63" i="7"/>
  <c r="I503" i="7"/>
  <c r="I414" i="7"/>
  <c r="I341" i="7"/>
  <c r="I137" i="7"/>
  <c r="I94" i="7"/>
  <c r="I79" i="7"/>
  <c r="I53" i="7"/>
  <c r="I528" i="7"/>
  <c r="I433" i="7"/>
  <c r="I54" i="7"/>
  <c r="I44" i="7"/>
  <c r="I34" i="7"/>
  <c r="I180" i="7"/>
  <c r="I159" i="7"/>
  <c r="I28" i="7"/>
  <c r="I120" i="7"/>
  <c r="I270" i="7"/>
  <c r="I258" i="7"/>
  <c r="I410" i="7"/>
  <c r="I20" i="7"/>
  <c r="I317" i="7"/>
  <c r="I420" i="7"/>
  <c r="I126" i="7"/>
  <c r="I114" i="7"/>
  <c r="I237" i="7"/>
  <c r="I527" i="7"/>
  <c r="I456" i="7"/>
  <c r="I253" i="7"/>
  <c r="I359" i="7"/>
  <c r="I98" i="7"/>
  <c r="I387" i="7"/>
  <c r="I474" i="7"/>
  <c r="I57" i="7"/>
  <c r="I534" i="7"/>
  <c r="I442" i="7"/>
  <c r="I482" i="7"/>
  <c r="I390" i="7"/>
  <c r="I396" i="7"/>
  <c r="I309" i="7"/>
  <c r="I329" i="7"/>
  <c r="I48" i="7"/>
  <c r="I411" i="7"/>
  <c r="I428" i="7"/>
  <c r="I374" i="7"/>
  <c r="I514" i="7"/>
  <c r="I454" i="7"/>
  <c r="I160" i="7"/>
  <c r="I332" i="7"/>
  <c r="I370" i="7"/>
  <c r="I487" i="7"/>
  <c r="I215" i="7"/>
  <c r="I518" i="7"/>
  <c r="I259" i="7"/>
  <c r="I430" i="7"/>
  <c r="I286" i="7"/>
  <c r="I64" i="7"/>
  <c r="I230" i="7"/>
  <c r="I86" i="7"/>
  <c r="I443" i="7"/>
  <c r="I183" i="7"/>
  <c r="I413" i="7"/>
  <c r="I298" i="7"/>
  <c r="I316" i="7"/>
  <c r="I51" i="7"/>
  <c r="I313" i="7"/>
  <c r="I264" i="7"/>
  <c r="I170" i="7"/>
  <c r="I145" i="7"/>
  <c r="I475" i="7"/>
  <c r="I372" i="7"/>
  <c r="I5" i="7"/>
  <c r="H198" i="7"/>
  <c r="H467" i="7"/>
  <c r="H504" i="7"/>
  <c r="H520" i="7"/>
  <c r="H441" i="7"/>
  <c r="H471" i="7"/>
  <c r="H249" i="7"/>
  <c r="H157" i="7"/>
  <c r="H189" i="7"/>
  <c r="H445" i="7"/>
  <c r="H23" i="7"/>
  <c r="H141" i="7"/>
  <c r="H54" i="7"/>
  <c r="H145" i="7"/>
  <c r="H417" i="7"/>
  <c r="H269" i="7"/>
  <c r="H448" i="7"/>
  <c r="H175" i="7"/>
  <c r="H508" i="7"/>
  <c r="H85" i="7"/>
  <c r="H309" i="7"/>
  <c r="H272" i="7"/>
  <c r="H354" i="7"/>
  <c r="H481" i="7"/>
  <c r="H404" i="7"/>
  <c r="H479" i="7"/>
  <c r="H529" i="7"/>
  <c r="H534" i="7"/>
  <c r="H285" i="7"/>
  <c r="H246" i="7"/>
  <c r="H368" i="7"/>
  <c r="H501" i="7"/>
  <c r="H168" i="7"/>
  <c r="H364" i="7"/>
  <c r="H101" i="7"/>
  <c r="H326" i="7"/>
  <c r="H397" i="7"/>
  <c r="H263" i="7"/>
  <c r="H196" i="7"/>
  <c r="H203" i="7"/>
  <c r="H350" i="7"/>
  <c r="H247" i="7"/>
  <c r="H218" i="7"/>
  <c r="H49" i="7"/>
  <c r="H345" i="7"/>
  <c r="H250" i="7"/>
  <c r="H252" i="7"/>
  <c r="H55" i="7"/>
  <c r="H478" i="7"/>
  <c r="H221" i="7"/>
  <c r="H66" i="7"/>
  <c r="H386" i="7"/>
  <c r="H359" i="7"/>
  <c r="H228" i="7"/>
  <c r="H172" i="7"/>
  <c r="H15" i="7"/>
  <c r="H71" i="7"/>
  <c r="H148" i="7"/>
  <c r="H84" i="7"/>
  <c r="H410" i="7"/>
  <c r="H134" i="7"/>
  <c r="H360" i="7"/>
  <c r="H186" i="7"/>
  <c r="H100" i="7"/>
  <c r="H322" i="7"/>
  <c r="H75" i="7"/>
  <c r="H371" i="7"/>
  <c r="H79" i="7"/>
  <c r="H387" i="7"/>
  <c r="H332" i="7"/>
  <c r="H358" i="7"/>
  <c r="H405" i="7"/>
  <c r="H169" i="7"/>
  <c r="H253" i="7"/>
  <c r="H491" i="7"/>
  <c r="H311" i="7"/>
  <c r="H325" i="7"/>
  <c r="H282" i="7"/>
  <c r="H243" i="7"/>
  <c r="H346" i="7"/>
  <c r="H30" i="7"/>
  <c r="H329" i="7"/>
  <c r="H103" i="7"/>
  <c r="H117" i="7"/>
  <c r="H502" i="7"/>
  <c r="H456" i="7"/>
  <c r="H316" i="7"/>
  <c r="H426" i="7"/>
  <c r="H259" i="7"/>
  <c r="H304" i="7"/>
  <c r="H324" i="7"/>
  <c r="H142" i="7"/>
  <c r="H156" i="7"/>
  <c r="H382" i="7"/>
  <c r="H62" i="7"/>
  <c r="H204" i="7"/>
  <c r="H398" i="7"/>
  <c r="H268" i="7"/>
  <c r="H209" i="7"/>
  <c r="H89" i="7"/>
  <c r="H331" i="7"/>
  <c r="H24" i="7"/>
  <c r="H453" i="7"/>
  <c r="H58" i="7"/>
  <c r="H366" i="7"/>
  <c r="H25" i="7"/>
  <c r="H276" i="7"/>
  <c r="H486" i="7"/>
  <c r="H517" i="7"/>
  <c r="H70" i="7"/>
  <c r="H97" i="7"/>
  <c r="H153" i="7"/>
  <c r="H158" i="7"/>
  <c r="H435" i="7"/>
  <c r="H192" i="7"/>
  <c r="H132" i="7"/>
  <c r="H528" i="7"/>
  <c r="H201" i="7"/>
  <c r="H315" i="7"/>
  <c r="H521" i="7"/>
  <c r="H367" i="7"/>
  <c r="H449" i="7"/>
  <c r="H278" i="7"/>
  <c r="H283" i="7"/>
  <c r="H28" i="7"/>
  <c r="H137" i="7"/>
  <c r="H35" i="7"/>
  <c r="H442" i="7"/>
  <c r="H160" i="7"/>
  <c r="H286" i="7"/>
  <c r="H135" i="7"/>
  <c r="H177" i="7"/>
  <c r="H226" i="7"/>
  <c r="H124" i="7"/>
  <c r="H349" i="7"/>
  <c r="H126" i="7"/>
  <c r="H162" i="7"/>
  <c r="H300" i="7"/>
  <c r="H225" i="7"/>
  <c r="H33" i="7"/>
  <c r="H279" i="7"/>
  <c r="H488" i="7"/>
  <c r="H257" i="7"/>
  <c r="H468" i="7"/>
  <c r="H473" i="7"/>
  <c r="H299" i="7"/>
  <c r="H507" i="7"/>
  <c r="H477" i="7"/>
  <c r="H518" i="7"/>
  <c r="H351" i="7"/>
  <c r="H69" i="7"/>
  <c r="H129" i="7"/>
  <c r="H65" i="7"/>
  <c r="H415" i="7"/>
  <c r="H469" i="7"/>
  <c r="H161" i="7"/>
  <c r="H402" i="7"/>
  <c r="H291" i="7"/>
  <c r="H463" i="7"/>
  <c r="H385" i="7"/>
  <c r="H305" i="7"/>
  <c r="H506" i="7"/>
  <c r="H191" i="7"/>
  <c r="H443" i="7"/>
  <c r="H497" i="7"/>
  <c r="H393" i="7"/>
  <c r="H357" i="7"/>
  <c r="H20" i="7"/>
  <c r="H339" i="7"/>
  <c r="H8" i="7"/>
  <c r="H193" i="7"/>
  <c r="H446" i="7"/>
  <c r="H424" i="7"/>
  <c r="H513" i="7"/>
  <c r="H293" i="7"/>
  <c r="H27" i="7"/>
  <c r="H499" i="7"/>
  <c r="H392" i="7"/>
  <c r="H178" i="7"/>
  <c r="H14" i="7"/>
  <c r="H166" i="7"/>
  <c r="H108" i="7"/>
  <c r="H423" i="7"/>
  <c r="H458" i="7"/>
  <c r="H512" i="7"/>
  <c r="H352" i="7"/>
  <c r="H86" i="7"/>
  <c r="H532" i="7"/>
  <c r="H484" i="7"/>
  <c r="H133" i="7"/>
  <c r="H320" i="7"/>
  <c r="H233" i="7"/>
  <c r="H498" i="7"/>
  <c r="H208" i="7"/>
  <c r="H317" i="7"/>
  <c r="H485" i="7"/>
  <c r="H340" i="7"/>
  <c r="H372" i="7"/>
  <c r="H176" i="7"/>
  <c r="H495" i="7"/>
  <c r="H45" i="7"/>
  <c r="H48" i="7"/>
  <c r="H149" i="7"/>
  <c r="H190" i="7"/>
  <c r="H223" i="7"/>
  <c r="H301" i="7"/>
  <c r="H274" i="7"/>
  <c r="H492" i="7"/>
  <c r="H6" i="7"/>
  <c r="H394" i="7"/>
  <c r="H36" i="7"/>
  <c r="H146" i="7"/>
  <c r="H167" i="7"/>
  <c r="H151" i="7"/>
  <c r="H171" i="7"/>
  <c r="H428" i="7"/>
  <c r="H271" i="7"/>
  <c r="H381" i="7"/>
  <c r="H222" i="7"/>
  <c r="H413" i="7"/>
  <c r="H280" i="7"/>
  <c r="H234" i="7"/>
  <c r="H105" i="7"/>
  <c r="H255" i="7"/>
  <c r="H248" i="7"/>
  <c r="H81" i="7"/>
  <c r="H388" i="7"/>
  <c r="H459" i="7"/>
  <c r="H489" i="7"/>
  <c r="H530" i="7"/>
  <c r="H335" i="7"/>
  <c r="H493" i="7"/>
  <c r="H460" i="7"/>
  <c r="H118" i="7"/>
  <c r="H509" i="7"/>
  <c r="H369" i="7"/>
  <c r="H429" i="7"/>
  <c r="H412" i="7"/>
  <c r="H95" i="7"/>
  <c r="H197" i="7"/>
  <c r="H434" i="7"/>
  <c r="H130" i="7"/>
  <c r="H76" i="7"/>
  <c r="H334" i="7"/>
  <c r="H327" i="7"/>
  <c r="H336" i="7"/>
  <c r="H123" i="7"/>
  <c r="H527" i="7"/>
  <c r="H34" i="7"/>
  <c r="H310" i="7"/>
  <c r="H206" i="7"/>
  <c r="H525" i="7"/>
  <c r="H375" i="7"/>
  <c r="H431" i="7"/>
  <c r="H361" i="7"/>
  <c r="H180" i="7"/>
  <c r="H333" i="7"/>
  <c r="H307" i="7"/>
  <c r="H462" i="7"/>
  <c r="H318" i="7"/>
  <c r="H284" i="7"/>
  <c r="H240" i="7"/>
  <c r="H136" i="7"/>
  <c r="H12" i="7"/>
  <c r="H466" i="7"/>
  <c r="H104" i="7"/>
  <c r="H425" i="7"/>
  <c r="H338" i="7"/>
  <c r="H370" i="7"/>
  <c r="H244" i="7"/>
  <c r="H216" i="7"/>
  <c r="H224" i="7"/>
  <c r="H107" i="7"/>
  <c r="H258" i="7"/>
  <c r="H353" i="7"/>
  <c r="H510" i="7"/>
  <c r="H220" i="7"/>
  <c r="H87" i="7"/>
  <c r="H111" i="7"/>
  <c r="H154" i="7"/>
  <c r="H64" i="7"/>
  <c r="H207" i="7"/>
  <c r="H93" i="7"/>
  <c r="H312" i="7"/>
  <c r="H52" i="7"/>
  <c r="H183" i="7"/>
  <c r="H32" i="7"/>
  <c r="H165" i="7"/>
  <c r="H60" i="7"/>
  <c r="H480" i="7"/>
  <c r="H526" i="7"/>
  <c r="H505" i="7"/>
  <c r="H519" i="7"/>
  <c r="H503" i="7"/>
  <c r="H287" i="7"/>
  <c r="H47" i="7"/>
  <c r="H179" i="7"/>
  <c r="H41" i="7"/>
  <c r="H483" i="7"/>
  <c r="H140" i="7"/>
  <c r="H401" i="7"/>
  <c r="H67" i="7"/>
  <c r="H494" i="7"/>
  <c r="H277" i="7"/>
  <c r="H46" i="7"/>
  <c r="H80" i="7"/>
  <c r="H341" i="7"/>
  <c r="H139" i="7"/>
  <c r="H63" i="7"/>
  <c r="H202" i="7"/>
  <c r="H119" i="7"/>
  <c r="H343" i="7"/>
  <c r="H181" i="7"/>
  <c r="H288" i="7"/>
  <c r="H229" i="7"/>
  <c r="H239" i="7"/>
  <c r="H490" i="7"/>
  <c r="H523" i="7"/>
  <c r="H432" i="7"/>
  <c r="H399" i="7"/>
  <c r="H31" i="7"/>
  <c r="H116" i="7"/>
  <c r="H306" i="7"/>
  <c r="H9" i="7"/>
  <c r="H314" i="7"/>
  <c r="H213" i="7"/>
  <c r="H378" i="7"/>
  <c r="H464" i="7"/>
  <c r="H19" i="7"/>
  <c r="H411" i="7"/>
  <c r="H227" i="7"/>
  <c r="H461" i="7"/>
  <c r="H163" i="7"/>
  <c r="H414" i="7"/>
  <c r="H511" i="7"/>
  <c r="H110" i="7"/>
  <c r="H96" i="7"/>
  <c r="H437" i="7"/>
  <c r="H487" i="7"/>
  <c r="H409" i="7"/>
  <c r="H400" i="7"/>
  <c r="H235" i="7"/>
  <c r="H297" i="7"/>
  <c r="H265" i="7"/>
  <c r="H74" i="7"/>
  <c r="H302" i="7"/>
  <c r="H57" i="7"/>
  <c r="H396" i="7"/>
  <c r="H72" i="7"/>
  <c r="H472" i="7"/>
  <c r="H454" i="7"/>
  <c r="H122" i="7"/>
  <c r="H214" i="7"/>
  <c r="H61" i="7"/>
  <c r="H289" i="7"/>
  <c r="H173" i="7"/>
  <c r="H106" i="7"/>
  <c r="H365" i="7"/>
  <c r="H256" i="7"/>
  <c r="H380" i="7"/>
  <c r="H522" i="7"/>
  <c r="H290" i="7"/>
  <c r="H91" i="7"/>
  <c r="H455" i="7"/>
  <c r="H18" i="7"/>
  <c r="H328" i="7"/>
  <c r="H170" i="7"/>
  <c r="H294" i="7"/>
  <c r="H444" i="7"/>
  <c r="H408" i="7"/>
  <c r="H195" i="7"/>
  <c r="H406" i="7"/>
  <c r="H427" i="7"/>
  <c r="H159" i="7"/>
  <c r="H112" i="7"/>
  <c r="H236" i="7"/>
  <c r="H355" i="7"/>
  <c r="H403" i="7"/>
  <c r="H231" i="7"/>
  <c r="H184" i="7"/>
  <c r="H418" i="7"/>
  <c r="H98" i="7"/>
  <c r="H465" i="7"/>
  <c r="H295" i="7"/>
  <c r="H37" i="7"/>
  <c r="H514" i="7"/>
  <c r="H376" i="7"/>
  <c r="H356" i="7"/>
  <c r="H420" i="7"/>
  <c r="H242" i="7"/>
  <c r="H267" i="7"/>
  <c r="H433" i="7"/>
  <c r="H210" i="7"/>
  <c r="H241" i="7"/>
  <c r="H50" i="7"/>
  <c r="H474" i="7"/>
  <c r="H144" i="7"/>
  <c r="H232" i="7"/>
  <c r="H99" i="7"/>
  <c r="H238" i="7"/>
  <c r="H90" i="7"/>
  <c r="H313" i="7"/>
  <c r="H438" i="7"/>
  <c r="H447" i="7"/>
  <c r="H217" i="7"/>
  <c r="H452" i="7"/>
  <c r="H440" i="7"/>
  <c r="H109" i="7"/>
  <c r="H254" i="7"/>
  <c r="H531" i="7"/>
  <c r="H496" i="7"/>
  <c r="H59" i="7"/>
  <c r="H457" i="7"/>
  <c r="H92" i="7"/>
  <c r="H182" i="7"/>
  <c r="H419" i="7"/>
  <c r="H219" i="7"/>
  <c r="H407" i="7"/>
  <c r="H215" i="7"/>
  <c r="H199" i="7"/>
  <c r="H451" i="7"/>
  <c r="H40" i="7"/>
  <c r="H121" i="7"/>
  <c r="H422" i="7"/>
  <c r="H347" i="7"/>
  <c r="H323" i="7"/>
  <c r="H308" i="7"/>
  <c r="H337" i="7"/>
  <c r="H296" i="7"/>
  <c r="H82" i="7"/>
  <c r="H261" i="7"/>
  <c r="H120" i="7"/>
  <c r="H78" i="7"/>
  <c r="H348" i="7"/>
  <c r="H319" i="7"/>
  <c r="H10" i="7"/>
  <c r="H430" i="7"/>
  <c r="H230" i="7"/>
  <c r="H482" i="7"/>
  <c r="H113" i="7"/>
  <c r="H26" i="7"/>
  <c r="H11" i="7"/>
  <c r="H270" i="7"/>
  <c r="H245" i="7"/>
  <c r="H131" i="7"/>
  <c r="H29" i="7"/>
  <c r="H389" i="7"/>
  <c r="H150" i="7"/>
  <c r="H164" i="7"/>
  <c r="H94" i="7"/>
  <c r="H152" i="7"/>
  <c r="H377" i="7"/>
  <c r="H143" i="7"/>
  <c r="H391" i="7"/>
  <c r="H138" i="7"/>
  <c r="H42" i="7"/>
  <c r="H383" i="7"/>
  <c r="H39" i="7"/>
  <c r="H83" i="7"/>
  <c r="H363" i="7"/>
  <c r="H421" i="7"/>
  <c r="H102" i="7"/>
  <c r="H114" i="7"/>
  <c r="H16" i="7"/>
  <c r="H533" i="7"/>
  <c r="H379" i="7"/>
  <c r="H53" i="7"/>
  <c r="H330" i="7"/>
  <c r="H51" i="7"/>
  <c r="H344" i="7"/>
  <c r="H13" i="7"/>
  <c r="H476" i="7"/>
  <c r="H185" i="7"/>
  <c r="H470" i="7"/>
  <c r="H321" i="7"/>
  <c r="H77" i="7"/>
  <c r="H374" i="7"/>
  <c r="H251" i="7"/>
  <c r="H436" i="7"/>
  <c r="H416" i="7"/>
  <c r="H384" i="7"/>
  <c r="H373" i="7"/>
  <c r="H475" i="7"/>
  <c r="H200" i="7"/>
  <c r="H188" i="7"/>
  <c r="H298" i="7"/>
  <c r="H281" i="7"/>
  <c r="H7" i="7"/>
  <c r="H390" i="7"/>
  <c r="H127" i="7"/>
  <c r="H292" i="7"/>
  <c r="H128" i="7"/>
  <c r="H211" i="7"/>
  <c r="H450" i="7"/>
  <c r="H147" i="7"/>
  <c r="H439" i="7"/>
  <c r="H524" i="7"/>
  <c r="H17" i="7"/>
  <c r="H115" i="7"/>
  <c r="H88" i="7"/>
  <c r="H21" i="7"/>
  <c r="H56" i="7"/>
  <c r="H125" i="7"/>
  <c r="H266" i="7"/>
  <c r="H38" i="7"/>
  <c r="H194" i="7"/>
  <c r="H22" i="7"/>
  <c r="H212" i="7"/>
  <c r="H273" i="7"/>
  <c r="H68" i="7"/>
  <c r="H205" i="7"/>
  <c r="H262" i="7"/>
  <c r="H342" i="7"/>
  <c r="H73" i="7"/>
  <c r="H44" i="7"/>
  <c r="H516" i="7"/>
  <c r="H264" i="7"/>
  <c r="H275" i="7"/>
  <c r="H395" i="7"/>
  <c r="H500" i="7"/>
  <c r="H362" i="7"/>
  <c r="H303" i="7"/>
  <c r="H43" i="7"/>
  <c r="H515" i="7"/>
  <c r="H187" i="7"/>
  <c r="H155" i="7"/>
  <c r="H174" i="7"/>
  <c r="H260" i="7"/>
  <c r="H23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<sst xmlns="http://schemas.openxmlformats.org/spreadsheetml/2006/main" count="36955" uniqueCount="322">
  <si>
    <t>Организация</t>
  </si>
  <si>
    <t>Дата отгрузки</t>
  </si>
  <si>
    <t>Рабочая зона</t>
  </si>
  <si>
    <t>ИД клиента</t>
  </si>
  <si>
    <t>ХП:Категория</t>
  </si>
  <si>
    <t>Цена с переоценкой</t>
  </si>
  <si>
    <t>Сумма скидки/наценки</t>
  </si>
  <si>
    <t>Количество продажи</t>
  </si>
  <si>
    <t>Другие</t>
  </si>
  <si>
    <t>Alyumin Profil  Salid</t>
  </si>
  <si>
    <t>Alyumin Profil-001 3Metr Salid</t>
  </si>
  <si>
    <t>3.31</t>
  </si>
  <si>
    <t>Alyumin Profil-003 3Metr Salid</t>
  </si>
  <si>
    <t>2.41</t>
  </si>
  <si>
    <t>Alyumin Profil-004 3Metr Salid</t>
  </si>
  <si>
    <t>3.01</t>
  </si>
  <si>
    <t>Alyumin Profil-006 3Metr Salid</t>
  </si>
  <si>
    <t>4.51</t>
  </si>
  <si>
    <t>Alyumin Profil-007 3Metr Salid</t>
  </si>
  <si>
    <t>5.11</t>
  </si>
  <si>
    <t>Xrustal plafon oddiy</t>
  </si>
  <si>
    <t>SH03-40 48W YELLOW shisha plafon</t>
  </si>
  <si>
    <t>8.01</t>
  </si>
  <si>
    <t>SH04-40 48W BLUE shisha palfon</t>
  </si>
  <si>
    <t>SH06-40 48W YELLOW shisha plafon</t>
  </si>
  <si>
    <t>SH07-40 48W WHITE shisha plafon</t>
  </si>
  <si>
    <t>SH08-40 48W PINK shisha plafon</t>
  </si>
  <si>
    <t>SH09-40 48W RGB shisha plafon</t>
  </si>
  <si>
    <t>SH10-40 48W GREEN shisha plafon</t>
  </si>
  <si>
    <t>SH01-50 72W YELLOW shisha plafon</t>
  </si>
  <si>
    <t>10.01</t>
  </si>
  <si>
    <t>SH04-50 72W BLUE shisha plafon</t>
  </si>
  <si>
    <t>SH11-40 48W WHITE shisha plafon</t>
  </si>
  <si>
    <t>SH01-40 48W YELLOW shisha plafon</t>
  </si>
  <si>
    <t>SH02-40 48W PINK shisha plafon</t>
  </si>
  <si>
    <t>Magnitniy Track Dusel</t>
  </si>
  <si>
    <t>Uglovoy soedinitel dlya vnutrenniy rels</t>
  </si>
  <si>
    <t>5.01</t>
  </si>
  <si>
    <t>7.6095</t>
  </si>
  <si>
    <t>SH05-40 48W GREEN shisha plafon</t>
  </si>
  <si>
    <t>SH12-40 48W BLUE shisha plafon</t>
  </si>
  <si>
    <t>SH14-40 48W GREEN shisha plafon</t>
  </si>
  <si>
    <t>SH15-40 48W BLUE shisha plafon</t>
  </si>
  <si>
    <t>Soedinitel uglovoy dlya magnitniy svetilnik</t>
  </si>
  <si>
    <t>SH13-40 48W RGB shisha plafon</t>
  </si>
  <si>
    <t>Soedinitel pryamoy dlya magnitniy svetilnik</t>
  </si>
  <si>
    <t>2.01</t>
  </si>
  <si>
    <t>Trekoviy magnitniy svetilnik tonkiy trek 18W F60 6500K</t>
  </si>
  <si>
    <t>9.51</t>
  </si>
  <si>
    <t>Zapchastlar</t>
  </si>
  <si>
    <t>Xrustal galogen driver</t>
  </si>
  <si>
    <t>.41</t>
  </si>
  <si>
    <t>9.6096</t>
  </si>
  <si>
    <t>SH07-50 72W WHITE shisha plafon</t>
  </si>
  <si>
    <t>Alyumin Profil-008 3Metr Salid</t>
  </si>
  <si>
    <t>5.7696</t>
  </si>
  <si>
    <t>Trekoviy magnitniy svetilnik matoviy 36W L900 6500K</t>
  </si>
  <si>
    <t>9.01</t>
  </si>
  <si>
    <t>Trekoviy magnitniy svetilnik tonkiy trek 12W F50 6500K</t>
  </si>
  <si>
    <t>6.01</t>
  </si>
  <si>
    <t>Trekoviy magnitniy svetilnik tonkiy trek 18W F60 4000K</t>
  </si>
  <si>
    <t>SH03-50 72W YELLOW shisha plafon</t>
  </si>
  <si>
    <t>SH16-40 48W RGB shisha plafon</t>
  </si>
  <si>
    <t>SH08-50 72W PINK shisha plafon</t>
  </si>
  <si>
    <t>SH09-50 72W RGB shisha plafon</t>
  </si>
  <si>
    <t>Salid Candle</t>
  </si>
  <si>
    <t>LED Candle Tail 12W 4500K E14 SALID^</t>
  </si>
  <si>
    <t>1.41</t>
  </si>
  <si>
    <t>SH05-50 72W GREEN shisha plafon</t>
  </si>
  <si>
    <t>LED Candle Tail 12W 6500K E14 SALID^</t>
  </si>
  <si>
    <t>SH06-50 72W YELLOW shisha plafon</t>
  </si>
  <si>
    <t>LED Candle Tail 12W 3000K E14 SALID^</t>
  </si>
  <si>
    <t>Alyumin Profil-010 3Metr Salid</t>
  </si>
  <si>
    <t>LED Candle 10W 6500K E14 SALID^</t>
  </si>
  <si>
    <t>1.53</t>
  </si>
  <si>
    <t>LED Candle Tail 9W 6500K E14 SALID^</t>
  </si>
  <si>
    <t>1.29</t>
  </si>
  <si>
    <t>Alyumin Profil-002 3Metr Salid</t>
  </si>
  <si>
    <t>Alyumin Profil-018 3Metr Salid</t>
  </si>
  <si>
    <t>3.7145</t>
  </si>
  <si>
    <t>Trekoviy magnitniy svetilnik matoviy 24W L600 6500K</t>
  </si>
  <si>
    <t>6.21</t>
  </si>
  <si>
    <t>3.51</t>
  </si>
  <si>
    <t>Trekoviy magnitniy svetilnik matoviy 12W L300 6500K</t>
  </si>
  <si>
    <t>Trekoviy magnitniy svetilnik matoviy 24W L600 4000K</t>
  </si>
  <si>
    <t>5.71</t>
  </si>
  <si>
    <t>Andijon</t>
  </si>
  <si>
    <t>D</t>
  </si>
  <si>
    <t>A</t>
  </si>
  <si>
    <t>B</t>
  </si>
  <si>
    <t>C</t>
  </si>
  <si>
    <t>Farg'ona</t>
  </si>
  <si>
    <t>Qo'qon</t>
  </si>
  <si>
    <t>Jizzax</t>
  </si>
  <si>
    <t>Koson</t>
  </si>
  <si>
    <t>Denov</t>
  </si>
  <si>
    <t>Xrustal galogen orqa</t>
  </si>
  <si>
    <t>.6</t>
  </si>
  <si>
    <t>Xorazm</t>
  </si>
  <si>
    <t>.665</t>
  </si>
  <si>
    <t>LED Candle 10W 4500K E14 SALID^</t>
  </si>
  <si>
    <t>1.6</t>
  </si>
  <si>
    <t>.475</t>
  </si>
  <si>
    <t>Neoclassic Driver 7+7W</t>
  </si>
  <si>
    <t>Neoclassic Driver 10+10W</t>
  </si>
  <si>
    <t>Toshkent</t>
  </si>
  <si>
    <t>Namangan</t>
  </si>
  <si>
    <t>Samarqand</t>
  </si>
  <si>
    <t>Navoiy</t>
  </si>
  <si>
    <t>ТП-01</t>
  </si>
  <si>
    <t>ТП-02</t>
  </si>
  <si>
    <t>ТП-03</t>
  </si>
  <si>
    <t>ТП-04</t>
  </si>
  <si>
    <t>ТП-05</t>
  </si>
  <si>
    <t>ТП-07</t>
  </si>
  <si>
    <t>ТП-08</t>
  </si>
  <si>
    <t>ТП-09</t>
  </si>
  <si>
    <t>ТП-10</t>
  </si>
  <si>
    <t>ТП-11</t>
  </si>
  <si>
    <t>ТП-13</t>
  </si>
  <si>
    <t>ТП-14</t>
  </si>
  <si>
    <t>ТП-15</t>
  </si>
  <si>
    <t>ТП-17</t>
  </si>
  <si>
    <t>ТП-20</t>
  </si>
  <si>
    <t>ТП-23</t>
  </si>
  <si>
    <t>ТП-27</t>
  </si>
  <si>
    <t>ТП-28</t>
  </si>
  <si>
    <t>ТП-30</t>
  </si>
  <si>
    <t>ТП-32</t>
  </si>
  <si>
    <t>ТП-33</t>
  </si>
  <si>
    <t>ТП-34</t>
  </si>
  <si>
    <t>ТП-35</t>
  </si>
  <si>
    <t>ТП-37</t>
  </si>
  <si>
    <t>ТП-38</t>
  </si>
  <si>
    <t>ТП-39</t>
  </si>
  <si>
    <t>ТП-40</t>
  </si>
  <si>
    <t>ТП-41</t>
  </si>
  <si>
    <t>ТП-42</t>
  </si>
  <si>
    <t>ТП-43</t>
  </si>
  <si>
    <t>ТП-45</t>
  </si>
  <si>
    <t>ТП-47</t>
  </si>
  <si>
    <t>ТП-48</t>
  </si>
  <si>
    <t>ТП-49</t>
  </si>
  <si>
    <t>ТП-50</t>
  </si>
  <si>
    <t>ТП-51</t>
  </si>
  <si>
    <t>ТП-52</t>
  </si>
  <si>
    <t>ТП-53</t>
  </si>
  <si>
    <t>ТП-54</t>
  </si>
  <si>
    <t>ТП-57</t>
  </si>
  <si>
    <t>ТП-58</t>
  </si>
  <si>
    <t>ТП-61</t>
  </si>
  <si>
    <t>ТП-62</t>
  </si>
  <si>
    <t>ТП-63</t>
  </si>
  <si>
    <t>ТП-64</t>
  </si>
  <si>
    <t>ТП-68</t>
  </si>
  <si>
    <t>ТП-69</t>
  </si>
  <si>
    <t>ТП-70</t>
  </si>
  <si>
    <t>ТП-72</t>
  </si>
  <si>
    <t>ТП-73</t>
  </si>
  <si>
    <t>ТП-74</t>
  </si>
  <si>
    <t>ТП-75</t>
  </si>
  <si>
    <t>ТП-77</t>
  </si>
  <si>
    <t>ТП-78</t>
  </si>
  <si>
    <t>ТП-80</t>
  </si>
  <si>
    <t>ТП-81</t>
  </si>
  <si>
    <t>ТП-82</t>
  </si>
  <si>
    <t>ТП-85</t>
  </si>
  <si>
    <t>ТП-88</t>
  </si>
  <si>
    <t>ТП-89</t>
  </si>
  <si>
    <t>ТП-90</t>
  </si>
  <si>
    <t>ТП-91</t>
  </si>
  <si>
    <t>ТП-92</t>
  </si>
  <si>
    <t>ТП-93</t>
  </si>
  <si>
    <t>ТП-94</t>
  </si>
  <si>
    <t>ТП-95</t>
  </si>
  <si>
    <t>ТП-96</t>
  </si>
  <si>
    <t>ТП-98</t>
  </si>
  <si>
    <t>ТП-99</t>
  </si>
  <si>
    <t>ТП-100</t>
  </si>
  <si>
    <t>ТП-101</t>
  </si>
  <si>
    <t>ТП-102</t>
  </si>
  <si>
    <t>ТП-103</t>
  </si>
  <si>
    <t>ТП-113</t>
  </si>
  <si>
    <t>ТП-114</t>
  </si>
  <si>
    <t>ТП-116</t>
  </si>
  <si>
    <t>ТП-117</t>
  </si>
  <si>
    <t>ТП-118</t>
  </si>
  <si>
    <t>ТП-119</t>
  </si>
  <si>
    <t>ТП-124</t>
  </si>
  <si>
    <t>ТП-126</t>
  </si>
  <si>
    <t>ТП-127</t>
  </si>
  <si>
    <t>ТП-128</t>
  </si>
  <si>
    <t>ТП-129</t>
  </si>
  <si>
    <t>ТП-130</t>
  </si>
  <si>
    <t>ТП-132</t>
  </si>
  <si>
    <t>ТП-134</t>
  </si>
  <si>
    <t>ТП-135</t>
  </si>
  <si>
    <t>ТП-141</t>
  </si>
  <si>
    <t>ТП-142</t>
  </si>
  <si>
    <t>ТП-143</t>
  </si>
  <si>
    <t>ТП-145</t>
  </si>
  <si>
    <t>ТП-146</t>
  </si>
  <si>
    <t>Category 1</t>
  </si>
  <si>
    <t>Category 2</t>
  </si>
  <si>
    <t>Category 3</t>
  </si>
  <si>
    <t>Category 4</t>
  </si>
  <si>
    <t>Category 5</t>
  </si>
  <si>
    <t>Категории клиент</t>
  </si>
  <si>
    <t>Категория товара</t>
  </si>
  <si>
    <t>SKU 1</t>
  </si>
  <si>
    <t>SKU 2</t>
  </si>
  <si>
    <t>SKU 3</t>
  </si>
  <si>
    <t>SKU 4</t>
  </si>
  <si>
    <t>SKU 5</t>
  </si>
  <si>
    <t>SKU 6</t>
  </si>
  <si>
    <t>SKU 7</t>
  </si>
  <si>
    <t>SKU 8</t>
  </si>
  <si>
    <t>SKU 9</t>
  </si>
  <si>
    <t>SKU 10</t>
  </si>
  <si>
    <t>SKU 11</t>
  </si>
  <si>
    <t>SKU 12</t>
  </si>
  <si>
    <t>SKU 13</t>
  </si>
  <si>
    <t>SKU 14</t>
  </si>
  <si>
    <t>SKU 15</t>
  </si>
  <si>
    <t>SKU 16</t>
  </si>
  <si>
    <t>SKU 17</t>
  </si>
  <si>
    <t>SKU 18</t>
  </si>
  <si>
    <t>SKU 19</t>
  </si>
  <si>
    <t>SKU 20</t>
  </si>
  <si>
    <t>SKU 21</t>
  </si>
  <si>
    <t>SKU 22</t>
  </si>
  <si>
    <t>SKU 23</t>
  </si>
  <si>
    <t>SKU 24</t>
  </si>
  <si>
    <t>SKU 25</t>
  </si>
  <si>
    <t>SKU 26</t>
  </si>
  <si>
    <t>SKU 27</t>
  </si>
  <si>
    <t>SKU 28</t>
  </si>
  <si>
    <t>SKU 29</t>
  </si>
  <si>
    <t>SKU 30</t>
  </si>
  <si>
    <t>SKU 31</t>
  </si>
  <si>
    <t>SKU 32</t>
  </si>
  <si>
    <t>SKU 33</t>
  </si>
  <si>
    <t>SKU 34</t>
  </si>
  <si>
    <t>SKU 35</t>
  </si>
  <si>
    <t>SKU 36</t>
  </si>
  <si>
    <t>SKU 37</t>
  </si>
  <si>
    <t>SKU 38</t>
  </si>
  <si>
    <t>SKU 39</t>
  </si>
  <si>
    <t>SKU 40</t>
  </si>
  <si>
    <t>SKU 41</t>
  </si>
  <si>
    <t>SKU 42</t>
  </si>
  <si>
    <t>SKU 43</t>
  </si>
  <si>
    <t>SKU 44</t>
  </si>
  <si>
    <t>SKU 45</t>
  </si>
  <si>
    <t>SKU 46</t>
  </si>
  <si>
    <t>SKU 47</t>
  </si>
  <si>
    <t>SKU 48</t>
  </si>
  <si>
    <t>SKU 49</t>
  </si>
  <si>
    <t>SKU 50</t>
  </si>
  <si>
    <t>SKU 51</t>
  </si>
  <si>
    <t>SKU 52</t>
  </si>
  <si>
    <t>SKU 53</t>
  </si>
  <si>
    <t>SKU</t>
  </si>
  <si>
    <t>Сумма продажи</t>
  </si>
  <si>
    <t>ОТ торговля</t>
  </si>
  <si>
    <t>Mijozlar analizlari va RFM tahlil</t>
  </si>
  <si>
    <r>
      <t>Maqsad</t>
    </r>
    <r>
      <rPr>
        <sz val="11"/>
        <color indexed="8"/>
        <rFont val="Aptos Narrow"/>
        <family val="2"/>
        <scheme val="minor"/>
      </rPr>
      <t>: Mijozlar ma’lumotlarini tahlil qilib, ularni RFM modeli asosida guruhlarga ajratish va biznes qarorlar chiqarishni o‘rganish.</t>
    </r>
  </si>
  <si>
    <t>Mijozlar tahlili nima uchun kerak?</t>
  </si>
  <si>
    <t>Sodiq mijozlarni topish</t>
  </si>
  <si>
    <t>Yo‘qotilayotgan mijozlarni qaytarish</t>
  </si>
  <si>
    <t>Reklama va aksiyalarni to‘g‘ri yo‘naltirish</t>
  </si>
  <si>
    <r>
      <t>RFM tushunchasi</t>
    </r>
    <r>
      <rPr>
        <sz val="11"/>
        <color indexed="8"/>
        <rFont val="Aptos Narrow"/>
        <family val="2"/>
        <scheme val="minor"/>
      </rPr>
      <t>:</t>
    </r>
  </si>
  <si>
    <r>
      <t>R – Recency</t>
    </r>
    <r>
      <rPr>
        <sz val="11"/>
        <color indexed="8"/>
        <rFont val="Aptos Narrow"/>
        <family val="2"/>
        <scheme val="minor"/>
      </rPr>
      <t xml:space="preserve"> (oxirgi xarid qachon bo‘lgan?)</t>
    </r>
  </si>
  <si>
    <r>
      <t>F – Frequency</t>
    </r>
    <r>
      <rPr>
        <sz val="11"/>
        <color indexed="8"/>
        <rFont val="Aptos Narrow"/>
        <family val="2"/>
        <scheme val="minor"/>
      </rPr>
      <t xml:space="preserve"> (necha marta xarid qilgan?)</t>
    </r>
  </si>
  <si>
    <r>
      <t>M – Monetary</t>
    </r>
    <r>
      <rPr>
        <sz val="11"/>
        <color indexed="8"/>
        <rFont val="Aptos Narrow"/>
        <family val="2"/>
        <scheme val="minor"/>
      </rPr>
      <t xml:space="preserve"> (qancha pul sarflagan?)</t>
    </r>
  </si>
  <si>
    <t>1. Ma’lumotlarni tayyorlash</t>
  </si>
  <si>
    <t>Har bir mijoz bo‘yicha oxirgi xarid sanasi topiladi (Recency)</t>
  </si>
  <si>
    <t>Xaridlar soni hisoblanadi (Frequency)</t>
  </si>
  <si>
    <t>Xarid summasi hisoblanadi (Monetary)</t>
  </si>
  <si>
    <t>2. RFM qiymatlarini hisoblash</t>
  </si>
  <si>
    <t>Recency → bugungi sana – oxirgi xarid sanasi</t>
  </si>
  <si>
    <t>Frequency → buyurtmalar soni</t>
  </si>
  <si>
    <t>Monetary → umumiy xarajat</t>
  </si>
  <si>
    <t>3. Kvantil bo‘yicha ball berish (1–5)</t>
  </si>
  <si>
    <t>Recency: eng tez-tez keladigan mijozlar 5 ball</t>
  </si>
  <si>
    <t>Frequency: eng ko‘p xarid qilganlar 5 ball</t>
  </si>
  <si>
    <t>Monetary: eng ko‘p pul sarflaganlar 5 ball</t>
  </si>
  <si>
    <t>4. Segmentlash</t>
  </si>
  <si>
    <t>Top mijozlar: R=5, F=5, M=5</t>
  </si>
  <si>
    <t>Sodiq mijozlar: R=4–5, F=4–5</t>
  </si>
  <si>
    <t>Qaytib kelmaydiganlar: R=1, F=1</t>
  </si>
  <si>
    <t>Potensial yo‘qotishdagi mijozlar: R=1–2, M=4–5</t>
  </si>
  <si>
    <t>Amaliy qadamlar</t>
  </si>
  <si>
    <t>Yakuniy xulosa</t>
  </si>
  <si>
    <t>Har bir segment bo‘yicha marketing strategiya misollari:</t>
  </si>
  <si>
    <r>
      <t>Top mijozlar</t>
    </r>
    <r>
      <rPr>
        <sz val="11"/>
        <color indexed="8"/>
        <rFont val="Aptos Narrow"/>
        <family val="2"/>
        <scheme val="minor"/>
      </rPr>
      <t xml:space="preserve"> → VIP takliflar, maxsus chegirmalar</t>
    </r>
  </si>
  <si>
    <r>
      <t>Yangi mijozlar</t>
    </r>
    <r>
      <rPr>
        <sz val="11"/>
        <color indexed="8"/>
        <rFont val="Aptos Narrow"/>
        <family val="2"/>
        <scheme val="minor"/>
      </rPr>
      <t xml:space="preserve"> → xush kelibsiz aksiyalar</t>
    </r>
  </si>
  <si>
    <r>
      <t>Yo‘qotilayotgan mijozlar</t>
    </r>
    <r>
      <rPr>
        <sz val="11"/>
        <color indexed="8"/>
        <rFont val="Aptos Narrow"/>
        <family val="2"/>
        <scheme val="minor"/>
      </rPr>
      <t xml:space="preserve"> → qaytarish uchun promo kodlar</t>
    </r>
  </si>
  <si>
    <t>Месяц</t>
  </si>
  <si>
    <t>Mijoz ID</t>
  </si>
  <si>
    <t>Birinchi harid</t>
  </si>
  <si>
    <t>Recency</t>
  </si>
  <si>
    <t>Frequency</t>
  </si>
  <si>
    <t>Monetary</t>
  </si>
  <si>
    <t>R=5, F=5, M=5</t>
  </si>
  <si>
    <t>R=4-5, F=4-5</t>
  </si>
  <si>
    <t>R=1, F=1</t>
  </si>
  <si>
    <t>R=1-3, M=3-5</t>
  </si>
  <si>
    <t>Top mijozlar</t>
  </si>
  <si>
    <t>Sodiq
Mijozlar</t>
  </si>
  <si>
    <t>Qaytib
kelmaydiganlar</t>
  </si>
  <si>
    <t>Potensial
yo'qotishdagi
mijozlar</t>
  </si>
  <si>
    <t>Yangi mijozlar</t>
  </si>
  <si>
    <t>RFM qiymatlarni hisoblash</t>
  </si>
  <si>
    <t>Kvantil bo'yicha ball berish(1-5)</t>
  </si>
  <si>
    <t>Boshqa mijozlar</t>
  </si>
  <si>
    <t>Birinchi qarashda hammasi mantiqiy ko'rinadi — 530 ta mijoz bor, ularning atigi 20 tasi "Top mijozlar" toifasiga tushadi, 129 tasi esa allaqachon "qaytib kelmaydigan" deb belgilangan. Odatiy holat, har qanday RFM tahlilida shunday bo'ladi.</t>
  </si>
  <si>
    <r>
      <t xml:space="preserve">Lekin daromadga qarasam, boshqacha manzara chiqdi. "Potensial yo'qotishdagi mijozlar" — ya'ni ilgari faol xarid qilgan, lekin oxirgi paytlarda kamroq ko'rinayotgan mijozlar guruhi — bor-yo'g'i 90 kishi, bu umumiy mijozlarning 17 foizi. Lekin ular kompaniyaning </t>
    </r>
    <r>
      <rPr>
        <b/>
        <sz val="11"/>
        <color indexed="8"/>
        <rFont val="Aptos Narrow"/>
        <family val="2"/>
        <scheme val="minor"/>
      </rPr>
      <t>jami daromadining 68 foizini</t>
    </r>
    <r>
      <rPr>
        <sz val="11"/>
        <color indexed="8"/>
        <rFont val="Aptos Narrow"/>
        <family val="2"/>
        <scheme val="minor"/>
      </rPr>
      <t xml:space="preserve"> ta'minlaydi. Bir necha marta qayta hisoblab ko'rdim, xato emas — 4.1 milliard so'mdan ortiq, 6 milliardlik umumiy daromaddan.</t>
    </r>
  </si>
  <si>
    <t>Solishtirish uchun: "Top mijozlar" (eng sodiq, eng faol 20 kishi) atigi 11 foiz daromad beradi. Ya'ni kompaniyaning haqiqiy pul ishlab beruvchi qismi "Top" emas, balki hozir sekin-asta uzoqlashayotgan o'sha 90 kishi ekan.</t>
  </si>
  <si>
    <t>Bu, mening nazarimda, oddiy statistika emas — bu signal. Agar shu 90 kishidan hatto 10-15 tasi butunlay ketib qolsa, kompaniya daromadining sezilarli qismini yo'qotadi, va buni hech qanday yangi mijoz yoki hatto "Top" segment tezda qoplab bera olmaydi, chunki ular hajman juda kichik.</t>
  </si>
  <si>
    <t>Shuning uchun, agar men shu tahlilni ko'rgan bo'lsam va qaror qabul qiladigan joyda tursam, birinchi navbatda shu 90 kishiga individual yondashuv kerak deb o'ylardim — nega ular kamroq xarid qilyapti, degan savolga javob topish. Umumiy chegirma yoki ommaviy SMS emas, balki har birining oldingi xarid tarixiga qarab shaxsiy taklif. Bu ancha ko'p mehnat talab qiladi, lekin 68 foiz daromad gap-so'z emas — buni saqlab qolish narigi tomondagi 300+ "oddiy" mijozni jalb qilishdan ancha arzonga tushadi.</t>
  </si>
  <si>
    <t>Qolgan segmentlar haqida qisqacha: "Yangi mijozlar" (57 kishi) hozircha kichik hissa qo'shyapti (2 foiz atrofida), bu normal — ular hali ulgurmagan. "Qaytib kelmaydiganlar" (129 kishi, eng katta guruh sonlab) daromadga deyarli ta'sir qilmaydi (3 foizdan kam) — demak ularni qaytarishga urinish o'z vaqti va resursini oqlamasligi mumkin, kichikroq byudjet bilan avtomatik email/SMS kampaniya yetarli.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</si>
</sst>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 #,##0.00_-;\-* #,##0.00_-;_-* &quot;-&quot;??_-;_-@_-"/>
    <numFmt numFmtId="165" formatCode="_-* #,##0_-;\-* #,##0_-;_-* &quot;-&quot;??_-;_-@_-"/>
    <numFmt numFmtId="166" formatCode="d/m/yy;@"/>
    <numFmt numFmtId="167" formatCode="0.0"/>
  </numFmts>
  <fonts count="10">
    <font>
      <sz val="11"/>
      <color indexed="8"/>
      <name val="Aptos Narrow"/>
      <family val="2"/>
      <scheme val="minor"/>
    </font>
    <font>
      <b/>
      <sz val="8"/>
      <color rgb="FF0C0C0C"/>
      <name val="sans-serif"/>
    </font>
    <font>
      <sz val="11"/>
      <color indexed="8"/>
      <name val="Aptos Narrow"/>
      <family val="2"/>
      <scheme val="minor"/>
    </font>
    <font>
      <sz val="8"/>
      <name val="Aptos Narrow"/>
      <family val="2"/>
      <scheme val="minor"/>
    </font>
    <font>
      <b/>
      <sz val="11"/>
      <color theme="0"/>
      <name val="Aptos Narrow"/>
      <family val="2"/>
      <scheme val="minor"/>
    </font>
    <font>
      <b/>
      <sz val="11"/>
      <color indexed="8"/>
      <name val="Aptos Narrow"/>
      <family val="2"/>
      <scheme val="minor"/>
    </font>
    <font>
      <b/>
      <sz val="13.5"/>
      <color indexed="8"/>
      <name val="Aptos Narrow"/>
      <family val="2"/>
      <scheme val="minor"/>
    </font>
    <font>
      <b/>
      <sz val="16"/>
      <color indexed="8"/>
      <name val="Aptos Narrow"/>
      <family val="2"/>
      <scheme val="minor"/>
    </font>
    <font>
      <b/>
      <sz val="11"/>
      <name val="Aptos Narrow"/>
      <family val="2"/>
      <scheme val="minor"/>
    </font>
    <font>
      <sz val="11"/>
      <color theme="0"/>
      <name val="Aptos Narrow"/>
      <family val="2"/>
      <scheme val="minor"/>
    </font>
  </fonts>
  <fills count="11">
    <fill>
      <patternFill patternType="none"/>
    </fill>
    <fill>
      <patternFill patternType="gray125"/>
    </fill>
    <fill>
      <patternFill patternType="solid">
        <fgColor rgb="FFD5D5D5"/>
      </patternFill>
    </fill>
    <fill>
      <patternFill patternType="solid">
        <fgColor rgb="FFEAEAEA"/>
      </patternFill>
    </fill>
    <fill>
      <patternFill patternType="solid">
        <fgColor theme="4"/>
        <bgColor indexed="64"/>
      </patternFill>
    </fill>
    <fill>
      <patternFill patternType="solid">
        <fgColor rgb="FFFFFF00"/>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0000"/>
        <bgColor indexed="64"/>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164" fontId="2" fillId="0" borderId="0" applyFont="0" applyFill="0" applyBorder="0" applyAlignment="0" applyProtection="0"/>
    <xf numFmtId="44" fontId="2" fillId="0" borderId="0" applyFont="0" applyFill="0" applyBorder="0" applyAlignment="0" applyProtection="0"/>
  </cellStyleXfs>
  <cellXfs count="5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horizontal="left"/>
    </xf>
    <xf numFmtId="165" fontId="0" fillId="0" borderId="0" xfId="1" applyNumberFormat="1" applyFont="1"/>
    <xf numFmtId="0" fontId="0" fillId="0" borderId="1" xfId="0" applyBorder="1"/>
    <xf numFmtId="0" fontId="0" fillId="0" borderId="0" xfId="0" applyAlignment="1">
      <alignment horizontal="center" vertical="center" wrapText="1"/>
    </xf>
    <xf numFmtId="0" fontId="4" fillId="4" borderId="2" xfId="0" applyFont="1" applyFill="1" applyBorder="1" applyAlignment="1">
      <alignment horizontal="center" vertical="center" wrapText="1"/>
    </xf>
    <xf numFmtId="165" fontId="4" fillId="4" borderId="2" xfId="1" applyNumberFormat="1" applyFont="1" applyFill="1" applyBorder="1" applyAlignment="1">
      <alignment horizontal="center" vertical="center" wrapText="1"/>
    </xf>
    <xf numFmtId="14" fontId="4" fillId="4" borderId="2" xfId="0" applyNumberFormat="1" applyFont="1" applyFill="1" applyBorder="1" applyAlignment="1">
      <alignment horizontal="center" vertical="center" wrapText="1"/>
    </xf>
    <xf numFmtId="14" fontId="0" fillId="0" borderId="0" xfId="0" applyNumberFormat="1"/>
    <xf numFmtId="0" fontId="5" fillId="0" borderId="0" xfId="0" applyFont="1"/>
    <xf numFmtId="0" fontId="0" fillId="0" borderId="0" xfId="0"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0" fillId="0" borderId="0" xfId="0" applyAlignment="1">
      <alignment horizontal="left" vertical="center" indent="2"/>
    </xf>
    <xf numFmtId="0" fontId="5" fillId="0" borderId="0" xfId="0" applyFont="1" applyAlignment="1">
      <alignment horizontal="left" vertical="center" indent="2"/>
    </xf>
    <xf numFmtId="14" fontId="8" fillId="5" borderId="2" xfId="0" applyNumberFormat="1" applyFont="1" applyFill="1" applyBorder="1" applyAlignment="1">
      <alignment horizontal="center" vertical="center" wrapText="1"/>
    </xf>
    <xf numFmtId="1" fontId="0" fillId="0" borderId="0" xfId="0" applyNumberFormat="1" applyAlignment="1">
      <alignment horizontal="center" vertical="center"/>
    </xf>
    <xf numFmtId="166" fontId="0" fillId="0" borderId="0" xfId="0" applyNumberFormat="1"/>
    <xf numFmtId="166" fontId="0" fillId="0" borderId="6" xfId="0" applyNumberFormat="1" applyBorder="1"/>
    <xf numFmtId="0" fontId="0" fillId="0" borderId="0" xfId="2" applyNumberFormat="1" applyFont="1" applyBorder="1"/>
    <xf numFmtId="165" fontId="0" fillId="0" borderId="0" xfId="1" applyNumberFormat="1" applyFont="1" applyBorder="1"/>
    <xf numFmtId="0" fontId="0" fillId="0" borderId="7" xfId="0" applyBorder="1"/>
    <xf numFmtId="166" fontId="0" fillId="0" borderId="8" xfId="0" applyNumberFormat="1" applyBorder="1"/>
    <xf numFmtId="0" fontId="0" fillId="0" borderId="9" xfId="2" applyNumberFormat="1" applyFont="1" applyBorder="1"/>
    <xf numFmtId="165" fontId="0" fillId="0" borderId="9" xfId="1" applyNumberFormat="1" applyFont="1" applyBorder="1"/>
    <xf numFmtId="0" fontId="0" fillId="0" borderId="9" xfId="0" applyBorder="1"/>
    <xf numFmtId="0" fontId="0" fillId="0" borderId="10" xfId="0" applyBorder="1"/>
    <xf numFmtId="0" fontId="0" fillId="0" borderId="6" xfId="0" applyBorder="1"/>
    <xf numFmtId="0" fontId="0" fillId="0" borderId="8" xfId="0" applyBorder="1"/>
    <xf numFmtId="166" fontId="0" fillId="7" borderId="2" xfId="0" applyNumberFormat="1" applyFill="1" applyBorder="1" applyAlignment="1">
      <alignment horizontal="center" vertical="center"/>
    </xf>
    <xf numFmtId="0" fontId="0" fillId="7" borderId="2" xfId="0" applyFill="1" applyBorder="1" applyAlignment="1">
      <alignment horizontal="center" vertical="center"/>
    </xf>
    <xf numFmtId="165" fontId="0" fillId="7" borderId="2" xfId="1" applyNumberFormat="1" applyFont="1" applyFill="1" applyBorder="1" applyAlignment="1">
      <alignment horizontal="center" vertical="center"/>
    </xf>
    <xf numFmtId="0" fontId="0" fillId="9" borderId="2" xfId="0" applyFill="1" applyBorder="1"/>
    <xf numFmtId="14" fontId="0" fillId="9" borderId="2" xfId="0" applyNumberFormat="1" applyFill="1" applyBorder="1"/>
    <xf numFmtId="167" fontId="0" fillId="0" borderId="15" xfId="0" applyNumberFormat="1" applyBorder="1"/>
    <xf numFmtId="165" fontId="0" fillId="0" borderId="15" xfId="1" applyNumberFormat="1" applyFont="1" applyBorder="1"/>
    <xf numFmtId="0" fontId="0" fillId="0" borderId="16" xfId="0" applyBorder="1"/>
    <xf numFmtId="0" fontId="9" fillId="6" borderId="3" xfId="0" applyFont="1" applyFill="1" applyBorder="1" applyAlignment="1">
      <alignment horizontal="center" vertical="center"/>
    </xf>
    <xf numFmtId="14" fontId="9" fillId="6" borderId="4" xfId="0" applyNumberFormat="1" applyFont="1" applyFill="1" applyBorder="1" applyAlignment="1">
      <alignment horizontal="center" vertical="center"/>
    </xf>
    <xf numFmtId="0" fontId="0" fillId="8" borderId="4" xfId="0" applyFill="1" applyBorder="1" applyAlignment="1">
      <alignment horizontal="center" vertical="center"/>
    </xf>
    <xf numFmtId="0" fontId="0" fillId="8" borderId="4" xfId="0" applyFill="1" applyBorder="1" applyAlignment="1">
      <alignment horizontal="center" vertical="center" wrapText="1"/>
    </xf>
    <xf numFmtId="0" fontId="0" fillId="8" borderId="5" xfId="0" applyFill="1" applyBorder="1" applyAlignment="1">
      <alignment horizontal="center" vertical="center"/>
    </xf>
    <xf numFmtId="14" fontId="0" fillId="0" borderId="9" xfId="0" applyNumberFormat="1" applyBorder="1"/>
    <xf numFmtId="0" fontId="0" fillId="9" borderId="16" xfId="0" applyFill="1" applyBorder="1"/>
    <xf numFmtId="0" fontId="9" fillId="10" borderId="11" xfId="0" applyFont="1" applyFill="1" applyBorder="1"/>
    <xf numFmtId="166" fontId="0" fillId="7" borderId="12" xfId="0" applyNumberFormat="1" applyFill="1" applyBorder="1" applyAlignment="1">
      <alignment horizontal="center"/>
    </xf>
    <xf numFmtId="166" fontId="0" fillId="7" borderId="13" xfId="0" applyNumberFormat="1" applyFill="1" applyBorder="1" applyAlignment="1">
      <alignment horizontal="center"/>
    </xf>
    <xf numFmtId="166" fontId="0" fillId="7" borderId="14" xfId="0" applyNumberFormat="1"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0" fontId="7" fillId="5" borderId="2" xfId="0" applyFont="1" applyFill="1" applyBorder="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5C390DBE-1855-473F-B241-00DFE13F411F}">
  <we:reference id="wa200005502" version="1.0.0.13" store="en-US" storeType="OMEX"/>
  <we:alternateReferences>
    <we:reference id="wa200005502" version="1.0.0.13" store="wa200005502" storeType="OMEX"/>
  </we:alternateReferences>
  <we:properties>
    <we:property name="docId" value="&quot;ChTL5nO1ZPgXTUeysj9e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9FD9A9AE-9E5D-4EAF-8A27-FEA05BB97777}">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56D3B3B7-CA9F-4CA5-84D2-112A309FD87E}">
  <we:reference id="wa104100404" version="3.0.0.1" store="en-US" storeType="OMEX"/>
  <we:alternateReferences>
    <we:reference id="wa104100404" version="3.0.0.1" store="wa104100404" storeType="OMEX"/>
  </we:alternateReferences>
  <we:properties>
    <we:property name="UniqueID" value="&quot;202666178334990557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7230-7187-40B1-83D5-C0014C507B69}">
  <dimension ref="A1:J3733"/>
  <sheetViews>
    <sheetView workbookViewId="0">
      <selection activeCell="J4" sqref="J4"/>
    </sheetView>
  </sheetViews>
  <sheetFormatPr defaultRowHeight="14.4"/>
  <cols>
    <col min="1" max="1" width="28.5546875" customWidth="1"/>
    <col min="2" max="2" width="31.5546875" bestFit="1" customWidth="1"/>
    <col min="3" max="3" width="33.5546875" style="4" bestFit="1" customWidth="1"/>
    <col min="8" max="8" width="43.33203125" bestFit="1" customWidth="1"/>
  </cols>
  <sheetData>
    <row r="1" spans="1:10">
      <c r="A1" s="1" t="s">
        <v>4</v>
      </c>
      <c r="H1" s="3" t="s">
        <v>69</v>
      </c>
      <c r="I1" t="s">
        <v>209</v>
      </c>
      <c r="J1" t="s">
        <v>67</v>
      </c>
    </row>
    <row r="2" spans="1:10">
      <c r="A2" s="2" t="s">
        <v>9</v>
      </c>
      <c r="B2" t="s">
        <v>202</v>
      </c>
      <c r="H2" s="3" t="s">
        <v>96</v>
      </c>
      <c r="I2" t="s">
        <v>210</v>
      </c>
      <c r="J2" t="s">
        <v>97</v>
      </c>
    </row>
    <row r="3" spans="1:10">
      <c r="A3" s="2" t="s">
        <v>20</v>
      </c>
      <c r="B3" t="s">
        <v>203</v>
      </c>
      <c r="C3"/>
      <c r="H3" s="3" t="s">
        <v>50</v>
      </c>
      <c r="I3" t="s">
        <v>211</v>
      </c>
      <c r="J3" t="s">
        <v>51</v>
      </c>
    </row>
    <row r="4" spans="1:10">
      <c r="A4" s="2" t="s">
        <v>35</v>
      </c>
      <c r="B4" t="s">
        <v>204</v>
      </c>
      <c r="C4"/>
      <c r="H4" s="3" t="s">
        <v>36</v>
      </c>
      <c r="I4" t="s">
        <v>212</v>
      </c>
      <c r="J4" t="s">
        <v>37</v>
      </c>
    </row>
    <row r="5" spans="1:10">
      <c r="A5" s="2" t="s">
        <v>49</v>
      </c>
      <c r="B5" t="s">
        <v>205</v>
      </c>
      <c r="C5"/>
      <c r="H5" s="3" t="s">
        <v>47</v>
      </c>
      <c r="I5" t="s">
        <v>213</v>
      </c>
      <c r="J5" t="s">
        <v>48</v>
      </c>
    </row>
    <row r="6" spans="1:10">
      <c r="A6" s="2" t="s">
        <v>65</v>
      </c>
      <c r="B6" t="s">
        <v>206</v>
      </c>
      <c r="C6"/>
      <c r="H6" s="3" t="s">
        <v>60</v>
      </c>
      <c r="I6" t="s">
        <v>214</v>
      </c>
      <c r="J6" t="s">
        <v>48</v>
      </c>
    </row>
    <row r="7" spans="1:10">
      <c r="A7" s="5"/>
      <c r="C7"/>
      <c r="H7" s="3" t="s">
        <v>58</v>
      </c>
      <c r="I7" t="s">
        <v>215</v>
      </c>
      <c r="J7" t="s">
        <v>59</v>
      </c>
    </row>
    <row r="8" spans="1:10">
      <c r="C8"/>
      <c r="H8" s="3" t="s">
        <v>56</v>
      </c>
      <c r="I8" t="s">
        <v>216</v>
      </c>
      <c r="J8" t="s">
        <v>57</v>
      </c>
    </row>
    <row r="9" spans="1:10">
      <c r="C9"/>
      <c r="H9" s="3" t="s">
        <v>80</v>
      </c>
      <c r="I9" t="s">
        <v>217</v>
      </c>
      <c r="J9" t="s">
        <v>81</v>
      </c>
    </row>
    <row r="10" spans="1:10">
      <c r="C10"/>
      <c r="H10" s="3" t="s">
        <v>84</v>
      </c>
      <c r="I10" t="s">
        <v>218</v>
      </c>
      <c r="J10" t="s">
        <v>85</v>
      </c>
    </row>
    <row r="11" spans="1:10">
      <c r="C11"/>
      <c r="H11" s="3" t="s">
        <v>83</v>
      </c>
      <c r="I11" t="s">
        <v>219</v>
      </c>
      <c r="J11" t="s">
        <v>82</v>
      </c>
    </row>
    <row r="12" spans="1:10">
      <c r="C12"/>
      <c r="H12" s="3" t="s">
        <v>43</v>
      </c>
      <c r="I12" t="s">
        <v>220</v>
      </c>
      <c r="J12" t="s">
        <v>15</v>
      </c>
    </row>
    <row r="13" spans="1:10">
      <c r="C13"/>
      <c r="H13" s="3" t="s">
        <v>45</v>
      </c>
      <c r="I13" t="s">
        <v>221</v>
      </c>
      <c r="J13" t="s">
        <v>46</v>
      </c>
    </row>
    <row r="14" spans="1:10">
      <c r="C14"/>
      <c r="H14" s="3" t="s">
        <v>62</v>
      </c>
      <c r="I14" t="s">
        <v>222</v>
      </c>
      <c r="J14" t="s">
        <v>22</v>
      </c>
    </row>
    <row r="15" spans="1:10">
      <c r="C15"/>
      <c r="H15" s="3" t="s">
        <v>42</v>
      </c>
      <c r="I15" t="s">
        <v>223</v>
      </c>
      <c r="J15" t="s">
        <v>22</v>
      </c>
    </row>
    <row r="16" spans="1:10">
      <c r="C16"/>
      <c r="H16" s="3" t="s">
        <v>41</v>
      </c>
      <c r="I16" t="s">
        <v>224</v>
      </c>
      <c r="J16" t="s">
        <v>22</v>
      </c>
    </row>
    <row r="17" spans="3:10">
      <c r="C17"/>
      <c r="H17" s="3" t="s">
        <v>44</v>
      </c>
      <c r="I17" t="s">
        <v>225</v>
      </c>
      <c r="J17" t="s">
        <v>22</v>
      </c>
    </row>
    <row r="18" spans="3:10">
      <c r="C18"/>
      <c r="H18" s="3" t="s">
        <v>40</v>
      </c>
      <c r="I18" t="s">
        <v>226</v>
      </c>
      <c r="J18" t="s">
        <v>22</v>
      </c>
    </row>
    <row r="19" spans="3:10">
      <c r="C19"/>
      <c r="H19" s="3" t="s">
        <v>32</v>
      </c>
      <c r="I19" t="s">
        <v>227</v>
      </c>
      <c r="J19" t="s">
        <v>22</v>
      </c>
    </row>
    <row r="20" spans="3:10">
      <c r="C20"/>
      <c r="H20" s="3" t="s">
        <v>28</v>
      </c>
      <c r="I20" t="s">
        <v>228</v>
      </c>
      <c r="J20" t="s">
        <v>22</v>
      </c>
    </row>
    <row r="21" spans="3:10">
      <c r="C21"/>
      <c r="H21" s="3" t="s">
        <v>64</v>
      </c>
      <c r="I21" t="s">
        <v>229</v>
      </c>
      <c r="J21" t="s">
        <v>30</v>
      </c>
    </row>
    <row r="22" spans="3:10">
      <c r="C22"/>
      <c r="H22" s="3" t="s">
        <v>27</v>
      </c>
      <c r="I22" t="s">
        <v>230</v>
      </c>
      <c r="J22" t="s">
        <v>22</v>
      </c>
    </row>
    <row r="23" spans="3:10">
      <c r="C23"/>
      <c r="H23" s="3" t="s">
        <v>63</v>
      </c>
      <c r="I23" t="s">
        <v>231</v>
      </c>
      <c r="J23" t="s">
        <v>30</v>
      </c>
    </row>
    <row r="24" spans="3:10">
      <c r="C24"/>
      <c r="H24" s="3" t="s">
        <v>26</v>
      </c>
      <c r="I24" t="s">
        <v>232</v>
      </c>
      <c r="J24" t="s">
        <v>22</v>
      </c>
    </row>
    <row r="25" spans="3:10">
      <c r="C25"/>
      <c r="H25" s="3" t="s">
        <v>53</v>
      </c>
      <c r="I25" t="s">
        <v>233</v>
      </c>
      <c r="J25" t="s">
        <v>52</v>
      </c>
    </row>
    <row r="26" spans="3:10">
      <c r="C26"/>
      <c r="H26" s="3" t="s">
        <v>25</v>
      </c>
      <c r="I26" t="s">
        <v>234</v>
      </c>
      <c r="J26" t="s">
        <v>22</v>
      </c>
    </row>
    <row r="27" spans="3:10">
      <c r="C27"/>
      <c r="H27" s="3" t="s">
        <v>70</v>
      </c>
      <c r="I27" t="s">
        <v>235</v>
      </c>
      <c r="J27" t="s">
        <v>30</v>
      </c>
    </row>
    <row r="28" spans="3:10">
      <c r="C28"/>
      <c r="H28" s="3" t="s">
        <v>24</v>
      </c>
      <c r="I28" t="s">
        <v>236</v>
      </c>
      <c r="J28" t="s">
        <v>22</v>
      </c>
    </row>
    <row r="29" spans="3:10">
      <c r="C29"/>
      <c r="H29" s="3" t="s">
        <v>68</v>
      </c>
      <c r="I29" t="s">
        <v>237</v>
      </c>
      <c r="J29" t="s">
        <v>30</v>
      </c>
    </row>
    <row r="30" spans="3:10">
      <c r="C30"/>
      <c r="H30" s="3" t="s">
        <v>39</v>
      </c>
      <c r="I30" t="s">
        <v>238</v>
      </c>
      <c r="J30" t="s">
        <v>38</v>
      </c>
    </row>
    <row r="31" spans="3:10">
      <c r="C31"/>
      <c r="H31" s="3" t="s">
        <v>31</v>
      </c>
      <c r="I31" t="s">
        <v>239</v>
      </c>
      <c r="J31" t="s">
        <v>30</v>
      </c>
    </row>
    <row r="32" spans="3:10">
      <c r="C32"/>
      <c r="H32" s="3" t="s">
        <v>23</v>
      </c>
      <c r="I32" t="s">
        <v>240</v>
      </c>
      <c r="J32" t="s">
        <v>22</v>
      </c>
    </row>
    <row r="33" spans="3:10">
      <c r="C33"/>
      <c r="H33" s="3" t="s">
        <v>61</v>
      </c>
      <c r="I33" t="s">
        <v>241</v>
      </c>
      <c r="J33" t="s">
        <v>30</v>
      </c>
    </row>
    <row r="34" spans="3:10">
      <c r="C34"/>
      <c r="H34" s="3" t="s">
        <v>21</v>
      </c>
      <c r="I34" t="s">
        <v>242</v>
      </c>
      <c r="J34" t="s">
        <v>22</v>
      </c>
    </row>
    <row r="35" spans="3:10">
      <c r="C35"/>
      <c r="H35" s="3" t="s">
        <v>34</v>
      </c>
      <c r="I35" t="s">
        <v>243</v>
      </c>
      <c r="J35" t="s">
        <v>22</v>
      </c>
    </row>
    <row r="36" spans="3:10">
      <c r="C36"/>
      <c r="H36" s="3" t="s">
        <v>29</v>
      </c>
      <c r="I36" t="s">
        <v>244</v>
      </c>
      <c r="J36" t="s">
        <v>30</v>
      </c>
    </row>
    <row r="37" spans="3:10">
      <c r="C37"/>
      <c r="H37" s="3" t="s">
        <v>33</v>
      </c>
      <c r="I37" t="s">
        <v>245</v>
      </c>
      <c r="J37" t="s">
        <v>22</v>
      </c>
    </row>
    <row r="38" spans="3:10">
      <c r="C38"/>
      <c r="H38" s="3" t="s">
        <v>103</v>
      </c>
      <c r="I38" t="s">
        <v>246</v>
      </c>
      <c r="J38" t="s">
        <v>102</v>
      </c>
    </row>
    <row r="39" spans="3:10">
      <c r="C39"/>
      <c r="H39" s="3" t="s">
        <v>104</v>
      </c>
      <c r="I39" t="s">
        <v>247</v>
      </c>
      <c r="J39" t="s">
        <v>99</v>
      </c>
    </row>
    <row r="40" spans="3:10">
      <c r="C40"/>
      <c r="H40" s="3" t="s">
        <v>75</v>
      </c>
      <c r="I40" t="s">
        <v>248</v>
      </c>
      <c r="J40" t="s">
        <v>76</v>
      </c>
    </row>
    <row r="41" spans="3:10">
      <c r="C41"/>
      <c r="H41" s="3" t="s">
        <v>66</v>
      </c>
      <c r="I41" t="s">
        <v>249</v>
      </c>
      <c r="J41" t="s">
        <v>67</v>
      </c>
    </row>
    <row r="42" spans="3:10">
      <c r="C42"/>
      <c r="H42" s="3" t="s">
        <v>71</v>
      </c>
      <c r="I42" t="s">
        <v>250</v>
      </c>
      <c r="J42" t="s">
        <v>67</v>
      </c>
    </row>
    <row r="43" spans="3:10">
      <c r="C43"/>
      <c r="H43" s="3" t="s">
        <v>73</v>
      </c>
      <c r="I43" t="s">
        <v>251</v>
      </c>
      <c r="J43" t="s">
        <v>74</v>
      </c>
    </row>
    <row r="44" spans="3:10">
      <c r="C44"/>
      <c r="H44" s="3" t="s">
        <v>100</v>
      </c>
      <c r="I44" t="s">
        <v>252</v>
      </c>
      <c r="J44" t="s">
        <v>101</v>
      </c>
    </row>
    <row r="45" spans="3:10">
      <c r="C45"/>
      <c r="H45" s="3" t="s">
        <v>78</v>
      </c>
      <c r="I45" t="s">
        <v>253</v>
      </c>
      <c r="J45" t="s">
        <v>79</v>
      </c>
    </row>
    <row r="46" spans="3:10">
      <c r="C46"/>
      <c r="H46" s="3" t="s">
        <v>72</v>
      </c>
      <c r="I46" t="s">
        <v>254</v>
      </c>
      <c r="J46" t="s">
        <v>15</v>
      </c>
    </row>
    <row r="47" spans="3:10">
      <c r="C47"/>
      <c r="H47" s="3" t="s">
        <v>54</v>
      </c>
      <c r="I47" t="s">
        <v>255</v>
      </c>
      <c r="J47" t="s">
        <v>55</v>
      </c>
    </row>
    <row r="48" spans="3:10">
      <c r="C48"/>
      <c r="H48" s="3" t="s">
        <v>18</v>
      </c>
      <c r="I48" t="s">
        <v>256</v>
      </c>
      <c r="J48" t="s">
        <v>19</v>
      </c>
    </row>
    <row r="49" spans="3:10">
      <c r="C49"/>
      <c r="H49" s="3" t="s">
        <v>16</v>
      </c>
      <c r="I49" t="s">
        <v>257</v>
      </c>
      <c r="J49" t="s">
        <v>17</v>
      </c>
    </row>
    <row r="50" spans="3:10">
      <c r="C50"/>
      <c r="H50" s="3" t="s">
        <v>14</v>
      </c>
      <c r="I50" t="s">
        <v>258</v>
      </c>
      <c r="J50" t="s">
        <v>15</v>
      </c>
    </row>
    <row r="51" spans="3:10">
      <c r="C51"/>
      <c r="H51" s="3" t="s">
        <v>12</v>
      </c>
      <c r="I51" t="s">
        <v>259</v>
      </c>
      <c r="J51" t="s">
        <v>13</v>
      </c>
    </row>
    <row r="52" spans="3:10">
      <c r="C52"/>
      <c r="H52" s="3" t="s">
        <v>77</v>
      </c>
      <c r="I52" t="s">
        <v>260</v>
      </c>
      <c r="J52" t="s">
        <v>11</v>
      </c>
    </row>
    <row r="53" spans="3:10">
      <c r="C53"/>
      <c r="H53" s="3" t="s">
        <v>10</v>
      </c>
      <c r="I53" t="s">
        <v>261</v>
      </c>
      <c r="J53">
        <v>3.31</v>
      </c>
    </row>
    <row r="54" spans="3:10">
      <c r="C54"/>
      <c r="H54" s="3"/>
    </row>
    <row r="55" spans="3:10">
      <c r="C55"/>
      <c r="H55" s="3"/>
    </row>
    <row r="56" spans="3:10">
      <c r="C56"/>
      <c r="H56" s="3"/>
    </row>
    <row r="57" spans="3:10">
      <c r="C57"/>
      <c r="H57" s="3"/>
    </row>
    <row r="58" spans="3:10">
      <c r="C58"/>
      <c r="H58" s="3"/>
    </row>
    <row r="59" spans="3:10">
      <c r="C59"/>
      <c r="H59" s="3"/>
    </row>
    <row r="60" spans="3:10">
      <c r="C60"/>
    </row>
    <row r="61" spans="3:10">
      <c r="C61"/>
    </row>
    <row r="62" spans="3:10">
      <c r="C62"/>
    </row>
    <row r="63" spans="3:10">
      <c r="C63"/>
    </row>
    <row r="64" spans="3:10">
      <c r="C64"/>
    </row>
    <row r="65" spans="3:3">
      <c r="C65"/>
    </row>
    <row r="66" spans="3:3">
      <c r="C66"/>
    </row>
    <row r="67" spans="3:3">
      <c r="C67"/>
    </row>
    <row r="68" spans="3:3">
      <c r="C68"/>
    </row>
    <row r="69" spans="3:3">
      <c r="C69"/>
    </row>
    <row r="70" spans="3:3">
      <c r="C70"/>
    </row>
    <row r="71" spans="3:3">
      <c r="C71"/>
    </row>
    <row r="72" spans="3:3">
      <c r="C72"/>
    </row>
    <row r="73" spans="3:3">
      <c r="C73"/>
    </row>
    <row r="74" spans="3:3">
      <c r="C74"/>
    </row>
    <row r="75" spans="3:3">
      <c r="C75"/>
    </row>
    <row r="76" spans="3:3">
      <c r="C76"/>
    </row>
    <row r="77" spans="3:3">
      <c r="C77"/>
    </row>
    <row r="78" spans="3:3">
      <c r="C78"/>
    </row>
    <row r="79" spans="3:3">
      <c r="C79"/>
    </row>
    <row r="80" spans="3:3">
      <c r="C80"/>
    </row>
    <row r="81" spans="3:3">
      <c r="C81"/>
    </row>
    <row r="82" spans="3:3">
      <c r="C82"/>
    </row>
    <row r="83" spans="3:3">
      <c r="C83"/>
    </row>
    <row r="84" spans="3:3">
      <c r="C84"/>
    </row>
    <row r="85" spans="3:3">
      <c r="C85"/>
    </row>
    <row r="86" spans="3:3">
      <c r="C86"/>
    </row>
    <row r="87" spans="3:3">
      <c r="C87"/>
    </row>
    <row r="88" spans="3:3">
      <c r="C88"/>
    </row>
    <row r="89" spans="3:3">
      <c r="C89"/>
    </row>
    <row r="90" spans="3:3">
      <c r="C90"/>
    </row>
    <row r="91" spans="3:3">
      <c r="C91"/>
    </row>
    <row r="92" spans="3:3">
      <c r="C92"/>
    </row>
    <row r="93" spans="3:3">
      <c r="C93"/>
    </row>
    <row r="94" spans="3:3">
      <c r="C94"/>
    </row>
    <row r="95" spans="3:3">
      <c r="C95"/>
    </row>
    <row r="96" spans="3:3">
      <c r="C96"/>
    </row>
    <row r="97" spans="3:3">
      <c r="C97"/>
    </row>
    <row r="98" spans="3:3">
      <c r="C98"/>
    </row>
    <row r="99" spans="3:3">
      <c r="C99"/>
    </row>
    <row r="100" spans="3:3">
      <c r="C100"/>
    </row>
    <row r="101" spans="3:3">
      <c r="C101"/>
    </row>
    <row r="102" spans="3:3">
      <c r="C102"/>
    </row>
    <row r="103" spans="3:3">
      <c r="C103"/>
    </row>
    <row r="104" spans="3:3">
      <c r="C104"/>
    </row>
    <row r="105" spans="3:3">
      <c r="C105"/>
    </row>
    <row r="106" spans="3:3">
      <c r="C106"/>
    </row>
    <row r="107" spans="3:3">
      <c r="C107"/>
    </row>
    <row r="108" spans="3:3">
      <c r="C108"/>
    </row>
    <row r="109" spans="3:3">
      <c r="C109"/>
    </row>
    <row r="110" spans="3:3">
      <c r="C110"/>
    </row>
    <row r="111" spans="3:3">
      <c r="C111"/>
    </row>
    <row r="112" spans="3: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row r="202" spans="3:3">
      <c r="C202"/>
    </row>
    <row r="203" spans="3:3">
      <c r="C203"/>
    </row>
    <row r="204" spans="3:3">
      <c r="C204"/>
    </row>
    <row r="205" spans="3:3">
      <c r="C205"/>
    </row>
    <row r="206" spans="3:3">
      <c r="C206"/>
    </row>
    <row r="207" spans="3:3">
      <c r="C207"/>
    </row>
    <row r="208" spans="3:3">
      <c r="C208"/>
    </row>
    <row r="209" spans="3:3">
      <c r="C209"/>
    </row>
    <row r="210" spans="3:3">
      <c r="C210"/>
    </row>
    <row r="211" spans="3:3">
      <c r="C211"/>
    </row>
    <row r="212" spans="3:3">
      <c r="C212"/>
    </row>
    <row r="213" spans="3:3">
      <c r="C213"/>
    </row>
    <row r="214" spans="3:3">
      <c r="C214"/>
    </row>
    <row r="215" spans="3:3">
      <c r="C215"/>
    </row>
    <row r="216" spans="3:3">
      <c r="C216"/>
    </row>
    <row r="217" spans="3:3">
      <c r="C217"/>
    </row>
    <row r="218" spans="3:3">
      <c r="C218"/>
    </row>
    <row r="219" spans="3:3">
      <c r="C219"/>
    </row>
    <row r="220" spans="3:3">
      <c r="C220"/>
    </row>
    <row r="221" spans="3:3">
      <c r="C221"/>
    </row>
    <row r="222" spans="3:3">
      <c r="C222"/>
    </row>
    <row r="223" spans="3:3">
      <c r="C223"/>
    </row>
    <row r="224" spans="3:3">
      <c r="C224"/>
    </row>
    <row r="225" spans="3:3">
      <c r="C225"/>
    </row>
    <row r="226" spans="3:3">
      <c r="C226"/>
    </row>
    <row r="227" spans="3:3">
      <c r="C227"/>
    </row>
    <row r="228" spans="3:3">
      <c r="C228"/>
    </row>
    <row r="229" spans="3:3">
      <c r="C229"/>
    </row>
    <row r="230" spans="3:3">
      <c r="C230"/>
    </row>
    <row r="231" spans="3:3">
      <c r="C231"/>
    </row>
    <row r="232" spans="3:3">
      <c r="C232"/>
    </row>
    <row r="233" spans="3:3">
      <c r="C233"/>
    </row>
    <row r="234" spans="3:3">
      <c r="C234"/>
    </row>
    <row r="235" spans="3:3">
      <c r="C235"/>
    </row>
    <row r="236" spans="3:3">
      <c r="C236"/>
    </row>
    <row r="237" spans="3:3">
      <c r="C237"/>
    </row>
    <row r="238" spans="3:3">
      <c r="C238"/>
    </row>
    <row r="239" spans="3:3">
      <c r="C239"/>
    </row>
    <row r="240" spans="3:3">
      <c r="C240"/>
    </row>
    <row r="241" spans="3:3">
      <c r="C241"/>
    </row>
    <row r="242" spans="3:3">
      <c r="C242"/>
    </row>
    <row r="243" spans="3:3">
      <c r="C243"/>
    </row>
    <row r="244" spans="3:3">
      <c r="C244"/>
    </row>
    <row r="245" spans="3:3">
      <c r="C245"/>
    </row>
    <row r="246" spans="3:3">
      <c r="C246"/>
    </row>
    <row r="247" spans="3:3">
      <c r="C247"/>
    </row>
    <row r="248" spans="3:3">
      <c r="C248"/>
    </row>
    <row r="249" spans="3:3">
      <c r="C249"/>
    </row>
    <row r="250" spans="3:3">
      <c r="C250"/>
    </row>
    <row r="251" spans="3:3">
      <c r="C251"/>
    </row>
    <row r="252" spans="3:3">
      <c r="C252"/>
    </row>
    <row r="253" spans="3:3">
      <c r="C253"/>
    </row>
    <row r="254" spans="3:3">
      <c r="C254"/>
    </row>
    <row r="255" spans="3:3">
      <c r="C255"/>
    </row>
    <row r="256" spans="3:3">
      <c r="C256"/>
    </row>
    <row r="257" spans="3:3">
      <c r="C257"/>
    </row>
    <row r="258" spans="3:3">
      <c r="C258"/>
    </row>
    <row r="259" spans="3:3">
      <c r="C259"/>
    </row>
    <row r="260" spans="3:3">
      <c r="C260"/>
    </row>
    <row r="261" spans="3:3">
      <c r="C261"/>
    </row>
    <row r="262" spans="3:3">
      <c r="C262"/>
    </row>
    <row r="263" spans="3:3">
      <c r="C263"/>
    </row>
    <row r="264" spans="3:3">
      <c r="C264"/>
    </row>
    <row r="265" spans="3:3">
      <c r="C265"/>
    </row>
    <row r="266" spans="3:3">
      <c r="C266"/>
    </row>
    <row r="267" spans="3:3">
      <c r="C267"/>
    </row>
    <row r="268" spans="3:3">
      <c r="C268"/>
    </row>
    <row r="269" spans="3:3">
      <c r="C269"/>
    </row>
    <row r="270" spans="3:3">
      <c r="C270"/>
    </row>
    <row r="271" spans="3:3">
      <c r="C271"/>
    </row>
    <row r="272" spans="3:3">
      <c r="C272"/>
    </row>
    <row r="273" spans="3:3">
      <c r="C273"/>
    </row>
    <row r="274" spans="3:3">
      <c r="C274"/>
    </row>
    <row r="275" spans="3:3">
      <c r="C275"/>
    </row>
    <row r="276" spans="3:3">
      <c r="C276"/>
    </row>
    <row r="277" spans="3:3">
      <c r="C277"/>
    </row>
    <row r="278" spans="3:3">
      <c r="C278"/>
    </row>
    <row r="279" spans="3:3">
      <c r="C279"/>
    </row>
    <row r="280" spans="3:3">
      <c r="C280"/>
    </row>
    <row r="281" spans="3:3">
      <c r="C281"/>
    </row>
    <row r="282" spans="3:3">
      <c r="C282"/>
    </row>
    <row r="283" spans="3:3">
      <c r="C283"/>
    </row>
    <row r="284" spans="3:3">
      <c r="C284"/>
    </row>
    <row r="285" spans="3:3">
      <c r="C285"/>
    </row>
    <row r="286" spans="3:3">
      <c r="C286"/>
    </row>
    <row r="287" spans="3:3">
      <c r="C287"/>
    </row>
    <row r="288" spans="3:3">
      <c r="C288"/>
    </row>
    <row r="289" spans="3:3">
      <c r="C289"/>
    </row>
    <row r="290" spans="3:3">
      <c r="C290"/>
    </row>
    <row r="291" spans="3:3">
      <c r="C291"/>
    </row>
    <row r="292" spans="3:3">
      <c r="C292"/>
    </row>
    <row r="293" spans="3:3">
      <c r="C293"/>
    </row>
    <row r="294" spans="3:3">
      <c r="C294"/>
    </row>
    <row r="295" spans="3:3">
      <c r="C295"/>
    </row>
    <row r="296" spans="3:3">
      <c r="C296"/>
    </row>
    <row r="297" spans="3:3">
      <c r="C297"/>
    </row>
    <row r="298" spans="3:3">
      <c r="C298"/>
    </row>
    <row r="299" spans="3:3">
      <c r="C299"/>
    </row>
    <row r="300" spans="3:3">
      <c r="C300"/>
    </row>
    <row r="301" spans="3:3">
      <c r="C301"/>
    </row>
    <row r="302" spans="3:3">
      <c r="C302"/>
    </row>
    <row r="303" spans="3:3">
      <c r="C303"/>
    </row>
    <row r="304" spans="3: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row r="345" spans="3:3">
      <c r="C345"/>
    </row>
    <row r="346" spans="3:3">
      <c r="C346"/>
    </row>
    <row r="347" spans="3:3">
      <c r="C347"/>
    </row>
    <row r="348" spans="3:3">
      <c r="C348"/>
    </row>
    <row r="349" spans="3:3">
      <c r="C349"/>
    </row>
    <row r="350" spans="3:3">
      <c r="C350"/>
    </row>
    <row r="351" spans="3:3">
      <c r="C351"/>
    </row>
    <row r="352" spans="3:3">
      <c r="C352"/>
    </row>
    <row r="353" spans="3:3">
      <c r="C353"/>
    </row>
    <row r="354" spans="3:3">
      <c r="C354"/>
    </row>
    <row r="355" spans="3:3">
      <c r="C355"/>
    </row>
    <row r="356" spans="3:3">
      <c r="C356"/>
    </row>
    <row r="357" spans="3:3">
      <c r="C357"/>
    </row>
    <row r="358" spans="3:3">
      <c r="C358"/>
    </row>
    <row r="359" spans="3:3">
      <c r="C359"/>
    </row>
    <row r="360" spans="3:3">
      <c r="C360"/>
    </row>
    <row r="361" spans="3:3">
      <c r="C361"/>
    </row>
    <row r="362" spans="3:3">
      <c r="C362"/>
    </row>
    <row r="363" spans="3:3">
      <c r="C363"/>
    </row>
    <row r="364" spans="3:3">
      <c r="C364"/>
    </row>
    <row r="365" spans="3:3">
      <c r="C365"/>
    </row>
    <row r="366" spans="3:3">
      <c r="C366"/>
    </row>
    <row r="367" spans="3:3">
      <c r="C367"/>
    </row>
    <row r="368" spans="3:3">
      <c r="C368"/>
    </row>
    <row r="369" spans="3:3">
      <c r="C369"/>
    </row>
    <row r="370" spans="3:3">
      <c r="C370"/>
    </row>
    <row r="371" spans="3:3">
      <c r="C371"/>
    </row>
    <row r="372" spans="3:3">
      <c r="C372"/>
    </row>
    <row r="373" spans="3:3">
      <c r="C373"/>
    </row>
    <row r="374" spans="3:3">
      <c r="C374"/>
    </row>
    <row r="375" spans="3:3">
      <c r="C375"/>
    </row>
    <row r="376" spans="3:3">
      <c r="C376"/>
    </row>
    <row r="377" spans="3:3">
      <c r="C377"/>
    </row>
    <row r="378" spans="3:3">
      <c r="C378"/>
    </row>
    <row r="379" spans="3:3">
      <c r="C379"/>
    </row>
    <row r="380" spans="3:3">
      <c r="C380"/>
    </row>
    <row r="381" spans="3:3">
      <c r="C381"/>
    </row>
    <row r="382" spans="3:3">
      <c r="C382"/>
    </row>
    <row r="383" spans="3:3">
      <c r="C383"/>
    </row>
    <row r="384" spans="3:3">
      <c r="C384"/>
    </row>
    <row r="385" spans="3:3">
      <c r="C385"/>
    </row>
    <row r="386" spans="3:3">
      <c r="C386"/>
    </row>
    <row r="387" spans="3:3">
      <c r="C387"/>
    </row>
    <row r="388" spans="3:3">
      <c r="C388"/>
    </row>
    <row r="389" spans="3:3">
      <c r="C389"/>
    </row>
    <row r="390" spans="3:3">
      <c r="C390"/>
    </row>
    <row r="391" spans="3:3">
      <c r="C391"/>
    </row>
    <row r="392" spans="3:3">
      <c r="C392"/>
    </row>
    <row r="393" spans="3:3">
      <c r="C393"/>
    </row>
    <row r="394" spans="3:3">
      <c r="C394"/>
    </row>
    <row r="395" spans="3:3">
      <c r="C395"/>
    </row>
    <row r="396" spans="3:3">
      <c r="C396"/>
    </row>
    <row r="397" spans="3:3">
      <c r="C397"/>
    </row>
    <row r="398" spans="3:3">
      <c r="C398"/>
    </row>
    <row r="399" spans="3:3">
      <c r="C399"/>
    </row>
    <row r="400" spans="3:3">
      <c r="C400"/>
    </row>
    <row r="401" spans="3:3">
      <c r="C401"/>
    </row>
    <row r="402" spans="3:3">
      <c r="C402"/>
    </row>
    <row r="403" spans="3:3">
      <c r="C403"/>
    </row>
    <row r="404" spans="3:3">
      <c r="C404"/>
    </row>
    <row r="405" spans="3:3">
      <c r="C405"/>
    </row>
    <row r="406" spans="3:3">
      <c r="C406"/>
    </row>
    <row r="407" spans="3:3">
      <c r="C407"/>
    </row>
    <row r="408" spans="3:3">
      <c r="C408"/>
    </row>
    <row r="409" spans="3:3">
      <c r="C409"/>
    </row>
    <row r="410" spans="3:3">
      <c r="C410"/>
    </row>
    <row r="411" spans="3:3">
      <c r="C411"/>
    </row>
    <row r="412" spans="3:3">
      <c r="C412"/>
    </row>
    <row r="413" spans="3:3">
      <c r="C413"/>
    </row>
    <row r="414" spans="3:3">
      <c r="C414"/>
    </row>
    <row r="415" spans="3:3">
      <c r="C415"/>
    </row>
    <row r="416" spans="3:3">
      <c r="C416"/>
    </row>
    <row r="417" spans="3:3">
      <c r="C417"/>
    </row>
    <row r="418" spans="3:3">
      <c r="C418"/>
    </row>
    <row r="419" spans="3:3">
      <c r="C419"/>
    </row>
    <row r="420" spans="3:3">
      <c r="C420"/>
    </row>
    <row r="421" spans="3:3">
      <c r="C421"/>
    </row>
    <row r="422" spans="3:3">
      <c r="C422"/>
    </row>
    <row r="423" spans="3:3">
      <c r="C423"/>
    </row>
    <row r="424" spans="3:3">
      <c r="C424"/>
    </row>
    <row r="425" spans="3:3">
      <c r="C425"/>
    </row>
    <row r="426" spans="3:3">
      <c r="C426"/>
    </row>
    <row r="427" spans="3:3">
      <c r="C427"/>
    </row>
    <row r="428" spans="3:3">
      <c r="C428"/>
    </row>
    <row r="429" spans="3:3">
      <c r="C429"/>
    </row>
    <row r="430" spans="3:3">
      <c r="C430"/>
    </row>
    <row r="431" spans="3:3">
      <c r="C431"/>
    </row>
    <row r="432" spans="3:3">
      <c r="C432"/>
    </row>
    <row r="433" spans="3:3">
      <c r="C433"/>
    </row>
    <row r="434" spans="3:3">
      <c r="C434"/>
    </row>
    <row r="435" spans="3:3">
      <c r="C435"/>
    </row>
    <row r="436" spans="3:3">
      <c r="C436"/>
    </row>
    <row r="437" spans="3:3">
      <c r="C437"/>
    </row>
    <row r="438" spans="3:3">
      <c r="C438"/>
    </row>
    <row r="439" spans="3:3">
      <c r="C439"/>
    </row>
    <row r="440" spans="3:3">
      <c r="C440"/>
    </row>
    <row r="441" spans="3:3">
      <c r="C441"/>
    </row>
    <row r="442" spans="3:3">
      <c r="C442"/>
    </row>
    <row r="443" spans="3:3">
      <c r="C443"/>
    </row>
    <row r="444" spans="3:3">
      <c r="C444"/>
    </row>
    <row r="445" spans="3:3">
      <c r="C445"/>
    </row>
    <row r="446" spans="3:3">
      <c r="C446"/>
    </row>
    <row r="447" spans="3:3">
      <c r="C447"/>
    </row>
    <row r="448" spans="3:3">
      <c r="C448"/>
    </row>
    <row r="449" spans="3:3">
      <c r="C449"/>
    </row>
    <row r="450" spans="3:3">
      <c r="C450"/>
    </row>
    <row r="451" spans="3:3">
      <c r="C451"/>
    </row>
    <row r="452" spans="3:3">
      <c r="C452"/>
    </row>
    <row r="453" spans="3:3">
      <c r="C453"/>
    </row>
    <row r="454" spans="3:3">
      <c r="C454"/>
    </row>
    <row r="455" spans="3:3">
      <c r="C455"/>
    </row>
    <row r="456" spans="3:3">
      <c r="C456"/>
    </row>
    <row r="457" spans="3:3">
      <c r="C457"/>
    </row>
    <row r="458" spans="3:3">
      <c r="C458"/>
    </row>
    <row r="459" spans="3:3">
      <c r="C459"/>
    </row>
    <row r="460" spans="3:3">
      <c r="C460"/>
    </row>
    <row r="461" spans="3:3">
      <c r="C461"/>
    </row>
    <row r="462" spans="3:3">
      <c r="C462"/>
    </row>
    <row r="463" spans="3:3">
      <c r="C463"/>
    </row>
    <row r="464" spans="3:3">
      <c r="C464"/>
    </row>
    <row r="465" spans="3:3">
      <c r="C465"/>
    </row>
    <row r="466" spans="3:3">
      <c r="C466"/>
    </row>
    <row r="467" spans="3:3">
      <c r="C467"/>
    </row>
    <row r="468" spans="3:3">
      <c r="C468"/>
    </row>
    <row r="469" spans="3:3">
      <c r="C469"/>
    </row>
    <row r="470" spans="3:3">
      <c r="C470"/>
    </row>
    <row r="471" spans="3:3">
      <c r="C471"/>
    </row>
    <row r="472" spans="3:3">
      <c r="C472"/>
    </row>
    <row r="473" spans="3:3">
      <c r="C473"/>
    </row>
    <row r="474" spans="3:3">
      <c r="C474"/>
    </row>
    <row r="475" spans="3:3">
      <c r="C475"/>
    </row>
    <row r="476" spans="3:3">
      <c r="C476"/>
    </row>
    <row r="477" spans="3:3">
      <c r="C477"/>
    </row>
    <row r="478" spans="3:3">
      <c r="C478"/>
    </row>
    <row r="479" spans="3:3">
      <c r="C479"/>
    </row>
    <row r="480" spans="3:3">
      <c r="C480"/>
    </row>
    <row r="481" spans="3:3">
      <c r="C481"/>
    </row>
    <row r="482" spans="3:3">
      <c r="C482"/>
    </row>
    <row r="483" spans="3:3">
      <c r="C483"/>
    </row>
    <row r="484" spans="3:3">
      <c r="C484"/>
    </row>
    <row r="485" spans="3:3">
      <c r="C485"/>
    </row>
    <row r="486" spans="3:3">
      <c r="C486"/>
    </row>
    <row r="487" spans="3:3">
      <c r="C487"/>
    </row>
    <row r="488" spans="3:3">
      <c r="C488"/>
    </row>
    <row r="489" spans="3:3">
      <c r="C489"/>
    </row>
    <row r="490" spans="3:3">
      <c r="C490"/>
    </row>
    <row r="491" spans="3:3">
      <c r="C491"/>
    </row>
    <row r="492" spans="3:3">
      <c r="C492"/>
    </row>
    <row r="493" spans="3:3">
      <c r="C493"/>
    </row>
    <row r="494" spans="3:3">
      <c r="C494"/>
    </row>
    <row r="495" spans="3:3">
      <c r="C495"/>
    </row>
    <row r="496" spans="3:3">
      <c r="C496"/>
    </row>
    <row r="497" spans="3:3">
      <c r="C497"/>
    </row>
    <row r="498" spans="3:3">
      <c r="C498"/>
    </row>
    <row r="499" spans="3:3">
      <c r="C499"/>
    </row>
    <row r="500" spans="3:3">
      <c r="C500"/>
    </row>
    <row r="501" spans="3:3">
      <c r="C501"/>
    </row>
    <row r="502" spans="3:3">
      <c r="C502"/>
    </row>
    <row r="503" spans="3:3">
      <c r="C503"/>
    </row>
    <row r="504" spans="3:3">
      <c r="C504"/>
    </row>
    <row r="505" spans="3:3">
      <c r="C505"/>
    </row>
    <row r="506" spans="3:3">
      <c r="C506"/>
    </row>
    <row r="507" spans="3:3">
      <c r="C507"/>
    </row>
    <row r="508" spans="3:3">
      <c r="C508"/>
    </row>
    <row r="509" spans="3:3">
      <c r="C509"/>
    </row>
    <row r="510" spans="3:3">
      <c r="C510"/>
    </row>
    <row r="511" spans="3:3">
      <c r="C511"/>
    </row>
    <row r="512" spans="3:3">
      <c r="C512"/>
    </row>
    <row r="513" spans="3:3">
      <c r="C513"/>
    </row>
    <row r="514" spans="3:3">
      <c r="C514"/>
    </row>
    <row r="515" spans="3:3">
      <c r="C515"/>
    </row>
    <row r="516" spans="3:3">
      <c r="C516"/>
    </row>
    <row r="517" spans="3:3">
      <c r="C517"/>
    </row>
    <row r="518" spans="3:3">
      <c r="C518"/>
    </row>
    <row r="519" spans="3:3">
      <c r="C519"/>
    </row>
    <row r="520" spans="3:3">
      <c r="C520"/>
    </row>
    <row r="521" spans="3:3">
      <c r="C521"/>
    </row>
    <row r="522" spans="3:3">
      <c r="C522"/>
    </row>
    <row r="523" spans="3:3">
      <c r="C523"/>
    </row>
    <row r="524" spans="3:3">
      <c r="C524"/>
    </row>
    <row r="525" spans="3:3">
      <c r="C525"/>
    </row>
    <row r="526" spans="3:3">
      <c r="C526"/>
    </row>
    <row r="527" spans="3:3">
      <c r="C527"/>
    </row>
    <row r="528" spans="3:3">
      <c r="C528"/>
    </row>
    <row r="529" spans="3:3">
      <c r="C529"/>
    </row>
    <row r="530" spans="3:3">
      <c r="C530"/>
    </row>
    <row r="531" spans="3:3">
      <c r="C531"/>
    </row>
    <row r="532" spans="3:3">
      <c r="C532"/>
    </row>
    <row r="533" spans="3:3">
      <c r="C533"/>
    </row>
    <row r="534" spans="3:3">
      <c r="C534"/>
    </row>
    <row r="535" spans="3:3">
      <c r="C535"/>
    </row>
    <row r="536" spans="3:3">
      <c r="C536"/>
    </row>
    <row r="537" spans="3:3">
      <c r="C537"/>
    </row>
    <row r="538" spans="3:3">
      <c r="C538"/>
    </row>
    <row r="539" spans="3:3">
      <c r="C539"/>
    </row>
    <row r="540" spans="3:3">
      <c r="C540"/>
    </row>
    <row r="541" spans="3:3">
      <c r="C541"/>
    </row>
    <row r="542" spans="3:3">
      <c r="C542"/>
    </row>
    <row r="543" spans="3:3">
      <c r="C543"/>
    </row>
    <row r="544" spans="3:3">
      <c r="C544"/>
    </row>
    <row r="545" spans="3:3">
      <c r="C545"/>
    </row>
    <row r="546" spans="3:3">
      <c r="C546"/>
    </row>
    <row r="547" spans="3:3">
      <c r="C547"/>
    </row>
    <row r="548" spans="3:3">
      <c r="C548"/>
    </row>
    <row r="549" spans="3:3">
      <c r="C549"/>
    </row>
    <row r="550" spans="3:3">
      <c r="C550"/>
    </row>
    <row r="551" spans="3:3">
      <c r="C551"/>
    </row>
    <row r="552" spans="3:3">
      <c r="C552"/>
    </row>
    <row r="553" spans="3:3">
      <c r="C553"/>
    </row>
    <row r="554" spans="3:3">
      <c r="C554"/>
    </row>
    <row r="555" spans="3:3">
      <c r="C555"/>
    </row>
    <row r="556" spans="3:3">
      <c r="C556"/>
    </row>
    <row r="557" spans="3:3">
      <c r="C557"/>
    </row>
    <row r="558" spans="3:3">
      <c r="C558"/>
    </row>
    <row r="559" spans="3:3">
      <c r="C559"/>
    </row>
    <row r="560" spans="3:3">
      <c r="C560"/>
    </row>
    <row r="561" spans="3:3">
      <c r="C561"/>
    </row>
    <row r="562" spans="3:3">
      <c r="C562"/>
    </row>
    <row r="563" spans="3:3">
      <c r="C563"/>
    </row>
    <row r="564" spans="3:3">
      <c r="C564"/>
    </row>
    <row r="565" spans="3:3">
      <c r="C565"/>
    </row>
    <row r="566" spans="3:3">
      <c r="C566"/>
    </row>
    <row r="567" spans="3:3">
      <c r="C567"/>
    </row>
    <row r="568" spans="3:3">
      <c r="C568"/>
    </row>
    <row r="569" spans="3:3">
      <c r="C569"/>
    </row>
    <row r="570" spans="3:3">
      <c r="C570"/>
    </row>
    <row r="571" spans="3:3">
      <c r="C571"/>
    </row>
    <row r="572" spans="3:3">
      <c r="C572"/>
    </row>
    <row r="573" spans="3:3">
      <c r="C573"/>
    </row>
    <row r="574" spans="3:3">
      <c r="C574"/>
    </row>
    <row r="575" spans="3:3">
      <c r="C575"/>
    </row>
    <row r="576" spans="3:3">
      <c r="C576"/>
    </row>
    <row r="577" spans="3:3">
      <c r="C577"/>
    </row>
    <row r="578" spans="3:3">
      <c r="C578"/>
    </row>
    <row r="579" spans="3:3">
      <c r="C579"/>
    </row>
    <row r="580" spans="3:3">
      <c r="C580"/>
    </row>
    <row r="581" spans="3:3">
      <c r="C581"/>
    </row>
    <row r="582" spans="3:3">
      <c r="C582"/>
    </row>
    <row r="583" spans="3:3">
      <c r="C583"/>
    </row>
    <row r="584" spans="3:3">
      <c r="C584"/>
    </row>
    <row r="585" spans="3:3">
      <c r="C585"/>
    </row>
    <row r="586" spans="3:3">
      <c r="C586"/>
    </row>
    <row r="587" spans="3:3">
      <c r="C587"/>
    </row>
    <row r="588" spans="3:3">
      <c r="C588"/>
    </row>
    <row r="589" spans="3:3">
      <c r="C589"/>
    </row>
    <row r="590" spans="3:3">
      <c r="C590"/>
    </row>
    <row r="591" spans="3:3">
      <c r="C591"/>
    </row>
    <row r="592" spans="3:3">
      <c r="C592"/>
    </row>
    <row r="593" spans="3:3">
      <c r="C593"/>
    </row>
    <row r="594" spans="3:3">
      <c r="C594"/>
    </row>
    <row r="595" spans="3:3">
      <c r="C595"/>
    </row>
    <row r="596" spans="3:3">
      <c r="C596"/>
    </row>
    <row r="597" spans="3:3">
      <c r="C597"/>
    </row>
    <row r="598" spans="3:3">
      <c r="C598"/>
    </row>
    <row r="599" spans="3:3">
      <c r="C599"/>
    </row>
    <row r="600" spans="3:3">
      <c r="C600"/>
    </row>
    <row r="601" spans="3:3">
      <c r="C601"/>
    </row>
    <row r="602" spans="3:3">
      <c r="C602"/>
    </row>
    <row r="603" spans="3:3">
      <c r="C603"/>
    </row>
    <row r="604" spans="3:3">
      <c r="C604"/>
    </row>
    <row r="605" spans="3:3">
      <c r="C605"/>
    </row>
    <row r="606" spans="3:3">
      <c r="C606"/>
    </row>
    <row r="607" spans="3:3">
      <c r="C607"/>
    </row>
    <row r="608" spans="3:3">
      <c r="C608"/>
    </row>
    <row r="609" spans="3:3">
      <c r="C609"/>
    </row>
    <row r="610" spans="3:3">
      <c r="C610"/>
    </row>
    <row r="611" spans="3:3">
      <c r="C611"/>
    </row>
    <row r="612" spans="3:3">
      <c r="C612"/>
    </row>
    <row r="613" spans="3:3">
      <c r="C613"/>
    </row>
    <row r="614" spans="3:3">
      <c r="C614"/>
    </row>
    <row r="615" spans="3:3">
      <c r="C615"/>
    </row>
    <row r="616" spans="3:3">
      <c r="C616"/>
    </row>
    <row r="617" spans="3:3">
      <c r="C617"/>
    </row>
    <row r="618" spans="3:3">
      <c r="C618"/>
    </row>
    <row r="619" spans="3:3">
      <c r="C619"/>
    </row>
    <row r="620" spans="3:3">
      <c r="C620"/>
    </row>
    <row r="621" spans="3:3">
      <c r="C621"/>
    </row>
    <row r="622" spans="3:3">
      <c r="C622"/>
    </row>
    <row r="623" spans="3:3">
      <c r="C623"/>
    </row>
    <row r="624" spans="3:3">
      <c r="C624"/>
    </row>
    <row r="625" spans="3:3">
      <c r="C625"/>
    </row>
    <row r="626" spans="3:3">
      <c r="C626"/>
    </row>
    <row r="627" spans="3:3">
      <c r="C627"/>
    </row>
    <row r="628" spans="3:3">
      <c r="C628"/>
    </row>
    <row r="629" spans="3:3">
      <c r="C629"/>
    </row>
    <row r="630" spans="3:3">
      <c r="C630"/>
    </row>
    <row r="631" spans="3:3">
      <c r="C631"/>
    </row>
    <row r="632" spans="3:3">
      <c r="C632"/>
    </row>
    <row r="633" spans="3:3">
      <c r="C633"/>
    </row>
    <row r="634" spans="3:3">
      <c r="C634"/>
    </row>
    <row r="635" spans="3:3">
      <c r="C635"/>
    </row>
    <row r="636" spans="3:3">
      <c r="C636"/>
    </row>
    <row r="637" spans="3:3">
      <c r="C637"/>
    </row>
    <row r="638" spans="3:3">
      <c r="C638"/>
    </row>
    <row r="639" spans="3:3">
      <c r="C639"/>
    </row>
    <row r="640" spans="3:3">
      <c r="C640"/>
    </row>
    <row r="641" spans="3:3">
      <c r="C641"/>
    </row>
    <row r="642" spans="3:3">
      <c r="C642"/>
    </row>
    <row r="643" spans="3:3">
      <c r="C643"/>
    </row>
    <row r="644" spans="3:3">
      <c r="C644"/>
    </row>
    <row r="645" spans="3:3">
      <c r="C645"/>
    </row>
    <row r="646" spans="3:3">
      <c r="C646"/>
    </row>
    <row r="647" spans="3:3">
      <c r="C647"/>
    </row>
    <row r="648" spans="3:3">
      <c r="C648"/>
    </row>
    <row r="649" spans="3:3">
      <c r="C649"/>
    </row>
    <row r="650" spans="3:3">
      <c r="C650"/>
    </row>
    <row r="651" spans="3:3">
      <c r="C651"/>
    </row>
    <row r="652" spans="3:3">
      <c r="C652"/>
    </row>
    <row r="653" spans="3:3">
      <c r="C653"/>
    </row>
    <row r="654" spans="3:3">
      <c r="C654"/>
    </row>
    <row r="655" spans="3:3">
      <c r="C655"/>
    </row>
    <row r="656" spans="3:3">
      <c r="C656"/>
    </row>
    <row r="657" spans="3:3">
      <c r="C657"/>
    </row>
    <row r="658" spans="3:3">
      <c r="C658"/>
    </row>
    <row r="659" spans="3:3">
      <c r="C659"/>
    </row>
    <row r="660" spans="3:3">
      <c r="C660"/>
    </row>
    <row r="661" spans="3:3">
      <c r="C661"/>
    </row>
    <row r="662" spans="3:3">
      <c r="C662"/>
    </row>
    <row r="663" spans="3:3">
      <c r="C663"/>
    </row>
    <row r="664" spans="3:3">
      <c r="C664"/>
    </row>
    <row r="665" spans="3:3">
      <c r="C665"/>
    </row>
    <row r="666" spans="3:3">
      <c r="C666"/>
    </row>
    <row r="667" spans="3:3">
      <c r="C667"/>
    </row>
    <row r="668" spans="3:3">
      <c r="C668"/>
    </row>
    <row r="669" spans="3:3">
      <c r="C669"/>
    </row>
    <row r="670" spans="3:3">
      <c r="C670"/>
    </row>
    <row r="671" spans="3:3">
      <c r="C671"/>
    </row>
    <row r="672" spans="3:3">
      <c r="C672"/>
    </row>
    <row r="673" spans="3:3">
      <c r="C673"/>
    </row>
    <row r="674" spans="3:3">
      <c r="C674"/>
    </row>
    <row r="675" spans="3:3">
      <c r="C675"/>
    </row>
    <row r="676" spans="3:3">
      <c r="C676"/>
    </row>
    <row r="677" spans="3:3">
      <c r="C677"/>
    </row>
    <row r="678" spans="3:3">
      <c r="C678"/>
    </row>
    <row r="679" spans="3:3">
      <c r="C679"/>
    </row>
    <row r="680" spans="3:3">
      <c r="C680"/>
    </row>
    <row r="681" spans="3:3">
      <c r="C681"/>
    </row>
    <row r="682" spans="3:3">
      <c r="C682"/>
    </row>
    <row r="683" spans="3:3">
      <c r="C683"/>
    </row>
    <row r="684" spans="3:3">
      <c r="C684"/>
    </row>
    <row r="685" spans="3:3">
      <c r="C685"/>
    </row>
    <row r="686" spans="3:3">
      <c r="C686"/>
    </row>
    <row r="687" spans="3:3">
      <c r="C687"/>
    </row>
    <row r="688" spans="3:3">
      <c r="C688"/>
    </row>
    <row r="689" spans="3:3">
      <c r="C689"/>
    </row>
    <row r="690" spans="3:3">
      <c r="C690"/>
    </row>
    <row r="691" spans="3:3">
      <c r="C691"/>
    </row>
    <row r="692" spans="3:3">
      <c r="C692"/>
    </row>
    <row r="693" spans="3:3">
      <c r="C693"/>
    </row>
    <row r="694" spans="3:3">
      <c r="C694"/>
    </row>
    <row r="695" spans="3:3">
      <c r="C695"/>
    </row>
    <row r="696" spans="3:3">
      <c r="C696"/>
    </row>
    <row r="697" spans="3:3">
      <c r="C697"/>
    </row>
    <row r="698" spans="3:3">
      <c r="C698"/>
    </row>
    <row r="699" spans="3:3">
      <c r="C699"/>
    </row>
    <row r="700" spans="3:3">
      <c r="C700"/>
    </row>
    <row r="701" spans="3:3">
      <c r="C701"/>
    </row>
    <row r="702" spans="3:3">
      <c r="C702"/>
    </row>
    <row r="703" spans="3:3">
      <c r="C703"/>
    </row>
    <row r="704" spans="3:3">
      <c r="C704"/>
    </row>
    <row r="705" spans="3:3">
      <c r="C705"/>
    </row>
    <row r="706" spans="3:3">
      <c r="C706"/>
    </row>
    <row r="707" spans="3:3">
      <c r="C707"/>
    </row>
    <row r="708" spans="3:3">
      <c r="C708"/>
    </row>
    <row r="709" spans="3:3">
      <c r="C709"/>
    </row>
    <row r="710" spans="3:3">
      <c r="C710"/>
    </row>
    <row r="711" spans="3:3">
      <c r="C711"/>
    </row>
    <row r="712" spans="3:3">
      <c r="C712"/>
    </row>
    <row r="713" spans="3:3">
      <c r="C713"/>
    </row>
    <row r="714" spans="3:3">
      <c r="C714"/>
    </row>
    <row r="715" spans="3:3">
      <c r="C715"/>
    </row>
    <row r="716" spans="3:3">
      <c r="C716"/>
    </row>
    <row r="717" spans="3:3">
      <c r="C717"/>
    </row>
    <row r="718" spans="3:3">
      <c r="C718"/>
    </row>
    <row r="719" spans="3:3">
      <c r="C719"/>
    </row>
    <row r="720" spans="3:3">
      <c r="C720"/>
    </row>
    <row r="721" spans="3:3">
      <c r="C721"/>
    </row>
    <row r="722" spans="3:3">
      <c r="C722"/>
    </row>
    <row r="723" spans="3:3">
      <c r="C723"/>
    </row>
    <row r="724" spans="3:3">
      <c r="C724"/>
    </row>
    <row r="725" spans="3:3">
      <c r="C725"/>
    </row>
    <row r="726" spans="3:3">
      <c r="C726"/>
    </row>
    <row r="727" spans="3:3">
      <c r="C727"/>
    </row>
    <row r="728" spans="3:3">
      <c r="C728"/>
    </row>
    <row r="729" spans="3:3">
      <c r="C729"/>
    </row>
    <row r="730" spans="3:3">
      <c r="C730"/>
    </row>
    <row r="731" spans="3:3">
      <c r="C731"/>
    </row>
    <row r="732" spans="3:3">
      <c r="C732"/>
    </row>
    <row r="733" spans="3:3">
      <c r="C733"/>
    </row>
    <row r="734" spans="3:3">
      <c r="C734"/>
    </row>
    <row r="735" spans="3:3">
      <c r="C735"/>
    </row>
    <row r="736" spans="3:3">
      <c r="C736"/>
    </row>
    <row r="737" spans="3:3">
      <c r="C737"/>
    </row>
    <row r="738" spans="3:3">
      <c r="C738"/>
    </row>
    <row r="739" spans="3:3">
      <c r="C739"/>
    </row>
    <row r="740" spans="3:3">
      <c r="C740"/>
    </row>
    <row r="741" spans="3:3">
      <c r="C741"/>
    </row>
    <row r="742" spans="3:3">
      <c r="C742"/>
    </row>
    <row r="743" spans="3:3">
      <c r="C743"/>
    </row>
    <row r="744" spans="3:3">
      <c r="C744"/>
    </row>
    <row r="745" spans="3:3">
      <c r="C745"/>
    </row>
    <row r="746" spans="3:3">
      <c r="C746"/>
    </row>
    <row r="747" spans="3:3">
      <c r="C747"/>
    </row>
    <row r="748" spans="3:3">
      <c r="C748"/>
    </row>
    <row r="749" spans="3:3">
      <c r="C749"/>
    </row>
    <row r="750" spans="3:3">
      <c r="C750"/>
    </row>
    <row r="751" spans="3:3">
      <c r="C751"/>
    </row>
    <row r="752" spans="3:3">
      <c r="C752"/>
    </row>
    <row r="753" spans="3:3">
      <c r="C753"/>
    </row>
    <row r="754" spans="3:3">
      <c r="C754"/>
    </row>
    <row r="755" spans="3:3">
      <c r="C755"/>
    </row>
    <row r="756" spans="3:3">
      <c r="C756"/>
    </row>
    <row r="757" spans="3:3">
      <c r="C757"/>
    </row>
    <row r="758" spans="3:3">
      <c r="C758"/>
    </row>
    <row r="759" spans="3:3">
      <c r="C759"/>
    </row>
    <row r="760" spans="3:3">
      <c r="C760"/>
    </row>
    <row r="761" spans="3:3">
      <c r="C761"/>
    </row>
    <row r="762" spans="3:3">
      <c r="C762"/>
    </row>
    <row r="763" spans="3:3">
      <c r="C763"/>
    </row>
    <row r="764" spans="3:3">
      <c r="C764"/>
    </row>
    <row r="765" spans="3:3">
      <c r="C765"/>
    </row>
    <row r="766" spans="3:3">
      <c r="C766"/>
    </row>
    <row r="767" spans="3:3">
      <c r="C767"/>
    </row>
    <row r="768" spans="3:3">
      <c r="C768"/>
    </row>
    <row r="769" spans="3:3">
      <c r="C769"/>
    </row>
    <row r="770" spans="3:3">
      <c r="C770"/>
    </row>
    <row r="771" spans="3:3">
      <c r="C771"/>
    </row>
    <row r="772" spans="3:3">
      <c r="C772"/>
    </row>
    <row r="773" spans="3:3">
      <c r="C773"/>
    </row>
    <row r="774" spans="3:3">
      <c r="C774"/>
    </row>
    <row r="775" spans="3:3">
      <c r="C775"/>
    </row>
    <row r="776" spans="3:3">
      <c r="C776"/>
    </row>
    <row r="777" spans="3:3">
      <c r="C777"/>
    </row>
    <row r="778" spans="3:3">
      <c r="C778"/>
    </row>
    <row r="779" spans="3:3">
      <c r="C779"/>
    </row>
    <row r="780" spans="3:3">
      <c r="C780"/>
    </row>
    <row r="781" spans="3:3">
      <c r="C781"/>
    </row>
    <row r="782" spans="3:3">
      <c r="C782"/>
    </row>
    <row r="783" spans="3:3">
      <c r="C783"/>
    </row>
    <row r="784" spans="3:3">
      <c r="C784"/>
    </row>
    <row r="785" spans="3:3">
      <c r="C785"/>
    </row>
    <row r="786" spans="3:3">
      <c r="C786"/>
    </row>
    <row r="787" spans="3:3">
      <c r="C787"/>
    </row>
    <row r="788" spans="3:3">
      <c r="C788"/>
    </row>
    <row r="789" spans="3:3">
      <c r="C789"/>
    </row>
    <row r="790" spans="3:3">
      <c r="C790"/>
    </row>
    <row r="791" spans="3:3">
      <c r="C791"/>
    </row>
    <row r="792" spans="3:3">
      <c r="C792"/>
    </row>
    <row r="793" spans="3:3">
      <c r="C793"/>
    </row>
    <row r="794" spans="3:3">
      <c r="C794"/>
    </row>
    <row r="795" spans="3:3">
      <c r="C795"/>
    </row>
    <row r="796" spans="3:3">
      <c r="C796"/>
    </row>
    <row r="797" spans="3:3">
      <c r="C797"/>
    </row>
    <row r="798" spans="3:3">
      <c r="C798"/>
    </row>
    <row r="799" spans="3:3">
      <c r="C799"/>
    </row>
    <row r="800" spans="3:3">
      <c r="C800"/>
    </row>
    <row r="801" spans="3:3">
      <c r="C801"/>
    </row>
    <row r="802" spans="3:3">
      <c r="C802"/>
    </row>
    <row r="803" spans="3:3">
      <c r="C803"/>
    </row>
    <row r="804" spans="3:3">
      <c r="C804"/>
    </row>
    <row r="805" spans="3:3">
      <c r="C805"/>
    </row>
    <row r="806" spans="3:3">
      <c r="C806"/>
    </row>
    <row r="807" spans="3:3">
      <c r="C807"/>
    </row>
    <row r="808" spans="3:3">
      <c r="C808"/>
    </row>
    <row r="809" spans="3:3">
      <c r="C809"/>
    </row>
    <row r="810" spans="3:3">
      <c r="C810"/>
    </row>
    <row r="811" spans="3:3">
      <c r="C811"/>
    </row>
    <row r="812" spans="3:3">
      <c r="C812"/>
    </row>
    <row r="813" spans="3:3">
      <c r="C813"/>
    </row>
    <row r="814" spans="3:3">
      <c r="C814"/>
    </row>
    <row r="815" spans="3:3">
      <c r="C815"/>
    </row>
    <row r="816" spans="3:3">
      <c r="C816"/>
    </row>
    <row r="817" spans="3:3">
      <c r="C817"/>
    </row>
    <row r="818" spans="3:3">
      <c r="C818"/>
    </row>
    <row r="819" spans="3:3">
      <c r="C819"/>
    </row>
    <row r="820" spans="3:3">
      <c r="C820"/>
    </row>
    <row r="821" spans="3:3">
      <c r="C821"/>
    </row>
    <row r="822" spans="3:3">
      <c r="C822"/>
    </row>
    <row r="823" spans="3:3">
      <c r="C823"/>
    </row>
    <row r="824" spans="3:3">
      <c r="C824"/>
    </row>
    <row r="825" spans="3:3">
      <c r="C825"/>
    </row>
    <row r="826" spans="3:3">
      <c r="C826"/>
    </row>
    <row r="827" spans="3:3">
      <c r="C827"/>
    </row>
    <row r="828" spans="3:3">
      <c r="C828"/>
    </row>
    <row r="829" spans="3:3">
      <c r="C829"/>
    </row>
    <row r="830" spans="3:3">
      <c r="C830"/>
    </row>
    <row r="831" spans="3:3">
      <c r="C831"/>
    </row>
    <row r="832" spans="3:3">
      <c r="C832"/>
    </row>
    <row r="833" spans="3:3">
      <c r="C833"/>
    </row>
    <row r="834" spans="3:3">
      <c r="C834"/>
    </row>
    <row r="835" spans="3:3">
      <c r="C835"/>
    </row>
    <row r="836" spans="3:3">
      <c r="C836"/>
    </row>
    <row r="837" spans="3:3">
      <c r="C837"/>
    </row>
    <row r="838" spans="3:3">
      <c r="C838"/>
    </row>
    <row r="839" spans="3:3">
      <c r="C839"/>
    </row>
    <row r="840" spans="3:3">
      <c r="C840"/>
    </row>
    <row r="841" spans="3:3">
      <c r="C841"/>
    </row>
    <row r="842" spans="3:3">
      <c r="C842"/>
    </row>
    <row r="843" spans="3:3">
      <c r="C843"/>
    </row>
    <row r="844" spans="3:3">
      <c r="C844"/>
    </row>
    <row r="845" spans="3:3">
      <c r="C845"/>
    </row>
    <row r="846" spans="3:3">
      <c r="C846"/>
    </row>
    <row r="847" spans="3:3">
      <c r="C847"/>
    </row>
    <row r="848" spans="3:3">
      <c r="C848"/>
    </row>
    <row r="849" spans="3:3">
      <c r="C849"/>
    </row>
    <row r="850" spans="3:3">
      <c r="C850"/>
    </row>
    <row r="851" spans="3:3">
      <c r="C851"/>
    </row>
    <row r="852" spans="3:3">
      <c r="C852"/>
    </row>
    <row r="853" spans="3:3">
      <c r="C853"/>
    </row>
    <row r="854" spans="3:3">
      <c r="C854"/>
    </row>
    <row r="855" spans="3:3">
      <c r="C855"/>
    </row>
    <row r="856" spans="3:3">
      <c r="C856"/>
    </row>
    <row r="857" spans="3:3">
      <c r="C857"/>
    </row>
    <row r="858" spans="3:3">
      <c r="C858"/>
    </row>
    <row r="859" spans="3:3">
      <c r="C859"/>
    </row>
    <row r="860" spans="3:3">
      <c r="C860"/>
    </row>
    <row r="861" spans="3:3">
      <c r="C861"/>
    </row>
    <row r="862" spans="3:3">
      <c r="C862"/>
    </row>
    <row r="863" spans="3:3">
      <c r="C863"/>
    </row>
    <row r="864" spans="3:3">
      <c r="C864"/>
    </row>
    <row r="865" spans="3:3">
      <c r="C865"/>
    </row>
    <row r="866" spans="3:3">
      <c r="C866"/>
    </row>
    <row r="867" spans="3:3">
      <c r="C867"/>
    </row>
    <row r="868" spans="3:3">
      <c r="C868"/>
    </row>
    <row r="869" spans="3:3">
      <c r="C869"/>
    </row>
    <row r="870" spans="3:3">
      <c r="C870"/>
    </row>
    <row r="871" spans="3:3">
      <c r="C871"/>
    </row>
    <row r="872" spans="3:3">
      <c r="C872"/>
    </row>
    <row r="873" spans="3:3">
      <c r="C873"/>
    </row>
    <row r="874" spans="3:3">
      <c r="C874"/>
    </row>
    <row r="875" spans="3:3">
      <c r="C875"/>
    </row>
    <row r="876" spans="3:3">
      <c r="C876"/>
    </row>
    <row r="877" spans="3:3">
      <c r="C877"/>
    </row>
    <row r="878" spans="3:3">
      <c r="C878"/>
    </row>
    <row r="879" spans="3:3">
      <c r="C879"/>
    </row>
    <row r="880" spans="3:3">
      <c r="C880"/>
    </row>
    <row r="881" spans="3:3">
      <c r="C881"/>
    </row>
    <row r="882" spans="3:3">
      <c r="C882"/>
    </row>
    <row r="883" spans="3:3">
      <c r="C883"/>
    </row>
    <row r="884" spans="3:3">
      <c r="C884"/>
    </row>
    <row r="885" spans="3:3">
      <c r="C885"/>
    </row>
    <row r="886" spans="3:3">
      <c r="C886"/>
    </row>
    <row r="887" spans="3:3">
      <c r="C887"/>
    </row>
    <row r="888" spans="3:3">
      <c r="C888"/>
    </row>
    <row r="889" spans="3:3">
      <c r="C889"/>
    </row>
    <row r="890" spans="3:3">
      <c r="C890"/>
    </row>
    <row r="891" spans="3:3">
      <c r="C891"/>
    </row>
    <row r="892" spans="3:3">
      <c r="C892"/>
    </row>
    <row r="893" spans="3:3">
      <c r="C893"/>
    </row>
    <row r="894" spans="3:3">
      <c r="C894"/>
    </row>
    <row r="895" spans="3:3">
      <c r="C895"/>
    </row>
    <row r="896" spans="3:3">
      <c r="C896"/>
    </row>
    <row r="897" spans="3:3">
      <c r="C897"/>
    </row>
    <row r="898" spans="3:3">
      <c r="C898"/>
    </row>
    <row r="899" spans="3:3">
      <c r="C899"/>
    </row>
    <row r="900" spans="3:3">
      <c r="C900"/>
    </row>
    <row r="901" spans="3:3">
      <c r="C901"/>
    </row>
    <row r="902" spans="3:3">
      <c r="C902"/>
    </row>
    <row r="903" spans="3:3">
      <c r="C903"/>
    </row>
    <row r="904" spans="3:3">
      <c r="C904"/>
    </row>
    <row r="905" spans="3:3">
      <c r="C905"/>
    </row>
    <row r="906" spans="3:3">
      <c r="C906"/>
    </row>
    <row r="907" spans="3:3">
      <c r="C907"/>
    </row>
    <row r="908" spans="3:3">
      <c r="C908"/>
    </row>
    <row r="909" spans="3:3">
      <c r="C909"/>
    </row>
    <row r="910" spans="3:3">
      <c r="C910"/>
    </row>
    <row r="911" spans="3:3">
      <c r="C911"/>
    </row>
    <row r="912" spans="3:3">
      <c r="C912"/>
    </row>
    <row r="913" spans="3:3">
      <c r="C913"/>
    </row>
    <row r="914" spans="3:3">
      <c r="C914"/>
    </row>
    <row r="915" spans="3:3">
      <c r="C915"/>
    </row>
    <row r="916" spans="3:3">
      <c r="C916"/>
    </row>
    <row r="917" spans="3:3">
      <c r="C917"/>
    </row>
    <row r="918" spans="3:3">
      <c r="C918"/>
    </row>
    <row r="919" spans="3:3">
      <c r="C919"/>
    </row>
    <row r="920" spans="3:3">
      <c r="C920"/>
    </row>
    <row r="921" spans="3:3">
      <c r="C921"/>
    </row>
    <row r="922" spans="3:3">
      <c r="C922"/>
    </row>
    <row r="923" spans="3:3">
      <c r="C923"/>
    </row>
    <row r="924" spans="3:3">
      <c r="C924"/>
    </row>
    <row r="925" spans="3:3">
      <c r="C925"/>
    </row>
    <row r="926" spans="3:3">
      <c r="C926"/>
    </row>
    <row r="927" spans="3:3">
      <c r="C927"/>
    </row>
    <row r="928" spans="3:3">
      <c r="C928"/>
    </row>
    <row r="929" spans="3:3">
      <c r="C929"/>
    </row>
    <row r="930" spans="3:3">
      <c r="C930"/>
    </row>
    <row r="931" spans="3:3">
      <c r="C931"/>
    </row>
    <row r="932" spans="3:3">
      <c r="C932"/>
    </row>
    <row r="933" spans="3:3">
      <c r="C933"/>
    </row>
    <row r="934" spans="3:3">
      <c r="C934"/>
    </row>
    <row r="935" spans="3:3">
      <c r="C935"/>
    </row>
    <row r="936" spans="3:3">
      <c r="C936"/>
    </row>
    <row r="937" spans="3:3">
      <c r="C937"/>
    </row>
    <row r="938" spans="3:3">
      <c r="C938"/>
    </row>
    <row r="939" spans="3:3">
      <c r="C939"/>
    </row>
    <row r="940" spans="3:3">
      <c r="C940"/>
    </row>
    <row r="941" spans="3:3">
      <c r="C941"/>
    </row>
    <row r="942" spans="3:3">
      <c r="C942"/>
    </row>
    <row r="943" spans="3:3">
      <c r="C943"/>
    </row>
    <row r="944" spans="3:3">
      <c r="C944"/>
    </row>
    <row r="945" spans="3:3">
      <c r="C945"/>
    </row>
    <row r="946" spans="3:3">
      <c r="C946"/>
    </row>
    <row r="947" spans="3:3">
      <c r="C947"/>
    </row>
    <row r="948" spans="3:3">
      <c r="C948"/>
    </row>
    <row r="949" spans="3:3">
      <c r="C949"/>
    </row>
    <row r="950" spans="3:3">
      <c r="C950"/>
    </row>
    <row r="951" spans="3:3">
      <c r="C951"/>
    </row>
    <row r="952" spans="3:3">
      <c r="C952"/>
    </row>
    <row r="953" spans="3:3">
      <c r="C953"/>
    </row>
    <row r="954" spans="3:3">
      <c r="C954"/>
    </row>
    <row r="955" spans="3:3">
      <c r="C955"/>
    </row>
    <row r="956" spans="3:3">
      <c r="C956"/>
    </row>
    <row r="957" spans="3:3">
      <c r="C957"/>
    </row>
    <row r="958" spans="3:3">
      <c r="C958"/>
    </row>
    <row r="959" spans="3:3">
      <c r="C959"/>
    </row>
    <row r="960" spans="3:3">
      <c r="C960"/>
    </row>
    <row r="961" spans="3:3">
      <c r="C961"/>
    </row>
    <row r="962" spans="3:3">
      <c r="C962"/>
    </row>
    <row r="963" spans="3:3">
      <c r="C963"/>
    </row>
    <row r="964" spans="3:3">
      <c r="C964"/>
    </row>
    <row r="965" spans="3:3">
      <c r="C965"/>
    </row>
    <row r="966" spans="3:3">
      <c r="C966"/>
    </row>
    <row r="967" spans="3:3">
      <c r="C967"/>
    </row>
    <row r="968" spans="3:3">
      <c r="C968"/>
    </row>
    <row r="969" spans="3:3">
      <c r="C969"/>
    </row>
    <row r="970" spans="3:3">
      <c r="C970"/>
    </row>
    <row r="971" spans="3:3">
      <c r="C971"/>
    </row>
    <row r="972" spans="3:3">
      <c r="C972"/>
    </row>
    <row r="973" spans="3:3">
      <c r="C973"/>
    </row>
    <row r="974" spans="3:3">
      <c r="C974"/>
    </row>
    <row r="975" spans="3:3">
      <c r="C975"/>
    </row>
    <row r="976" spans="3:3">
      <c r="C976"/>
    </row>
    <row r="977" spans="3:3">
      <c r="C977"/>
    </row>
    <row r="978" spans="3:3">
      <c r="C978"/>
    </row>
    <row r="979" spans="3:3">
      <c r="C979"/>
    </row>
    <row r="980" spans="3:3">
      <c r="C980"/>
    </row>
    <row r="981" spans="3:3">
      <c r="C981"/>
    </row>
    <row r="982" spans="3:3">
      <c r="C982"/>
    </row>
    <row r="983" spans="3:3">
      <c r="C983"/>
    </row>
    <row r="984" spans="3:3">
      <c r="C984"/>
    </row>
    <row r="985" spans="3:3">
      <c r="C985"/>
    </row>
    <row r="986" spans="3:3">
      <c r="C986"/>
    </row>
    <row r="987" spans="3:3">
      <c r="C987"/>
    </row>
    <row r="988" spans="3:3">
      <c r="C988"/>
    </row>
    <row r="989" spans="3:3">
      <c r="C989"/>
    </row>
    <row r="990" spans="3:3">
      <c r="C990"/>
    </row>
    <row r="991" spans="3:3">
      <c r="C991"/>
    </row>
    <row r="992" spans="3:3">
      <c r="C992"/>
    </row>
    <row r="993" spans="3:3">
      <c r="C993"/>
    </row>
    <row r="994" spans="3:3">
      <c r="C994"/>
    </row>
    <row r="995" spans="3:3">
      <c r="C995"/>
    </row>
    <row r="996" spans="3:3">
      <c r="C996"/>
    </row>
    <row r="997" spans="3:3">
      <c r="C997"/>
    </row>
    <row r="998" spans="3:3">
      <c r="C998"/>
    </row>
    <row r="999" spans="3:3">
      <c r="C999"/>
    </row>
    <row r="1000" spans="3:3">
      <c r="C1000"/>
    </row>
    <row r="1001" spans="3:3">
      <c r="C1001"/>
    </row>
    <row r="1002" spans="3:3">
      <c r="C1002"/>
    </row>
    <row r="1003" spans="3:3">
      <c r="C1003"/>
    </row>
    <row r="1004" spans="3:3">
      <c r="C1004"/>
    </row>
    <row r="1005" spans="3:3">
      <c r="C1005"/>
    </row>
    <row r="1006" spans="3:3">
      <c r="C1006"/>
    </row>
    <row r="1007" spans="3:3">
      <c r="C1007"/>
    </row>
    <row r="1008" spans="3:3">
      <c r="C1008"/>
    </row>
    <row r="1009" spans="3:3">
      <c r="C1009"/>
    </row>
    <row r="1010" spans="3:3">
      <c r="C1010"/>
    </row>
    <row r="1011" spans="3:3">
      <c r="C1011"/>
    </row>
    <row r="1012" spans="3:3">
      <c r="C1012"/>
    </row>
    <row r="1013" spans="3:3">
      <c r="C1013"/>
    </row>
    <row r="1014" spans="3:3">
      <c r="C1014"/>
    </row>
    <row r="1015" spans="3:3">
      <c r="C1015"/>
    </row>
    <row r="1016" spans="3:3">
      <c r="C1016"/>
    </row>
    <row r="1017" spans="3:3">
      <c r="C1017"/>
    </row>
    <row r="1018" spans="3:3">
      <c r="C1018"/>
    </row>
    <row r="1019" spans="3:3">
      <c r="C1019"/>
    </row>
    <row r="1020" spans="3:3">
      <c r="C1020"/>
    </row>
    <row r="1021" spans="3:3">
      <c r="C1021"/>
    </row>
    <row r="1022" spans="3:3">
      <c r="C1022"/>
    </row>
    <row r="1023" spans="3:3">
      <c r="C1023"/>
    </row>
    <row r="1024" spans="3:3">
      <c r="C1024"/>
    </row>
    <row r="1025" spans="3:3">
      <c r="C1025"/>
    </row>
    <row r="1026" spans="3:3">
      <c r="C1026"/>
    </row>
    <row r="1027" spans="3:3">
      <c r="C1027"/>
    </row>
    <row r="1028" spans="3:3">
      <c r="C1028"/>
    </row>
    <row r="1029" spans="3:3">
      <c r="C1029"/>
    </row>
    <row r="1030" spans="3:3">
      <c r="C1030"/>
    </row>
    <row r="1031" spans="3:3">
      <c r="C1031"/>
    </row>
    <row r="1032" spans="3:3">
      <c r="C1032"/>
    </row>
    <row r="1033" spans="3:3">
      <c r="C1033"/>
    </row>
    <row r="1034" spans="3:3">
      <c r="C1034"/>
    </row>
    <row r="1035" spans="3:3">
      <c r="C1035"/>
    </row>
    <row r="1036" spans="3:3">
      <c r="C1036"/>
    </row>
    <row r="1037" spans="3:3">
      <c r="C1037"/>
    </row>
    <row r="1038" spans="3:3">
      <c r="C1038"/>
    </row>
    <row r="1039" spans="3:3">
      <c r="C1039"/>
    </row>
    <row r="1040" spans="3:3">
      <c r="C1040"/>
    </row>
    <row r="1041" spans="3:3">
      <c r="C1041"/>
    </row>
    <row r="1042" spans="3:3">
      <c r="C1042"/>
    </row>
    <row r="1043" spans="3:3">
      <c r="C1043"/>
    </row>
    <row r="1044" spans="3:3">
      <c r="C1044"/>
    </row>
    <row r="1045" spans="3:3">
      <c r="C1045"/>
    </row>
    <row r="1046" spans="3:3">
      <c r="C1046"/>
    </row>
    <row r="1047" spans="3:3">
      <c r="C1047"/>
    </row>
    <row r="1048" spans="3:3">
      <c r="C1048"/>
    </row>
    <row r="1049" spans="3:3">
      <c r="C1049"/>
    </row>
    <row r="1050" spans="3:3">
      <c r="C1050"/>
    </row>
    <row r="1051" spans="3:3">
      <c r="C1051"/>
    </row>
    <row r="1052" spans="3:3">
      <c r="C1052"/>
    </row>
    <row r="1053" spans="3:3">
      <c r="C1053"/>
    </row>
    <row r="1054" spans="3:3">
      <c r="C1054"/>
    </row>
    <row r="1055" spans="3:3">
      <c r="C1055"/>
    </row>
    <row r="1056" spans="3:3">
      <c r="C1056"/>
    </row>
    <row r="1057" spans="3:3">
      <c r="C1057"/>
    </row>
    <row r="1058" spans="3:3">
      <c r="C1058"/>
    </row>
    <row r="1059" spans="3:3">
      <c r="C1059"/>
    </row>
    <row r="1060" spans="3:3">
      <c r="C1060"/>
    </row>
    <row r="1061" spans="3:3">
      <c r="C1061"/>
    </row>
    <row r="1062" spans="3:3">
      <c r="C1062"/>
    </row>
    <row r="1063" spans="3:3">
      <c r="C1063"/>
    </row>
    <row r="1064" spans="3:3">
      <c r="C1064"/>
    </row>
    <row r="1065" spans="3:3">
      <c r="C1065"/>
    </row>
    <row r="1066" spans="3:3">
      <c r="C1066"/>
    </row>
    <row r="1067" spans="3:3">
      <c r="C1067"/>
    </row>
    <row r="1068" spans="3:3">
      <c r="C1068"/>
    </row>
    <row r="1069" spans="3:3">
      <c r="C1069"/>
    </row>
    <row r="1070" spans="3:3">
      <c r="C1070"/>
    </row>
    <row r="1071" spans="3:3">
      <c r="C1071"/>
    </row>
    <row r="1072" spans="3:3">
      <c r="C1072"/>
    </row>
    <row r="1073" spans="3:3">
      <c r="C1073"/>
    </row>
    <row r="1074" spans="3:3">
      <c r="C1074"/>
    </row>
    <row r="1075" spans="3:3">
      <c r="C1075"/>
    </row>
    <row r="1076" spans="3:3">
      <c r="C1076"/>
    </row>
    <row r="1077" spans="3:3">
      <c r="C1077"/>
    </row>
    <row r="1078" spans="3:3">
      <c r="C1078"/>
    </row>
    <row r="1079" spans="3:3">
      <c r="C1079"/>
    </row>
    <row r="1080" spans="3:3">
      <c r="C1080"/>
    </row>
    <row r="1081" spans="3:3">
      <c r="C1081"/>
    </row>
    <row r="1082" spans="3:3">
      <c r="C1082"/>
    </row>
    <row r="1083" spans="3:3">
      <c r="C1083"/>
    </row>
    <row r="1084" spans="3:3">
      <c r="C1084"/>
    </row>
    <row r="1085" spans="3:3">
      <c r="C1085"/>
    </row>
    <row r="1086" spans="3:3">
      <c r="C1086"/>
    </row>
    <row r="1087" spans="3:3">
      <c r="C1087"/>
    </row>
    <row r="1088" spans="3:3">
      <c r="C1088"/>
    </row>
    <row r="1089" spans="3:3">
      <c r="C1089"/>
    </row>
    <row r="1090" spans="3:3">
      <c r="C1090"/>
    </row>
    <row r="1091" spans="3:3">
      <c r="C1091"/>
    </row>
    <row r="1092" spans="3:3">
      <c r="C1092"/>
    </row>
    <row r="1093" spans="3:3">
      <c r="C1093"/>
    </row>
    <row r="1094" spans="3:3">
      <c r="C1094"/>
    </row>
    <row r="1095" spans="3:3">
      <c r="C1095"/>
    </row>
    <row r="1096" spans="3:3">
      <c r="C1096"/>
    </row>
    <row r="1097" spans="3:3">
      <c r="C1097"/>
    </row>
    <row r="1098" spans="3:3">
      <c r="C1098"/>
    </row>
    <row r="1099" spans="3:3">
      <c r="C1099"/>
    </row>
    <row r="1100" spans="3:3">
      <c r="C1100"/>
    </row>
    <row r="1101" spans="3:3">
      <c r="C1101"/>
    </row>
    <row r="1102" spans="3:3">
      <c r="C1102"/>
    </row>
    <row r="1103" spans="3:3">
      <c r="C1103"/>
    </row>
    <row r="1104" spans="3:3">
      <c r="C1104"/>
    </row>
    <row r="1105" spans="3:3">
      <c r="C1105"/>
    </row>
    <row r="1106" spans="3:3">
      <c r="C1106"/>
    </row>
    <row r="1107" spans="3:3">
      <c r="C1107"/>
    </row>
    <row r="1108" spans="3:3">
      <c r="C1108"/>
    </row>
    <row r="1109" spans="3:3">
      <c r="C1109"/>
    </row>
    <row r="1110" spans="3:3">
      <c r="C1110"/>
    </row>
    <row r="1111" spans="3:3">
      <c r="C1111"/>
    </row>
    <row r="1112" spans="3:3">
      <c r="C1112"/>
    </row>
    <row r="1113" spans="3:3">
      <c r="C1113"/>
    </row>
    <row r="1114" spans="3:3">
      <c r="C1114"/>
    </row>
    <row r="1115" spans="3:3">
      <c r="C1115"/>
    </row>
    <row r="1116" spans="3:3">
      <c r="C1116"/>
    </row>
    <row r="1117" spans="3:3">
      <c r="C1117"/>
    </row>
    <row r="1118" spans="3:3">
      <c r="C1118"/>
    </row>
    <row r="1119" spans="3:3">
      <c r="C1119"/>
    </row>
    <row r="1120" spans="3:3">
      <c r="C1120"/>
    </row>
    <row r="1121" spans="3:3">
      <c r="C1121"/>
    </row>
    <row r="1122" spans="3:3">
      <c r="C1122"/>
    </row>
    <row r="1123" spans="3:3">
      <c r="C1123"/>
    </row>
    <row r="1124" spans="3:3">
      <c r="C1124"/>
    </row>
    <row r="1125" spans="3:3">
      <c r="C1125"/>
    </row>
    <row r="1126" spans="3:3">
      <c r="C1126"/>
    </row>
    <row r="1127" spans="3:3">
      <c r="C1127"/>
    </row>
    <row r="1128" spans="3:3">
      <c r="C1128"/>
    </row>
    <row r="1129" spans="3:3">
      <c r="C1129"/>
    </row>
    <row r="1130" spans="3:3">
      <c r="C1130"/>
    </row>
    <row r="1131" spans="3:3">
      <c r="C1131"/>
    </row>
    <row r="1132" spans="3:3">
      <c r="C1132"/>
    </row>
    <row r="1133" spans="3:3">
      <c r="C1133"/>
    </row>
    <row r="1134" spans="3:3">
      <c r="C1134"/>
    </row>
    <row r="1135" spans="3:3">
      <c r="C1135"/>
    </row>
    <row r="1136" spans="3:3">
      <c r="C1136"/>
    </row>
    <row r="1137" spans="3:3">
      <c r="C1137"/>
    </row>
    <row r="1138" spans="3:3">
      <c r="C1138"/>
    </row>
    <row r="1139" spans="3:3">
      <c r="C1139"/>
    </row>
    <row r="1140" spans="3:3">
      <c r="C1140"/>
    </row>
    <row r="1141" spans="3:3">
      <c r="C1141"/>
    </row>
    <row r="1142" spans="3:3">
      <c r="C1142"/>
    </row>
    <row r="1143" spans="3:3">
      <c r="C1143"/>
    </row>
    <row r="1144" spans="3:3">
      <c r="C1144"/>
    </row>
    <row r="1145" spans="3:3">
      <c r="C1145"/>
    </row>
    <row r="1146" spans="3:3">
      <c r="C1146"/>
    </row>
    <row r="1147" spans="3:3">
      <c r="C1147"/>
    </row>
    <row r="1148" spans="3:3">
      <c r="C1148"/>
    </row>
    <row r="1149" spans="3:3">
      <c r="C1149"/>
    </row>
    <row r="1150" spans="3:3">
      <c r="C1150"/>
    </row>
    <row r="1151" spans="3:3">
      <c r="C1151"/>
    </row>
    <row r="1152" spans="3:3">
      <c r="C1152"/>
    </row>
    <row r="1153" spans="3:3">
      <c r="C1153"/>
    </row>
    <row r="1154" spans="3:3">
      <c r="C1154"/>
    </row>
    <row r="1155" spans="3:3">
      <c r="C1155"/>
    </row>
    <row r="1156" spans="3:3">
      <c r="C1156"/>
    </row>
    <row r="1157" spans="3:3">
      <c r="C1157"/>
    </row>
    <row r="1158" spans="3:3">
      <c r="C1158"/>
    </row>
    <row r="1159" spans="3:3">
      <c r="C1159"/>
    </row>
    <row r="1160" spans="3:3">
      <c r="C1160"/>
    </row>
    <row r="1161" spans="3:3">
      <c r="C1161"/>
    </row>
    <row r="1162" spans="3:3">
      <c r="C1162"/>
    </row>
    <row r="1163" spans="3:3">
      <c r="C1163"/>
    </row>
    <row r="1164" spans="3:3">
      <c r="C1164"/>
    </row>
    <row r="1165" spans="3:3">
      <c r="C1165"/>
    </row>
    <row r="1166" spans="3:3">
      <c r="C1166"/>
    </row>
    <row r="1167" spans="3:3">
      <c r="C1167"/>
    </row>
    <row r="1168" spans="3:3">
      <c r="C1168"/>
    </row>
    <row r="1169" spans="3:3">
      <c r="C1169"/>
    </row>
    <row r="1170" spans="3:3">
      <c r="C1170"/>
    </row>
    <row r="1171" spans="3:3">
      <c r="C1171"/>
    </row>
    <row r="1172" spans="3:3">
      <c r="C1172"/>
    </row>
    <row r="1173" spans="3:3">
      <c r="C1173"/>
    </row>
    <row r="1174" spans="3:3">
      <c r="C1174"/>
    </row>
    <row r="1175" spans="3:3">
      <c r="C1175"/>
    </row>
    <row r="1176" spans="3:3">
      <c r="C1176"/>
    </row>
    <row r="1177" spans="3:3">
      <c r="C1177"/>
    </row>
    <row r="1178" spans="3:3">
      <c r="C1178"/>
    </row>
    <row r="1179" spans="3:3">
      <c r="C1179"/>
    </row>
    <row r="1180" spans="3:3">
      <c r="C1180"/>
    </row>
    <row r="1181" spans="3:3">
      <c r="C1181"/>
    </row>
    <row r="1182" spans="3:3">
      <c r="C1182"/>
    </row>
    <row r="1183" spans="3:3">
      <c r="C1183"/>
    </row>
    <row r="1184" spans="3:3">
      <c r="C1184"/>
    </row>
    <row r="1185" spans="3:3">
      <c r="C1185"/>
    </row>
    <row r="1186" spans="3:3">
      <c r="C1186"/>
    </row>
    <row r="1187" spans="3:3">
      <c r="C1187"/>
    </row>
    <row r="1188" spans="3:3">
      <c r="C1188"/>
    </row>
    <row r="1189" spans="3:3">
      <c r="C1189"/>
    </row>
    <row r="1190" spans="3:3">
      <c r="C1190"/>
    </row>
    <row r="1191" spans="3:3">
      <c r="C1191"/>
    </row>
    <row r="1192" spans="3:3">
      <c r="C1192"/>
    </row>
    <row r="1193" spans="3:3">
      <c r="C1193"/>
    </row>
    <row r="1194" spans="3:3">
      <c r="C1194"/>
    </row>
    <row r="1195" spans="3:3">
      <c r="C1195"/>
    </row>
    <row r="1196" spans="3:3">
      <c r="C1196"/>
    </row>
    <row r="1197" spans="3:3">
      <c r="C1197"/>
    </row>
    <row r="1198" spans="3:3">
      <c r="C1198"/>
    </row>
    <row r="1199" spans="3:3">
      <c r="C1199"/>
    </row>
    <row r="1200" spans="3:3">
      <c r="C1200"/>
    </row>
    <row r="1201" spans="3:3">
      <c r="C1201"/>
    </row>
    <row r="1202" spans="3:3">
      <c r="C1202"/>
    </row>
    <row r="1203" spans="3:3">
      <c r="C1203"/>
    </row>
    <row r="1204" spans="3:3">
      <c r="C1204"/>
    </row>
    <row r="1205" spans="3:3">
      <c r="C1205"/>
    </row>
    <row r="1206" spans="3:3">
      <c r="C1206"/>
    </row>
    <row r="1207" spans="3:3">
      <c r="C1207"/>
    </row>
    <row r="1208" spans="3:3">
      <c r="C1208"/>
    </row>
    <row r="1209" spans="3:3">
      <c r="C1209"/>
    </row>
    <row r="1210" spans="3:3">
      <c r="C1210"/>
    </row>
    <row r="1211" spans="3:3">
      <c r="C1211"/>
    </row>
    <row r="1212" spans="3:3">
      <c r="C1212"/>
    </row>
    <row r="1213" spans="3:3">
      <c r="C1213"/>
    </row>
    <row r="1214" spans="3:3">
      <c r="C1214"/>
    </row>
    <row r="1215" spans="3:3">
      <c r="C1215"/>
    </row>
    <row r="1216" spans="3:3">
      <c r="C1216"/>
    </row>
    <row r="1217" spans="3:3">
      <c r="C1217"/>
    </row>
    <row r="1218" spans="3:3">
      <c r="C1218"/>
    </row>
    <row r="1219" spans="3:3">
      <c r="C1219"/>
    </row>
    <row r="1220" spans="3:3">
      <c r="C1220"/>
    </row>
    <row r="1221" spans="3:3">
      <c r="C1221"/>
    </row>
    <row r="1222" spans="3:3">
      <c r="C1222"/>
    </row>
    <row r="1223" spans="3:3">
      <c r="C1223"/>
    </row>
    <row r="1224" spans="3:3">
      <c r="C1224"/>
    </row>
    <row r="1225" spans="3:3">
      <c r="C1225"/>
    </row>
    <row r="1226" spans="3:3">
      <c r="C1226"/>
    </row>
    <row r="1227" spans="3:3">
      <c r="C1227"/>
    </row>
    <row r="1228" spans="3:3">
      <c r="C1228"/>
    </row>
    <row r="1229" spans="3:3">
      <c r="C1229"/>
    </row>
    <row r="1230" spans="3:3">
      <c r="C1230"/>
    </row>
    <row r="1231" spans="3:3">
      <c r="C1231"/>
    </row>
    <row r="1232" spans="3:3">
      <c r="C1232"/>
    </row>
    <row r="1233" spans="3:3">
      <c r="C1233"/>
    </row>
    <row r="1234" spans="3:3">
      <c r="C1234"/>
    </row>
    <row r="1235" spans="3:3">
      <c r="C1235"/>
    </row>
    <row r="1236" spans="3:3">
      <c r="C1236"/>
    </row>
    <row r="1237" spans="3:3">
      <c r="C1237"/>
    </row>
    <row r="1238" spans="3:3">
      <c r="C1238"/>
    </row>
    <row r="1239" spans="3:3">
      <c r="C1239"/>
    </row>
    <row r="1240" spans="3:3">
      <c r="C1240"/>
    </row>
    <row r="1241" spans="3:3">
      <c r="C1241"/>
    </row>
    <row r="1242" spans="3:3">
      <c r="C1242"/>
    </row>
    <row r="1243" spans="3:3">
      <c r="C1243"/>
    </row>
    <row r="1244" spans="3:3">
      <c r="C1244"/>
    </row>
    <row r="1245" spans="3:3">
      <c r="C1245"/>
    </row>
    <row r="1246" spans="3:3">
      <c r="C1246"/>
    </row>
    <row r="1247" spans="3:3">
      <c r="C1247"/>
    </row>
    <row r="1248" spans="3:3">
      <c r="C1248"/>
    </row>
    <row r="1249" spans="3:3">
      <c r="C1249"/>
    </row>
    <row r="1250" spans="3:3">
      <c r="C1250"/>
    </row>
    <row r="1251" spans="3:3">
      <c r="C1251"/>
    </row>
    <row r="1252" spans="3:3">
      <c r="C1252"/>
    </row>
    <row r="1253" spans="3:3">
      <c r="C1253"/>
    </row>
    <row r="1254" spans="3:3">
      <c r="C1254"/>
    </row>
    <row r="1255" spans="3:3">
      <c r="C1255"/>
    </row>
    <row r="1256" spans="3:3">
      <c r="C1256"/>
    </row>
    <row r="1257" spans="3:3">
      <c r="C1257"/>
    </row>
    <row r="1258" spans="3:3">
      <c r="C1258"/>
    </row>
    <row r="1259" spans="3:3">
      <c r="C1259"/>
    </row>
    <row r="1260" spans="3:3">
      <c r="C1260"/>
    </row>
    <row r="1261" spans="3:3">
      <c r="C1261"/>
    </row>
    <row r="1262" spans="3:3">
      <c r="C1262"/>
    </row>
    <row r="1263" spans="3:3">
      <c r="C1263"/>
    </row>
    <row r="1264" spans="3:3">
      <c r="C1264"/>
    </row>
    <row r="1265" spans="3:3">
      <c r="C1265"/>
    </row>
    <row r="1266" spans="3:3">
      <c r="C1266"/>
    </row>
    <row r="1267" spans="3:3">
      <c r="C1267"/>
    </row>
    <row r="1268" spans="3:3">
      <c r="C1268"/>
    </row>
    <row r="1269" spans="3:3">
      <c r="C1269"/>
    </row>
    <row r="1270" spans="3:3">
      <c r="C1270"/>
    </row>
    <row r="1271" spans="3:3">
      <c r="C1271"/>
    </row>
    <row r="1272" spans="3:3">
      <c r="C1272"/>
    </row>
    <row r="1273" spans="3:3">
      <c r="C1273"/>
    </row>
    <row r="1274" spans="3:3">
      <c r="C1274"/>
    </row>
    <row r="1275" spans="3:3">
      <c r="C1275"/>
    </row>
    <row r="1276" spans="3:3">
      <c r="C1276"/>
    </row>
    <row r="1277" spans="3:3">
      <c r="C1277"/>
    </row>
    <row r="1278" spans="3:3">
      <c r="C1278"/>
    </row>
    <row r="1279" spans="3:3">
      <c r="C1279"/>
    </row>
    <row r="1280" spans="3:3">
      <c r="C1280"/>
    </row>
    <row r="1281" spans="3:3">
      <c r="C1281"/>
    </row>
    <row r="1282" spans="3:3">
      <c r="C1282"/>
    </row>
    <row r="1283" spans="3:3">
      <c r="C1283"/>
    </row>
    <row r="1284" spans="3:3">
      <c r="C1284"/>
    </row>
    <row r="1285" spans="3:3">
      <c r="C1285"/>
    </row>
    <row r="1286" spans="3:3">
      <c r="C1286"/>
    </row>
    <row r="1287" spans="3:3">
      <c r="C1287"/>
    </row>
    <row r="1288" spans="3:3">
      <c r="C1288"/>
    </row>
    <row r="1289" spans="3:3">
      <c r="C1289"/>
    </row>
    <row r="1290" spans="3:3">
      <c r="C1290"/>
    </row>
    <row r="1291" spans="3:3">
      <c r="C1291"/>
    </row>
    <row r="1292" spans="3:3">
      <c r="C1292"/>
    </row>
    <row r="1293" spans="3:3">
      <c r="C1293"/>
    </row>
    <row r="1294" spans="3:3">
      <c r="C1294"/>
    </row>
    <row r="1295" spans="3:3">
      <c r="C1295"/>
    </row>
    <row r="1296" spans="3:3">
      <c r="C1296"/>
    </row>
    <row r="1297" spans="3:3">
      <c r="C1297"/>
    </row>
    <row r="1298" spans="3:3">
      <c r="C1298"/>
    </row>
    <row r="1299" spans="3:3">
      <c r="C1299"/>
    </row>
    <row r="1300" spans="3:3">
      <c r="C1300"/>
    </row>
    <row r="1301" spans="3:3">
      <c r="C1301"/>
    </row>
    <row r="1302" spans="3:3">
      <c r="C1302"/>
    </row>
    <row r="1303" spans="3:3">
      <c r="C1303"/>
    </row>
    <row r="1304" spans="3:3">
      <c r="C1304"/>
    </row>
    <row r="1305" spans="3:3">
      <c r="C1305"/>
    </row>
    <row r="1306" spans="3:3">
      <c r="C1306"/>
    </row>
    <row r="1307" spans="3:3">
      <c r="C1307"/>
    </row>
    <row r="1308" spans="3:3">
      <c r="C1308"/>
    </row>
    <row r="1309" spans="3:3">
      <c r="C1309"/>
    </row>
    <row r="1310" spans="3:3">
      <c r="C1310"/>
    </row>
    <row r="1311" spans="3:3">
      <c r="C1311"/>
    </row>
    <row r="1312" spans="3:3">
      <c r="C1312"/>
    </row>
    <row r="1313" spans="3:3">
      <c r="C1313"/>
    </row>
    <row r="1314" spans="3:3">
      <c r="C1314"/>
    </row>
    <row r="1315" spans="3:3">
      <c r="C1315"/>
    </row>
    <row r="1316" spans="3:3">
      <c r="C1316"/>
    </row>
    <row r="1317" spans="3:3">
      <c r="C1317"/>
    </row>
    <row r="1318" spans="3:3">
      <c r="C1318"/>
    </row>
    <row r="1319" spans="3:3">
      <c r="C1319"/>
    </row>
    <row r="1320" spans="3:3">
      <c r="C1320"/>
    </row>
    <row r="1321" spans="3:3">
      <c r="C1321"/>
    </row>
    <row r="1322" spans="3:3">
      <c r="C1322"/>
    </row>
    <row r="1323" spans="3:3">
      <c r="C1323"/>
    </row>
    <row r="1324" spans="3:3">
      <c r="C1324"/>
    </row>
    <row r="1325" spans="3:3">
      <c r="C1325"/>
    </row>
    <row r="1326" spans="3:3">
      <c r="C1326"/>
    </row>
    <row r="1327" spans="3:3">
      <c r="C1327"/>
    </row>
    <row r="1328" spans="3:3">
      <c r="C1328"/>
    </row>
    <row r="1329" spans="3:3">
      <c r="C1329"/>
    </row>
    <row r="1330" spans="3:3">
      <c r="C1330"/>
    </row>
    <row r="1331" spans="3:3">
      <c r="C1331"/>
    </row>
    <row r="1332" spans="3:3">
      <c r="C1332"/>
    </row>
    <row r="1333" spans="3:3">
      <c r="C1333"/>
    </row>
    <row r="1334" spans="3:3">
      <c r="C1334"/>
    </row>
    <row r="1335" spans="3:3">
      <c r="C1335"/>
    </row>
    <row r="1336" spans="3:3">
      <c r="C1336"/>
    </row>
    <row r="1337" spans="3:3">
      <c r="C1337"/>
    </row>
    <row r="1338" spans="3:3">
      <c r="C1338"/>
    </row>
    <row r="1339" spans="3:3">
      <c r="C1339"/>
    </row>
    <row r="1340" spans="3:3">
      <c r="C1340"/>
    </row>
    <row r="1341" spans="3:3">
      <c r="C1341"/>
    </row>
    <row r="1342" spans="3:3">
      <c r="C1342"/>
    </row>
    <row r="1343" spans="3:3">
      <c r="C1343"/>
    </row>
    <row r="1344" spans="3:3">
      <c r="C1344"/>
    </row>
    <row r="1345" spans="3:3">
      <c r="C1345"/>
    </row>
    <row r="1346" spans="3:3">
      <c r="C1346"/>
    </row>
    <row r="1347" spans="3:3">
      <c r="C1347"/>
    </row>
    <row r="1348" spans="3:3">
      <c r="C1348"/>
    </row>
    <row r="1349" spans="3:3">
      <c r="C1349"/>
    </row>
    <row r="1350" spans="3:3">
      <c r="C1350"/>
    </row>
    <row r="1351" spans="3:3">
      <c r="C1351"/>
    </row>
    <row r="1352" spans="3:3">
      <c r="C1352"/>
    </row>
    <row r="1353" spans="3:3">
      <c r="C1353"/>
    </row>
    <row r="1354" spans="3:3">
      <c r="C1354"/>
    </row>
    <row r="1355" spans="3:3">
      <c r="C1355"/>
    </row>
    <row r="1356" spans="3:3">
      <c r="C1356"/>
    </row>
    <row r="1357" spans="3:3">
      <c r="C1357"/>
    </row>
    <row r="1358" spans="3:3">
      <c r="C1358"/>
    </row>
    <row r="1359" spans="3:3">
      <c r="C1359"/>
    </row>
    <row r="1360" spans="3:3">
      <c r="C1360"/>
    </row>
    <row r="1361" spans="3:3">
      <c r="C1361"/>
    </row>
    <row r="1362" spans="3:3">
      <c r="C1362"/>
    </row>
    <row r="1363" spans="3:3">
      <c r="C1363"/>
    </row>
    <row r="1364" spans="3:3">
      <c r="C1364"/>
    </row>
    <row r="1365" spans="3:3">
      <c r="C1365"/>
    </row>
    <row r="1366" spans="3:3">
      <c r="C1366"/>
    </row>
    <row r="1367" spans="3:3">
      <c r="C1367"/>
    </row>
    <row r="1368" spans="3:3">
      <c r="C1368"/>
    </row>
    <row r="1369" spans="3:3">
      <c r="C1369"/>
    </row>
    <row r="1370" spans="3:3">
      <c r="C1370"/>
    </row>
    <row r="1371" spans="3:3">
      <c r="C1371"/>
    </row>
    <row r="1372" spans="3:3">
      <c r="C1372"/>
    </row>
    <row r="1373" spans="3:3">
      <c r="C1373"/>
    </row>
    <row r="1374" spans="3:3">
      <c r="C1374"/>
    </row>
    <row r="1375" spans="3:3">
      <c r="C1375"/>
    </row>
    <row r="1376" spans="3:3">
      <c r="C1376"/>
    </row>
    <row r="1377" spans="3:3">
      <c r="C1377"/>
    </row>
    <row r="1378" spans="3:3">
      <c r="C1378"/>
    </row>
    <row r="1379" spans="3:3">
      <c r="C1379"/>
    </row>
    <row r="1380" spans="3:3">
      <c r="C1380"/>
    </row>
    <row r="1381" spans="3:3">
      <c r="C1381"/>
    </row>
    <row r="1382" spans="3:3">
      <c r="C1382"/>
    </row>
    <row r="1383" spans="3:3">
      <c r="C1383"/>
    </row>
    <row r="1384" spans="3:3">
      <c r="C1384"/>
    </row>
    <row r="1385" spans="3:3">
      <c r="C1385"/>
    </row>
    <row r="1386" spans="3:3">
      <c r="C1386"/>
    </row>
    <row r="1387" spans="3:3">
      <c r="C1387"/>
    </row>
    <row r="1388" spans="3:3">
      <c r="C1388"/>
    </row>
    <row r="1389" spans="3:3">
      <c r="C1389"/>
    </row>
    <row r="1390" spans="3:3">
      <c r="C1390"/>
    </row>
    <row r="1391" spans="3:3">
      <c r="C1391"/>
    </row>
    <row r="1392" spans="3:3">
      <c r="C1392"/>
    </row>
    <row r="1393" spans="3:3">
      <c r="C1393"/>
    </row>
    <row r="1394" spans="3:3">
      <c r="C1394"/>
    </row>
    <row r="1395" spans="3:3">
      <c r="C1395"/>
    </row>
    <row r="1396" spans="3:3">
      <c r="C1396"/>
    </row>
    <row r="1397" spans="3:3">
      <c r="C1397"/>
    </row>
    <row r="1398" spans="3:3">
      <c r="C1398"/>
    </row>
    <row r="1399" spans="3:3">
      <c r="C1399"/>
    </row>
    <row r="1400" spans="3:3">
      <c r="C1400"/>
    </row>
    <row r="1401" spans="3:3">
      <c r="C1401"/>
    </row>
    <row r="1402" spans="3:3">
      <c r="C1402"/>
    </row>
    <row r="1403" spans="3:3">
      <c r="C1403"/>
    </row>
    <row r="1404" spans="3:3">
      <c r="C1404"/>
    </row>
    <row r="1405" spans="3:3">
      <c r="C1405"/>
    </row>
    <row r="1406" spans="3:3">
      <c r="C1406"/>
    </row>
    <row r="1407" spans="3:3">
      <c r="C1407"/>
    </row>
    <row r="1408" spans="3:3">
      <c r="C1408"/>
    </row>
    <row r="1409" spans="3:3">
      <c r="C1409"/>
    </row>
    <row r="1410" spans="3:3">
      <c r="C1410"/>
    </row>
    <row r="1411" spans="3:3">
      <c r="C1411"/>
    </row>
    <row r="1412" spans="3:3">
      <c r="C1412"/>
    </row>
    <row r="1413" spans="3:3">
      <c r="C1413"/>
    </row>
    <row r="1414" spans="3:3">
      <c r="C1414"/>
    </row>
    <row r="1415" spans="3:3">
      <c r="C1415"/>
    </row>
    <row r="1416" spans="3:3">
      <c r="C1416"/>
    </row>
    <row r="1417" spans="3:3">
      <c r="C1417"/>
    </row>
    <row r="1418" spans="3:3">
      <c r="C1418"/>
    </row>
    <row r="1419" spans="3:3">
      <c r="C1419"/>
    </row>
    <row r="1420" spans="3:3">
      <c r="C1420"/>
    </row>
    <row r="1421" spans="3:3">
      <c r="C1421"/>
    </row>
    <row r="1422" spans="3:3">
      <c r="C1422"/>
    </row>
    <row r="1423" spans="3:3">
      <c r="C1423"/>
    </row>
    <row r="1424" spans="3:3">
      <c r="C1424"/>
    </row>
    <row r="1425" spans="3:3">
      <c r="C1425"/>
    </row>
    <row r="1426" spans="3:3">
      <c r="C1426"/>
    </row>
    <row r="1427" spans="3:3">
      <c r="C1427"/>
    </row>
    <row r="1428" spans="3:3">
      <c r="C1428"/>
    </row>
    <row r="1429" spans="3:3">
      <c r="C1429"/>
    </row>
    <row r="1430" spans="3:3">
      <c r="C1430"/>
    </row>
    <row r="1431" spans="3:3">
      <c r="C1431"/>
    </row>
    <row r="1432" spans="3:3">
      <c r="C1432"/>
    </row>
    <row r="1433" spans="3:3">
      <c r="C1433"/>
    </row>
    <row r="1434" spans="3:3">
      <c r="C1434"/>
    </row>
    <row r="1435" spans="3:3">
      <c r="C1435"/>
    </row>
    <row r="1436" spans="3:3">
      <c r="C1436"/>
    </row>
    <row r="1437" spans="3:3">
      <c r="C1437"/>
    </row>
    <row r="1438" spans="3:3">
      <c r="C1438"/>
    </row>
    <row r="1439" spans="3:3">
      <c r="C1439"/>
    </row>
    <row r="1440" spans="3:3">
      <c r="C1440"/>
    </row>
    <row r="1441" spans="3:3">
      <c r="C1441"/>
    </row>
    <row r="1442" spans="3:3">
      <c r="C1442"/>
    </row>
    <row r="1443" spans="3:3">
      <c r="C1443"/>
    </row>
    <row r="1444" spans="3:3">
      <c r="C1444"/>
    </row>
    <row r="1445" spans="3:3">
      <c r="C1445"/>
    </row>
    <row r="1446" spans="3:3">
      <c r="C1446"/>
    </row>
    <row r="1447" spans="3:3">
      <c r="C1447"/>
    </row>
    <row r="1448" spans="3:3">
      <c r="C1448"/>
    </row>
    <row r="1449" spans="3:3">
      <c r="C1449"/>
    </row>
    <row r="1450" spans="3:3">
      <c r="C1450"/>
    </row>
    <row r="1451" spans="3:3">
      <c r="C1451"/>
    </row>
    <row r="1452" spans="3:3">
      <c r="C1452"/>
    </row>
    <row r="1453" spans="3:3">
      <c r="C1453"/>
    </row>
    <row r="1454" spans="3:3">
      <c r="C1454"/>
    </row>
    <row r="1455" spans="3:3">
      <c r="C1455"/>
    </row>
    <row r="1456" spans="3:3">
      <c r="C1456"/>
    </row>
    <row r="1457" spans="3:3">
      <c r="C1457"/>
    </row>
    <row r="1458" spans="3:3">
      <c r="C1458"/>
    </row>
    <row r="1459" spans="3:3">
      <c r="C1459"/>
    </row>
    <row r="1460" spans="3:3">
      <c r="C1460"/>
    </row>
    <row r="1461" spans="3:3">
      <c r="C1461"/>
    </row>
    <row r="1462" spans="3:3">
      <c r="C1462"/>
    </row>
    <row r="1463" spans="3:3">
      <c r="C1463"/>
    </row>
    <row r="1464" spans="3:3">
      <c r="C1464"/>
    </row>
    <row r="1465" spans="3:3">
      <c r="C1465"/>
    </row>
    <row r="1466" spans="3:3">
      <c r="C1466"/>
    </row>
    <row r="1467" spans="3:3">
      <c r="C1467"/>
    </row>
    <row r="1468" spans="3:3">
      <c r="C1468"/>
    </row>
    <row r="1469" spans="3:3">
      <c r="C1469"/>
    </row>
    <row r="1470" spans="3:3">
      <c r="C1470"/>
    </row>
    <row r="1471" spans="3:3">
      <c r="C1471"/>
    </row>
    <row r="1472" spans="3:3">
      <c r="C1472"/>
    </row>
    <row r="1473" spans="3:3">
      <c r="C1473"/>
    </row>
    <row r="1474" spans="3:3">
      <c r="C1474"/>
    </row>
    <row r="1475" spans="3:3">
      <c r="C1475"/>
    </row>
    <row r="1476" spans="3:3">
      <c r="C1476"/>
    </row>
    <row r="1477" spans="3:3">
      <c r="C1477"/>
    </row>
    <row r="1478" spans="3:3">
      <c r="C1478"/>
    </row>
    <row r="1479" spans="3:3">
      <c r="C1479"/>
    </row>
    <row r="1480" spans="3:3">
      <c r="C1480"/>
    </row>
    <row r="1481" spans="3:3">
      <c r="C1481"/>
    </row>
    <row r="1482" spans="3:3">
      <c r="C1482"/>
    </row>
    <row r="1483" spans="3:3">
      <c r="C1483"/>
    </row>
    <row r="1484" spans="3:3">
      <c r="C1484"/>
    </row>
    <row r="1485" spans="3:3">
      <c r="C1485"/>
    </row>
    <row r="1486" spans="3:3">
      <c r="C1486"/>
    </row>
    <row r="1487" spans="3:3">
      <c r="C1487"/>
    </row>
    <row r="1488" spans="3:3">
      <c r="C1488"/>
    </row>
    <row r="1489" spans="3:3">
      <c r="C1489"/>
    </row>
    <row r="1490" spans="3:3">
      <c r="C1490"/>
    </row>
    <row r="1491" spans="3:3">
      <c r="C1491"/>
    </row>
    <row r="1492" spans="3:3">
      <c r="C1492"/>
    </row>
    <row r="1493" spans="3:3">
      <c r="C1493"/>
    </row>
    <row r="1494" spans="3:3">
      <c r="C1494"/>
    </row>
    <row r="1495" spans="3:3">
      <c r="C1495"/>
    </row>
    <row r="1496" spans="3:3">
      <c r="C1496"/>
    </row>
    <row r="1497" spans="3:3">
      <c r="C1497"/>
    </row>
    <row r="1498" spans="3:3">
      <c r="C1498"/>
    </row>
    <row r="1499" spans="3:3">
      <c r="C1499"/>
    </row>
    <row r="1500" spans="3:3">
      <c r="C1500"/>
    </row>
    <row r="1501" spans="3:3">
      <c r="C1501"/>
    </row>
    <row r="1502" spans="3:3">
      <c r="C1502"/>
    </row>
    <row r="1503" spans="3:3">
      <c r="C1503"/>
    </row>
    <row r="1504" spans="3:3">
      <c r="C1504"/>
    </row>
    <row r="1505" spans="3:3">
      <c r="C1505"/>
    </row>
    <row r="1506" spans="3:3">
      <c r="C1506"/>
    </row>
    <row r="1507" spans="3:3">
      <c r="C1507"/>
    </row>
    <row r="1508" spans="3:3">
      <c r="C1508"/>
    </row>
    <row r="1509" spans="3:3">
      <c r="C1509"/>
    </row>
    <row r="1510" spans="3:3">
      <c r="C1510"/>
    </row>
    <row r="1511" spans="3:3">
      <c r="C1511"/>
    </row>
    <row r="1512" spans="3:3">
      <c r="C1512"/>
    </row>
    <row r="1513" spans="3:3">
      <c r="C1513"/>
    </row>
    <row r="1514" spans="3:3">
      <c r="C1514"/>
    </row>
    <row r="1515" spans="3:3">
      <c r="C1515"/>
    </row>
    <row r="1516" spans="3:3">
      <c r="C1516"/>
    </row>
    <row r="1517" spans="3:3">
      <c r="C1517"/>
    </row>
    <row r="1518" spans="3:3">
      <c r="C1518"/>
    </row>
    <row r="1519" spans="3:3">
      <c r="C1519"/>
    </row>
    <row r="1520" spans="3:3">
      <c r="C1520"/>
    </row>
    <row r="1521" spans="3:3">
      <c r="C1521"/>
    </row>
    <row r="1522" spans="3:3">
      <c r="C1522"/>
    </row>
    <row r="1523" spans="3:3">
      <c r="C1523"/>
    </row>
    <row r="1524" spans="3:3">
      <c r="C1524"/>
    </row>
    <row r="1525" spans="3:3">
      <c r="C1525"/>
    </row>
    <row r="1526" spans="3:3">
      <c r="C1526"/>
    </row>
    <row r="1527" spans="3:3">
      <c r="C1527"/>
    </row>
    <row r="1528" spans="3:3">
      <c r="C1528"/>
    </row>
    <row r="1529" spans="3:3">
      <c r="C1529"/>
    </row>
    <row r="1530" spans="3:3">
      <c r="C1530"/>
    </row>
    <row r="1531" spans="3:3">
      <c r="C1531"/>
    </row>
    <row r="1532" spans="3:3">
      <c r="C1532"/>
    </row>
    <row r="1533" spans="3:3">
      <c r="C1533"/>
    </row>
    <row r="1534" spans="3:3">
      <c r="C1534"/>
    </row>
    <row r="1535" spans="3:3">
      <c r="C1535"/>
    </row>
    <row r="1536" spans="3:3">
      <c r="C1536"/>
    </row>
    <row r="1537" spans="3:3">
      <c r="C1537"/>
    </row>
    <row r="1538" spans="3:3">
      <c r="C1538"/>
    </row>
    <row r="1539" spans="3:3">
      <c r="C1539"/>
    </row>
    <row r="1540" spans="3:3">
      <c r="C1540"/>
    </row>
    <row r="1541" spans="3:3">
      <c r="C1541"/>
    </row>
    <row r="1542" spans="3:3">
      <c r="C1542"/>
    </row>
    <row r="1543" spans="3:3">
      <c r="C1543"/>
    </row>
    <row r="1544" spans="3:3">
      <c r="C1544"/>
    </row>
    <row r="1545" spans="3:3">
      <c r="C1545"/>
    </row>
    <row r="1546" spans="3:3">
      <c r="C1546"/>
    </row>
    <row r="1547" spans="3:3">
      <c r="C1547"/>
    </row>
    <row r="1548" spans="3:3">
      <c r="C1548"/>
    </row>
    <row r="1549" spans="3:3">
      <c r="C1549"/>
    </row>
    <row r="1550" spans="3:3">
      <c r="C1550"/>
    </row>
    <row r="1551" spans="3:3">
      <c r="C1551"/>
    </row>
    <row r="1552" spans="3:3">
      <c r="C1552"/>
    </row>
    <row r="1553" spans="3:3">
      <c r="C1553"/>
    </row>
    <row r="1554" spans="3:3">
      <c r="C1554"/>
    </row>
    <row r="1555" spans="3:3">
      <c r="C1555"/>
    </row>
    <row r="1556" spans="3:3">
      <c r="C1556"/>
    </row>
    <row r="1557" spans="3:3">
      <c r="C1557"/>
    </row>
    <row r="1558" spans="3:3">
      <c r="C1558"/>
    </row>
    <row r="1559" spans="3:3">
      <c r="C1559"/>
    </row>
    <row r="1560" spans="3:3">
      <c r="C1560"/>
    </row>
    <row r="1561" spans="3:3">
      <c r="C1561"/>
    </row>
    <row r="1562" spans="3:3">
      <c r="C1562"/>
    </row>
    <row r="1563" spans="3:3">
      <c r="C1563"/>
    </row>
    <row r="1564" spans="3:3">
      <c r="C1564"/>
    </row>
    <row r="1565" spans="3:3">
      <c r="C1565"/>
    </row>
    <row r="1566" spans="3:3">
      <c r="C1566"/>
    </row>
    <row r="1567" spans="3:3">
      <c r="C1567"/>
    </row>
    <row r="1568" spans="3:3">
      <c r="C1568"/>
    </row>
    <row r="1569" spans="3:3">
      <c r="C1569"/>
    </row>
    <row r="1570" spans="3:3">
      <c r="C1570"/>
    </row>
    <row r="1571" spans="3:3">
      <c r="C1571"/>
    </row>
    <row r="1572" spans="3:3">
      <c r="C1572"/>
    </row>
    <row r="1573" spans="3:3">
      <c r="C1573"/>
    </row>
    <row r="1574" spans="3:3">
      <c r="C1574"/>
    </row>
    <row r="1575" spans="3:3">
      <c r="C1575"/>
    </row>
    <row r="1576" spans="3:3">
      <c r="C1576"/>
    </row>
    <row r="1577" spans="3:3">
      <c r="C1577"/>
    </row>
    <row r="1578" spans="3:3">
      <c r="C1578"/>
    </row>
    <row r="1579" spans="3:3">
      <c r="C1579"/>
    </row>
    <row r="1580" spans="3:3">
      <c r="C1580"/>
    </row>
    <row r="1581" spans="3:3">
      <c r="C1581"/>
    </row>
    <row r="1582" spans="3:3">
      <c r="C1582"/>
    </row>
    <row r="1583" spans="3:3">
      <c r="C1583"/>
    </row>
    <row r="1584" spans="3:3">
      <c r="C1584"/>
    </row>
    <row r="1585" spans="3:3">
      <c r="C1585"/>
    </row>
    <row r="1586" spans="3:3">
      <c r="C1586"/>
    </row>
    <row r="1587" spans="3:3">
      <c r="C1587"/>
    </row>
    <row r="1588" spans="3:3">
      <c r="C1588"/>
    </row>
    <row r="1589" spans="3:3">
      <c r="C1589"/>
    </row>
    <row r="1590" spans="3:3">
      <c r="C1590"/>
    </row>
    <row r="1591" spans="3:3">
      <c r="C1591"/>
    </row>
    <row r="1592" spans="3:3">
      <c r="C1592"/>
    </row>
    <row r="1593" spans="3:3">
      <c r="C1593"/>
    </row>
    <row r="1594" spans="3:3">
      <c r="C1594"/>
    </row>
    <row r="1595" spans="3:3">
      <c r="C1595"/>
    </row>
    <row r="1596" spans="3:3">
      <c r="C1596"/>
    </row>
    <row r="1597" spans="3:3">
      <c r="C1597"/>
    </row>
    <row r="1598" spans="3:3">
      <c r="C1598"/>
    </row>
    <row r="1599" spans="3:3">
      <c r="C1599"/>
    </row>
    <row r="1600" spans="3:3">
      <c r="C1600"/>
    </row>
    <row r="1601" spans="3:3">
      <c r="C1601"/>
    </row>
    <row r="1602" spans="3:3">
      <c r="C1602"/>
    </row>
    <row r="1603" spans="3:3">
      <c r="C1603"/>
    </row>
    <row r="1604" spans="3:3">
      <c r="C1604"/>
    </row>
    <row r="1605" spans="3:3">
      <c r="C1605"/>
    </row>
    <row r="1606" spans="3:3">
      <c r="C1606"/>
    </row>
    <row r="1607" spans="3:3">
      <c r="C1607"/>
    </row>
    <row r="1608" spans="3:3">
      <c r="C1608"/>
    </row>
    <row r="1609" spans="3:3">
      <c r="C1609"/>
    </row>
    <row r="1610" spans="3:3">
      <c r="C1610"/>
    </row>
    <row r="1611" spans="3:3">
      <c r="C1611"/>
    </row>
    <row r="1612" spans="3:3">
      <c r="C1612"/>
    </row>
    <row r="1613" spans="3:3">
      <c r="C1613"/>
    </row>
    <row r="1614" spans="3:3">
      <c r="C1614"/>
    </row>
    <row r="1615" spans="3:3">
      <c r="C1615"/>
    </row>
    <row r="1616" spans="3:3">
      <c r="C1616"/>
    </row>
    <row r="1617" spans="3:3">
      <c r="C1617"/>
    </row>
    <row r="1618" spans="3:3">
      <c r="C1618"/>
    </row>
    <row r="1619" spans="3:3">
      <c r="C1619"/>
    </row>
    <row r="1620" spans="3:3">
      <c r="C1620"/>
    </row>
    <row r="1621" spans="3:3">
      <c r="C1621"/>
    </row>
    <row r="1622" spans="3:3">
      <c r="C1622"/>
    </row>
    <row r="1623" spans="3:3">
      <c r="C1623"/>
    </row>
    <row r="1624" spans="3:3">
      <c r="C1624"/>
    </row>
    <row r="1625" spans="3:3">
      <c r="C1625"/>
    </row>
    <row r="1626" spans="3:3">
      <c r="C1626"/>
    </row>
    <row r="1627" spans="3:3">
      <c r="C1627"/>
    </row>
    <row r="1628" spans="3:3">
      <c r="C1628"/>
    </row>
    <row r="1629" spans="3:3">
      <c r="C1629"/>
    </row>
    <row r="1630" spans="3:3">
      <c r="C1630"/>
    </row>
    <row r="1631" spans="3:3">
      <c r="C1631"/>
    </row>
    <row r="1632" spans="3:3">
      <c r="C1632"/>
    </row>
    <row r="1633" spans="3:3">
      <c r="C1633"/>
    </row>
    <row r="1634" spans="3:3">
      <c r="C1634"/>
    </row>
    <row r="1635" spans="3:3">
      <c r="C1635"/>
    </row>
    <row r="1636" spans="3:3">
      <c r="C1636"/>
    </row>
    <row r="1637" spans="3:3">
      <c r="C1637"/>
    </row>
    <row r="1638" spans="3:3">
      <c r="C1638"/>
    </row>
    <row r="1639" spans="3:3">
      <c r="C1639"/>
    </row>
    <row r="1640" spans="3:3">
      <c r="C1640"/>
    </row>
    <row r="1641" spans="3:3">
      <c r="C1641"/>
    </row>
    <row r="1642" spans="3:3">
      <c r="C1642"/>
    </row>
    <row r="1643" spans="3:3">
      <c r="C1643"/>
    </row>
    <row r="1644" spans="3:3">
      <c r="C1644"/>
    </row>
    <row r="1645" spans="3:3">
      <c r="C1645"/>
    </row>
    <row r="1646" spans="3:3">
      <c r="C1646"/>
    </row>
    <row r="1647" spans="3:3">
      <c r="C1647"/>
    </row>
    <row r="1648" spans="3:3">
      <c r="C1648"/>
    </row>
    <row r="1649" spans="3:3">
      <c r="C1649"/>
    </row>
    <row r="1650" spans="3:3">
      <c r="C1650"/>
    </row>
    <row r="1651" spans="3:3">
      <c r="C1651"/>
    </row>
    <row r="1652" spans="3:3">
      <c r="C1652"/>
    </row>
    <row r="1653" spans="3:3">
      <c r="C1653"/>
    </row>
    <row r="1654" spans="3:3">
      <c r="C1654"/>
    </row>
    <row r="1655" spans="3:3">
      <c r="C1655"/>
    </row>
    <row r="1656" spans="3:3">
      <c r="C1656"/>
    </row>
    <row r="1657" spans="3:3">
      <c r="C1657"/>
    </row>
    <row r="1658" spans="3:3">
      <c r="C1658"/>
    </row>
    <row r="1659" spans="3:3">
      <c r="C1659"/>
    </row>
    <row r="1660" spans="3:3">
      <c r="C1660"/>
    </row>
    <row r="1661" spans="3:3">
      <c r="C1661"/>
    </row>
    <row r="1662" spans="3:3">
      <c r="C1662"/>
    </row>
    <row r="1663" spans="3:3">
      <c r="C1663"/>
    </row>
    <row r="1664" spans="3:3">
      <c r="C1664"/>
    </row>
    <row r="1665" spans="3:3">
      <c r="C1665"/>
    </row>
    <row r="1666" spans="3:3">
      <c r="C1666"/>
    </row>
    <row r="1667" spans="3:3">
      <c r="C1667"/>
    </row>
    <row r="1668" spans="3:3">
      <c r="C1668"/>
    </row>
    <row r="1669" spans="3:3">
      <c r="C1669"/>
    </row>
    <row r="1670" spans="3:3">
      <c r="C1670"/>
    </row>
    <row r="1671" spans="3:3">
      <c r="C1671"/>
    </row>
    <row r="1672" spans="3:3">
      <c r="C1672"/>
    </row>
    <row r="1673" spans="3:3">
      <c r="C1673"/>
    </row>
    <row r="1674" spans="3:3">
      <c r="C1674"/>
    </row>
    <row r="1675" spans="3:3">
      <c r="C1675"/>
    </row>
    <row r="1676" spans="3:3">
      <c r="C1676"/>
    </row>
    <row r="1677" spans="3:3">
      <c r="C1677"/>
    </row>
    <row r="1678" spans="3:3">
      <c r="C1678"/>
    </row>
    <row r="1679" spans="3:3">
      <c r="C1679"/>
    </row>
    <row r="1680" spans="3:3">
      <c r="C1680"/>
    </row>
    <row r="1681" spans="3:3">
      <c r="C1681"/>
    </row>
    <row r="1682" spans="3:3">
      <c r="C1682"/>
    </row>
    <row r="1683" spans="3:3">
      <c r="C1683"/>
    </row>
    <row r="1684" spans="3:3">
      <c r="C1684"/>
    </row>
    <row r="1685" spans="3:3">
      <c r="C1685"/>
    </row>
    <row r="1686" spans="3:3">
      <c r="C1686"/>
    </row>
    <row r="1687" spans="3:3">
      <c r="C1687"/>
    </row>
    <row r="1688" spans="3:3">
      <c r="C1688"/>
    </row>
    <row r="1689" spans="3:3">
      <c r="C1689"/>
    </row>
    <row r="1690" spans="3:3">
      <c r="C1690"/>
    </row>
    <row r="1691" spans="3:3">
      <c r="C1691"/>
    </row>
    <row r="1692" spans="3:3">
      <c r="C1692"/>
    </row>
    <row r="1693" spans="3:3">
      <c r="C1693"/>
    </row>
    <row r="1694" spans="3:3">
      <c r="C1694"/>
    </row>
    <row r="1695" spans="3:3">
      <c r="C1695"/>
    </row>
    <row r="1696" spans="3:3">
      <c r="C1696"/>
    </row>
    <row r="1697" spans="3:3">
      <c r="C1697"/>
    </row>
    <row r="1698" spans="3:3">
      <c r="C1698"/>
    </row>
    <row r="1699" spans="3:3">
      <c r="C1699"/>
    </row>
    <row r="1700" spans="3:3">
      <c r="C1700"/>
    </row>
    <row r="1701" spans="3:3">
      <c r="C1701"/>
    </row>
    <row r="1702" spans="3:3">
      <c r="C1702"/>
    </row>
    <row r="1703" spans="3:3">
      <c r="C1703"/>
    </row>
    <row r="1704" spans="3:3">
      <c r="C1704"/>
    </row>
    <row r="1705" spans="3:3">
      <c r="C1705"/>
    </row>
    <row r="1706" spans="3:3">
      <c r="C1706"/>
    </row>
    <row r="1707" spans="3:3">
      <c r="C1707"/>
    </row>
    <row r="1708" spans="3:3">
      <c r="C1708"/>
    </row>
    <row r="1709" spans="3:3">
      <c r="C1709"/>
    </row>
    <row r="1710" spans="3:3">
      <c r="C1710"/>
    </row>
    <row r="1711" spans="3:3">
      <c r="C1711"/>
    </row>
    <row r="1712" spans="3:3">
      <c r="C1712"/>
    </row>
    <row r="1713" spans="3:3">
      <c r="C1713"/>
    </row>
    <row r="1714" spans="3:3">
      <c r="C1714"/>
    </row>
    <row r="1715" spans="3:3">
      <c r="C1715"/>
    </row>
    <row r="1716" spans="3:3">
      <c r="C1716"/>
    </row>
    <row r="1717" spans="3:3">
      <c r="C1717"/>
    </row>
    <row r="1718" spans="3:3">
      <c r="C1718"/>
    </row>
    <row r="1719" spans="3:3">
      <c r="C1719"/>
    </row>
    <row r="1720" spans="3:3">
      <c r="C1720"/>
    </row>
    <row r="1721" spans="3:3">
      <c r="C1721"/>
    </row>
    <row r="1722" spans="3:3">
      <c r="C1722"/>
    </row>
    <row r="1723" spans="3:3">
      <c r="C1723"/>
    </row>
    <row r="1724" spans="3:3">
      <c r="C1724"/>
    </row>
    <row r="1725" spans="3:3">
      <c r="C1725"/>
    </row>
    <row r="1726" spans="3:3">
      <c r="C1726"/>
    </row>
    <row r="1727" spans="3:3">
      <c r="C1727"/>
    </row>
    <row r="1728" spans="3:3">
      <c r="C1728"/>
    </row>
    <row r="1729" spans="3:3">
      <c r="C1729"/>
    </row>
    <row r="1730" spans="3:3">
      <c r="C1730"/>
    </row>
    <row r="1731" spans="3:3">
      <c r="C1731"/>
    </row>
    <row r="1732" spans="3:3">
      <c r="C1732"/>
    </row>
    <row r="1733" spans="3:3">
      <c r="C1733"/>
    </row>
    <row r="1734" spans="3:3">
      <c r="C1734"/>
    </row>
    <row r="1735" spans="3:3">
      <c r="C1735"/>
    </row>
    <row r="1736" spans="3:3">
      <c r="C1736"/>
    </row>
    <row r="1737" spans="3:3">
      <c r="C1737"/>
    </row>
    <row r="1738" spans="3:3">
      <c r="C1738"/>
    </row>
    <row r="1739" spans="3:3">
      <c r="C1739"/>
    </row>
    <row r="1740" spans="3:3">
      <c r="C1740"/>
    </row>
    <row r="1741" spans="3:3">
      <c r="C1741"/>
    </row>
    <row r="1742" spans="3:3">
      <c r="C1742"/>
    </row>
    <row r="1743" spans="3:3">
      <c r="C1743"/>
    </row>
    <row r="1744" spans="3:3">
      <c r="C1744"/>
    </row>
    <row r="1745" spans="3:3">
      <c r="C1745"/>
    </row>
    <row r="1746" spans="3:3">
      <c r="C1746"/>
    </row>
    <row r="1747" spans="3:3">
      <c r="C1747"/>
    </row>
    <row r="1748" spans="3:3">
      <c r="C1748"/>
    </row>
    <row r="1749" spans="3:3">
      <c r="C1749"/>
    </row>
    <row r="1750" spans="3:3">
      <c r="C1750"/>
    </row>
    <row r="1751" spans="3:3">
      <c r="C1751"/>
    </row>
    <row r="1752" spans="3:3">
      <c r="C1752"/>
    </row>
    <row r="1753" spans="3:3">
      <c r="C1753"/>
    </row>
    <row r="1754" spans="3:3">
      <c r="C1754"/>
    </row>
    <row r="1755" spans="3:3">
      <c r="C1755"/>
    </row>
    <row r="1756" spans="3:3">
      <c r="C1756"/>
    </row>
    <row r="1757" spans="3:3">
      <c r="C1757"/>
    </row>
    <row r="1758" spans="3:3">
      <c r="C1758"/>
    </row>
    <row r="1759" spans="3:3">
      <c r="C1759"/>
    </row>
    <row r="1760" spans="3:3">
      <c r="C1760"/>
    </row>
    <row r="1761" spans="3:3">
      <c r="C1761"/>
    </row>
    <row r="1762" spans="3:3">
      <c r="C1762"/>
    </row>
    <row r="1763" spans="3:3">
      <c r="C1763"/>
    </row>
    <row r="1764" spans="3:3">
      <c r="C1764"/>
    </row>
    <row r="1765" spans="3:3">
      <c r="C1765"/>
    </row>
    <row r="1766" spans="3:3">
      <c r="C1766"/>
    </row>
    <row r="1767" spans="3:3">
      <c r="C1767"/>
    </row>
    <row r="1768" spans="3:3">
      <c r="C1768"/>
    </row>
    <row r="1769" spans="3:3">
      <c r="C1769"/>
    </row>
    <row r="1770" spans="3:3">
      <c r="C1770"/>
    </row>
    <row r="1771" spans="3:3">
      <c r="C1771"/>
    </row>
    <row r="1772" spans="3:3">
      <c r="C1772"/>
    </row>
    <row r="1773" spans="3:3">
      <c r="C1773"/>
    </row>
    <row r="1774" spans="3:3">
      <c r="C1774"/>
    </row>
    <row r="1775" spans="3:3">
      <c r="C1775"/>
    </row>
    <row r="1776" spans="3:3">
      <c r="C1776"/>
    </row>
    <row r="1777" spans="3:3">
      <c r="C1777"/>
    </row>
    <row r="1778" spans="3:3">
      <c r="C1778"/>
    </row>
    <row r="1779" spans="3:3">
      <c r="C1779"/>
    </row>
    <row r="1780" spans="3:3">
      <c r="C1780"/>
    </row>
    <row r="1781" spans="3:3">
      <c r="C1781"/>
    </row>
    <row r="1782" spans="3:3">
      <c r="C1782"/>
    </row>
    <row r="1783" spans="3:3">
      <c r="C1783"/>
    </row>
    <row r="1784" spans="3:3">
      <c r="C1784"/>
    </row>
    <row r="1785" spans="3:3">
      <c r="C1785"/>
    </row>
    <row r="1786" spans="3:3">
      <c r="C1786"/>
    </row>
    <row r="1787" spans="3:3">
      <c r="C1787"/>
    </row>
    <row r="1788" spans="3:3">
      <c r="C1788"/>
    </row>
    <row r="1789" spans="3:3">
      <c r="C1789"/>
    </row>
    <row r="1790" spans="3:3">
      <c r="C1790"/>
    </row>
    <row r="1791" spans="3:3">
      <c r="C1791"/>
    </row>
    <row r="1792" spans="3:3">
      <c r="C1792"/>
    </row>
    <row r="1793" spans="3:3">
      <c r="C1793"/>
    </row>
    <row r="1794" spans="3:3">
      <c r="C1794"/>
    </row>
    <row r="1795" spans="3:3">
      <c r="C1795"/>
    </row>
    <row r="1796" spans="3:3">
      <c r="C1796"/>
    </row>
    <row r="1797" spans="3:3">
      <c r="C1797"/>
    </row>
    <row r="1798" spans="3:3">
      <c r="C1798"/>
    </row>
    <row r="1799" spans="3:3">
      <c r="C1799"/>
    </row>
    <row r="1800" spans="3:3">
      <c r="C1800"/>
    </row>
    <row r="1801" spans="3:3">
      <c r="C1801"/>
    </row>
    <row r="1802" spans="3:3">
      <c r="C1802"/>
    </row>
    <row r="1803" spans="3:3">
      <c r="C1803"/>
    </row>
    <row r="1804" spans="3:3">
      <c r="C1804"/>
    </row>
    <row r="1805" spans="3:3">
      <c r="C1805"/>
    </row>
    <row r="1806" spans="3:3">
      <c r="C1806"/>
    </row>
    <row r="1807" spans="3:3">
      <c r="C1807"/>
    </row>
    <row r="1808" spans="3:3">
      <c r="C1808"/>
    </row>
    <row r="1809" spans="3:3">
      <c r="C1809"/>
    </row>
    <row r="1810" spans="3:3">
      <c r="C1810"/>
    </row>
    <row r="1811" spans="3:3">
      <c r="C1811"/>
    </row>
    <row r="1812" spans="3:3">
      <c r="C1812"/>
    </row>
    <row r="1813" spans="3:3">
      <c r="C1813"/>
    </row>
    <row r="1814" spans="3:3">
      <c r="C1814"/>
    </row>
    <row r="1815" spans="3:3">
      <c r="C1815"/>
    </row>
    <row r="1816" spans="3:3">
      <c r="C1816"/>
    </row>
    <row r="1817" spans="3:3">
      <c r="C1817"/>
    </row>
    <row r="1818" spans="3:3">
      <c r="C1818"/>
    </row>
    <row r="1819" spans="3:3">
      <c r="C1819"/>
    </row>
    <row r="1820" spans="3:3">
      <c r="C1820"/>
    </row>
    <row r="1821" spans="3:3">
      <c r="C1821"/>
    </row>
    <row r="1822" spans="3:3">
      <c r="C1822"/>
    </row>
    <row r="1823" spans="3:3">
      <c r="C1823"/>
    </row>
    <row r="1824" spans="3:3">
      <c r="C1824"/>
    </row>
    <row r="1825" spans="3:3">
      <c r="C1825"/>
    </row>
    <row r="1826" spans="3:3">
      <c r="C1826"/>
    </row>
    <row r="1827" spans="3:3">
      <c r="C1827"/>
    </row>
    <row r="1828" spans="3:3">
      <c r="C1828"/>
    </row>
    <row r="1829" spans="3:3">
      <c r="C1829"/>
    </row>
    <row r="1830" spans="3:3">
      <c r="C1830"/>
    </row>
    <row r="1831" spans="3:3">
      <c r="C1831"/>
    </row>
    <row r="1832" spans="3:3">
      <c r="C1832"/>
    </row>
    <row r="1833" spans="3:3">
      <c r="C1833"/>
    </row>
    <row r="1834" spans="3:3">
      <c r="C1834"/>
    </row>
    <row r="1835" spans="3:3">
      <c r="C1835"/>
    </row>
    <row r="1836" spans="3:3">
      <c r="C1836"/>
    </row>
    <row r="1837" spans="3:3">
      <c r="C1837"/>
    </row>
    <row r="1838" spans="3:3">
      <c r="C1838"/>
    </row>
    <row r="1839" spans="3:3">
      <c r="C1839"/>
    </row>
    <row r="1840" spans="3:3">
      <c r="C1840"/>
    </row>
    <row r="1841" spans="3:3">
      <c r="C1841"/>
    </row>
    <row r="1842" spans="3:3">
      <c r="C1842"/>
    </row>
    <row r="1843" spans="3:3">
      <c r="C1843"/>
    </row>
    <row r="1844" spans="3:3">
      <c r="C1844"/>
    </row>
    <row r="1845" spans="3:3">
      <c r="C1845"/>
    </row>
    <row r="1846" spans="3:3">
      <c r="C1846"/>
    </row>
    <row r="1847" spans="3:3">
      <c r="C1847"/>
    </row>
    <row r="1848" spans="3:3">
      <c r="C1848"/>
    </row>
    <row r="1849" spans="3:3">
      <c r="C1849"/>
    </row>
    <row r="1850" spans="3:3">
      <c r="C1850"/>
    </row>
    <row r="1851" spans="3:3">
      <c r="C1851"/>
    </row>
    <row r="1852" spans="3:3">
      <c r="C1852"/>
    </row>
    <row r="1853" spans="3:3">
      <c r="C1853"/>
    </row>
    <row r="1854" spans="3:3">
      <c r="C1854"/>
    </row>
    <row r="1855" spans="3:3">
      <c r="C1855"/>
    </row>
    <row r="1856" spans="3:3">
      <c r="C1856"/>
    </row>
    <row r="1857" spans="3:3">
      <c r="C1857"/>
    </row>
    <row r="1858" spans="3:3">
      <c r="C1858"/>
    </row>
    <row r="1859" spans="3:3">
      <c r="C1859"/>
    </row>
    <row r="1860" spans="3:3">
      <c r="C1860"/>
    </row>
    <row r="1861" spans="3:3">
      <c r="C1861"/>
    </row>
    <row r="1862" spans="3:3">
      <c r="C1862"/>
    </row>
    <row r="1863" spans="3:3">
      <c r="C1863"/>
    </row>
    <row r="1864" spans="3:3">
      <c r="C1864"/>
    </row>
    <row r="1865" spans="3:3">
      <c r="C1865"/>
    </row>
    <row r="1866" spans="3:3">
      <c r="C1866"/>
    </row>
    <row r="1867" spans="3:3">
      <c r="C1867"/>
    </row>
    <row r="1868" spans="3:3">
      <c r="C1868"/>
    </row>
    <row r="1869" spans="3:3">
      <c r="C1869"/>
    </row>
    <row r="1870" spans="3:3">
      <c r="C1870"/>
    </row>
    <row r="1871" spans="3:3">
      <c r="C1871"/>
    </row>
    <row r="1872" spans="3:3">
      <c r="C1872"/>
    </row>
    <row r="1873" spans="3:3">
      <c r="C1873"/>
    </row>
    <row r="1874" spans="3:3">
      <c r="C1874"/>
    </row>
    <row r="1875" spans="3:3">
      <c r="C1875"/>
    </row>
    <row r="1876" spans="3:3">
      <c r="C1876"/>
    </row>
    <row r="1877" spans="3:3">
      <c r="C1877"/>
    </row>
    <row r="1878" spans="3:3">
      <c r="C1878"/>
    </row>
    <row r="1879" spans="3:3">
      <c r="C1879"/>
    </row>
    <row r="1880" spans="3:3">
      <c r="C1880"/>
    </row>
    <row r="1881" spans="3:3">
      <c r="C1881"/>
    </row>
    <row r="1882" spans="3:3">
      <c r="C1882"/>
    </row>
    <row r="1883" spans="3:3">
      <c r="C1883"/>
    </row>
    <row r="1884" spans="3:3">
      <c r="C1884"/>
    </row>
    <row r="1885" spans="3:3">
      <c r="C1885"/>
    </row>
    <row r="1886" spans="3:3">
      <c r="C1886"/>
    </row>
    <row r="1887" spans="3:3">
      <c r="C1887"/>
    </row>
    <row r="1888" spans="3:3">
      <c r="C1888"/>
    </row>
    <row r="1889" spans="3:3">
      <c r="C1889"/>
    </row>
    <row r="1890" spans="3:3">
      <c r="C1890"/>
    </row>
    <row r="1891" spans="3:3">
      <c r="C1891"/>
    </row>
    <row r="1892" spans="3:3">
      <c r="C1892"/>
    </row>
    <row r="1893" spans="3:3">
      <c r="C1893"/>
    </row>
    <row r="1894" spans="3:3">
      <c r="C1894"/>
    </row>
    <row r="1895" spans="3:3">
      <c r="C1895"/>
    </row>
    <row r="1896" spans="3:3">
      <c r="C1896"/>
    </row>
    <row r="1897" spans="3:3">
      <c r="C1897"/>
    </row>
    <row r="1898" spans="3:3">
      <c r="C1898"/>
    </row>
    <row r="1899" spans="3:3">
      <c r="C1899"/>
    </row>
    <row r="1900" spans="3:3">
      <c r="C1900"/>
    </row>
    <row r="1901" spans="3:3">
      <c r="C1901"/>
    </row>
    <row r="1902" spans="3:3">
      <c r="C1902"/>
    </row>
    <row r="1903" spans="3:3">
      <c r="C1903"/>
    </row>
    <row r="1904" spans="3:3">
      <c r="C1904"/>
    </row>
    <row r="1905" spans="3:3">
      <c r="C1905"/>
    </row>
    <row r="1906" spans="3:3">
      <c r="C1906"/>
    </row>
    <row r="1907" spans="3:3">
      <c r="C1907"/>
    </row>
    <row r="1908" spans="3:3">
      <c r="C1908"/>
    </row>
    <row r="1909" spans="3:3">
      <c r="C1909"/>
    </row>
    <row r="1910" spans="3:3">
      <c r="C1910"/>
    </row>
    <row r="1911" spans="3:3">
      <c r="C1911"/>
    </row>
    <row r="1912" spans="3:3">
      <c r="C1912"/>
    </row>
    <row r="1913" spans="3:3">
      <c r="C1913"/>
    </row>
    <row r="1914" spans="3:3">
      <c r="C1914"/>
    </row>
    <row r="1915" spans="3:3">
      <c r="C1915"/>
    </row>
    <row r="1916" spans="3:3">
      <c r="C1916"/>
    </row>
    <row r="1917" spans="3:3">
      <c r="C1917"/>
    </row>
    <row r="1918" spans="3:3">
      <c r="C1918"/>
    </row>
    <row r="1919" spans="3:3">
      <c r="C1919"/>
    </row>
    <row r="1920" spans="3:3">
      <c r="C1920"/>
    </row>
    <row r="1921" spans="3:3">
      <c r="C1921"/>
    </row>
    <row r="1922" spans="3:3">
      <c r="C1922"/>
    </row>
    <row r="1923" spans="3:3">
      <c r="C1923"/>
    </row>
    <row r="1924" spans="3:3">
      <c r="C1924"/>
    </row>
    <row r="1925" spans="3:3">
      <c r="C1925"/>
    </row>
    <row r="1926" spans="3:3">
      <c r="C1926"/>
    </row>
    <row r="1927" spans="3:3">
      <c r="C1927"/>
    </row>
    <row r="1928" spans="3:3">
      <c r="C1928"/>
    </row>
    <row r="1929" spans="3:3">
      <c r="C1929"/>
    </row>
    <row r="1930" spans="3:3">
      <c r="C1930"/>
    </row>
    <row r="1931" spans="3:3">
      <c r="C1931"/>
    </row>
    <row r="1932" spans="3:3">
      <c r="C1932"/>
    </row>
    <row r="1933" spans="3:3">
      <c r="C1933"/>
    </row>
    <row r="1934" spans="3:3">
      <c r="C1934"/>
    </row>
    <row r="1935" spans="3:3">
      <c r="C1935"/>
    </row>
    <row r="1936" spans="3:3">
      <c r="C1936"/>
    </row>
    <row r="1937" spans="3:3">
      <c r="C1937"/>
    </row>
    <row r="1938" spans="3:3">
      <c r="C1938"/>
    </row>
    <row r="1939" spans="3:3">
      <c r="C1939"/>
    </row>
    <row r="1940" spans="3:3">
      <c r="C1940"/>
    </row>
    <row r="1941" spans="3:3">
      <c r="C1941"/>
    </row>
    <row r="1942" spans="3:3">
      <c r="C1942"/>
    </row>
    <row r="1943" spans="3:3">
      <c r="C1943"/>
    </row>
    <row r="1944" spans="3:3">
      <c r="C1944"/>
    </row>
    <row r="1945" spans="3:3">
      <c r="C1945"/>
    </row>
    <row r="1946" spans="3:3">
      <c r="C1946"/>
    </row>
    <row r="1947" spans="3:3">
      <c r="C1947"/>
    </row>
    <row r="1948" spans="3:3">
      <c r="C1948"/>
    </row>
    <row r="1949" spans="3:3">
      <c r="C1949"/>
    </row>
    <row r="1950" spans="3:3">
      <c r="C1950"/>
    </row>
    <row r="1951" spans="3:3">
      <c r="C1951"/>
    </row>
    <row r="1952" spans="3:3">
      <c r="C1952"/>
    </row>
    <row r="1953" spans="3:3">
      <c r="C1953"/>
    </row>
    <row r="1954" spans="3:3">
      <c r="C1954"/>
    </row>
    <row r="1955" spans="3:3">
      <c r="C1955"/>
    </row>
    <row r="1956" spans="3:3">
      <c r="C1956"/>
    </row>
    <row r="1957" spans="3:3">
      <c r="C1957"/>
    </row>
    <row r="1958" spans="3:3">
      <c r="C1958"/>
    </row>
    <row r="1959" spans="3:3">
      <c r="C1959"/>
    </row>
    <row r="1960" spans="3:3">
      <c r="C1960"/>
    </row>
    <row r="1961" spans="3:3">
      <c r="C1961"/>
    </row>
    <row r="1962" spans="3:3">
      <c r="C1962"/>
    </row>
    <row r="1963" spans="3:3">
      <c r="C1963"/>
    </row>
    <row r="1964" spans="3:3">
      <c r="C1964"/>
    </row>
    <row r="1965" spans="3:3">
      <c r="C1965"/>
    </row>
    <row r="1966" spans="3:3">
      <c r="C1966"/>
    </row>
    <row r="1967" spans="3:3">
      <c r="C1967"/>
    </row>
    <row r="1968" spans="3:3">
      <c r="C1968"/>
    </row>
    <row r="1969" spans="3:3">
      <c r="C1969"/>
    </row>
    <row r="1970" spans="3:3">
      <c r="C1970"/>
    </row>
    <row r="1971" spans="3:3">
      <c r="C1971"/>
    </row>
    <row r="1972" spans="3:3">
      <c r="C1972"/>
    </row>
    <row r="1973" spans="3:3">
      <c r="C1973"/>
    </row>
    <row r="1974" spans="3:3">
      <c r="C1974"/>
    </row>
    <row r="1975" spans="3:3">
      <c r="C1975"/>
    </row>
    <row r="1976" spans="3:3">
      <c r="C1976"/>
    </row>
    <row r="1977" spans="3:3">
      <c r="C1977"/>
    </row>
    <row r="1978" spans="3:3">
      <c r="C1978"/>
    </row>
    <row r="1979" spans="3:3">
      <c r="C1979"/>
    </row>
    <row r="1980" spans="3:3">
      <c r="C1980"/>
    </row>
    <row r="1981" spans="3:3">
      <c r="C1981"/>
    </row>
    <row r="1982" spans="3:3">
      <c r="C1982"/>
    </row>
    <row r="1983" spans="3:3">
      <c r="C1983"/>
    </row>
    <row r="1984" spans="3:3">
      <c r="C1984"/>
    </row>
    <row r="1985" spans="3:3">
      <c r="C1985"/>
    </row>
    <row r="1986" spans="3:3">
      <c r="C1986"/>
    </row>
    <row r="1987" spans="3:3">
      <c r="C1987"/>
    </row>
    <row r="1988" spans="3:3">
      <c r="C1988"/>
    </row>
    <row r="1989" spans="3:3">
      <c r="C1989"/>
    </row>
    <row r="1990" spans="3:3">
      <c r="C1990"/>
    </row>
    <row r="1991" spans="3:3">
      <c r="C1991"/>
    </row>
    <row r="1992" spans="3:3">
      <c r="C1992"/>
    </row>
    <row r="1993" spans="3:3">
      <c r="C1993"/>
    </row>
    <row r="1994" spans="3:3">
      <c r="C1994"/>
    </row>
    <row r="1995" spans="3:3">
      <c r="C1995"/>
    </row>
    <row r="1996" spans="3:3">
      <c r="C1996"/>
    </row>
    <row r="1997" spans="3:3">
      <c r="C1997"/>
    </row>
    <row r="1998" spans="3:3">
      <c r="C1998"/>
    </row>
    <row r="1999" spans="3:3">
      <c r="C1999"/>
    </row>
    <row r="2000" spans="3:3">
      <c r="C2000"/>
    </row>
    <row r="2001" spans="3:3">
      <c r="C2001"/>
    </row>
    <row r="2002" spans="3:3">
      <c r="C2002"/>
    </row>
    <row r="2003" spans="3:3">
      <c r="C2003"/>
    </row>
    <row r="2004" spans="3:3">
      <c r="C2004"/>
    </row>
    <row r="2005" spans="3:3">
      <c r="C2005"/>
    </row>
    <row r="2006" spans="3:3">
      <c r="C2006"/>
    </row>
    <row r="2007" spans="3:3">
      <c r="C2007"/>
    </row>
    <row r="2008" spans="3:3">
      <c r="C2008"/>
    </row>
    <row r="2009" spans="3:3">
      <c r="C2009"/>
    </row>
    <row r="2010" spans="3:3">
      <c r="C2010"/>
    </row>
    <row r="2011" spans="3:3">
      <c r="C2011"/>
    </row>
    <row r="2012" spans="3:3">
      <c r="C2012"/>
    </row>
    <row r="2013" spans="3:3">
      <c r="C2013"/>
    </row>
    <row r="2014" spans="3:3">
      <c r="C2014"/>
    </row>
    <row r="2015" spans="3:3">
      <c r="C2015"/>
    </row>
    <row r="2016" spans="3:3">
      <c r="C2016"/>
    </row>
    <row r="2017" spans="3:3">
      <c r="C2017"/>
    </row>
    <row r="2018" spans="3:3">
      <c r="C2018"/>
    </row>
    <row r="2019" spans="3:3">
      <c r="C2019"/>
    </row>
    <row r="2020" spans="3:3">
      <c r="C2020"/>
    </row>
    <row r="2021" spans="3:3">
      <c r="C2021"/>
    </row>
    <row r="2022" spans="3:3">
      <c r="C2022"/>
    </row>
    <row r="2023" spans="3:3">
      <c r="C2023"/>
    </row>
    <row r="2024" spans="3:3">
      <c r="C2024"/>
    </row>
    <row r="2025" spans="3:3">
      <c r="C2025"/>
    </row>
    <row r="2026" spans="3:3">
      <c r="C2026"/>
    </row>
    <row r="2027" spans="3:3">
      <c r="C2027"/>
    </row>
    <row r="2028" spans="3:3">
      <c r="C2028"/>
    </row>
    <row r="2029" spans="3:3">
      <c r="C2029"/>
    </row>
    <row r="2030" spans="3:3">
      <c r="C2030"/>
    </row>
    <row r="2031" spans="3:3">
      <c r="C2031"/>
    </row>
    <row r="2032" spans="3:3">
      <c r="C2032"/>
    </row>
    <row r="2033" spans="3:3">
      <c r="C2033"/>
    </row>
    <row r="2034" spans="3:3">
      <c r="C2034"/>
    </row>
    <row r="2035" spans="3:3">
      <c r="C2035"/>
    </row>
    <row r="2036" spans="3:3">
      <c r="C2036"/>
    </row>
    <row r="2037" spans="3:3">
      <c r="C2037"/>
    </row>
    <row r="2038" spans="3:3">
      <c r="C2038"/>
    </row>
    <row r="2039" spans="3:3">
      <c r="C2039"/>
    </row>
    <row r="2040" spans="3:3">
      <c r="C2040"/>
    </row>
    <row r="2041" spans="3:3">
      <c r="C2041"/>
    </row>
    <row r="2042" spans="3:3">
      <c r="C2042"/>
    </row>
    <row r="2043" spans="3:3">
      <c r="C2043"/>
    </row>
    <row r="2044" spans="3:3">
      <c r="C2044"/>
    </row>
    <row r="2045" spans="3:3">
      <c r="C2045"/>
    </row>
    <row r="2046" spans="3:3">
      <c r="C2046"/>
    </row>
    <row r="2047" spans="3:3">
      <c r="C2047"/>
    </row>
    <row r="2048" spans="3:3">
      <c r="C2048"/>
    </row>
    <row r="2049" spans="3:3">
      <c r="C2049"/>
    </row>
    <row r="2050" spans="3:3">
      <c r="C2050"/>
    </row>
    <row r="2051" spans="3:3">
      <c r="C2051"/>
    </row>
    <row r="2052" spans="3:3">
      <c r="C2052"/>
    </row>
    <row r="2053" spans="3:3">
      <c r="C2053"/>
    </row>
    <row r="2054" spans="3:3">
      <c r="C2054"/>
    </row>
    <row r="2055" spans="3:3">
      <c r="C2055"/>
    </row>
    <row r="2056" spans="3:3">
      <c r="C2056"/>
    </row>
    <row r="2057" spans="3:3">
      <c r="C2057"/>
    </row>
    <row r="2058" spans="3:3">
      <c r="C2058"/>
    </row>
    <row r="2059" spans="3:3">
      <c r="C2059"/>
    </row>
    <row r="2060" spans="3:3">
      <c r="C2060"/>
    </row>
    <row r="2061" spans="3:3">
      <c r="C2061"/>
    </row>
    <row r="2062" spans="3:3">
      <c r="C2062"/>
    </row>
    <row r="2063" spans="3:3">
      <c r="C2063"/>
    </row>
    <row r="2064" spans="3:3">
      <c r="C2064"/>
    </row>
    <row r="2065" spans="3:3">
      <c r="C2065"/>
    </row>
    <row r="2066" spans="3:3">
      <c r="C2066"/>
    </row>
    <row r="2067" spans="3:3">
      <c r="C2067"/>
    </row>
    <row r="2068" spans="3:3">
      <c r="C2068"/>
    </row>
    <row r="2069" spans="3:3">
      <c r="C2069"/>
    </row>
    <row r="2070" spans="3:3">
      <c r="C2070"/>
    </row>
    <row r="2071" spans="3:3">
      <c r="C2071"/>
    </row>
    <row r="2072" spans="3:3">
      <c r="C2072"/>
    </row>
    <row r="2073" spans="3:3">
      <c r="C2073"/>
    </row>
    <row r="2074" spans="3:3">
      <c r="C2074"/>
    </row>
    <row r="2075" spans="3:3">
      <c r="C2075"/>
    </row>
    <row r="2076" spans="3:3">
      <c r="C2076"/>
    </row>
    <row r="2077" spans="3:3">
      <c r="C2077"/>
    </row>
    <row r="2078" spans="3:3">
      <c r="C2078"/>
    </row>
    <row r="2079" spans="3:3">
      <c r="C2079"/>
    </row>
    <row r="2080" spans="3:3">
      <c r="C2080"/>
    </row>
    <row r="2081" spans="3:3">
      <c r="C2081"/>
    </row>
    <row r="2082" spans="3:3">
      <c r="C2082"/>
    </row>
    <row r="2083" spans="3:3">
      <c r="C2083"/>
    </row>
    <row r="2084" spans="3:3">
      <c r="C2084"/>
    </row>
    <row r="2085" spans="3:3">
      <c r="C2085"/>
    </row>
    <row r="2086" spans="3:3">
      <c r="C2086"/>
    </row>
    <row r="2087" spans="3:3">
      <c r="C2087"/>
    </row>
    <row r="2088" spans="3:3">
      <c r="C2088"/>
    </row>
    <row r="2089" spans="3:3">
      <c r="C2089"/>
    </row>
    <row r="2090" spans="3:3">
      <c r="C2090"/>
    </row>
    <row r="2091" spans="3:3">
      <c r="C2091"/>
    </row>
    <row r="2092" spans="3:3">
      <c r="C2092"/>
    </row>
    <row r="2093" spans="3:3">
      <c r="C2093"/>
    </row>
    <row r="2094" spans="3:3">
      <c r="C2094"/>
    </row>
    <row r="2095" spans="3:3">
      <c r="C2095"/>
    </row>
    <row r="2096" spans="3:3">
      <c r="C2096"/>
    </row>
    <row r="2097" spans="3:3">
      <c r="C2097"/>
    </row>
    <row r="2098" spans="3:3">
      <c r="C2098"/>
    </row>
    <row r="2099" spans="3:3">
      <c r="C2099"/>
    </row>
    <row r="2100" spans="3:3">
      <c r="C2100"/>
    </row>
    <row r="2101" spans="3:3">
      <c r="C2101"/>
    </row>
    <row r="2102" spans="3:3">
      <c r="C2102"/>
    </row>
    <row r="2103" spans="3:3">
      <c r="C2103"/>
    </row>
    <row r="2104" spans="3:3">
      <c r="C2104"/>
    </row>
    <row r="2105" spans="3:3">
      <c r="C2105"/>
    </row>
    <row r="2106" spans="3:3">
      <c r="C2106"/>
    </row>
    <row r="2107" spans="3:3">
      <c r="C2107"/>
    </row>
    <row r="2108" spans="3:3">
      <c r="C2108"/>
    </row>
    <row r="2109" spans="3:3">
      <c r="C2109"/>
    </row>
    <row r="2110" spans="3:3">
      <c r="C2110"/>
    </row>
    <row r="2111" spans="3:3">
      <c r="C2111"/>
    </row>
    <row r="2112" spans="3:3">
      <c r="C2112"/>
    </row>
    <row r="2113" spans="3:3">
      <c r="C2113"/>
    </row>
    <row r="2114" spans="3:3">
      <c r="C2114"/>
    </row>
    <row r="2115" spans="3:3">
      <c r="C2115"/>
    </row>
    <row r="2116" spans="3:3">
      <c r="C2116"/>
    </row>
    <row r="2117" spans="3:3">
      <c r="C2117"/>
    </row>
    <row r="2118" spans="3:3">
      <c r="C2118"/>
    </row>
    <row r="2119" spans="3:3">
      <c r="C2119"/>
    </row>
    <row r="2120" spans="3:3">
      <c r="C2120"/>
    </row>
    <row r="2121" spans="3:3">
      <c r="C2121"/>
    </row>
    <row r="2122" spans="3:3">
      <c r="C2122"/>
    </row>
    <row r="2123" spans="3:3">
      <c r="C2123"/>
    </row>
    <row r="2124" spans="3:3">
      <c r="C2124"/>
    </row>
    <row r="2125" spans="3:3">
      <c r="C2125"/>
    </row>
    <row r="2126" spans="3:3">
      <c r="C2126"/>
    </row>
    <row r="2127" spans="3:3">
      <c r="C2127"/>
    </row>
    <row r="2128" spans="3:3">
      <c r="C2128"/>
    </row>
    <row r="2129" spans="3:3">
      <c r="C2129"/>
    </row>
    <row r="2130" spans="3:3">
      <c r="C2130"/>
    </row>
    <row r="2131" spans="3:3">
      <c r="C2131"/>
    </row>
    <row r="2132" spans="3:3">
      <c r="C2132"/>
    </row>
    <row r="2133" spans="3:3">
      <c r="C2133"/>
    </row>
    <row r="2134" spans="3:3">
      <c r="C2134"/>
    </row>
    <row r="2135" spans="3:3">
      <c r="C2135"/>
    </row>
    <row r="2136" spans="3:3">
      <c r="C2136"/>
    </row>
    <row r="2137" spans="3:3">
      <c r="C2137"/>
    </row>
    <row r="2138" spans="3:3">
      <c r="C2138"/>
    </row>
    <row r="2139" spans="3:3">
      <c r="C2139"/>
    </row>
    <row r="2140" spans="3:3">
      <c r="C2140"/>
    </row>
    <row r="2141" spans="3:3">
      <c r="C2141"/>
    </row>
    <row r="2142" spans="3:3">
      <c r="C2142"/>
    </row>
    <row r="2143" spans="3:3">
      <c r="C2143"/>
    </row>
    <row r="2144" spans="3:3">
      <c r="C2144"/>
    </row>
    <row r="2145" spans="3:3">
      <c r="C2145"/>
    </row>
    <row r="2146" spans="3:3">
      <c r="C2146"/>
    </row>
    <row r="2147" spans="3:3">
      <c r="C2147"/>
    </row>
    <row r="2148" spans="3:3">
      <c r="C2148"/>
    </row>
    <row r="2149" spans="3:3">
      <c r="C2149"/>
    </row>
    <row r="2150" spans="3:3">
      <c r="C2150"/>
    </row>
    <row r="2151" spans="3:3">
      <c r="C2151"/>
    </row>
    <row r="2152" spans="3:3">
      <c r="C2152"/>
    </row>
    <row r="2153" spans="3:3">
      <c r="C2153"/>
    </row>
    <row r="2154" spans="3:3">
      <c r="C2154"/>
    </row>
    <row r="2155" spans="3:3">
      <c r="C2155"/>
    </row>
    <row r="2156" spans="3:3">
      <c r="C2156"/>
    </row>
    <row r="2157" spans="3:3">
      <c r="C2157"/>
    </row>
    <row r="2158" spans="3:3">
      <c r="C2158"/>
    </row>
    <row r="2159" spans="3:3">
      <c r="C2159"/>
    </row>
    <row r="2160" spans="3:3">
      <c r="C2160"/>
    </row>
    <row r="2161" spans="3:3">
      <c r="C2161"/>
    </row>
    <row r="2162" spans="3:3">
      <c r="C2162"/>
    </row>
    <row r="2163" spans="3:3">
      <c r="C2163"/>
    </row>
    <row r="2164" spans="3:3">
      <c r="C2164"/>
    </row>
    <row r="2165" spans="3:3">
      <c r="C2165"/>
    </row>
    <row r="2166" spans="3:3">
      <c r="C2166"/>
    </row>
    <row r="2167" spans="3:3">
      <c r="C2167"/>
    </row>
    <row r="2168" spans="3:3">
      <c r="C2168"/>
    </row>
    <row r="2169" spans="3:3">
      <c r="C2169"/>
    </row>
    <row r="2170" spans="3:3">
      <c r="C2170"/>
    </row>
    <row r="2171" spans="3:3">
      <c r="C2171"/>
    </row>
    <row r="2172" spans="3:3">
      <c r="C2172"/>
    </row>
    <row r="2173" spans="3:3">
      <c r="C2173"/>
    </row>
    <row r="2174" spans="3:3">
      <c r="C2174"/>
    </row>
    <row r="2175" spans="3:3">
      <c r="C2175"/>
    </row>
    <row r="2176" spans="3:3">
      <c r="C2176"/>
    </row>
    <row r="2177" spans="3:3">
      <c r="C2177"/>
    </row>
    <row r="2178" spans="3:3">
      <c r="C2178"/>
    </row>
    <row r="2179" spans="3:3">
      <c r="C2179"/>
    </row>
    <row r="2180" spans="3:3">
      <c r="C2180"/>
    </row>
    <row r="2181" spans="3:3">
      <c r="C2181"/>
    </row>
    <row r="2182" spans="3:3">
      <c r="C2182"/>
    </row>
    <row r="2183" spans="3:3">
      <c r="C2183"/>
    </row>
    <row r="2184" spans="3:3">
      <c r="C2184"/>
    </row>
    <row r="2185" spans="3:3">
      <c r="C2185"/>
    </row>
    <row r="2186" spans="3:3">
      <c r="C2186"/>
    </row>
    <row r="2187" spans="3:3">
      <c r="C2187"/>
    </row>
    <row r="2188" spans="3:3">
      <c r="C2188"/>
    </row>
    <row r="2189" spans="3:3">
      <c r="C2189"/>
    </row>
    <row r="2190" spans="3:3">
      <c r="C2190"/>
    </row>
    <row r="2191" spans="3:3">
      <c r="C2191"/>
    </row>
    <row r="2192" spans="3:3">
      <c r="C2192"/>
    </row>
    <row r="2193" spans="3:3">
      <c r="C2193"/>
    </row>
    <row r="2194" spans="3:3">
      <c r="C2194"/>
    </row>
    <row r="2195" spans="3:3">
      <c r="C2195"/>
    </row>
    <row r="2196" spans="3:3">
      <c r="C2196"/>
    </row>
    <row r="2197" spans="3:3">
      <c r="C2197"/>
    </row>
    <row r="2198" spans="3:3">
      <c r="C2198"/>
    </row>
    <row r="2199" spans="3:3">
      <c r="C2199"/>
    </row>
    <row r="2200" spans="3:3">
      <c r="C2200"/>
    </row>
    <row r="2201" spans="3:3">
      <c r="C2201"/>
    </row>
    <row r="2202" spans="3:3">
      <c r="C2202"/>
    </row>
    <row r="2203" spans="3:3">
      <c r="C2203"/>
    </row>
    <row r="2204" spans="3:3">
      <c r="C2204"/>
    </row>
    <row r="2205" spans="3:3">
      <c r="C2205"/>
    </row>
    <row r="2206" spans="3:3">
      <c r="C2206"/>
    </row>
    <row r="2207" spans="3:3">
      <c r="C2207"/>
    </row>
    <row r="2208" spans="3:3">
      <c r="C2208"/>
    </row>
    <row r="2209" spans="3:3">
      <c r="C2209"/>
    </row>
    <row r="2210" spans="3:3">
      <c r="C2210"/>
    </row>
    <row r="2211" spans="3:3">
      <c r="C2211"/>
    </row>
    <row r="2212" spans="3:3">
      <c r="C2212"/>
    </row>
    <row r="2213" spans="3:3">
      <c r="C2213"/>
    </row>
    <row r="2214" spans="3:3">
      <c r="C2214"/>
    </row>
    <row r="2215" spans="3:3">
      <c r="C2215"/>
    </row>
    <row r="2216" spans="3:3">
      <c r="C2216"/>
    </row>
    <row r="2217" spans="3:3">
      <c r="C2217"/>
    </row>
    <row r="2218" spans="3:3">
      <c r="C2218"/>
    </row>
    <row r="2219" spans="3:3">
      <c r="C2219"/>
    </row>
    <row r="2220" spans="3:3">
      <c r="C2220"/>
    </row>
    <row r="2221" spans="3:3">
      <c r="C2221"/>
    </row>
    <row r="2222" spans="3:3">
      <c r="C2222"/>
    </row>
    <row r="2223" spans="3:3">
      <c r="C2223"/>
    </row>
    <row r="2224" spans="3:3">
      <c r="C2224"/>
    </row>
    <row r="2225" spans="3:3">
      <c r="C2225"/>
    </row>
    <row r="2226" spans="3:3">
      <c r="C2226"/>
    </row>
    <row r="2227" spans="3:3">
      <c r="C2227"/>
    </row>
    <row r="2228" spans="3:3">
      <c r="C2228"/>
    </row>
    <row r="2229" spans="3:3">
      <c r="C2229"/>
    </row>
    <row r="2230" spans="3:3">
      <c r="C2230"/>
    </row>
    <row r="2231" spans="3:3">
      <c r="C2231"/>
    </row>
    <row r="2232" spans="3:3">
      <c r="C2232"/>
    </row>
    <row r="2233" spans="3:3">
      <c r="C2233"/>
    </row>
    <row r="2234" spans="3:3">
      <c r="C2234"/>
    </row>
    <row r="2235" spans="3:3">
      <c r="C2235"/>
    </row>
    <row r="2236" spans="3:3">
      <c r="C2236"/>
    </row>
    <row r="2237" spans="3:3">
      <c r="C2237"/>
    </row>
    <row r="2238" spans="3:3">
      <c r="C2238"/>
    </row>
    <row r="2239" spans="3:3">
      <c r="C2239"/>
    </row>
    <row r="2240" spans="3:3">
      <c r="C2240"/>
    </row>
    <row r="2241" spans="3:3">
      <c r="C2241"/>
    </row>
    <row r="2242" spans="3:3">
      <c r="C2242"/>
    </row>
    <row r="2243" spans="3:3">
      <c r="C2243"/>
    </row>
    <row r="2244" spans="3:3">
      <c r="C2244"/>
    </row>
    <row r="2245" spans="3:3">
      <c r="C2245"/>
    </row>
    <row r="2246" spans="3:3">
      <c r="C2246"/>
    </row>
    <row r="2247" spans="3:3">
      <c r="C2247"/>
    </row>
    <row r="2248" spans="3:3">
      <c r="C2248"/>
    </row>
    <row r="2249" spans="3:3">
      <c r="C2249"/>
    </row>
    <row r="2250" spans="3:3">
      <c r="C2250"/>
    </row>
    <row r="2251" spans="3:3">
      <c r="C2251"/>
    </row>
    <row r="2252" spans="3:3">
      <c r="C2252"/>
    </row>
    <row r="2253" spans="3:3">
      <c r="C2253"/>
    </row>
    <row r="2254" spans="3:3">
      <c r="C2254"/>
    </row>
    <row r="2255" spans="3:3">
      <c r="C2255"/>
    </row>
    <row r="2256" spans="3:3">
      <c r="C2256"/>
    </row>
    <row r="2257" spans="3:3">
      <c r="C2257"/>
    </row>
    <row r="2258" spans="3:3">
      <c r="C2258"/>
    </row>
    <row r="2259" spans="3:3">
      <c r="C2259"/>
    </row>
    <row r="2260" spans="3:3">
      <c r="C2260"/>
    </row>
    <row r="2261" spans="3:3">
      <c r="C2261"/>
    </row>
    <row r="2262" spans="3:3">
      <c r="C2262"/>
    </row>
    <row r="2263" spans="3:3">
      <c r="C2263"/>
    </row>
    <row r="2264" spans="3:3">
      <c r="C2264"/>
    </row>
    <row r="2265" spans="3:3">
      <c r="C2265"/>
    </row>
    <row r="2266" spans="3:3">
      <c r="C2266"/>
    </row>
    <row r="2267" spans="3:3">
      <c r="C2267"/>
    </row>
    <row r="2268" spans="3:3">
      <c r="C2268"/>
    </row>
    <row r="2269" spans="3:3">
      <c r="C2269"/>
    </row>
    <row r="2270" spans="3:3">
      <c r="C2270"/>
    </row>
    <row r="2271" spans="3:3">
      <c r="C2271"/>
    </row>
    <row r="2272" spans="3:3">
      <c r="C2272"/>
    </row>
    <row r="2273" spans="3:3">
      <c r="C2273"/>
    </row>
    <row r="2274" spans="3:3">
      <c r="C2274"/>
    </row>
    <row r="2275" spans="3:3">
      <c r="C2275"/>
    </row>
    <row r="2276" spans="3:3">
      <c r="C2276"/>
    </row>
    <row r="2277" spans="3:3">
      <c r="C2277"/>
    </row>
    <row r="2278" spans="3:3">
      <c r="C2278"/>
    </row>
    <row r="2279" spans="3:3">
      <c r="C2279"/>
    </row>
    <row r="2280" spans="3:3">
      <c r="C2280"/>
    </row>
    <row r="2281" spans="3:3">
      <c r="C2281"/>
    </row>
    <row r="2282" spans="3:3">
      <c r="C2282"/>
    </row>
    <row r="2283" spans="3:3">
      <c r="C2283"/>
    </row>
    <row r="2284" spans="3:3">
      <c r="C2284"/>
    </row>
    <row r="2285" spans="3:3">
      <c r="C2285"/>
    </row>
    <row r="2286" spans="3:3">
      <c r="C2286"/>
    </row>
    <row r="2287" spans="3:3">
      <c r="C2287"/>
    </row>
    <row r="2288" spans="3:3">
      <c r="C2288"/>
    </row>
    <row r="2289" spans="3:3">
      <c r="C2289"/>
    </row>
    <row r="2290" spans="3:3">
      <c r="C2290"/>
    </row>
    <row r="2291" spans="3:3">
      <c r="C2291"/>
    </row>
    <row r="2292" spans="3:3">
      <c r="C2292"/>
    </row>
    <row r="2293" spans="3:3">
      <c r="C2293"/>
    </row>
    <row r="2294" spans="3:3">
      <c r="C2294"/>
    </row>
    <row r="2295" spans="3:3">
      <c r="C2295"/>
    </row>
    <row r="2296" spans="3:3">
      <c r="C2296"/>
    </row>
    <row r="2297" spans="3:3">
      <c r="C2297"/>
    </row>
    <row r="2298" spans="3:3">
      <c r="C2298"/>
    </row>
    <row r="2299" spans="3:3">
      <c r="C2299"/>
    </row>
    <row r="2300" spans="3:3">
      <c r="C2300"/>
    </row>
    <row r="2301" spans="3:3">
      <c r="C2301"/>
    </row>
    <row r="2302" spans="3:3">
      <c r="C2302"/>
    </row>
    <row r="2303" spans="3:3">
      <c r="C2303"/>
    </row>
    <row r="2304" spans="3:3">
      <c r="C2304"/>
    </row>
    <row r="2305" spans="3:3">
      <c r="C2305"/>
    </row>
    <row r="2306" spans="3:3">
      <c r="C2306"/>
    </row>
    <row r="2307" spans="3:3">
      <c r="C2307"/>
    </row>
    <row r="2308" spans="3:3">
      <c r="C2308"/>
    </row>
    <row r="2309" spans="3:3">
      <c r="C2309"/>
    </row>
    <row r="2310" spans="3:3">
      <c r="C2310"/>
    </row>
    <row r="2311" spans="3:3">
      <c r="C2311"/>
    </row>
    <row r="2312" spans="3:3">
      <c r="C2312"/>
    </row>
    <row r="2313" spans="3:3">
      <c r="C2313"/>
    </row>
    <row r="2314" spans="3:3">
      <c r="C2314"/>
    </row>
    <row r="2315" spans="3:3">
      <c r="C2315"/>
    </row>
    <row r="2316" spans="3:3">
      <c r="C2316"/>
    </row>
    <row r="2317" spans="3:3">
      <c r="C2317"/>
    </row>
    <row r="2318" spans="3:3">
      <c r="C2318"/>
    </row>
    <row r="2319" spans="3:3">
      <c r="C2319"/>
    </row>
    <row r="2320" spans="3:3">
      <c r="C2320"/>
    </row>
    <row r="2321" spans="3:3">
      <c r="C2321"/>
    </row>
    <row r="2322" spans="3:3">
      <c r="C2322"/>
    </row>
    <row r="2323" spans="3:3">
      <c r="C2323"/>
    </row>
    <row r="2324" spans="3:3">
      <c r="C2324"/>
    </row>
    <row r="2325" spans="3:3">
      <c r="C2325"/>
    </row>
    <row r="2326" spans="3:3">
      <c r="C2326"/>
    </row>
    <row r="2327" spans="3:3">
      <c r="C2327"/>
    </row>
    <row r="2328" spans="3:3">
      <c r="C2328"/>
    </row>
    <row r="2329" spans="3:3">
      <c r="C2329"/>
    </row>
    <row r="2330" spans="3:3">
      <c r="C2330"/>
    </row>
    <row r="2331" spans="3:3">
      <c r="C2331"/>
    </row>
    <row r="2332" spans="3:3">
      <c r="C2332"/>
    </row>
    <row r="2333" spans="3:3">
      <c r="C2333"/>
    </row>
    <row r="2334" spans="3:3">
      <c r="C2334"/>
    </row>
    <row r="2335" spans="3:3">
      <c r="C2335"/>
    </row>
    <row r="2336" spans="3:3">
      <c r="C2336"/>
    </row>
    <row r="2337" spans="3:3">
      <c r="C2337"/>
    </row>
    <row r="2338" spans="3:3">
      <c r="C2338"/>
    </row>
    <row r="2339" spans="3:3">
      <c r="C2339"/>
    </row>
    <row r="2340" spans="3:3">
      <c r="C2340"/>
    </row>
    <row r="2341" spans="3:3">
      <c r="C2341"/>
    </row>
    <row r="2342" spans="3:3">
      <c r="C2342"/>
    </row>
    <row r="2343" spans="3:3">
      <c r="C2343"/>
    </row>
    <row r="2344" spans="3:3">
      <c r="C2344"/>
    </row>
    <row r="2345" spans="3:3">
      <c r="C2345"/>
    </row>
    <row r="2346" spans="3:3">
      <c r="C2346"/>
    </row>
    <row r="2347" spans="3:3">
      <c r="C2347"/>
    </row>
    <row r="2348" spans="3:3">
      <c r="C2348"/>
    </row>
    <row r="2349" spans="3:3">
      <c r="C2349"/>
    </row>
    <row r="2350" spans="3:3">
      <c r="C2350"/>
    </row>
    <row r="2351" spans="3:3">
      <c r="C2351"/>
    </row>
    <row r="2352" spans="3:3">
      <c r="C2352"/>
    </row>
    <row r="2353" spans="3:3">
      <c r="C2353"/>
    </row>
    <row r="2354" spans="3:3">
      <c r="C2354"/>
    </row>
    <row r="2355" spans="3:3">
      <c r="C2355"/>
    </row>
    <row r="2356" spans="3:3">
      <c r="C2356"/>
    </row>
    <row r="2357" spans="3:3">
      <c r="C2357"/>
    </row>
    <row r="2358" spans="3:3">
      <c r="C2358"/>
    </row>
    <row r="2359" spans="3:3">
      <c r="C2359"/>
    </row>
    <row r="2360" spans="3:3">
      <c r="C2360"/>
    </row>
    <row r="2361" spans="3:3">
      <c r="C2361"/>
    </row>
    <row r="2362" spans="3:3">
      <c r="C2362"/>
    </row>
    <row r="2363" spans="3:3">
      <c r="C2363"/>
    </row>
    <row r="2364" spans="3:3">
      <c r="C2364"/>
    </row>
    <row r="2365" spans="3:3">
      <c r="C2365"/>
    </row>
    <row r="2366" spans="3:3">
      <c r="C2366"/>
    </row>
    <row r="2367" spans="3:3">
      <c r="C2367"/>
    </row>
    <row r="2368" spans="3:3">
      <c r="C2368"/>
    </row>
    <row r="2369" spans="3:3">
      <c r="C2369"/>
    </row>
    <row r="2370" spans="3:3">
      <c r="C2370"/>
    </row>
    <row r="2371" spans="3:3">
      <c r="C2371"/>
    </row>
    <row r="2372" spans="3:3">
      <c r="C2372"/>
    </row>
    <row r="2373" spans="3:3">
      <c r="C2373"/>
    </row>
    <row r="2374" spans="3:3">
      <c r="C2374"/>
    </row>
    <row r="2375" spans="3:3">
      <c r="C2375"/>
    </row>
    <row r="2376" spans="3:3">
      <c r="C2376"/>
    </row>
    <row r="2377" spans="3:3">
      <c r="C2377"/>
    </row>
    <row r="2378" spans="3:3">
      <c r="C2378"/>
    </row>
    <row r="2379" spans="3:3">
      <c r="C2379"/>
    </row>
    <row r="2380" spans="3:3">
      <c r="C2380"/>
    </row>
    <row r="2381" spans="3:3">
      <c r="C2381"/>
    </row>
    <row r="2382" spans="3:3">
      <c r="C2382"/>
    </row>
    <row r="2383" spans="3:3">
      <c r="C2383"/>
    </row>
    <row r="2384" spans="3:3">
      <c r="C2384"/>
    </row>
    <row r="2385" spans="3:3">
      <c r="C2385"/>
    </row>
    <row r="2386" spans="3:3">
      <c r="C2386"/>
    </row>
    <row r="2387" spans="3:3">
      <c r="C2387"/>
    </row>
    <row r="2388" spans="3:3">
      <c r="C2388"/>
    </row>
    <row r="2389" spans="3:3">
      <c r="C2389"/>
    </row>
    <row r="2390" spans="3:3">
      <c r="C2390"/>
    </row>
    <row r="2391" spans="3:3">
      <c r="C2391"/>
    </row>
    <row r="2392" spans="3:3">
      <c r="C2392"/>
    </row>
    <row r="2393" spans="3:3">
      <c r="C2393"/>
    </row>
    <row r="2394" spans="3:3">
      <c r="C2394"/>
    </row>
    <row r="2395" spans="3:3">
      <c r="C2395"/>
    </row>
    <row r="2396" spans="3:3">
      <c r="C2396"/>
    </row>
    <row r="2397" spans="3:3">
      <c r="C2397"/>
    </row>
    <row r="2398" spans="3:3">
      <c r="C2398"/>
    </row>
    <row r="2399" spans="3:3">
      <c r="C2399"/>
    </row>
    <row r="2400" spans="3:3">
      <c r="C2400"/>
    </row>
    <row r="2401" spans="3:3">
      <c r="C2401"/>
    </row>
    <row r="2402" spans="3:3">
      <c r="C2402"/>
    </row>
    <row r="2403" spans="3:3">
      <c r="C2403"/>
    </row>
    <row r="2404" spans="3:3">
      <c r="C2404"/>
    </row>
    <row r="2405" spans="3:3">
      <c r="C2405"/>
    </row>
    <row r="2406" spans="3:3">
      <c r="C2406"/>
    </row>
    <row r="2407" spans="3:3">
      <c r="C2407"/>
    </row>
    <row r="2408" spans="3:3">
      <c r="C2408"/>
    </row>
    <row r="2409" spans="3:3">
      <c r="C2409"/>
    </row>
    <row r="2410" spans="3:3">
      <c r="C2410"/>
    </row>
    <row r="2411" spans="3:3">
      <c r="C2411"/>
    </row>
    <row r="2412" spans="3:3">
      <c r="C2412"/>
    </row>
    <row r="2413" spans="3:3">
      <c r="C2413"/>
    </row>
    <row r="2414" spans="3:3">
      <c r="C2414"/>
    </row>
    <row r="2415" spans="3:3">
      <c r="C2415"/>
    </row>
    <row r="2416" spans="3:3">
      <c r="C2416"/>
    </row>
    <row r="2417" spans="3:3">
      <c r="C2417"/>
    </row>
    <row r="2418" spans="3:3">
      <c r="C2418"/>
    </row>
    <row r="2419" spans="3:3">
      <c r="C2419"/>
    </row>
    <row r="2420" spans="3:3">
      <c r="C2420"/>
    </row>
    <row r="2421" spans="3:3">
      <c r="C2421"/>
    </row>
    <row r="2422" spans="3:3">
      <c r="C2422"/>
    </row>
    <row r="2423" spans="3:3">
      <c r="C2423"/>
    </row>
    <row r="2424" spans="3:3">
      <c r="C2424"/>
    </row>
    <row r="2425" spans="3:3">
      <c r="C2425"/>
    </row>
    <row r="2426" spans="3:3">
      <c r="C2426"/>
    </row>
    <row r="2427" spans="3:3">
      <c r="C2427"/>
    </row>
    <row r="2428" spans="3:3">
      <c r="C2428"/>
    </row>
    <row r="2429" spans="3:3">
      <c r="C2429"/>
    </row>
    <row r="2430" spans="3:3">
      <c r="C2430"/>
    </row>
    <row r="2431" spans="3:3">
      <c r="C2431"/>
    </row>
    <row r="2432" spans="3:3">
      <c r="C2432"/>
    </row>
    <row r="2433" spans="3:3">
      <c r="C2433"/>
    </row>
    <row r="2434" spans="3:3">
      <c r="C2434"/>
    </row>
    <row r="2435" spans="3:3">
      <c r="C2435"/>
    </row>
    <row r="2436" spans="3:3">
      <c r="C2436"/>
    </row>
    <row r="2437" spans="3:3">
      <c r="C2437"/>
    </row>
    <row r="2438" spans="3:3">
      <c r="C2438"/>
    </row>
    <row r="2439" spans="3:3">
      <c r="C2439"/>
    </row>
    <row r="2440" spans="3:3">
      <c r="C2440"/>
    </row>
    <row r="2441" spans="3:3">
      <c r="C2441"/>
    </row>
    <row r="2442" spans="3:3">
      <c r="C2442"/>
    </row>
    <row r="2443" spans="3:3">
      <c r="C2443"/>
    </row>
    <row r="2444" spans="3:3">
      <c r="C2444"/>
    </row>
    <row r="2445" spans="3:3">
      <c r="C2445"/>
    </row>
    <row r="2446" spans="3:3">
      <c r="C2446"/>
    </row>
    <row r="2447" spans="3:3">
      <c r="C2447"/>
    </row>
    <row r="2448" spans="3:3">
      <c r="C2448"/>
    </row>
    <row r="2449" spans="3:3">
      <c r="C2449"/>
    </row>
    <row r="2450" spans="3:3">
      <c r="C2450"/>
    </row>
    <row r="2451" spans="3:3">
      <c r="C2451"/>
    </row>
    <row r="2452" spans="3:3">
      <c r="C2452"/>
    </row>
    <row r="2453" spans="3:3">
      <c r="C2453"/>
    </row>
    <row r="2454" spans="3:3">
      <c r="C2454"/>
    </row>
    <row r="2455" spans="3:3">
      <c r="C2455"/>
    </row>
    <row r="2456" spans="3:3">
      <c r="C2456"/>
    </row>
    <row r="2457" spans="3:3">
      <c r="C2457"/>
    </row>
    <row r="2458" spans="3:3">
      <c r="C2458"/>
    </row>
    <row r="2459" spans="3:3">
      <c r="C2459"/>
    </row>
    <row r="2460" spans="3:3">
      <c r="C2460"/>
    </row>
    <row r="2461" spans="3:3">
      <c r="C2461"/>
    </row>
    <row r="2462" spans="3:3">
      <c r="C2462"/>
    </row>
    <row r="2463" spans="3:3">
      <c r="C2463"/>
    </row>
    <row r="2464" spans="3:3">
      <c r="C2464"/>
    </row>
    <row r="2465" spans="3:3">
      <c r="C2465"/>
    </row>
    <row r="2466" spans="3:3">
      <c r="C2466"/>
    </row>
    <row r="2467" spans="3:3">
      <c r="C2467"/>
    </row>
    <row r="2468" spans="3:3">
      <c r="C2468"/>
    </row>
    <row r="2469" spans="3:3">
      <c r="C2469"/>
    </row>
    <row r="2470" spans="3:3">
      <c r="C2470"/>
    </row>
    <row r="2471" spans="3:3">
      <c r="C2471"/>
    </row>
    <row r="2472" spans="3:3">
      <c r="C2472"/>
    </row>
    <row r="2473" spans="3:3">
      <c r="C2473"/>
    </row>
    <row r="2474" spans="3:3">
      <c r="C2474"/>
    </row>
    <row r="2475" spans="3:3">
      <c r="C2475"/>
    </row>
    <row r="2476" spans="3:3">
      <c r="C2476"/>
    </row>
    <row r="2477" spans="3:3">
      <c r="C2477"/>
    </row>
    <row r="2478" spans="3:3">
      <c r="C2478"/>
    </row>
    <row r="2479" spans="3:3">
      <c r="C2479"/>
    </row>
    <row r="2480" spans="3:3">
      <c r="C2480"/>
    </row>
    <row r="2481" spans="3:3">
      <c r="C2481"/>
    </row>
    <row r="2482" spans="3:3">
      <c r="C2482"/>
    </row>
    <row r="2483" spans="3:3">
      <c r="C2483"/>
    </row>
    <row r="2484" spans="3:3">
      <c r="C2484"/>
    </row>
    <row r="2485" spans="3:3">
      <c r="C2485"/>
    </row>
    <row r="2486" spans="3:3">
      <c r="C2486"/>
    </row>
    <row r="2487" spans="3:3">
      <c r="C2487"/>
    </row>
    <row r="2488" spans="3:3">
      <c r="C2488"/>
    </row>
    <row r="2489" spans="3:3">
      <c r="C2489"/>
    </row>
    <row r="2490" spans="3:3">
      <c r="C2490"/>
    </row>
    <row r="2491" spans="3:3">
      <c r="C2491"/>
    </row>
    <row r="2492" spans="3:3">
      <c r="C2492"/>
    </row>
    <row r="2493" spans="3:3">
      <c r="C2493"/>
    </row>
    <row r="2494" spans="3:3">
      <c r="C2494"/>
    </row>
    <row r="2495" spans="3:3">
      <c r="C2495"/>
    </row>
    <row r="2496" spans="3:3">
      <c r="C2496"/>
    </row>
    <row r="2497" spans="3:3">
      <c r="C2497"/>
    </row>
    <row r="2498" spans="3:3">
      <c r="C2498"/>
    </row>
    <row r="2499" spans="3:3">
      <c r="C2499"/>
    </row>
    <row r="2500" spans="3:3">
      <c r="C2500"/>
    </row>
    <row r="2501" spans="3:3">
      <c r="C2501"/>
    </row>
    <row r="2502" spans="3:3">
      <c r="C2502"/>
    </row>
    <row r="2503" spans="3:3">
      <c r="C2503"/>
    </row>
    <row r="2504" spans="3:3">
      <c r="C2504"/>
    </row>
    <row r="2505" spans="3:3">
      <c r="C2505"/>
    </row>
    <row r="2506" spans="3:3">
      <c r="C2506"/>
    </row>
    <row r="2507" spans="3:3">
      <c r="C2507"/>
    </row>
    <row r="2508" spans="3:3">
      <c r="C2508"/>
    </row>
    <row r="2509" spans="3:3">
      <c r="C2509"/>
    </row>
    <row r="2510" spans="3:3">
      <c r="C2510"/>
    </row>
    <row r="2511" spans="3:3">
      <c r="C2511"/>
    </row>
    <row r="2512" spans="3:3">
      <c r="C2512"/>
    </row>
    <row r="2513" spans="3:3">
      <c r="C2513"/>
    </row>
    <row r="2514" spans="3:3">
      <c r="C2514"/>
    </row>
    <row r="2515" spans="3:3">
      <c r="C2515"/>
    </row>
    <row r="2516" spans="3:3">
      <c r="C2516"/>
    </row>
    <row r="2517" spans="3:3">
      <c r="C2517"/>
    </row>
    <row r="2518" spans="3:3">
      <c r="C2518"/>
    </row>
    <row r="2519" spans="3:3">
      <c r="C2519"/>
    </row>
    <row r="2520" spans="3:3">
      <c r="C2520"/>
    </row>
    <row r="2521" spans="3:3">
      <c r="C2521"/>
    </row>
    <row r="2522" spans="3:3">
      <c r="C2522"/>
    </row>
    <row r="2523" spans="3:3">
      <c r="C2523"/>
    </row>
    <row r="2524" spans="3:3">
      <c r="C2524"/>
    </row>
    <row r="2525" spans="3:3">
      <c r="C2525"/>
    </row>
    <row r="2526" spans="3:3">
      <c r="C2526"/>
    </row>
    <row r="2527" spans="3:3">
      <c r="C2527"/>
    </row>
    <row r="2528" spans="3:3">
      <c r="C2528"/>
    </row>
    <row r="2529" spans="3:3">
      <c r="C2529"/>
    </row>
    <row r="2530" spans="3:3">
      <c r="C2530"/>
    </row>
    <row r="2531" spans="3:3">
      <c r="C2531"/>
    </row>
    <row r="2532" spans="3:3">
      <c r="C2532"/>
    </row>
    <row r="2533" spans="3:3">
      <c r="C2533"/>
    </row>
    <row r="2534" spans="3:3">
      <c r="C2534"/>
    </row>
    <row r="2535" spans="3:3">
      <c r="C2535"/>
    </row>
    <row r="2536" spans="3:3">
      <c r="C2536"/>
    </row>
    <row r="2537" spans="3:3">
      <c r="C2537"/>
    </row>
    <row r="2538" spans="3:3">
      <c r="C2538"/>
    </row>
    <row r="2539" spans="3:3">
      <c r="C2539"/>
    </row>
    <row r="2540" spans="3:3">
      <c r="C2540"/>
    </row>
    <row r="2541" spans="3:3">
      <c r="C2541"/>
    </row>
    <row r="2542" spans="3:3">
      <c r="C2542"/>
    </row>
    <row r="2543" spans="3:3">
      <c r="C2543"/>
    </row>
    <row r="2544" spans="3:3">
      <c r="C2544"/>
    </row>
    <row r="2545" spans="3:3">
      <c r="C2545"/>
    </row>
    <row r="2546" spans="3:3">
      <c r="C2546"/>
    </row>
    <row r="2547" spans="3:3">
      <c r="C2547"/>
    </row>
    <row r="2548" spans="3:3">
      <c r="C2548"/>
    </row>
    <row r="2549" spans="3:3">
      <c r="C2549"/>
    </row>
    <row r="2550" spans="3:3">
      <c r="C2550"/>
    </row>
    <row r="2551" spans="3:3">
      <c r="C2551"/>
    </row>
    <row r="2552" spans="3:3">
      <c r="C2552"/>
    </row>
    <row r="2553" spans="3:3">
      <c r="C2553"/>
    </row>
    <row r="2554" spans="3:3">
      <c r="C2554"/>
    </row>
    <row r="2555" spans="3:3">
      <c r="C2555"/>
    </row>
    <row r="2556" spans="3:3">
      <c r="C2556"/>
    </row>
    <row r="2557" spans="3:3">
      <c r="C2557"/>
    </row>
    <row r="2558" spans="3:3">
      <c r="C2558"/>
    </row>
    <row r="2559" spans="3:3">
      <c r="C2559"/>
    </row>
    <row r="2560" spans="3:3">
      <c r="C2560"/>
    </row>
    <row r="2561" spans="3:3">
      <c r="C2561"/>
    </row>
    <row r="2562" spans="3:3">
      <c r="C2562"/>
    </row>
    <row r="2563" spans="3:3">
      <c r="C2563"/>
    </row>
    <row r="2564" spans="3:3">
      <c r="C2564"/>
    </row>
    <row r="2565" spans="3:3">
      <c r="C2565"/>
    </row>
    <row r="2566" spans="3:3">
      <c r="C2566"/>
    </row>
    <row r="2567" spans="3:3">
      <c r="C2567"/>
    </row>
    <row r="2568" spans="3:3">
      <c r="C2568"/>
    </row>
    <row r="2569" spans="3:3">
      <c r="C2569"/>
    </row>
    <row r="2570" spans="3:3">
      <c r="C2570"/>
    </row>
    <row r="2571" spans="3:3">
      <c r="C2571"/>
    </row>
    <row r="2572" spans="3:3">
      <c r="C2572"/>
    </row>
    <row r="2573" spans="3:3">
      <c r="C2573"/>
    </row>
    <row r="2574" spans="3:3">
      <c r="C2574"/>
    </row>
    <row r="2575" spans="3:3">
      <c r="C2575"/>
    </row>
    <row r="2576" spans="3:3">
      <c r="C2576"/>
    </row>
    <row r="2577" spans="3:3">
      <c r="C2577"/>
    </row>
    <row r="2578" spans="3:3">
      <c r="C2578"/>
    </row>
    <row r="2579" spans="3:3">
      <c r="C2579"/>
    </row>
    <row r="2580" spans="3:3">
      <c r="C2580"/>
    </row>
    <row r="2581" spans="3:3">
      <c r="C2581"/>
    </row>
    <row r="2582" spans="3:3">
      <c r="C2582"/>
    </row>
    <row r="2583" spans="3:3">
      <c r="C2583"/>
    </row>
    <row r="2584" spans="3:3">
      <c r="C2584"/>
    </row>
    <row r="2585" spans="3:3">
      <c r="C2585"/>
    </row>
    <row r="2586" spans="3:3">
      <c r="C2586"/>
    </row>
    <row r="2587" spans="3:3">
      <c r="C2587"/>
    </row>
    <row r="2588" spans="3:3">
      <c r="C2588"/>
    </row>
    <row r="2589" spans="3:3">
      <c r="C2589"/>
    </row>
    <row r="2590" spans="3:3">
      <c r="C2590"/>
    </row>
    <row r="2591" spans="3:3">
      <c r="C2591"/>
    </row>
    <row r="2592" spans="3:3">
      <c r="C2592"/>
    </row>
    <row r="2593" spans="3:3">
      <c r="C2593"/>
    </row>
    <row r="2594" spans="3:3">
      <c r="C2594"/>
    </row>
    <row r="2595" spans="3:3">
      <c r="C2595"/>
    </row>
    <row r="2596" spans="3:3">
      <c r="C2596"/>
    </row>
    <row r="2597" spans="3:3">
      <c r="C2597"/>
    </row>
    <row r="2598" spans="3:3">
      <c r="C2598"/>
    </row>
    <row r="2599" spans="3:3">
      <c r="C2599"/>
    </row>
    <row r="2600" spans="3:3">
      <c r="C2600"/>
    </row>
    <row r="2601" spans="3:3">
      <c r="C2601"/>
    </row>
    <row r="2602" spans="3:3">
      <c r="C2602"/>
    </row>
    <row r="2603" spans="3:3">
      <c r="C2603"/>
    </row>
    <row r="2604" spans="3:3">
      <c r="C2604"/>
    </row>
    <row r="2605" spans="3:3">
      <c r="C2605"/>
    </row>
    <row r="2606" spans="3:3">
      <c r="C2606"/>
    </row>
    <row r="2607" spans="3:3">
      <c r="C2607"/>
    </row>
    <row r="2608" spans="3:3">
      <c r="C2608"/>
    </row>
    <row r="2609" spans="3:3">
      <c r="C2609"/>
    </row>
    <row r="2610" spans="3:3">
      <c r="C2610"/>
    </row>
    <row r="2611" spans="3:3">
      <c r="C2611"/>
    </row>
    <row r="2612" spans="3:3">
      <c r="C2612"/>
    </row>
    <row r="2613" spans="3:3">
      <c r="C2613"/>
    </row>
    <row r="2614" spans="3:3">
      <c r="C2614"/>
    </row>
    <row r="2615" spans="3:3">
      <c r="C2615"/>
    </row>
    <row r="2616" spans="3:3">
      <c r="C2616"/>
    </row>
    <row r="2617" spans="3:3">
      <c r="C2617"/>
    </row>
    <row r="2618" spans="3:3">
      <c r="C2618"/>
    </row>
    <row r="2619" spans="3:3">
      <c r="C2619"/>
    </row>
    <row r="2620" spans="3:3">
      <c r="C2620"/>
    </row>
    <row r="2621" spans="3:3">
      <c r="C2621"/>
    </row>
    <row r="2622" spans="3:3">
      <c r="C2622"/>
    </row>
    <row r="2623" spans="3:3">
      <c r="C2623"/>
    </row>
    <row r="2624" spans="3:3">
      <c r="C2624"/>
    </row>
    <row r="2625" spans="3:3">
      <c r="C2625"/>
    </row>
    <row r="2626" spans="3:3">
      <c r="C2626"/>
    </row>
    <row r="2627" spans="3:3">
      <c r="C2627"/>
    </row>
    <row r="2628" spans="3:3">
      <c r="C2628"/>
    </row>
    <row r="2629" spans="3:3">
      <c r="C2629"/>
    </row>
    <row r="2630" spans="3:3">
      <c r="C2630"/>
    </row>
    <row r="2631" spans="3:3">
      <c r="C2631"/>
    </row>
    <row r="2632" spans="3:3">
      <c r="C2632"/>
    </row>
    <row r="2633" spans="3:3">
      <c r="C2633"/>
    </row>
    <row r="2634" spans="3:3">
      <c r="C2634"/>
    </row>
    <row r="2635" spans="3:3">
      <c r="C2635"/>
    </row>
    <row r="2636" spans="3:3">
      <c r="C2636"/>
    </row>
    <row r="2637" spans="3:3">
      <c r="C2637"/>
    </row>
    <row r="2638" spans="3:3">
      <c r="C2638"/>
    </row>
    <row r="2639" spans="3:3">
      <c r="C2639"/>
    </row>
    <row r="2640" spans="3:3">
      <c r="C2640"/>
    </row>
    <row r="2641" spans="3:3">
      <c r="C2641"/>
    </row>
    <row r="2642" spans="3:3">
      <c r="C2642"/>
    </row>
    <row r="2643" spans="3:3">
      <c r="C2643"/>
    </row>
    <row r="2644" spans="3:3">
      <c r="C2644"/>
    </row>
    <row r="2645" spans="3:3">
      <c r="C2645"/>
    </row>
    <row r="2646" spans="3:3">
      <c r="C2646"/>
    </row>
    <row r="2647" spans="3:3">
      <c r="C2647"/>
    </row>
    <row r="2648" spans="3:3">
      <c r="C2648"/>
    </row>
    <row r="2649" spans="3:3">
      <c r="C2649"/>
    </row>
    <row r="2650" spans="3:3">
      <c r="C2650"/>
    </row>
    <row r="2651" spans="3:3">
      <c r="C2651"/>
    </row>
    <row r="2652" spans="3:3">
      <c r="C2652"/>
    </row>
    <row r="2653" spans="3:3">
      <c r="C2653"/>
    </row>
    <row r="2654" spans="3:3">
      <c r="C2654"/>
    </row>
    <row r="2655" spans="3:3">
      <c r="C2655"/>
    </row>
    <row r="2656" spans="3:3">
      <c r="C2656"/>
    </row>
    <row r="2657" spans="3:3">
      <c r="C2657"/>
    </row>
    <row r="2658" spans="3:3">
      <c r="C2658"/>
    </row>
    <row r="2659" spans="3:3">
      <c r="C2659"/>
    </row>
    <row r="2660" spans="3:3">
      <c r="C2660"/>
    </row>
    <row r="2661" spans="3:3">
      <c r="C2661"/>
    </row>
    <row r="2662" spans="3:3">
      <c r="C2662"/>
    </row>
    <row r="2663" spans="3:3">
      <c r="C2663"/>
    </row>
    <row r="2664" spans="3:3">
      <c r="C2664"/>
    </row>
    <row r="2665" spans="3:3">
      <c r="C2665"/>
    </row>
    <row r="2666" spans="3:3">
      <c r="C2666"/>
    </row>
    <row r="2667" spans="3:3">
      <c r="C2667"/>
    </row>
    <row r="2668" spans="3:3">
      <c r="C2668"/>
    </row>
    <row r="2669" spans="3:3">
      <c r="C2669"/>
    </row>
    <row r="2670" spans="3:3">
      <c r="C2670"/>
    </row>
    <row r="2671" spans="3:3">
      <c r="C2671"/>
    </row>
    <row r="2672" spans="3:3">
      <c r="C2672"/>
    </row>
    <row r="2673" spans="3:3">
      <c r="C2673"/>
    </row>
    <row r="2674" spans="3:3">
      <c r="C2674"/>
    </row>
    <row r="2675" spans="3:3">
      <c r="C2675"/>
    </row>
    <row r="2676" spans="3:3">
      <c r="C2676"/>
    </row>
    <row r="2677" spans="3:3">
      <c r="C2677"/>
    </row>
    <row r="2678" spans="3:3">
      <c r="C2678"/>
    </row>
    <row r="2679" spans="3:3">
      <c r="C2679"/>
    </row>
    <row r="2680" spans="3:3">
      <c r="C2680"/>
    </row>
    <row r="2681" spans="3:3">
      <c r="C2681"/>
    </row>
    <row r="2682" spans="3:3">
      <c r="C2682"/>
    </row>
    <row r="2683" spans="3:3">
      <c r="C2683"/>
    </row>
    <row r="2684" spans="3:3">
      <c r="C2684"/>
    </row>
    <row r="2685" spans="3:3">
      <c r="C2685"/>
    </row>
    <row r="2686" spans="3:3">
      <c r="C2686"/>
    </row>
    <row r="2687" spans="3:3">
      <c r="C2687"/>
    </row>
    <row r="2688" spans="3:3">
      <c r="C2688"/>
    </row>
    <row r="2689" spans="3:3">
      <c r="C2689"/>
    </row>
    <row r="2690" spans="3:3">
      <c r="C2690"/>
    </row>
    <row r="2691" spans="3:3">
      <c r="C2691"/>
    </row>
    <row r="2692" spans="3:3">
      <c r="C2692"/>
    </row>
    <row r="2693" spans="3:3">
      <c r="C2693"/>
    </row>
    <row r="2694" spans="3:3">
      <c r="C2694"/>
    </row>
    <row r="2695" spans="3:3">
      <c r="C2695"/>
    </row>
    <row r="2696" spans="3:3">
      <c r="C2696"/>
    </row>
    <row r="2697" spans="3:3">
      <c r="C2697"/>
    </row>
    <row r="2698" spans="3:3">
      <c r="C2698"/>
    </row>
    <row r="2699" spans="3:3">
      <c r="C2699"/>
    </row>
    <row r="2700" spans="3:3">
      <c r="C2700"/>
    </row>
    <row r="2701" spans="3:3">
      <c r="C2701"/>
    </row>
    <row r="2702" spans="3:3">
      <c r="C2702"/>
    </row>
    <row r="2703" spans="3:3">
      <c r="C2703"/>
    </row>
    <row r="2704" spans="3:3">
      <c r="C2704"/>
    </row>
    <row r="2705" spans="3:3">
      <c r="C2705"/>
    </row>
    <row r="2706" spans="3:3">
      <c r="C2706"/>
    </row>
    <row r="2707" spans="3:3">
      <c r="C2707"/>
    </row>
    <row r="2708" spans="3:3">
      <c r="C2708"/>
    </row>
    <row r="2709" spans="3:3">
      <c r="C2709"/>
    </row>
    <row r="2710" spans="3:3">
      <c r="C2710"/>
    </row>
    <row r="2711" spans="3:3">
      <c r="C2711"/>
    </row>
    <row r="2712" spans="3:3">
      <c r="C2712"/>
    </row>
    <row r="2713" spans="3:3">
      <c r="C2713"/>
    </row>
    <row r="2714" spans="3:3">
      <c r="C2714"/>
    </row>
    <row r="2715" spans="3:3">
      <c r="C2715"/>
    </row>
    <row r="2716" spans="3:3">
      <c r="C2716"/>
    </row>
    <row r="2717" spans="3:3">
      <c r="C2717"/>
    </row>
    <row r="2718" spans="3:3">
      <c r="C2718"/>
    </row>
    <row r="2719" spans="3:3">
      <c r="C2719"/>
    </row>
    <row r="2720" spans="3:3">
      <c r="C2720"/>
    </row>
    <row r="2721" spans="3:3">
      <c r="C2721"/>
    </row>
    <row r="2722" spans="3:3">
      <c r="C2722"/>
    </row>
    <row r="2723" spans="3:3">
      <c r="C2723"/>
    </row>
    <row r="2724" spans="3:3">
      <c r="C2724"/>
    </row>
    <row r="2725" spans="3:3">
      <c r="C2725"/>
    </row>
    <row r="2726" spans="3:3">
      <c r="C2726"/>
    </row>
    <row r="2727" spans="3:3">
      <c r="C2727"/>
    </row>
    <row r="2728" spans="3:3">
      <c r="C2728"/>
    </row>
    <row r="2729" spans="3:3">
      <c r="C2729"/>
    </row>
    <row r="2730" spans="3:3">
      <c r="C2730"/>
    </row>
    <row r="2731" spans="3:3">
      <c r="C2731"/>
    </row>
    <row r="2732" spans="3:3">
      <c r="C2732"/>
    </row>
    <row r="2733" spans="3:3">
      <c r="C2733"/>
    </row>
    <row r="2734" spans="3:3">
      <c r="C2734"/>
    </row>
    <row r="2735" spans="3:3">
      <c r="C2735"/>
    </row>
    <row r="2736" spans="3:3">
      <c r="C2736"/>
    </row>
    <row r="2737" spans="3:3">
      <c r="C2737"/>
    </row>
    <row r="2738" spans="3:3">
      <c r="C2738"/>
    </row>
    <row r="2739" spans="3:3">
      <c r="C2739"/>
    </row>
    <row r="2740" spans="3:3">
      <c r="C2740"/>
    </row>
    <row r="2741" spans="3:3">
      <c r="C2741"/>
    </row>
    <row r="2742" spans="3:3">
      <c r="C2742"/>
    </row>
    <row r="2743" spans="3:3">
      <c r="C2743"/>
    </row>
    <row r="2744" spans="3:3">
      <c r="C2744"/>
    </row>
    <row r="2745" spans="3:3">
      <c r="C2745"/>
    </row>
    <row r="2746" spans="3:3">
      <c r="C2746"/>
    </row>
    <row r="2747" spans="3:3">
      <c r="C2747"/>
    </row>
    <row r="2748" spans="3:3">
      <c r="C2748"/>
    </row>
    <row r="2749" spans="3:3">
      <c r="C2749"/>
    </row>
    <row r="2750" spans="3:3">
      <c r="C2750"/>
    </row>
    <row r="2751" spans="3:3">
      <c r="C2751"/>
    </row>
    <row r="2752" spans="3:3">
      <c r="C2752"/>
    </row>
    <row r="2753" spans="3:3">
      <c r="C2753"/>
    </row>
    <row r="2754" spans="3:3">
      <c r="C2754"/>
    </row>
    <row r="2755" spans="3:3">
      <c r="C2755"/>
    </row>
    <row r="2756" spans="3:3">
      <c r="C2756"/>
    </row>
    <row r="2757" spans="3:3">
      <c r="C2757"/>
    </row>
    <row r="2758" spans="3:3">
      <c r="C2758"/>
    </row>
    <row r="2759" spans="3:3">
      <c r="C2759"/>
    </row>
    <row r="2760" spans="3:3">
      <c r="C2760"/>
    </row>
    <row r="2761" spans="3:3">
      <c r="C2761"/>
    </row>
    <row r="2762" spans="3:3">
      <c r="C2762"/>
    </row>
    <row r="2763" spans="3:3">
      <c r="C2763"/>
    </row>
    <row r="2764" spans="3:3">
      <c r="C2764"/>
    </row>
    <row r="2765" spans="3:3">
      <c r="C2765"/>
    </row>
    <row r="2766" spans="3:3">
      <c r="C2766"/>
    </row>
    <row r="2767" spans="3:3">
      <c r="C2767"/>
    </row>
    <row r="2768" spans="3:3">
      <c r="C2768"/>
    </row>
    <row r="2769" spans="3:3">
      <c r="C2769"/>
    </row>
    <row r="2770" spans="3:3">
      <c r="C2770"/>
    </row>
    <row r="2771" spans="3:3">
      <c r="C2771"/>
    </row>
    <row r="2772" spans="3:3">
      <c r="C2772"/>
    </row>
    <row r="2773" spans="3:3">
      <c r="C2773"/>
    </row>
    <row r="2774" spans="3:3">
      <c r="C2774"/>
    </row>
    <row r="2775" spans="3:3">
      <c r="C2775"/>
    </row>
    <row r="2776" spans="3:3">
      <c r="C2776"/>
    </row>
    <row r="2777" spans="3:3">
      <c r="C2777"/>
    </row>
    <row r="2778" spans="3:3">
      <c r="C2778"/>
    </row>
    <row r="2779" spans="3:3">
      <c r="C2779"/>
    </row>
    <row r="2780" spans="3:3">
      <c r="C2780"/>
    </row>
    <row r="2781" spans="3:3">
      <c r="C2781"/>
    </row>
    <row r="2782" spans="3:3">
      <c r="C2782"/>
    </row>
    <row r="2783" spans="3:3">
      <c r="C2783"/>
    </row>
    <row r="2784" spans="3:3">
      <c r="C2784"/>
    </row>
    <row r="2785" spans="3:3">
      <c r="C2785"/>
    </row>
    <row r="2786" spans="3:3">
      <c r="C2786"/>
    </row>
    <row r="2787" spans="3:3">
      <c r="C2787"/>
    </row>
    <row r="2788" spans="3:3">
      <c r="C2788"/>
    </row>
    <row r="2789" spans="3:3">
      <c r="C2789"/>
    </row>
    <row r="2790" spans="3:3">
      <c r="C2790"/>
    </row>
    <row r="2791" spans="3:3">
      <c r="C2791"/>
    </row>
    <row r="2792" spans="3:3">
      <c r="C2792"/>
    </row>
    <row r="2793" spans="3:3">
      <c r="C2793"/>
    </row>
    <row r="2794" spans="3:3">
      <c r="C2794"/>
    </row>
    <row r="2795" spans="3:3">
      <c r="C2795"/>
    </row>
    <row r="2796" spans="3:3">
      <c r="C2796"/>
    </row>
    <row r="2797" spans="3:3">
      <c r="C2797"/>
    </row>
    <row r="2798" spans="3:3">
      <c r="C2798"/>
    </row>
    <row r="2799" spans="3:3">
      <c r="C2799"/>
    </row>
    <row r="2800" spans="3:3">
      <c r="C2800"/>
    </row>
    <row r="2801" spans="3:3">
      <c r="C2801"/>
    </row>
    <row r="2802" spans="3:3">
      <c r="C2802"/>
    </row>
    <row r="2803" spans="3:3">
      <c r="C2803"/>
    </row>
    <row r="2804" spans="3:3">
      <c r="C2804"/>
    </row>
    <row r="2805" spans="3:3">
      <c r="C2805"/>
    </row>
    <row r="2806" spans="3:3">
      <c r="C2806"/>
    </row>
    <row r="2807" spans="3:3">
      <c r="C2807"/>
    </row>
    <row r="2808" spans="3:3">
      <c r="C2808"/>
    </row>
    <row r="2809" spans="3:3">
      <c r="C2809"/>
    </row>
    <row r="2810" spans="3:3">
      <c r="C2810"/>
    </row>
    <row r="2811" spans="3:3">
      <c r="C2811"/>
    </row>
    <row r="2812" spans="3:3">
      <c r="C2812"/>
    </row>
    <row r="2813" spans="3:3">
      <c r="C2813"/>
    </row>
    <row r="2814" spans="3:3">
      <c r="C2814"/>
    </row>
    <row r="2815" spans="3:3">
      <c r="C2815"/>
    </row>
    <row r="2816" spans="3:3">
      <c r="C2816"/>
    </row>
    <row r="2817" spans="3:3">
      <c r="C2817"/>
    </row>
    <row r="2818" spans="3:3">
      <c r="C2818"/>
    </row>
    <row r="2819" spans="3:3">
      <c r="C2819"/>
    </row>
    <row r="2820" spans="3:3">
      <c r="C2820"/>
    </row>
    <row r="2821" spans="3:3">
      <c r="C2821"/>
    </row>
    <row r="2822" spans="3:3">
      <c r="C2822"/>
    </row>
    <row r="2823" spans="3:3">
      <c r="C2823"/>
    </row>
    <row r="2824" spans="3:3">
      <c r="C2824"/>
    </row>
    <row r="2825" spans="3:3">
      <c r="C2825"/>
    </row>
    <row r="2826" spans="3:3">
      <c r="C2826"/>
    </row>
    <row r="2827" spans="3:3">
      <c r="C2827"/>
    </row>
    <row r="2828" spans="3:3">
      <c r="C2828"/>
    </row>
    <row r="2829" spans="3:3">
      <c r="C2829"/>
    </row>
    <row r="2830" spans="3:3">
      <c r="C2830"/>
    </row>
    <row r="2831" spans="3:3">
      <c r="C2831"/>
    </row>
    <row r="2832" spans="3:3">
      <c r="C2832"/>
    </row>
    <row r="2833" spans="3:3">
      <c r="C2833"/>
    </row>
    <row r="2834" spans="3:3">
      <c r="C2834"/>
    </row>
    <row r="2835" spans="3:3">
      <c r="C2835"/>
    </row>
    <row r="2836" spans="3:3">
      <c r="C2836"/>
    </row>
    <row r="2837" spans="3:3">
      <c r="C2837"/>
    </row>
    <row r="2838" spans="3:3">
      <c r="C2838"/>
    </row>
    <row r="2839" spans="3:3">
      <c r="C2839"/>
    </row>
    <row r="2840" spans="3:3">
      <c r="C2840"/>
    </row>
    <row r="2841" spans="3:3">
      <c r="C2841"/>
    </row>
    <row r="2842" spans="3:3">
      <c r="C2842"/>
    </row>
    <row r="2843" spans="3:3">
      <c r="C2843"/>
    </row>
    <row r="2844" spans="3:3">
      <c r="C2844"/>
    </row>
    <row r="2845" spans="3:3">
      <c r="C2845"/>
    </row>
    <row r="2846" spans="3:3">
      <c r="C2846"/>
    </row>
    <row r="2847" spans="3:3">
      <c r="C2847"/>
    </row>
    <row r="2848" spans="3:3">
      <c r="C2848"/>
    </row>
    <row r="2849" spans="3:3">
      <c r="C2849"/>
    </row>
    <row r="2850" spans="3:3">
      <c r="C2850"/>
    </row>
    <row r="2851" spans="3:3">
      <c r="C2851"/>
    </row>
    <row r="2852" spans="3:3">
      <c r="C2852"/>
    </row>
    <row r="2853" spans="3:3">
      <c r="C2853"/>
    </row>
    <row r="2854" spans="3:3">
      <c r="C2854"/>
    </row>
    <row r="2855" spans="3:3">
      <c r="C2855"/>
    </row>
    <row r="2856" spans="3:3">
      <c r="C2856"/>
    </row>
    <row r="2857" spans="3:3">
      <c r="C2857"/>
    </row>
    <row r="2858" spans="3:3">
      <c r="C2858"/>
    </row>
    <row r="2859" spans="3:3">
      <c r="C2859"/>
    </row>
    <row r="2860" spans="3:3">
      <c r="C2860"/>
    </row>
    <row r="2861" spans="3:3">
      <c r="C2861"/>
    </row>
    <row r="2862" spans="3:3">
      <c r="C2862"/>
    </row>
    <row r="2863" spans="3:3">
      <c r="C2863"/>
    </row>
    <row r="2864" spans="3:3">
      <c r="C2864"/>
    </row>
    <row r="2865" spans="3:3">
      <c r="C2865"/>
    </row>
    <row r="2866" spans="3:3">
      <c r="C2866"/>
    </row>
    <row r="2867" spans="3:3">
      <c r="C2867"/>
    </row>
    <row r="2868" spans="3:3">
      <c r="C2868"/>
    </row>
    <row r="2869" spans="3:3">
      <c r="C2869"/>
    </row>
    <row r="2870" spans="3:3">
      <c r="C2870"/>
    </row>
    <row r="2871" spans="3:3">
      <c r="C2871"/>
    </row>
    <row r="2872" spans="3:3">
      <c r="C2872"/>
    </row>
    <row r="2873" spans="3:3">
      <c r="C2873"/>
    </row>
    <row r="2874" spans="3:3">
      <c r="C2874"/>
    </row>
    <row r="2875" spans="3:3">
      <c r="C2875"/>
    </row>
    <row r="2876" spans="3:3">
      <c r="C2876"/>
    </row>
    <row r="2877" spans="3:3">
      <c r="C2877"/>
    </row>
    <row r="2878" spans="3:3">
      <c r="C2878"/>
    </row>
    <row r="2879" spans="3:3">
      <c r="C2879"/>
    </row>
    <row r="2880" spans="3:3">
      <c r="C2880"/>
    </row>
    <row r="2881" spans="3:3">
      <c r="C2881"/>
    </row>
    <row r="2882" spans="3:3">
      <c r="C2882"/>
    </row>
    <row r="2883" spans="3:3">
      <c r="C2883"/>
    </row>
    <row r="2884" spans="3:3">
      <c r="C2884"/>
    </row>
    <row r="2885" spans="3:3">
      <c r="C2885"/>
    </row>
    <row r="2886" spans="3:3">
      <c r="C2886"/>
    </row>
    <row r="2887" spans="3:3">
      <c r="C2887"/>
    </row>
    <row r="2888" spans="3:3">
      <c r="C2888"/>
    </row>
    <row r="2889" spans="3:3">
      <c r="C2889"/>
    </row>
    <row r="2890" spans="3:3">
      <c r="C2890"/>
    </row>
    <row r="2891" spans="3:3">
      <c r="C2891"/>
    </row>
    <row r="2892" spans="3:3">
      <c r="C2892"/>
    </row>
    <row r="2893" spans="3:3">
      <c r="C2893"/>
    </row>
    <row r="2894" spans="3:3">
      <c r="C2894"/>
    </row>
    <row r="2895" spans="3:3">
      <c r="C2895"/>
    </row>
    <row r="2896" spans="3:3">
      <c r="C2896"/>
    </row>
    <row r="2897" spans="3:3">
      <c r="C2897"/>
    </row>
    <row r="2898" spans="3:3">
      <c r="C2898"/>
    </row>
    <row r="2899" spans="3:3">
      <c r="C2899"/>
    </row>
    <row r="2900" spans="3:3">
      <c r="C2900"/>
    </row>
    <row r="2901" spans="3:3">
      <c r="C2901"/>
    </row>
    <row r="2902" spans="3:3">
      <c r="C2902"/>
    </row>
    <row r="2903" spans="3:3">
      <c r="C2903"/>
    </row>
    <row r="2904" spans="3:3">
      <c r="C2904"/>
    </row>
    <row r="2905" spans="3:3">
      <c r="C2905"/>
    </row>
    <row r="2906" spans="3:3">
      <c r="C2906"/>
    </row>
    <row r="2907" spans="3:3">
      <c r="C2907"/>
    </row>
    <row r="2908" spans="3:3">
      <c r="C2908"/>
    </row>
    <row r="2909" spans="3:3">
      <c r="C2909"/>
    </row>
    <row r="2910" spans="3:3">
      <c r="C2910"/>
    </row>
    <row r="2911" spans="3:3">
      <c r="C2911"/>
    </row>
    <row r="2912" spans="3:3">
      <c r="C2912"/>
    </row>
    <row r="2913" spans="3:3">
      <c r="C2913"/>
    </row>
    <row r="2914" spans="3:3">
      <c r="C2914"/>
    </row>
    <row r="2915" spans="3:3">
      <c r="C2915"/>
    </row>
    <row r="2916" spans="3:3">
      <c r="C2916"/>
    </row>
    <row r="2917" spans="3:3">
      <c r="C2917"/>
    </row>
    <row r="2918" spans="3:3">
      <c r="C2918"/>
    </row>
    <row r="2919" spans="3:3">
      <c r="C2919"/>
    </row>
    <row r="2920" spans="3:3">
      <c r="C2920"/>
    </row>
    <row r="2921" spans="3:3">
      <c r="C2921"/>
    </row>
    <row r="2922" spans="3:3">
      <c r="C2922"/>
    </row>
    <row r="2923" spans="3:3">
      <c r="C2923"/>
    </row>
    <row r="2924" spans="3:3">
      <c r="C2924"/>
    </row>
    <row r="2925" spans="3:3">
      <c r="C2925"/>
    </row>
    <row r="2926" spans="3:3">
      <c r="C2926"/>
    </row>
    <row r="2927" spans="3:3">
      <c r="C2927"/>
    </row>
    <row r="2928" spans="3:3">
      <c r="C2928"/>
    </row>
    <row r="2929" spans="3:3">
      <c r="C2929"/>
    </row>
    <row r="2930" spans="3:3">
      <c r="C2930"/>
    </row>
    <row r="2931" spans="3:3">
      <c r="C2931"/>
    </row>
    <row r="2932" spans="3:3">
      <c r="C2932"/>
    </row>
    <row r="2933" spans="3:3">
      <c r="C2933"/>
    </row>
    <row r="2934" spans="3:3">
      <c r="C2934"/>
    </row>
    <row r="2935" spans="3:3">
      <c r="C2935"/>
    </row>
    <row r="2936" spans="3:3">
      <c r="C2936"/>
    </row>
    <row r="2937" spans="3:3">
      <c r="C2937"/>
    </row>
    <row r="2938" spans="3:3">
      <c r="C2938"/>
    </row>
    <row r="2939" spans="3:3">
      <c r="C2939"/>
    </row>
    <row r="2940" spans="3:3">
      <c r="C2940"/>
    </row>
    <row r="2941" spans="3:3">
      <c r="C2941"/>
    </row>
    <row r="2942" spans="3:3">
      <c r="C2942"/>
    </row>
    <row r="2943" spans="3:3">
      <c r="C2943"/>
    </row>
    <row r="2944" spans="3:3">
      <c r="C2944"/>
    </row>
    <row r="2945" spans="3:3">
      <c r="C2945"/>
    </row>
    <row r="2946" spans="3:3">
      <c r="C2946"/>
    </row>
    <row r="2947" spans="3:3">
      <c r="C2947"/>
    </row>
    <row r="2948" spans="3:3">
      <c r="C2948"/>
    </row>
    <row r="2949" spans="3:3">
      <c r="C2949"/>
    </row>
    <row r="2950" spans="3:3">
      <c r="C2950"/>
    </row>
    <row r="2951" spans="3:3">
      <c r="C2951"/>
    </row>
    <row r="2952" spans="3:3">
      <c r="C2952"/>
    </row>
    <row r="2953" spans="3:3">
      <c r="C2953"/>
    </row>
    <row r="2954" spans="3:3">
      <c r="C2954"/>
    </row>
    <row r="2955" spans="3:3">
      <c r="C2955"/>
    </row>
    <row r="2956" spans="3:3">
      <c r="C2956"/>
    </row>
    <row r="2957" spans="3:3">
      <c r="C2957"/>
    </row>
    <row r="2958" spans="3:3">
      <c r="C2958"/>
    </row>
    <row r="2959" spans="3:3">
      <c r="C2959"/>
    </row>
    <row r="2960" spans="3:3">
      <c r="C2960"/>
    </row>
    <row r="2961" spans="3:3">
      <c r="C2961"/>
    </row>
    <row r="2962" spans="3:3">
      <c r="C2962"/>
    </row>
    <row r="2963" spans="3:3">
      <c r="C2963"/>
    </row>
    <row r="2964" spans="3:3">
      <c r="C2964"/>
    </row>
    <row r="2965" spans="3:3">
      <c r="C2965"/>
    </row>
    <row r="2966" spans="3:3">
      <c r="C2966"/>
    </row>
    <row r="2967" spans="3:3">
      <c r="C2967"/>
    </row>
    <row r="2968" spans="3:3">
      <c r="C2968"/>
    </row>
    <row r="2969" spans="3:3">
      <c r="C2969"/>
    </row>
    <row r="2970" spans="3:3">
      <c r="C2970"/>
    </row>
    <row r="2971" spans="3:3">
      <c r="C2971"/>
    </row>
    <row r="2972" spans="3:3">
      <c r="C2972"/>
    </row>
    <row r="2973" spans="3:3">
      <c r="C2973"/>
    </row>
    <row r="2974" spans="3:3">
      <c r="C2974"/>
    </row>
    <row r="2975" spans="3:3">
      <c r="C2975"/>
    </row>
    <row r="2976" spans="3:3">
      <c r="C2976"/>
    </row>
    <row r="2977" spans="3:3">
      <c r="C2977"/>
    </row>
    <row r="2978" spans="3:3">
      <c r="C2978"/>
    </row>
    <row r="2979" spans="3:3">
      <c r="C2979"/>
    </row>
    <row r="2980" spans="3:3">
      <c r="C2980"/>
    </row>
    <row r="2981" spans="3:3">
      <c r="C2981"/>
    </row>
    <row r="2982" spans="3:3">
      <c r="C2982"/>
    </row>
    <row r="2983" spans="3:3">
      <c r="C2983"/>
    </row>
    <row r="2984" spans="3:3">
      <c r="C2984"/>
    </row>
    <row r="2985" spans="3:3">
      <c r="C2985"/>
    </row>
    <row r="2986" spans="3:3">
      <c r="C2986"/>
    </row>
    <row r="2987" spans="3:3">
      <c r="C2987"/>
    </row>
    <row r="2988" spans="3:3">
      <c r="C2988"/>
    </row>
    <row r="2989" spans="3:3">
      <c r="C2989"/>
    </row>
    <row r="2990" spans="3:3">
      <c r="C2990"/>
    </row>
    <row r="2991" spans="3:3">
      <c r="C2991"/>
    </row>
    <row r="2992" spans="3:3">
      <c r="C2992"/>
    </row>
    <row r="2993" spans="3:3">
      <c r="C2993"/>
    </row>
    <row r="2994" spans="3:3">
      <c r="C2994"/>
    </row>
    <row r="2995" spans="3:3">
      <c r="C2995"/>
    </row>
    <row r="2996" spans="3:3">
      <c r="C2996"/>
    </row>
    <row r="2997" spans="3:3">
      <c r="C2997"/>
    </row>
    <row r="2998" spans="3:3">
      <c r="C2998"/>
    </row>
    <row r="2999" spans="3:3">
      <c r="C2999"/>
    </row>
    <row r="3000" spans="3:3">
      <c r="C3000"/>
    </row>
    <row r="3001" spans="3:3">
      <c r="C3001"/>
    </row>
    <row r="3002" spans="3:3">
      <c r="C3002"/>
    </row>
    <row r="3003" spans="3:3">
      <c r="C3003"/>
    </row>
    <row r="3004" spans="3:3">
      <c r="C3004"/>
    </row>
    <row r="3005" spans="3:3">
      <c r="C3005"/>
    </row>
    <row r="3006" spans="3:3">
      <c r="C3006"/>
    </row>
    <row r="3007" spans="3:3">
      <c r="C3007"/>
    </row>
    <row r="3008" spans="3:3">
      <c r="C3008"/>
    </row>
    <row r="3009" spans="3:3">
      <c r="C3009"/>
    </row>
    <row r="3010" spans="3:3">
      <c r="C3010"/>
    </row>
    <row r="3011" spans="3:3">
      <c r="C3011"/>
    </row>
    <row r="3012" spans="3:3">
      <c r="C3012"/>
    </row>
    <row r="3013" spans="3:3">
      <c r="C3013"/>
    </row>
    <row r="3014" spans="3:3">
      <c r="C3014"/>
    </row>
    <row r="3015" spans="3:3">
      <c r="C3015"/>
    </row>
    <row r="3016" spans="3:3">
      <c r="C3016"/>
    </row>
    <row r="3017" spans="3:3">
      <c r="C3017"/>
    </row>
    <row r="3018" spans="3:3">
      <c r="C3018"/>
    </row>
    <row r="3019" spans="3:3">
      <c r="C3019"/>
    </row>
    <row r="3020" spans="3:3">
      <c r="C3020"/>
    </row>
    <row r="3021" spans="3:3">
      <c r="C3021"/>
    </row>
    <row r="3022" spans="3:3">
      <c r="C3022"/>
    </row>
    <row r="3023" spans="3:3">
      <c r="C3023"/>
    </row>
    <row r="3024" spans="3:3">
      <c r="C3024"/>
    </row>
    <row r="3025" spans="3:3">
      <c r="C3025"/>
    </row>
    <row r="3026" spans="3:3">
      <c r="C3026"/>
    </row>
    <row r="3027" spans="3:3">
      <c r="C3027"/>
    </row>
    <row r="3028" spans="3:3">
      <c r="C3028"/>
    </row>
    <row r="3029" spans="3:3">
      <c r="C3029"/>
    </row>
    <row r="3030" spans="3:3">
      <c r="C3030"/>
    </row>
    <row r="3031" spans="3:3">
      <c r="C3031"/>
    </row>
    <row r="3032" spans="3:3">
      <c r="C3032"/>
    </row>
    <row r="3033" spans="3:3">
      <c r="C3033"/>
    </row>
    <row r="3034" spans="3:3">
      <c r="C3034"/>
    </row>
    <row r="3035" spans="3:3">
      <c r="C3035"/>
    </row>
    <row r="3036" spans="3:3">
      <c r="C3036"/>
    </row>
    <row r="3037" spans="3:3">
      <c r="C3037"/>
    </row>
    <row r="3038" spans="3:3">
      <c r="C3038"/>
    </row>
    <row r="3039" spans="3:3">
      <c r="C3039"/>
    </row>
    <row r="3040" spans="3:3">
      <c r="C3040"/>
    </row>
    <row r="3041" spans="3:3">
      <c r="C3041"/>
    </row>
    <row r="3042" spans="3:3">
      <c r="C3042"/>
    </row>
    <row r="3043" spans="3:3">
      <c r="C3043"/>
    </row>
    <row r="3044" spans="3:3">
      <c r="C3044"/>
    </row>
    <row r="3045" spans="3:3">
      <c r="C3045"/>
    </row>
    <row r="3046" spans="3:3">
      <c r="C3046"/>
    </row>
    <row r="3047" spans="3:3">
      <c r="C3047"/>
    </row>
    <row r="3048" spans="3:3">
      <c r="C3048"/>
    </row>
    <row r="3049" spans="3:3">
      <c r="C3049"/>
    </row>
    <row r="3050" spans="3:3">
      <c r="C3050"/>
    </row>
    <row r="3051" spans="3:3">
      <c r="C3051"/>
    </row>
    <row r="3052" spans="3:3">
      <c r="C3052"/>
    </row>
    <row r="3053" spans="3:3">
      <c r="C3053"/>
    </row>
    <row r="3054" spans="3:3">
      <c r="C3054"/>
    </row>
    <row r="3055" spans="3:3">
      <c r="C3055"/>
    </row>
    <row r="3056" spans="3:3">
      <c r="C3056"/>
    </row>
    <row r="3057" spans="3:3">
      <c r="C3057"/>
    </row>
    <row r="3058" spans="3:3">
      <c r="C3058"/>
    </row>
    <row r="3059" spans="3:3">
      <c r="C3059"/>
    </row>
    <row r="3060" spans="3:3">
      <c r="C3060"/>
    </row>
    <row r="3061" spans="3:3">
      <c r="C3061"/>
    </row>
    <row r="3062" spans="3:3">
      <c r="C3062"/>
    </row>
    <row r="3063" spans="3:3">
      <c r="C3063"/>
    </row>
    <row r="3064" spans="3:3">
      <c r="C3064"/>
    </row>
    <row r="3065" spans="3:3">
      <c r="C3065"/>
    </row>
    <row r="3066" spans="3:3">
      <c r="C3066"/>
    </row>
    <row r="3067" spans="3:3">
      <c r="C3067"/>
    </row>
    <row r="3068" spans="3:3">
      <c r="C3068"/>
    </row>
    <row r="3069" spans="3:3">
      <c r="C3069"/>
    </row>
    <row r="3070" spans="3:3">
      <c r="C3070"/>
    </row>
    <row r="3071" spans="3:3">
      <c r="C3071"/>
    </row>
    <row r="3072" spans="3:3">
      <c r="C3072"/>
    </row>
    <row r="3073" spans="3:3">
      <c r="C3073"/>
    </row>
    <row r="3074" spans="3:3">
      <c r="C3074"/>
    </row>
    <row r="3075" spans="3:3">
      <c r="C3075"/>
    </row>
    <row r="3076" spans="3:3">
      <c r="C3076"/>
    </row>
    <row r="3077" spans="3:3">
      <c r="C3077"/>
    </row>
    <row r="3078" spans="3:3">
      <c r="C3078"/>
    </row>
    <row r="3079" spans="3:3">
      <c r="C3079"/>
    </row>
    <row r="3080" spans="3:3">
      <c r="C3080"/>
    </row>
    <row r="3081" spans="3:3">
      <c r="C3081"/>
    </row>
    <row r="3082" spans="3:3">
      <c r="C3082"/>
    </row>
    <row r="3083" spans="3:3">
      <c r="C3083"/>
    </row>
    <row r="3084" spans="3:3">
      <c r="C3084"/>
    </row>
    <row r="3085" spans="3:3">
      <c r="C3085"/>
    </row>
    <row r="3086" spans="3:3">
      <c r="C3086"/>
    </row>
    <row r="3087" spans="3:3">
      <c r="C3087"/>
    </row>
    <row r="3088" spans="3:3">
      <c r="C3088"/>
    </row>
    <row r="3089" spans="3:3">
      <c r="C3089"/>
    </row>
    <row r="3090" spans="3:3">
      <c r="C3090"/>
    </row>
    <row r="3091" spans="3:3">
      <c r="C3091"/>
    </row>
    <row r="3092" spans="3:3">
      <c r="C3092"/>
    </row>
    <row r="3093" spans="3:3">
      <c r="C3093"/>
    </row>
    <row r="3094" spans="3:3">
      <c r="C3094"/>
    </row>
    <row r="3095" spans="3:3">
      <c r="C3095"/>
    </row>
    <row r="3096" spans="3:3">
      <c r="C3096"/>
    </row>
    <row r="3097" spans="3:3">
      <c r="C3097"/>
    </row>
    <row r="3098" spans="3:3">
      <c r="C3098"/>
    </row>
    <row r="3099" spans="3:3">
      <c r="C3099"/>
    </row>
    <row r="3100" spans="3:3">
      <c r="C3100"/>
    </row>
    <row r="3101" spans="3:3">
      <c r="C3101"/>
    </row>
    <row r="3102" spans="3:3">
      <c r="C3102"/>
    </row>
    <row r="3103" spans="3:3">
      <c r="C3103"/>
    </row>
    <row r="3104" spans="3:3">
      <c r="C3104"/>
    </row>
    <row r="3105" spans="3:3">
      <c r="C3105"/>
    </row>
    <row r="3106" spans="3:3">
      <c r="C3106"/>
    </row>
    <row r="3107" spans="3:3">
      <c r="C3107"/>
    </row>
    <row r="3108" spans="3:3">
      <c r="C3108"/>
    </row>
    <row r="3109" spans="3:3">
      <c r="C3109"/>
    </row>
    <row r="3110" spans="3:3">
      <c r="C3110"/>
    </row>
    <row r="3111" spans="3:3">
      <c r="C3111"/>
    </row>
    <row r="3112" spans="3:3">
      <c r="C3112"/>
    </row>
    <row r="3113" spans="3:3">
      <c r="C3113"/>
    </row>
    <row r="3114" spans="3:3">
      <c r="C3114"/>
    </row>
    <row r="3115" spans="3:3">
      <c r="C3115"/>
    </row>
    <row r="3116" spans="3:3">
      <c r="C3116"/>
    </row>
    <row r="3117" spans="3:3">
      <c r="C3117"/>
    </row>
    <row r="3118" spans="3:3">
      <c r="C3118"/>
    </row>
    <row r="3119" spans="3:3">
      <c r="C3119"/>
    </row>
    <row r="3120" spans="3:3">
      <c r="C3120"/>
    </row>
    <row r="3121" spans="3:3">
      <c r="C3121"/>
    </row>
    <row r="3122" spans="3:3">
      <c r="C3122"/>
    </row>
    <row r="3123" spans="3:3">
      <c r="C3123"/>
    </row>
    <row r="3124" spans="3:3">
      <c r="C3124"/>
    </row>
    <row r="3125" spans="3:3">
      <c r="C3125"/>
    </row>
    <row r="3126" spans="3:3">
      <c r="C3126"/>
    </row>
    <row r="3127" spans="3:3">
      <c r="C3127"/>
    </row>
    <row r="3128" spans="3:3">
      <c r="C3128"/>
    </row>
    <row r="3129" spans="3:3">
      <c r="C3129"/>
    </row>
    <row r="3130" spans="3:3">
      <c r="C3130"/>
    </row>
    <row r="3131" spans="3:3">
      <c r="C3131"/>
    </row>
    <row r="3132" spans="3:3">
      <c r="C3132"/>
    </row>
    <row r="3133" spans="3:3">
      <c r="C3133"/>
    </row>
    <row r="3134" spans="3:3">
      <c r="C3134"/>
    </row>
    <row r="3135" spans="3:3">
      <c r="C3135"/>
    </row>
    <row r="3136" spans="3:3">
      <c r="C3136"/>
    </row>
    <row r="3137" spans="3:3">
      <c r="C3137"/>
    </row>
    <row r="3138" spans="3:3">
      <c r="C3138"/>
    </row>
    <row r="3139" spans="3:3">
      <c r="C3139"/>
    </row>
    <row r="3140" spans="3:3">
      <c r="C3140"/>
    </row>
    <row r="3141" spans="3:3">
      <c r="C3141"/>
    </row>
    <row r="3142" spans="3:3">
      <c r="C3142"/>
    </row>
    <row r="3143" spans="3:3">
      <c r="C3143"/>
    </row>
    <row r="3144" spans="3:3">
      <c r="C3144"/>
    </row>
    <row r="3145" spans="3:3">
      <c r="C3145"/>
    </row>
    <row r="3146" spans="3:3">
      <c r="C3146"/>
    </row>
    <row r="3147" spans="3:3">
      <c r="C3147"/>
    </row>
    <row r="3148" spans="3:3">
      <c r="C3148"/>
    </row>
    <row r="3149" spans="3:3">
      <c r="C3149"/>
    </row>
    <row r="3150" spans="3:3">
      <c r="C3150"/>
    </row>
    <row r="3151" spans="3:3">
      <c r="C3151"/>
    </row>
    <row r="3152" spans="3:3">
      <c r="C3152"/>
    </row>
    <row r="3153" spans="3:3">
      <c r="C3153"/>
    </row>
    <row r="3154" spans="3:3">
      <c r="C3154"/>
    </row>
    <row r="3155" spans="3:3">
      <c r="C3155"/>
    </row>
    <row r="3156" spans="3:3">
      <c r="C3156"/>
    </row>
    <row r="3157" spans="3:3">
      <c r="C3157"/>
    </row>
    <row r="3158" spans="3:3">
      <c r="C3158"/>
    </row>
    <row r="3159" spans="3:3">
      <c r="C3159"/>
    </row>
    <row r="3160" spans="3:3">
      <c r="C3160"/>
    </row>
    <row r="3161" spans="3:3">
      <c r="C3161"/>
    </row>
    <row r="3162" spans="3:3">
      <c r="C3162"/>
    </row>
    <row r="3163" spans="3:3">
      <c r="C3163"/>
    </row>
    <row r="3164" spans="3:3">
      <c r="C3164"/>
    </row>
    <row r="3165" spans="3:3">
      <c r="C3165"/>
    </row>
    <row r="3166" spans="3:3">
      <c r="C3166"/>
    </row>
    <row r="3167" spans="3:3">
      <c r="C3167"/>
    </row>
    <row r="3168" spans="3:3">
      <c r="C3168"/>
    </row>
    <row r="3169" spans="3:3">
      <c r="C3169"/>
    </row>
    <row r="3170" spans="3:3">
      <c r="C3170"/>
    </row>
    <row r="3171" spans="3:3">
      <c r="C3171"/>
    </row>
    <row r="3172" spans="3:3">
      <c r="C3172"/>
    </row>
    <row r="3173" spans="3:3">
      <c r="C3173"/>
    </row>
    <row r="3174" spans="3:3">
      <c r="C3174"/>
    </row>
    <row r="3175" spans="3:3">
      <c r="C3175"/>
    </row>
    <row r="3176" spans="3:3">
      <c r="C3176"/>
    </row>
    <row r="3177" spans="3:3">
      <c r="C3177"/>
    </row>
    <row r="3178" spans="3:3">
      <c r="C3178"/>
    </row>
    <row r="3179" spans="3:3">
      <c r="C3179"/>
    </row>
    <row r="3180" spans="3:3">
      <c r="C3180"/>
    </row>
    <row r="3181" spans="3:3">
      <c r="C3181"/>
    </row>
    <row r="3182" spans="3:3">
      <c r="C3182"/>
    </row>
    <row r="3183" spans="3:3">
      <c r="C3183"/>
    </row>
    <row r="3184" spans="3:3">
      <c r="C3184"/>
    </row>
    <row r="3185" spans="3:3">
      <c r="C3185"/>
    </row>
    <row r="3186" spans="3:3">
      <c r="C3186"/>
    </row>
    <row r="3187" spans="3:3">
      <c r="C3187"/>
    </row>
    <row r="3188" spans="3:3">
      <c r="C3188"/>
    </row>
    <row r="3189" spans="3:3">
      <c r="C3189"/>
    </row>
    <row r="3190" spans="3:3">
      <c r="C3190"/>
    </row>
    <row r="3191" spans="3:3">
      <c r="C3191"/>
    </row>
    <row r="3192" spans="3:3">
      <c r="C3192"/>
    </row>
    <row r="3193" spans="3:3">
      <c r="C3193"/>
    </row>
    <row r="3194" spans="3:3">
      <c r="C3194"/>
    </row>
    <row r="3195" spans="3:3">
      <c r="C3195"/>
    </row>
    <row r="3196" spans="3:3">
      <c r="C3196"/>
    </row>
    <row r="3197" spans="3:3">
      <c r="C3197"/>
    </row>
    <row r="3198" spans="3:3">
      <c r="C3198"/>
    </row>
    <row r="3199" spans="3:3">
      <c r="C3199"/>
    </row>
    <row r="3200" spans="3:3">
      <c r="C3200"/>
    </row>
    <row r="3201" spans="3:3">
      <c r="C3201"/>
    </row>
    <row r="3202" spans="3:3">
      <c r="C3202"/>
    </row>
    <row r="3203" spans="3:3">
      <c r="C3203"/>
    </row>
    <row r="3204" spans="3:3">
      <c r="C3204"/>
    </row>
    <row r="3205" spans="3:3">
      <c r="C3205"/>
    </row>
    <row r="3206" spans="3:3">
      <c r="C3206"/>
    </row>
    <row r="3207" spans="3:3">
      <c r="C3207"/>
    </row>
    <row r="3208" spans="3:3">
      <c r="C3208"/>
    </row>
    <row r="3209" spans="3:3">
      <c r="C3209"/>
    </row>
    <row r="3210" spans="3:3">
      <c r="C3210"/>
    </row>
    <row r="3211" spans="3:3">
      <c r="C3211"/>
    </row>
    <row r="3212" spans="3:3">
      <c r="C3212"/>
    </row>
    <row r="3213" spans="3:3">
      <c r="C3213"/>
    </row>
    <row r="3214" spans="3:3">
      <c r="C3214"/>
    </row>
    <row r="3215" spans="3:3">
      <c r="C3215"/>
    </row>
    <row r="3216" spans="3:3">
      <c r="C3216"/>
    </row>
    <row r="3217" spans="3:3">
      <c r="C3217"/>
    </row>
    <row r="3218" spans="3:3">
      <c r="C3218"/>
    </row>
    <row r="3219" spans="3:3">
      <c r="C3219"/>
    </row>
    <row r="3220" spans="3:3">
      <c r="C3220"/>
    </row>
    <row r="3221" spans="3:3">
      <c r="C3221"/>
    </row>
    <row r="3222" spans="3:3">
      <c r="C3222"/>
    </row>
    <row r="3223" spans="3:3">
      <c r="C3223"/>
    </row>
    <row r="3224" spans="3:3">
      <c r="C3224"/>
    </row>
    <row r="3225" spans="3:3">
      <c r="C3225"/>
    </row>
    <row r="3226" spans="3:3">
      <c r="C3226"/>
    </row>
    <row r="3227" spans="3:3">
      <c r="C3227"/>
    </row>
    <row r="3228" spans="3:3">
      <c r="C3228"/>
    </row>
    <row r="3229" spans="3:3">
      <c r="C3229"/>
    </row>
    <row r="3230" spans="3:3">
      <c r="C3230"/>
    </row>
    <row r="3231" spans="3:3">
      <c r="C3231"/>
    </row>
    <row r="3232" spans="3:3">
      <c r="C3232"/>
    </row>
    <row r="3233" spans="3:3">
      <c r="C3233"/>
    </row>
    <row r="3234" spans="3:3">
      <c r="C3234"/>
    </row>
    <row r="3235" spans="3:3">
      <c r="C3235"/>
    </row>
    <row r="3236" spans="3:3">
      <c r="C3236"/>
    </row>
    <row r="3237" spans="3:3">
      <c r="C3237"/>
    </row>
    <row r="3238" spans="3:3">
      <c r="C3238"/>
    </row>
    <row r="3239" spans="3:3">
      <c r="C3239"/>
    </row>
    <row r="3240" spans="3:3">
      <c r="C3240"/>
    </row>
    <row r="3241" spans="3:3">
      <c r="C3241"/>
    </row>
    <row r="3242" spans="3:3">
      <c r="C3242"/>
    </row>
    <row r="3243" spans="3:3">
      <c r="C3243"/>
    </row>
    <row r="3244" spans="3:3">
      <c r="C3244"/>
    </row>
    <row r="3245" spans="3:3">
      <c r="C3245"/>
    </row>
    <row r="3246" spans="3:3">
      <c r="C3246"/>
    </row>
    <row r="3247" spans="3:3">
      <c r="C3247"/>
    </row>
    <row r="3248" spans="3:3">
      <c r="C3248"/>
    </row>
    <row r="3249" spans="3:3">
      <c r="C3249"/>
    </row>
    <row r="3250" spans="3:3">
      <c r="C3250"/>
    </row>
    <row r="3251" spans="3:3">
      <c r="C3251"/>
    </row>
    <row r="3252" spans="3:3">
      <c r="C3252"/>
    </row>
    <row r="3253" spans="3:3">
      <c r="C3253"/>
    </row>
    <row r="3254" spans="3:3">
      <c r="C3254"/>
    </row>
    <row r="3255" spans="3:3">
      <c r="C3255"/>
    </row>
    <row r="3256" spans="3:3">
      <c r="C3256"/>
    </row>
    <row r="3257" spans="3:3">
      <c r="C3257"/>
    </row>
    <row r="3258" spans="3:3">
      <c r="C3258"/>
    </row>
    <row r="3259" spans="3:3">
      <c r="C3259"/>
    </row>
    <row r="3260" spans="3:3">
      <c r="C3260"/>
    </row>
    <row r="3261" spans="3:3">
      <c r="C3261"/>
    </row>
    <row r="3262" spans="3:3">
      <c r="C3262"/>
    </row>
    <row r="3263" spans="3:3">
      <c r="C3263"/>
    </row>
    <row r="3264" spans="3:3">
      <c r="C3264"/>
    </row>
    <row r="3265" spans="3:3">
      <c r="C3265"/>
    </row>
    <row r="3266" spans="3:3">
      <c r="C3266"/>
    </row>
    <row r="3267" spans="3:3">
      <c r="C3267"/>
    </row>
    <row r="3268" spans="3:3">
      <c r="C3268"/>
    </row>
    <row r="3269" spans="3:3">
      <c r="C3269"/>
    </row>
    <row r="3270" spans="3:3">
      <c r="C3270"/>
    </row>
    <row r="3271" spans="3:3">
      <c r="C3271"/>
    </row>
    <row r="3272" spans="3:3">
      <c r="C3272"/>
    </row>
    <row r="3273" spans="3:3">
      <c r="C3273"/>
    </row>
    <row r="3274" spans="3:3">
      <c r="C3274"/>
    </row>
    <row r="3275" spans="3:3">
      <c r="C3275"/>
    </row>
    <row r="3276" spans="3:3">
      <c r="C3276"/>
    </row>
    <row r="3277" spans="3:3">
      <c r="C3277"/>
    </row>
    <row r="3278" spans="3:3">
      <c r="C3278"/>
    </row>
    <row r="3279" spans="3:3">
      <c r="C3279"/>
    </row>
    <row r="3280" spans="3:3">
      <c r="C3280"/>
    </row>
    <row r="3281" spans="3:3">
      <c r="C3281"/>
    </row>
    <row r="3282" spans="3:3">
      <c r="C3282"/>
    </row>
    <row r="3283" spans="3:3">
      <c r="C3283"/>
    </row>
    <row r="3284" spans="3:3">
      <c r="C3284"/>
    </row>
    <row r="3285" spans="3:3">
      <c r="C3285"/>
    </row>
    <row r="3286" spans="3:3">
      <c r="C3286"/>
    </row>
    <row r="3287" spans="3:3">
      <c r="C3287"/>
    </row>
    <row r="3288" spans="3:3">
      <c r="C3288"/>
    </row>
    <row r="3289" spans="3:3">
      <c r="C3289"/>
    </row>
    <row r="3290" spans="3:3">
      <c r="C3290"/>
    </row>
    <row r="3291" spans="3:3">
      <c r="C3291"/>
    </row>
    <row r="3292" spans="3:3">
      <c r="C3292"/>
    </row>
    <row r="3293" spans="3:3">
      <c r="C3293"/>
    </row>
    <row r="3294" spans="3:3">
      <c r="C3294"/>
    </row>
    <row r="3295" spans="3:3">
      <c r="C3295"/>
    </row>
    <row r="3296" spans="3:3">
      <c r="C3296"/>
    </row>
    <row r="3297" spans="3:3">
      <c r="C3297"/>
    </row>
    <row r="3298" spans="3:3">
      <c r="C3298"/>
    </row>
    <row r="3299" spans="3:3">
      <c r="C3299"/>
    </row>
    <row r="3300" spans="3:3">
      <c r="C3300"/>
    </row>
    <row r="3301" spans="3:3">
      <c r="C3301"/>
    </row>
    <row r="3302" spans="3:3">
      <c r="C3302"/>
    </row>
    <row r="3303" spans="3:3">
      <c r="C3303"/>
    </row>
    <row r="3304" spans="3:3">
      <c r="C3304"/>
    </row>
    <row r="3305" spans="3:3">
      <c r="C3305"/>
    </row>
    <row r="3306" spans="3:3">
      <c r="C3306"/>
    </row>
    <row r="3307" spans="3:3">
      <c r="C3307"/>
    </row>
    <row r="3308" spans="3:3">
      <c r="C3308"/>
    </row>
    <row r="3309" spans="3:3">
      <c r="C3309"/>
    </row>
    <row r="3310" spans="3:3">
      <c r="C3310"/>
    </row>
    <row r="3311" spans="3:3">
      <c r="C3311"/>
    </row>
    <row r="3312" spans="3:3">
      <c r="C3312"/>
    </row>
    <row r="3313" spans="3:3">
      <c r="C3313"/>
    </row>
    <row r="3314" spans="3:3">
      <c r="C3314"/>
    </row>
    <row r="3315" spans="3:3">
      <c r="C3315"/>
    </row>
    <row r="3316" spans="3:3">
      <c r="C3316"/>
    </row>
    <row r="3317" spans="3:3">
      <c r="C3317"/>
    </row>
    <row r="3318" spans="3:3">
      <c r="C3318"/>
    </row>
    <row r="3319" spans="3:3">
      <c r="C3319"/>
    </row>
    <row r="3320" spans="3:3">
      <c r="C3320"/>
    </row>
    <row r="3321" spans="3:3">
      <c r="C3321"/>
    </row>
    <row r="3322" spans="3:3">
      <c r="C3322"/>
    </row>
    <row r="3323" spans="3:3">
      <c r="C3323"/>
    </row>
    <row r="3324" spans="3:3">
      <c r="C3324"/>
    </row>
    <row r="3325" spans="3:3">
      <c r="C3325"/>
    </row>
    <row r="3326" spans="3:3">
      <c r="C3326"/>
    </row>
    <row r="3327" spans="3:3">
      <c r="C3327"/>
    </row>
    <row r="3328" spans="3:3">
      <c r="C3328"/>
    </row>
    <row r="3329" spans="3:3">
      <c r="C3329"/>
    </row>
    <row r="3330" spans="3:3">
      <c r="C3330"/>
    </row>
    <row r="3331" spans="3:3">
      <c r="C3331"/>
    </row>
    <row r="3332" spans="3:3">
      <c r="C3332"/>
    </row>
    <row r="3333" spans="3:3">
      <c r="C3333"/>
    </row>
    <row r="3334" spans="3:3">
      <c r="C3334"/>
    </row>
    <row r="3335" spans="3:3">
      <c r="C3335"/>
    </row>
    <row r="3336" spans="3:3">
      <c r="C3336"/>
    </row>
    <row r="3337" spans="3:3">
      <c r="C3337"/>
    </row>
    <row r="3338" spans="3:3">
      <c r="C3338"/>
    </row>
    <row r="3339" spans="3:3">
      <c r="C3339"/>
    </row>
    <row r="3340" spans="3:3">
      <c r="C3340"/>
    </row>
    <row r="3341" spans="3:3">
      <c r="C3341"/>
    </row>
    <row r="3342" spans="3:3">
      <c r="C3342"/>
    </row>
    <row r="3343" spans="3:3">
      <c r="C3343"/>
    </row>
    <row r="3344" spans="3:3">
      <c r="C3344"/>
    </row>
    <row r="3345" spans="3:3">
      <c r="C3345"/>
    </row>
    <row r="3346" spans="3:3">
      <c r="C3346"/>
    </row>
    <row r="3347" spans="3:3">
      <c r="C3347"/>
    </row>
    <row r="3348" spans="3:3">
      <c r="C3348"/>
    </row>
    <row r="3349" spans="3:3">
      <c r="C3349"/>
    </row>
    <row r="3350" spans="3:3">
      <c r="C3350"/>
    </row>
    <row r="3351" spans="3:3">
      <c r="C3351"/>
    </row>
    <row r="3352" spans="3:3">
      <c r="C3352"/>
    </row>
    <row r="3353" spans="3:3">
      <c r="C3353"/>
    </row>
    <row r="3354" spans="3:3">
      <c r="C3354"/>
    </row>
    <row r="3355" spans="3:3">
      <c r="C3355"/>
    </row>
    <row r="3356" spans="3:3">
      <c r="C3356"/>
    </row>
    <row r="3357" spans="3:3">
      <c r="C3357"/>
    </row>
    <row r="3358" spans="3:3">
      <c r="C3358"/>
    </row>
    <row r="3359" spans="3:3">
      <c r="C3359"/>
    </row>
    <row r="3360" spans="3:3">
      <c r="C3360"/>
    </row>
    <row r="3361" spans="3:3">
      <c r="C3361"/>
    </row>
    <row r="3362" spans="3:3">
      <c r="C3362"/>
    </row>
    <row r="3363" spans="3:3">
      <c r="C3363"/>
    </row>
    <row r="3364" spans="3:3">
      <c r="C3364"/>
    </row>
    <row r="3365" spans="3:3">
      <c r="C3365"/>
    </row>
    <row r="3366" spans="3:3">
      <c r="C3366"/>
    </row>
    <row r="3367" spans="3:3">
      <c r="C3367"/>
    </row>
    <row r="3368" spans="3:3">
      <c r="C3368"/>
    </row>
    <row r="3369" spans="3:3">
      <c r="C3369"/>
    </row>
    <row r="3370" spans="3:3">
      <c r="C3370"/>
    </row>
    <row r="3371" spans="3:3">
      <c r="C3371"/>
    </row>
    <row r="3372" spans="3:3">
      <c r="C3372"/>
    </row>
    <row r="3373" spans="3:3">
      <c r="C3373"/>
    </row>
    <row r="3374" spans="3:3">
      <c r="C3374"/>
    </row>
    <row r="3375" spans="3:3">
      <c r="C3375"/>
    </row>
    <row r="3376" spans="3:3">
      <c r="C3376"/>
    </row>
    <row r="3377" spans="3:3">
      <c r="C3377"/>
    </row>
    <row r="3378" spans="3:3">
      <c r="C3378"/>
    </row>
    <row r="3379" spans="3:3">
      <c r="C3379"/>
    </row>
    <row r="3380" spans="3:3">
      <c r="C3380"/>
    </row>
    <row r="3381" spans="3:3">
      <c r="C3381"/>
    </row>
    <row r="3382" spans="3:3">
      <c r="C3382"/>
    </row>
    <row r="3383" spans="3:3">
      <c r="C3383"/>
    </row>
    <row r="3384" spans="3:3">
      <c r="C3384"/>
    </row>
    <row r="3385" spans="3:3">
      <c r="C3385"/>
    </row>
    <row r="3386" spans="3:3">
      <c r="C3386"/>
    </row>
    <row r="3387" spans="3:3">
      <c r="C3387"/>
    </row>
    <row r="3388" spans="3:3">
      <c r="C3388"/>
    </row>
    <row r="3389" spans="3:3">
      <c r="C3389"/>
    </row>
    <row r="3390" spans="3:3">
      <c r="C3390"/>
    </row>
    <row r="3391" spans="3:3">
      <c r="C3391"/>
    </row>
    <row r="3392" spans="3:3">
      <c r="C3392"/>
    </row>
    <row r="3393" spans="3:3">
      <c r="C3393"/>
    </row>
    <row r="3394" spans="3:3">
      <c r="C3394"/>
    </row>
    <row r="3395" spans="3:3">
      <c r="C3395"/>
    </row>
    <row r="3396" spans="3:3">
      <c r="C3396"/>
    </row>
    <row r="3397" spans="3:3">
      <c r="C3397"/>
    </row>
    <row r="3398" spans="3:3">
      <c r="C3398"/>
    </row>
    <row r="3399" spans="3:3">
      <c r="C3399"/>
    </row>
    <row r="3400" spans="3:3">
      <c r="C3400"/>
    </row>
    <row r="3401" spans="3:3">
      <c r="C3401"/>
    </row>
    <row r="3402" spans="3:3">
      <c r="C3402"/>
    </row>
    <row r="3403" spans="3:3">
      <c r="C3403"/>
    </row>
    <row r="3404" spans="3:3">
      <c r="C3404"/>
    </row>
    <row r="3405" spans="3:3">
      <c r="C3405"/>
    </row>
    <row r="3406" spans="3:3">
      <c r="C3406"/>
    </row>
    <row r="3407" spans="3:3">
      <c r="C3407"/>
    </row>
    <row r="3408" spans="3:3">
      <c r="C3408"/>
    </row>
    <row r="3409" spans="3:3">
      <c r="C3409"/>
    </row>
    <row r="3410" spans="3:3">
      <c r="C3410"/>
    </row>
    <row r="3411" spans="3:3">
      <c r="C3411"/>
    </row>
    <row r="3412" spans="3:3">
      <c r="C3412"/>
    </row>
    <row r="3413" spans="3:3">
      <c r="C3413"/>
    </row>
    <row r="3414" spans="3:3">
      <c r="C3414"/>
    </row>
    <row r="3415" spans="3:3">
      <c r="C3415"/>
    </row>
    <row r="3416" spans="3:3">
      <c r="C3416"/>
    </row>
    <row r="3417" spans="3:3">
      <c r="C3417"/>
    </row>
    <row r="3418" spans="3:3">
      <c r="C3418"/>
    </row>
    <row r="3419" spans="3:3">
      <c r="C3419"/>
    </row>
    <row r="3420" spans="3:3">
      <c r="C3420"/>
    </row>
    <row r="3421" spans="3:3">
      <c r="C3421"/>
    </row>
    <row r="3422" spans="3:3">
      <c r="C3422"/>
    </row>
    <row r="3423" spans="3:3">
      <c r="C3423"/>
    </row>
    <row r="3424" spans="3:3">
      <c r="C3424"/>
    </row>
    <row r="3425" spans="3:3">
      <c r="C3425"/>
    </row>
    <row r="3426" spans="3:3">
      <c r="C3426"/>
    </row>
    <row r="3427" spans="3:3">
      <c r="C3427"/>
    </row>
    <row r="3428" spans="3:3">
      <c r="C3428"/>
    </row>
    <row r="3429" spans="3:3">
      <c r="C3429"/>
    </row>
    <row r="3430" spans="3:3">
      <c r="C3430"/>
    </row>
    <row r="3431" spans="3:3">
      <c r="C3431"/>
    </row>
    <row r="3432" spans="3:3">
      <c r="C3432"/>
    </row>
    <row r="3433" spans="3:3">
      <c r="C3433"/>
    </row>
    <row r="3434" spans="3:3">
      <c r="C3434"/>
    </row>
    <row r="3435" spans="3:3">
      <c r="C3435"/>
    </row>
    <row r="3436" spans="3:3">
      <c r="C3436"/>
    </row>
    <row r="3437" spans="3:3">
      <c r="C3437"/>
    </row>
    <row r="3438" spans="3:3">
      <c r="C3438"/>
    </row>
    <row r="3439" spans="3:3">
      <c r="C3439"/>
    </row>
    <row r="3440" spans="3:3">
      <c r="C3440"/>
    </row>
    <row r="3441" spans="3:3">
      <c r="C3441"/>
    </row>
    <row r="3442" spans="3:3">
      <c r="C3442"/>
    </row>
    <row r="3443" spans="3:3">
      <c r="C3443"/>
    </row>
    <row r="3444" spans="3:3">
      <c r="C3444"/>
    </row>
    <row r="3445" spans="3:3">
      <c r="C3445"/>
    </row>
    <row r="3446" spans="3:3">
      <c r="C3446"/>
    </row>
    <row r="3447" spans="3:3">
      <c r="C3447"/>
    </row>
    <row r="3448" spans="3:3">
      <c r="C3448"/>
    </row>
    <row r="3449" spans="3:3">
      <c r="C3449"/>
    </row>
    <row r="3450" spans="3:3">
      <c r="C3450"/>
    </row>
    <row r="3451" spans="3:3">
      <c r="C3451"/>
    </row>
    <row r="3452" spans="3:3">
      <c r="C3452"/>
    </row>
    <row r="3453" spans="3:3">
      <c r="C3453"/>
    </row>
    <row r="3454" spans="3:3">
      <c r="C3454"/>
    </row>
    <row r="3455" spans="3:3">
      <c r="C3455"/>
    </row>
    <row r="3456" spans="3:3">
      <c r="C3456"/>
    </row>
    <row r="3457" spans="3:3">
      <c r="C3457"/>
    </row>
    <row r="3458" spans="3:3">
      <c r="C3458"/>
    </row>
    <row r="3459" spans="3:3">
      <c r="C3459"/>
    </row>
    <row r="3460" spans="3:3">
      <c r="C3460"/>
    </row>
    <row r="3461" spans="3:3">
      <c r="C3461"/>
    </row>
    <row r="3462" spans="3:3">
      <c r="C3462"/>
    </row>
    <row r="3463" spans="3:3">
      <c r="C3463"/>
    </row>
    <row r="3464" spans="3:3">
      <c r="C3464"/>
    </row>
    <row r="3465" spans="3:3">
      <c r="C3465"/>
    </row>
    <row r="3466" spans="3:3">
      <c r="C3466"/>
    </row>
    <row r="3467" spans="3:3">
      <c r="C3467"/>
    </row>
    <row r="3468" spans="3:3">
      <c r="C3468"/>
    </row>
    <row r="3469" spans="3:3">
      <c r="C3469"/>
    </row>
    <row r="3470" spans="3:3">
      <c r="C3470"/>
    </row>
    <row r="3471" spans="3:3">
      <c r="C3471"/>
    </row>
    <row r="3472" spans="3:3">
      <c r="C3472"/>
    </row>
    <row r="3473" spans="3:3">
      <c r="C3473"/>
    </row>
    <row r="3474" spans="3:3">
      <c r="C3474"/>
    </row>
    <row r="3475" spans="3:3">
      <c r="C3475"/>
    </row>
    <row r="3476" spans="3:3">
      <c r="C3476"/>
    </row>
    <row r="3477" spans="3:3">
      <c r="C3477"/>
    </row>
    <row r="3478" spans="3:3">
      <c r="C3478"/>
    </row>
    <row r="3479" spans="3:3">
      <c r="C3479"/>
    </row>
    <row r="3480" spans="3:3">
      <c r="C3480"/>
    </row>
    <row r="3481" spans="3:3">
      <c r="C3481"/>
    </row>
    <row r="3482" spans="3:3">
      <c r="C3482"/>
    </row>
    <row r="3483" spans="3:3">
      <c r="C3483"/>
    </row>
    <row r="3484" spans="3:3">
      <c r="C3484"/>
    </row>
    <row r="3485" spans="3:3">
      <c r="C3485"/>
    </row>
    <row r="3486" spans="3:3">
      <c r="C3486"/>
    </row>
    <row r="3487" spans="3:3">
      <c r="C3487"/>
    </row>
    <row r="3488" spans="3:3">
      <c r="C3488"/>
    </row>
    <row r="3489" spans="3:3">
      <c r="C3489"/>
    </row>
    <row r="3490" spans="3:3">
      <c r="C3490"/>
    </row>
    <row r="3491" spans="3:3">
      <c r="C3491"/>
    </row>
    <row r="3492" spans="3:3">
      <c r="C3492"/>
    </row>
    <row r="3493" spans="3:3">
      <c r="C3493"/>
    </row>
    <row r="3494" spans="3:3">
      <c r="C3494"/>
    </row>
    <row r="3495" spans="3:3">
      <c r="C3495"/>
    </row>
    <row r="3496" spans="3:3">
      <c r="C3496"/>
    </row>
    <row r="3497" spans="3:3">
      <c r="C3497"/>
    </row>
    <row r="3498" spans="3:3">
      <c r="C3498"/>
    </row>
    <row r="3499" spans="3:3">
      <c r="C3499"/>
    </row>
    <row r="3500" spans="3:3">
      <c r="C3500"/>
    </row>
    <row r="3501" spans="3:3">
      <c r="C3501"/>
    </row>
    <row r="3502" spans="3:3">
      <c r="C3502"/>
    </row>
    <row r="3503" spans="3:3">
      <c r="C3503"/>
    </row>
    <row r="3504" spans="3:3">
      <c r="C3504"/>
    </row>
    <row r="3505" spans="3:3">
      <c r="C3505"/>
    </row>
    <row r="3506" spans="3:3">
      <c r="C3506"/>
    </row>
    <row r="3507" spans="3:3">
      <c r="C3507"/>
    </row>
    <row r="3508" spans="3:3">
      <c r="C3508"/>
    </row>
    <row r="3509" spans="3:3">
      <c r="C3509"/>
    </row>
    <row r="3510" spans="3:3">
      <c r="C3510"/>
    </row>
    <row r="3511" spans="3:3">
      <c r="C3511"/>
    </row>
    <row r="3512" spans="3:3">
      <c r="C3512"/>
    </row>
    <row r="3513" spans="3:3">
      <c r="C3513"/>
    </row>
    <row r="3514" spans="3:3">
      <c r="C3514"/>
    </row>
    <row r="3515" spans="3:3">
      <c r="C3515"/>
    </row>
    <row r="3516" spans="3:3">
      <c r="C3516"/>
    </row>
    <row r="3517" spans="3:3">
      <c r="C3517"/>
    </row>
    <row r="3518" spans="3:3">
      <c r="C3518"/>
    </row>
    <row r="3519" spans="3:3">
      <c r="C3519"/>
    </row>
    <row r="3520" spans="3:3">
      <c r="C3520"/>
    </row>
    <row r="3521" spans="3:3">
      <c r="C3521"/>
    </row>
    <row r="3522" spans="3:3">
      <c r="C3522"/>
    </row>
    <row r="3523" spans="3:3">
      <c r="C3523"/>
    </row>
    <row r="3524" spans="3:3">
      <c r="C3524"/>
    </row>
    <row r="3525" spans="3:3">
      <c r="C3525"/>
    </row>
    <row r="3526" spans="3:3">
      <c r="C3526"/>
    </row>
    <row r="3527" spans="3:3">
      <c r="C3527"/>
    </row>
    <row r="3528" spans="3:3">
      <c r="C3528"/>
    </row>
    <row r="3529" spans="3:3">
      <c r="C3529"/>
    </row>
    <row r="3530" spans="3:3">
      <c r="C3530"/>
    </row>
    <row r="3531" spans="3:3">
      <c r="C3531"/>
    </row>
    <row r="3532" spans="3:3">
      <c r="C3532"/>
    </row>
    <row r="3533" spans="3:3">
      <c r="C3533"/>
    </row>
    <row r="3534" spans="3:3">
      <c r="C3534"/>
    </row>
    <row r="3535" spans="3:3">
      <c r="C3535"/>
    </row>
    <row r="3536" spans="3:3">
      <c r="C3536"/>
    </row>
    <row r="3537" spans="3:3">
      <c r="C3537"/>
    </row>
    <row r="3538" spans="3:3">
      <c r="C3538"/>
    </row>
    <row r="3539" spans="3:3">
      <c r="C3539"/>
    </row>
    <row r="3540" spans="3:3">
      <c r="C3540"/>
    </row>
    <row r="3541" spans="3:3">
      <c r="C3541"/>
    </row>
    <row r="3542" spans="3:3">
      <c r="C3542"/>
    </row>
    <row r="3543" spans="3:3">
      <c r="C3543"/>
    </row>
    <row r="3544" spans="3:3">
      <c r="C3544"/>
    </row>
    <row r="3545" spans="3:3">
      <c r="C3545"/>
    </row>
    <row r="3546" spans="3:3">
      <c r="C3546"/>
    </row>
    <row r="3547" spans="3:3">
      <c r="C3547"/>
    </row>
    <row r="3548" spans="3:3">
      <c r="C3548"/>
    </row>
    <row r="3549" spans="3:3">
      <c r="C3549"/>
    </row>
    <row r="3550" spans="3:3">
      <c r="C3550"/>
    </row>
    <row r="3551" spans="3:3">
      <c r="C3551"/>
    </row>
    <row r="3552" spans="3:3">
      <c r="C3552"/>
    </row>
    <row r="3553" spans="3:3">
      <c r="C3553"/>
    </row>
    <row r="3554" spans="3:3">
      <c r="C3554"/>
    </row>
    <row r="3555" spans="3:3">
      <c r="C3555"/>
    </row>
    <row r="3556" spans="3:3">
      <c r="C3556"/>
    </row>
    <row r="3557" spans="3:3">
      <c r="C3557"/>
    </row>
    <row r="3558" spans="3:3">
      <c r="C3558"/>
    </row>
    <row r="3559" spans="3:3">
      <c r="C3559"/>
    </row>
    <row r="3560" spans="3:3">
      <c r="C3560"/>
    </row>
    <row r="3561" spans="3:3">
      <c r="C3561"/>
    </row>
    <row r="3562" spans="3:3">
      <c r="C3562"/>
    </row>
    <row r="3563" spans="3:3">
      <c r="C3563"/>
    </row>
    <row r="3564" spans="3:3">
      <c r="C3564"/>
    </row>
    <row r="3565" spans="3:3">
      <c r="C3565"/>
    </row>
    <row r="3566" spans="3:3">
      <c r="C3566"/>
    </row>
    <row r="3567" spans="3:3">
      <c r="C3567"/>
    </row>
    <row r="3568" spans="3:3">
      <c r="C3568"/>
    </row>
    <row r="3569" spans="3:3">
      <c r="C3569"/>
    </row>
    <row r="3570" spans="3:3">
      <c r="C3570"/>
    </row>
    <row r="3571" spans="3:3">
      <c r="C3571"/>
    </row>
    <row r="3572" spans="3:3">
      <c r="C3572"/>
    </row>
    <row r="3573" spans="3:3">
      <c r="C3573"/>
    </row>
    <row r="3574" spans="3:3">
      <c r="C3574"/>
    </row>
    <row r="3575" spans="3:3">
      <c r="C3575"/>
    </row>
    <row r="3576" spans="3:3">
      <c r="C3576"/>
    </row>
    <row r="3577" spans="3:3">
      <c r="C3577"/>
    </row>
    <row r="3578" spans="3:3">
      <c r="C3578"/>
    </row>
    <row r="3579" spans="3:3">
      <c r="C3579"/>
    </row>
    <row r="3580" spans="3:3">
      <c r="C3580"/>
    </row>
    <row r="3581" spans="3:3">
      <c r="C3581"/>
    </row>
    <row r="3582" spans="3:3">
      <c r="C3582"/>
    </row>
    <row r="3583" spans="3:3">
      <c r="C3583"/>
    </row>
    <row r="3584" spans="3:3">
      <c r="C3584"/>
    </row>
    <row r="3585" spans="3:3">
      <c r="C3585"/>
    </row>
    <row r="3586" spans="3:3">
      <c r="C3586"/>
    </row>
    <row r="3587" spans="3:3">
      <c r="C3587"/>
    </row>
    <row r="3588" spans="3:3">
      <c r="C3588"/>
    </row>
    <row r="3589" spans="3:3">
      <c r="C3589"/>
    </row>
    <row r="3590" spans="3:3">
      <c r="C3590"/>
    </row>
    <row r="3591" spans="3:3">
      <c r="C3591"/>
    </row>
    <row r="3592" spans="3:3">
      <c r="C3592"/>
    </row>
    <row r="3593" spans="3:3">
      <c r="C3593"/>
    </row>
    <row r="3594" spans="3:3">
      <c r="C3594"/>
    </row>
    <row r="3595" spans="3:3">
      <c r="C3595"/>
    </row>
    <row r="3596" spans="3:3">
      <c r="C3596"/>
    </row>
    <row r="3597" spans="3:3">
      <c r="C3597"/>
    </row>
    <row r="3598" spans="3:3">
      <c r="C3598"/>
    </row>
    <row r="3599" spans="3:3">
      <c r="C3599"/>
    </row>
    <row r="3600" spans="3:3">
      <c r="C3600"/>
    </row>
    <row r="3601" spans="3:3">
      <c r="C3601"/>
    </row>
    <row r="3602" spans="3:3">
      <c r="C3602"/>
    </row>
    <row r="3603" spans="3:3">
      <c r="C3603"/>
    </row>
    <row r="3604" spans="3:3">
      <c r="C3604"/>
    </row>
    <row r="3605" spans="3:3">
      <c r="C3605"/>
    </row>
    <row r="3606" spans="3:3">
      <c r="C3606"/>
    </row>
    <row r="3607" spans="3:3">
      <c r="C3607"/>
    </row>
    <row r="3608" spans="3:3">
      <c r="C3608"/>
    </row>
    <row r="3609" spans="3:3">
      <c r="C3609"/>
    </row>
    <row r="3610" spans="3:3">
      <c r="C3610"/>
    </row>
    <row r="3611" spans="3:3">
      <c r="C3611"/>
    </row>
    <row r="3612" spans="3:3">
      <c r="C3612"/>
    </row>
    <row r="3613" spans="3:3">
      <c r="C3613"/>
    </row>
    <row r="3614" spans="3:3">
      <c r="C3614"/>
    </row>
    <row r="3615" spans="3:3">
      <c r="C3615"/>
    </row>
    <row r="3616" spans="3:3">
      <c r="C3616"/>
    </row>
    <row r="3617" spans="3:3">
      <c r="C3617"/>
    </row>
    <row r="3618" spans="3:3">
      <c r="C3618"/>
    </row>
    <row r="3619" spans="3:3">
      <c r="C3619"/>
    </row>
    <row r="3620" spans="3:3">
      <c r="C3620"/>
    </row>
    <row r="3621" spans="3:3">
      <c r="C3621"/>
    </row>
    <row r="3622" spans="3:3">
      <c r="C3622"/>
    </row>
    <row r="3623" spans="3:3">
      <c r="C3623"/>
    </row>
    <row r="3624" spans="3:3">
      <c r="C3624"/>
    </row>
    <row r="3625" spans="3:3">
      <c r="C3625"/>
    </row>
    <row r="3626" spans="3:3">
      <c r="C3626"/>
    </row>
    <row r="3627" spans="3:3">
      <c r="C3627"/>
    </row>
    <row r="3628" spans="3:3">
      <c r="C3628"/>
    </row>
    <row r="3629" spans="3:3">
      <c r="C3629"/>
    </row>
    <row r="3630" spans="3:3">
      <c r="C3630"/>
    </row>
    <row r="3631" spans="3:3">
      <c r="C3631"/>
    </row>
    <row r="3632" spans="3:3">
      <c r="C3632"/>
    </row>
    <row r="3633" spans="3:3">
      <c r="C3633"/>
    </row>
    <row r="3634" spans="3:3">
      <c r="C3634"/>
    </row>
    <row r="3635" spans="3:3">
      <c r="C3635"/>
    </row>
    <row r="3636" spans="3:3">
      <c r="C3636"/>
    </row>
    <row r="3637" spans="3:3">
      <c r="C3637"/>
    </row>
    <row r="3638" spans="3:3">
      <c r="C3638"/>
    </row>
    <row r="3639" spans="3:3">
      <c r="C3639"/>
    </row>
    <row r="3640" spans="3:3">
      <c r="C3640"/>
    </row>
    <row r="3641" spans="3:3">
      <c r="C3641"/>
    </row>
    <row r="3642" spans="3:3">
      <c r="C3642"/>
    </row>
    <row r="3643" spans="3:3">
      <c r="C3643"/>
    </row>
    <row r="3644" spans="3:3">
      <c r="C3644"/>
    </row>
    <row r="3645" spans="3:3">
      <c r="C3645"/>
    </row>
    <row r="3646" spans="3:3">
      <c r="C3646"/>
    </row>
    <row r="3647" spans="3:3">
      <c r="C3647"/>
    </row>
    <row r="3648" spans="3:3">
      <c r="C3648"/>
    </row>
    <row r="3649" spans="3:3">
      <c r="C3649"/>
    </row>
    <row r="3650" spans="3:3">
      <c r="C3650"/>
    </row>
    <row r="3651" spans="3:3">
      <c r="C3651"/>
    </row>
    <row r="3652" spans="3:3">
      <c r="C3652"/>
    </row>
    <row r="3653" spans="3:3">
      <c r="C3653"/>
    </row>
    <row r="3654" spans="3:3">
      <c r="C3654"/>
    </row>
    <row r="3655" spans="3:3">
      <c r="C3655"/>
    </row>
    <row r="3656" spans="3:3">
      <c r="C3656"/>
    </row>
    <row r="3657" spans="3:3">
      <c r="C3657"/>
    </row>
    <row r="3658" spans="3:3">
      <c r="C3658"/>
    </row>
    <row r="3659" spans="3:3">
      <c r="C3659"/>
    </row>
    <row r="3660" spans="3:3">
      <c r="C3660"/>
    </row>
    <row r="3661" spans="3:3">
      <c r="C3661"/>
    </row>
    <row r="3662" spans="3:3">
      <c r="C3662"/>
    </row>
    <row r="3663" spans="3:3">
      <c r="C3663"/>
    </row>
    <row r="3664" spans="3:3">
      <c r="C3664"/>
    </row>
    <row r="3665" spans="3:3">
      <c r="C3665"/>
    </row>
    <row r="3666" spans="3:3">
      <c r="C3666"/>
    </row>
    <row r="3667" spans="3:3">
      <c r="C3667"/>
    </row>
    <row r="3668" spans="3:3">
      <c r="C3668"/>
    </row>
    <row r="3669" spans="3:3">
      <c r="C3669"/>
    </row>
    <row r="3670" spans="3:3">
      <c r="C3670"/>
    </row>
    <row r="3671" spans="3:3">
      <c r="C3671"/>
    </row>
    <row r="3672" spans="3:3">
      <c r="C3672"/>
    </row>
    <row r="3673" spans="3:3">
      <c r="C3673"/>
    </row>
    <row r="3674" spans="3:3">
      <c r="C3674"/>
    </row>
    <row r="3675" spans="3:3">
      <c r="C3675"/>
    </row>
    <row r="3676" spans="3:3">
      <c r="C3676"/>
    </row>
    <row r="3677" spans="3:3">
      <c r="C3677"/>
    </row>
    <row r="3678" spans="3:3">
      <c r="C3678"/>
    </row>
    <row r="3679" spans="3:3">
      <c r="C3679"/>
    </row>
    <row r="3680" spans="3:3">
      <c r="C3680"/>
    </row>
    <row r="3681" spans="3:3">
      <c r="C3681"/>
    </row>
    <row r="3682" spans="3:3">
      <c r="C3682"/>
    </row>
    <row r="3683" spans="3:3">
      <c r="C3683"/>
    </row>
    <row r="3684" spans="3:3">
      <c r="C3684"/>
    </row>
    <row r="3685" spans="3:3">
      <c r="C3685"/>
    </row>
    <row r="3686" spans="3:3">
      <c r="C3686"/>
    </row>
    <row r="3687" spans="3:3">
      <c r="C3687"/>
    </row>
    <row r="3688" spans="3:3">
      <c r="C3688"/>
    </row>
    <row r="3689" spans="3:3">
      <c r="C3689"/>
    </row>
    <row r="3690" spans="3:3">
      <c r="C3690"/>
    </row>
    <row r="3691" spans="3:3">
      <c r="C3691"/>
    </row>
    <row r="3692" spans="3:3">
      <c r="C3692"/>
    </row>
    <row r="3693" spans="3:3">
      <c r="C3693"/>
    </row>
    <row r="3694" spans="3:3">
      <c r="C3694"/>
    </row>
    <row r="3695" spans="3:3">
      <c r="C3695"/>
    </row>
    <row r="3696" spans="3:3">
      <c r="C3696"/>
    </row>
    <row r="3697" spans="3:3">
      <c r="C3697"/>
    </row>
    <row r="3698" spans="3:3">
      <c r="C3698"/>
    </row>
    <row r="3699" spans="3:3">
      <c r="C3699"/>
    </row>
    <row r="3700" spans="3:3">
      <c r="C3700"/>
    </row>
    <row r="3701" spans="3:3">
      <c r="C3701"/>
    </row>
    <row r="3702" spans="3:3">
      <c r="C3702"/>
    </row>
    <row r="3703" spans="3:3">
      <c r="C3703"/>
    </row>
    <row r="3704" spans="3:3">
      <c r="C3704"/>
    </row>
    <row r="3705" spans="3:3">
      <c r="C3705"/>
    </row>
    <row r="3706" spans="3:3">
      <c r="C3706"/>
    </row>
    <row r="3707" spans="3:3">
      <c r="C3707"/>
    </row>
    <row r="3708" spans="3:3">
      <c r="C3708"/>
    </row>
    <row r="3709" spans="3:3">
      <c r="C3709"/>
    </row>
    <row r="3710" spans="3:3">
      <c r="C3710"/>
    </row>
    <row r="3711" spans="3:3">
      <c r="C3711"/>
    </row>
    <row r="3712" spans="3:3">
      <c r="C3712"/>
    </row>
    <row r="3713" spans="3:3">
      <c r="C3713"/>
    </row>
    <row r="3714" spans="3:3">
      <c r="C3714"/>
    </row>
    <row r="3715" spans="3:3">
      <c r="C3715"/>
    </row>
    <row r="3716" spans="3:3">
      <c r="C3716"/>
    </row>
    <row r="3717" spans="3:3">
      <c r="C3717"/>
    </row>
    <row r="3718" spans="3:3">
      <c r="C3718"/>
    </row>
    <row r="3719" spans="3:3">
      <c r="C3719"/>
    </row>
    <row r="3720" spans="3:3">
      <c r="C3720"/>
    </row>
    <row r="3721" spans="3:3">
      <c r="C3721"/>
    </row>
    <row r="3722" spans="3:3">
      <c r="C3722"/>
    </row>
    <row r="3723" spans="3:3">
      <c r="C3723"/>
    </row>
    <row r="3724" spans="3:3">
      <c r="C3724"/>
    </row>
    <row r="3725" spans="3:3">
      <c r="C3725"/>
    </row>
    <row r="3726" spans="3:3">
      <c r="C3726"/>
    </row>
    <row r="3727" spans="3:3">
      <c r="C3727"/>
    </row>
    <row r="3728" spans="3:3">
      <c r="C3728"/>
    </row>
    <row r="3729" spans="3:3">
      <c r="C3729"/>
    </row>
    <row r="3730" spans="3:3">
      <c r="C3730"/>
    </row>
    <row r="3731" spans="3:3">
      <c r="C3731"/>
    </row>
    <row r="3732" spans="3:3">
      <c r="C3732"/>
    </row>
    <row r="3733" spans="3:3">
      <c r="C3733"/>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6239-CF4A-4408-ACD0-1DF722541CB2}">
  <dimension ref="B2:F38"/>
  <sheetViews>
    <sheetView showGridLines="0" workbookViewId="0"/>
  </sheetViews>
  <sheetFormatPr defaultRowHeight="14.4"/>
  <cols>
    <col min="1" max="1" width="4.77734375" customWidth="1"/>
  </cols>
  <sheetData>
    <row r="2" spans="2:6" ht="21">
      <c r="B2" s="53" t="s">
        <v>265</v>
      </c>
      <c r="C2" s="53"/>
      <c r="D2" s="53"/>
      <c r="E2" s="53"/>
      <c r="F2" s="53"/>
    </row>
    <row r="4" spans="2:6">
      <c r="C4" s="11" t="s">
        <v>266</v>
      </c>
    </row>
    <row r="6" spans="2:6">
      <c r="D6" s="11" t="s">
        <v>267</v>
      </c>
    </row>
    <row r="7" spans="2:6">
      <c r="D7" s="12" t="s">
        <v>268</v>
      </c>
    </row>
    <row r="8" spans="2:6">
      <c r="D8" s="12" t="s">
        <v>269</v>
      </c>
    </row>
    <row r="9" spans="2:6">
      <c r="D9" s="12" t="s">
        <v>270</v>
      </c>
    </row>
    <row r="10" spans="2:6">
      <c r="D10" s="11" t="s">
        <v>271</v>
      </c>
    </row>
    <row r="11" spans="2:6">
      <c r="D11" s="13" t="s">
        <v>272</v>
      </c>
    </row>
    <row r="12" spans="2:6">
      <c r="D12" s="13" t="s">
        <v>273</v>
      </c>
    </row>
    <row r="13" spans="2:6">
      <c r="D13" s="13" t="s">
        <v>274</v>
      </c>
    </row>
    <row r="15" spans="2:6" ht="18">
      <c r="E15" s="14" t="s">
        <v>292</v>
      </c>
    </row>
    <row r="16" spans="2:6">
      <c r="E16" s="13" t="s">
        <v>275</v>
      </c>
    </row>
    <row r="17" spans="5:5">
      <c r="E17" s="15" t="s">
        <v>276</v>
      </c>
    </row>
    <row r="18" spans="5:5">
      <c r="E18" s="15" t="s">
        <v>277</v>
      </c>
    </row>
    <row r="19" spans="5:5">
      <c r="E19" s="15" t="s">
        <v>278</v>
      </c>
    </row>
    <row r="20" spans="5:5">
      <c r="E20" s="13" t="s">
        <v>279</v>
      </c>
    </row>
    <row r="21" spans="5:5">
      <c r="E21" s="15" t="s">
        <v>280</v>
      </c>
    </row>
    <row r="22" spans="5:5">
      <c r="E22" s="15" t="s">
        <v>281</v>
      </c>
    </row>
    <row r="23" spans="5:5">
      <c r="E23" s="15" t="s">
        <v>282</v>
      </c>
    </row>
    <row r="24" spans="5:5">
      <c r="E24" s="13" t="s">
        <v>283</v>
      </c>
    </row>
    <row r="25" spans="5:5">
      <c r="E25" s="15" t="s">
        <v>284</v>
      </c>
    </row>
    <row r="26" spans="5:5">
      <c r="E26" s="15" t="s">
        <v>285</v>
      </c>
    </row>
    <row r="27" spans="5:5">
      <c r="E27" s="15" t="s">
        <v>286</v>
      </c>
    </row>
    <row r="28" spans="5:5">
      <c r="E28" s="13" t="s">
        <v>287</v>
      </c>
    </row>
    <row r="29" spans="5:5">
      <c r="E29" s="15" t="s">
        <v>288</v>
      </c>
    </row>
    <row r="30" spans="5:5">
      <c r="E30" s="15" t="s">
        <v>289</v>
      </c>
    </row>
    <row r="31" spans="5:5">
      <c r="E31" s="15" t="s">
        <v>290</v>
      </c>
    </row>
    <row r="32" spans="5:5">
      <c r="E32" s="15" t="s">
        <v>291</v>
      </c>
    </row>
    <row r="34" spans="6:6" ht="18">
      <c r="F34" s="14" t="s">
        <v>293</v>
      </c>
    </row>
    <row r="35" spans="6:6">
      <c r="F35" s="12" t="s">
        <v>294</v>
      </c>
    </row>
    <row r="36" spans="6:6">
      <c r="F36" s="16" t="s">
        <v>295</v>
      </c>
    </row>
    <row r="37" spans="6:6">
      <c r="F37" s="16" t="s">
        <v>296</v>
      </c>
    </row>
    <row r="38" spans="6:6">
      <c r="F38" s="16" t="s">
        <v>297</v>
      </c>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L7344"/>
  <sheetViews>
    <sheetView workbookViewId="0">
      <selection activeCell="B1" sqref="B1:B1048576"/>
    </sheetView>
  </sheetViews>
  <sheetFormatPr defaultRowHeight="14.4"/>
  <cols>
    <col min="1" max="1" width="13.44140625" bestFit="1" customWidth="1"/>
    <col min="2" max="2" width="14" style="10" bestFit="1" customWidth="1"/>
    <col min="3" max="3" width="14" style="10" customWidth="1"/>
    <col min="4" max="4" width="13.77734375" bestFit="1" customWidth="1"/>
    <col min="5" max="5" width="12.109375" bestFit="1" customWidth="1"/>
    <col min="6" max="6" width="17.109375" bestFit="1" customWidth="1"/>
    <col min="7" max="7" width="16.88671875" bestFit="1" customWidth="1"/>
    <col min="8" max="8" width="6.21875" bestFit="1" customWidth="1"/>
    <col min="9" max="9" width="15.33203125" style="4" customWidth="1"/>
    <col min="10" max="10" width="12.44140625" style="4" customWidth="1"/>
    <col min="11" max="11" width="14.5546875" style="4" customWidth="1"/>
    <col min="12" max="12" width="12.5546875" style="4" customWidth="1"/>
  </cols>
  <sheetData>
    <row r="1" spans="1:12" s="6" customFormat="1" ht="31.5" customHeight="1">
      <c r="A1" s="7" t="s">
        <v>0</v>
      </c>
      <c r="B1" s="9" t="s">
        <v>1</v>
      </c>
      <c r="C1" s="17" t="s">
        <v>298</v>
      </c>
      <c r="D1" s="7" t="s">
        <v>2</v>
      </c>
      <c r="E1" s="7" t="s">
        <v>3</v>
      </c>
      <c r="F1" s="7" t="s">
        <v>207</v>
      </c>
      <c r="G1" s="7" t="s">
        <v>208</v>
      </c>
      <c r="H1" s="7" t="s">
        <v>262</v>
      </c>
      <c r="I1" s="8" t="s">
        <v>5</v>
      </c>
      <c r="J1" s="8" t="s">
        <v>263</v>
      </c>
      <c r="K1" s="8" t="s">
        <v>6</v>
      </c>
      <c r="L1" s="8" t="s">
        <v>7</v>
      </c>
    </row>
    <row r="2" spans="1:12">
      <c r="A2" t="s">
        <v>105</v>
      </c>
      <c r="B2" s="10">
        <v>45631</v>
      </c>
      <c r="C2" s="18">
        <f t="shared" ref="C2:C65" si="0">MONTH(B2)</f>
        <v>12</v>
      </c>
      <c r="D2" t="s">
        <v>130</v>
      </c>
      <c r="E2">
        <v>6137985</v>
      </c>
      <c r="F2" t="s">
        <v>8</v>
      </c>
      <c r="G2" t="s">
        <v>203</v>
      </c>
      <c r="H2" t="s">
        <v>229</v>
      </c>
      <c r="I2" s="4">
        <v>125766.4408</v>
      </c>
      <c r="J2" s="4">
        <v>251532.88159999999</v>
      </c>
      <c r="L2" s="4">
        <v>2</v>
      </c>
    </row>
    <row r="3" spans="1:12">
      <c r="A3" t="s">
        <v>105</v>
      </c>
      <c r="B3" s="10">
        <v>45633</v>
      </c>
      <c r="C3" s="18">
        <f t="shared" si="0"/>
        <v>12</v>
      </c>
      <c r="D3" t="s">
        <v>186</v>
      </c>
      <c r="E3">
        <v>6080604</v>
      </c>
      <c r="F3" t="s">
        <v>8</v>
      </c>
      <c r="G3" t="s">
        <v>206</v>
      </c>
      <c r="H3" t="s">
        <v>249</v>
      </c>
      <c r="I3" s="4">
        <v>17715.352800000001</v>
      </c>
      <c r="J3" s="4">
        <v>354307.05599999998</v>
      </c>
      <c r="L3" s="4">
        <v>20</v>
      </c>
    </row>
    <row r="4" spans="1:12">
      <c r="A4" t="s">
        <v>105</v>
      </c>
      <c r="B4" s="10">
        <v>45633</v>
      </c>
      <c r="C4" s="18">
        <f t="shared" si="0"/>
        <v>12</v>
      </c>
      <c r="D4" t="s">
        <v>186</v>
      </c>
      <c r="E4">
        <v>6080604</v>
      </c>
      <c r="F4" t="s">
        <v>8</v>
      </c>
      <c r="G4" t="s">
        <v>206</v>
      </c>
      <c r="H4" t="s">
        <v>209</v>
      </c>
      <c r="I4" s="4">
        <v>17715.352800000001</v>
      </c>
      <c r="J4" s="4">
        <v>354307.05599999998</v>
      </c>
      <c r="L4" s="4">
        <v>20</v>
      </c>
    </row>
    <row r="5" spans="1:12">
      <c r="A5" t="s">
        <v>105</v>
      </c>
      <c r="B5" s="10">
        <v>45635</v>
      </c>
      <c r="C5" s="18">
        <f t="shared" si="0"/>
        <v>12</v>
      </c>
      <c r="D5" t="s">
        <v>186</v>
      </c>
      <c r="E5">
        <v>6080604</v>
      </c>
      <c r="F5" t="s">
        <v>8</v>
      </c>
      <c r="G5" t="s">
        <v>206</v>
      </c>
      <c r="H5" t="s">
        <v>249</v>
      </c>
      <c r="I5" s="4">
        <v>17715.352800000001</v>
      </c>
      <c r="J5" s="4">
        <v>531460.58400000003</v>
      </c>
      <c r="L5" s="4">
        <v>30</v>
      </c>
    </row>
    <row r="6" spans="1:12">
      <c r="A6" t="s">
        <v>105</v>
      </c>
      <c r="B6" s="10">
        <v>45635</v>
      </c>
      <c r="C6" s="18">
        <f t="shared" si="0"/>
        <v>12</v>
      </c>
      <c r="D6" t="s">
        <v>186</v>
      </c>
      <c r="E6">
        <v>6080604</v>
      </c>
      <c r="F6" t="s">
        <v>8</v>
      </c>
      <c r="G6" t="s">
        <v>206</v>
      </c>
      <c r="H6" t="s">
        <v>209</v>
      </c>
      <c r="I6" s="4">
        <v>17715.352800000001</v>
      </c>
      <c r="J6" s="4">
        <v>531460.58400000003</v>
      </c>
      <c r="L6" s="4">
        <v>30</v>
      </c>
    </row>
    <row r="7" spans="1:12">
      <c r="A7" t="s">
        <v>105</v>
      </c>
      <c r="B7" s="10">
        <v>45656</v>
      </c>
      <c r="C7" s="18">
        <f t="shared" si="0"/>
        <v>12</v>
      </c>
      <c r="D7" t="s">
        <v>186</v>
      </c>
      <c r="E7">
        <v>4876516</v>
      </c>
      <c r="F7" t="s">
        <v>8</v>
      </c>
      <c r="G7" t="s">
        <v>206</v>
      </c>
      <c r="H7" t="s">
        <v>250</v>
      </c>
      <c r="I7" s="4">
        <v>17715.352800000001</v>
      </c>
      <c r="J7" s="4">
        <v>-212584.23360000001</v>
      </c>
      <c r="L7" s="4">
        <v>-12</v>
      </c>
    </row>
    <row r="8" spans="1:12">
      <c r="A8" t="s">
        <v>107</v>
      </c>
      <c r="B8" s="10">
        <v>45630</v>
      </c>
      <c r="C8" s="18">
        <f t="shared" si="0"/>
        <v>12</v>
      </c>
      <c r="D8" t="s">
        <v>183</v>
      </c>
      <c r="E8">
        <v>4874448</v>
      </c>
      <c r="F8" t="s">
        <v>8</v>
      </c>
      <c r="G8" t="s">
        <v>202</v>
      </c>
      <c r="H8" t="s">
        <v>258</v>
      </c>
      <c r="I8" s="4">
        <v>37817.880799999999</v>
      </c>
      <c r="J8" s="4">
        <v>3781788.08</v>
      </c>
      <c r="L8" s="4">
        <v>100</v>
      </c>
    </row>
    <row r="9" spans="1:12">
      <c r="A9" t="s">
        <v>107</v>
      </c>
      <c r="B9" s="10">
        <v>45631</v>
      </c>
      <c r="C9" s="18">
        <f t="shared" si="0"/>
        <v>12</v>
      </c>
      <c r="D9" t="s">
        <v>175</v>
      </c>
      <c r="E9">
        <v>4876180</v>
      </c>
      <c r="F9" t="s">
        <v>8</v>
      </c>
      <c r="G9" t="s">
        <v>203</v>
      </c>
      <c r="H9" t="s">
        <v>228</v>
      </c>
      <c r="I9" s="4">
        <v>100638.28079999999</v>
      </c>
      <c r="J9" s="4">
        <v>402553.12319999997</v>
      </c>
      <c r="L9" s="4">
        <v>4</v>
      </c>
    </row>
    <row r="10" spans="1:12">
      <c r="A10" t="s">
        <v>107</v>
      </c>
      <c r="B10" s="10">
        <v>45631</v>
      </c>
      <c r="C10" s="18">
        <f t="shared" si="0"/>
        <v>12</v>
      </c>
      <c r="D10" t="s">
        <v>175</v>
      </c>
      <c r="E10">
        <v>4876180</v>
      </c>
      <c r="F10" t="s">
        <v>8</v>
      </c>
      <c r="G10" t="s">
        <v>203</v>
      </c>
      <c r="H10" t="s">
        <v>222</v>
      </c>
      <c r="I10" s="4">
        <v>100638.28079999999</v>
      </c>
      <c r="J10" s="4">
        <v>402553.12319999997</v>
      </c>
      <c r="L10" s="4">
        <v>4</v>
      </c>
    </row>
    <row r="11" spans="1:12">
      <c r="A11" t="s">
        <v>107</v>
      </c>
      <c r="B11" s="10">
        <v>45636</v>
      </c>
      <c r="C11" s="18">
        <f t="shared" si="0"/>
        <v>12</v>
      </c>
      <c r="D11" t="s">
        <v>187</v>
      </c>
      <c r="E11">
        <v>4876600</v>
      </c>
      <c r="F11" t="s">
        <v>8</v>
      </c>
      <c r="G11" t="s">
        <v>203</v>
      </c>
      <c r="H11" t="s">
        <v>228</v>
      </c>
      <c r="I11" s="4">
        <v>100638.28079999999</v>
      </c>
      <c r="J11" s="4">
        <v>402553.12319999997</v>
      </c>
      <c r="L11" s="4">
        <v>4</v>
      </c>
    </row>
    <row r="12" spans="1:12">
      <c r="A12" t="s">
        <v>107</v>
      </c>
      <c r="B12" s="10">
        <v>45636</v>
      </c>
      <c r="C12" s="18">
        <f t="shared" si="0"/>
        <v>12</v>
      </c>
      <c r="D12" t="s">
        <v>187</v>
      </c>
      <c r="E12">
        <v>4876600</v>
      </c>
      <c r="F12" t="s">
        <v>8</v>
      </c>
      <c r="G12" t="s">
        <v>203</v>
      </c>
      <c r="H12" t="s">
        <v>222</v>
      </c>
      <c r="I12" s="4">
        <v>100638.28079999999</v>
      </c>
      <c r="J12" s="4">
        <v>1006382.808</v>
      </c>
      <c r="L12" s="4">
        <v>10</v>
      </c>
    </row>
    <row r="13" spans="1:12">
      <c r="A13" t="s">
        <v>107</v>
      </c>
      <c r="B13" s="10">
        <v>45644</v>
      </c>
      <c r="C13" s="18">
        <f t="shared" si="0"/>
        <v>12</v>
      </c>
      <c r="D13" t="s">
        <v>190</v>
      </c>
      <c r="E13">
        <v>4878657</v>
      </c>
      <c r="F13" t="s">
        <v>8</v>
      </c>
      <c r="G13" t="s">
        <v>203</v>
      </c>
      <c r="H13" t="s">
        <v>236</v>
      </c>
      <c r="I13" s="4">
        <v>100638.28079999999</v>
      </c>
      <c r="J13" s="4">
        <v>1006382.808</v>
      </c>
      <c r="K13" s="4">
        <v>-43346.076000000001</v>
      </c>
      <c r="L13" s="4">
        <v>10</v>
      </c>
    </row>
    <row r="14" spans="1:12">
      <c r="A14" t="s">
        <v>107</v>
      </c>
      <c r="B14" s="10">
        <v>45644</v>
      </c>
      <c r="C14" s="18">
        <f t="shared" si="0"/>
        <v>12</v>
      </c>
      <c r="D14" t="s">
        <v>190</v>
      </c>
      <c r="E14">
        <v>4878657</v>
      </c>
      <c r="F14" t="s">
        <v>8</v>
      </c>
      <c r="G14" t="s">
        <v>203</v>
      </c>
      <c r="H14" t="s">
        <v>232</v>
      </c>
      <c r="I14" s="4">
        <v>100638.28079999999</v>
      </c>
      <c r="J14" s="4">
        <v>603829.68479999993</v>
      </c>
      <c r="K14" s="4">
        <v>-26007.645599999996</v>
      </c>
      <c r="L14" s="4">
        <v>6</v>
      </c>
    </row>
    <row r="15" spans="1:12">
      <c r="A15" t="s">
        <v>107</v>
      </c>
      <c r="B15" s="10">
        <v>45645</v>
      </c>
      <c r="C15" s="18">
        <f t="shared" si="0"/>
        <v>12</v>
      </c>
      <c r="D15" t="s">
        <v>151</v>
      </c>
      <c r="E15">
        <v>4876098</v>
      </c>
      <c r="F15" t="s">
        <v>8</v>
      </c>
      <c r="G15" t="s">
        <v>203</v>
      </c>
      <c r="H15" t="s">
        <v>237</v>
      </c>
      <c r="I15" s="4">
        <v>125766.4408</v>
      </c>
      <c r="J15" s="4">
        <v>-125766.4408</v>
      </c>
      <c r="L15" s="4">
        <v>-1</v>
      </c>
    </row>
    <row r="16" spans="1:12">
      <c r="A16" t="s">
        <v>107</v>
      </c>
      <c r="B16" s="10">
        <v>45645</v>
      </c>
      <c r="C16" s="18">
        <f t="shared" si="0"/>
        <v>12</v>
      </c>
      <c r="D16" t="s">
        <v>151</v>
      </c>
      <c r="E16">
        <v>4876098</v>
      </c>
      <c r="F16" t="s">
        <v>8</v>
      </c>
      <c r="G16" t="s">
        <v>204</v>
      </c>
      <c r="H16" t="s">
        <v>213</v>
      </c>
      <c r="I16" s="4">
        <v>119484.4008</v>
      </c>
      <c r="J16" s="4">
        <v>-119484.4008</v>
      </c>
      <c r="L16" s="4">
        <v>-1</v>
      </c>
    </row>
    <row r="17" spans="1:12">
      <c r="A17" t="s">
        <v>107</v>
      </c>
      <c r="B17" s="10">
        <v>45648</v>
      </c>
      <c r="C17" s="18">
        <f t="shared" si="0"/>
        <v>12</v>
      </c>
      <c r="D17" t="s">
        <v>151</v>
      </c>
      <c r="E17">
        <v>4876098</v>
      </c>
      <c r="F17" t="s">
        <v>8</v>
      </c>
      <c r="G17" t="s">
        <v>204</v>
      </c>
      <c r="H17" t="s">
        <v>218</v>
      </c>
      <c r="I17" s="4">
        <v>71740.896800000002</v>
      </c>
      <c r="J17" s="4">
        <v>1434817.936</v>
      </c>
      <c r="L17" s="4">
        <v>20</v>
      </c>
    </row>
    <row r="18" spans="1:12">
      <c r="A18" t="s">
        <v>107</v>
      </c>
      <c r="B18" s="10">
        <v>45651</v>
      </c>
      <c r="C18" s="18">
        <f t="shared" si="0"/>
        <v>12</v>
      </c>
      <c r="D18" t="s">
        <v>177</v>
      </c>
      <c r="E18">
        <v>4878586</v>
      </c>
      <c r="F18" t="s">
        <v>8</v>
      </c>
      <c r="G18" t="s">
        <v>203</v>
      </c>
      <c r="H18" t="s">
        <v>222</v>
      </c>
      <c r="I18" s="4">
        <v>100638.28079999999</v>
      </c>
      <c r="J18" s="4">
        <v>-100638.28079999999</v>
      </c>
      <c r="L18" s="4">
        <v>-1</v>
      </c>
    </row>
    <row r="19" spans="1:12">
      <c r="A19" t="s">
        <v>107</v>
      </c>
      <c r="B19" s="10">
        <v>45651</v>
      </c>
      <c r="C19" s="18">
        <f t="shared" si="0"/>
        <v>12</v>
      </c>
      <c r="D19" t="s">
        <v>177</v>
      </c>
      <c r="E19">
        <v>4878586</v>
      </c>
      <c r="F19" t="s">
        <v>8</v>
      </c>
      <c r="G19" t="s">
        <v>203</v>
      </c>
      <c r="H19" t="s">
        <v>237</v>
      </c>
      <c r="I19" s="4">
        <v>125766.4408</v>
      </c>
      <c r="J19" s="4">
        <v>-125766.4408</v>
      </c>
      <c r="L19" s="4">
        <v>-1</v>
      </c>
    </row>
    <row r="20" spans="1:12">
      <c r="A20" t="s">
        <v>86</v>
      </c>
      <c r="B20" s="10">
        <v>45627</v>
      </c>
      <c r="C20" s="18">
        <f t="shared" si="0"/>
        <v>12</v>
      </c>
      <c r="D20" t="s">
        <v>136</v>
      </c>
      <c r="E20">
        <v>7787121</v>
      </c>
      <c r="F20" t="s">
        <v>87</v>
      </c>
      <c r="G20" t="s">
        <v>203</v>
      </c>
      <c r="H20" t="s">
        <v>234</v>
      </c>
      <c r="I20" s="4">
        <v>100638.28079999999</v>
      </c>
      <c r="J20" s="4">
        <v>201276.56159999999</v>
      </c>
      <c r="K20" s="4">
        <v>-8669.2151999999987</v>
      </c>
      <c r="L20" s="4">
        <v>2</v>
      </c>
    </row>
    <row r="21" spans="1:12">
      <c r="A21" t="s">
        <v>86</v>
      </c>
      <c r="B21" s="10">
        <v>45627</v>
      </c>
      <c r="C21" s="18">
        <f t="shared" si="0"/>
        <v>12</v>
      </c>
      <c r="D21" t="s">
        <v>136</v>
      </c>
      <c r="E21">
        <v>7787121</v>
      </c>
      <c r="F21" t="s">
        <v>87</v>
      </c>
      <c r="G21" t="s">
        <v>203</v>
      </c>
      <c r="H21" t="s">
        <v>232</v>
      </c>
      <c r="I21" s="4">
        <v>100638.28079999999</v>
      </c>
      <c r="J21" s="4">
        <v>201276.56159999999</v>
      </c>
      <c r="K21" s="4">
        <v>-8669.2151999999987</v>
      </c>
      <c r="L21" s="4">
        <v>2</v>
      </c>
    </row>
    <row r="22" spans="1:12">
      <c r="A22" t="s">
        <v>86</v>
      </c>
      <c r="B22" s="10">
        <v>45627</v>
      </c>
      <c r="C22" s="18">
        <f t="shared" si="0"/>
        <v>12</v>
      </c>
      <c r="D22" t="s">
        <v>136</v>
      </c>
      <c r="E22">
        <v>7787121</v>
      </c>
      <c r="F22" t="s">
        <v>87</v>
      </c>
      <c r="G22" t="s">
        <v>203</v>
      </c>
      <c r="H22" t="s">
        <v>230</v>
      </c>
      <c r="I22" s="4">
        <v>100638.28079999999</v>
      </c>
      <c r="J22" s="4">
        <v>201276.56159999999</v>
      </c>
      <c r="K22" s="4">
        <v>-8669.2151999999987</v>
      </c>
      <c r="L22" s="4">
        <v>2</v>
      </c>
    </row>
    <row r="23" spans="1:12">
      <c r="A23" t="s">
        <v>86</v>
      </c>
      <c r="B23" s="10">
        <v>45627</v>
      </c>
      <c r="C23" s="18">
        <f t="shared" si="0"/>
        <v>12</v>
      </c>
      <c r="D23" t="s">
        <v>136</v>
      </c>
      <c r="E23">
        <v>7787121</v>
      </c>
      <c r="F23" t="s">
        <v>87</v>
      </c>
      <c r="G23" t="s">
        <v>203</v>
      </c>
      <c r="H23" t="s">
        <v>224</v>
      </c>
      <c r="I23" s="4">
        <v>100638.28079999999</v>
      </c>
      <c r="J23" s="4">
        <v>201276.56159999999</v>
      </c>
      <c r="K23" s="4">
        <v>-8669.2151999999987</v>
      </c>
      <c r="L23" s="4">
        <v>2</v>
      </c>
    </row>
    <row r="24" spans="1:12">
      <c r="A24" t="s">
        <v>86</v>
      </c>
      <c r="B24" s="10">
        <v>45627</v>
      </c>
      <c r="C24" s="18">
        <f t="shared" si="0"/>
        <v>12</v>
      </c>
      <c r="D24" t="s">
        <v>136</v>
      </c>
      <c r="E24">
        <v>7787121</v>
      </c>
      <c r="F24" t="s">
        <v>87</v>
      </c>
      <c r="G24" t="s">
        <v>203</v>
      </c>
      <c r="H24" t="s">
        <v>223</v>
      </c>
      <c r="I24" s="4">
        <v>100638.28079999999</v>
      </c>
      <c r="J24" s="4">
        <v>201276.56159999999</v>
      </c>
      <c r="K24" s="4">
        <v>-8669.2151999999987</v>
      </c>
      <c r="L24" s="4">
        <v>2</v>
      </c>
    </row>
    <row r="25" spans="1:12">
      <c r="A25" t="s">
        <v>86</v>
      </c>
      <c r="B25" s="10">
        <v>45627</v>
      </c>
      <c r="C25" s="18">
        <f t="shared" si="0"/>
        <v>12</v>
      </c>
      <c r="D25" t="s">
        <v>136</v>
      </c>
      <c r="E25">
        <v>7787121</v>
      </c>
      <c r="F25" t="s">
        <v>87</v>
      </c>
      <c r="G25" t="s">
        <v>203</v>
      </c>
      <c r="H25" t="s">
        <v>237</v>
      </c>
      <c r="I25" s="4">
        <v>125766.4408</v>
      </c>
      <c r="J25" s="4">
        <v>125766.4408</v>
      </c>
      <c r="K25" s="4">
        <v>-5653.8360000000002</v>
      </c>
      <c r="L25" s="4">
        <v>1</v>
      </c>
    </row>
    <row r="26" spans="1:12">
      <c r="A26" t="s">
        <v>86</v>
      </c>
      <c r="B26" s="10">
        <v>45627</v>
      </c>
      <c r="C26" s="18">
        <f t="shared" si="0"/>
        <v>12</v>
      </c>
      <c r="D26" t="s">
        <v>136</v>
      </c>
      <c r="E26">
        <v>7787121</v>
      </c>
      <c r="F26" t="s">
        <v>87</v>
      </c>
      <c r="G26" t="s">
        <v>203</v>
      </c>
      <c r="H26" t="s">
        <v>231</v>
      </c>
      <c r="I26" s="4">
        <v>125766.4408</v>
      </c>
      <c r="J26" s="4">
        <v>125766.4408</v>
      </c>
      <c r="K26" s="4">
        <v>-5653.8360000000002</v>
      </c>
      <c r="L26" s="4">
        <v>1</v>
      </c>
    </row>
    <row r="27" spans="1:12">
      <c r="A27" t="s">
        <v>86</v>
      </c>
      <c r="B27" s="10">
        <v>45627</v>
      </c>
      <c r="C27" s="18">
        <f t="shared" si="0"/>
        <v>12</v>
      </c>
      <c r="D27" t="s">
        <v>136</v>
      </c>
      <c r="E27">
        <v>7503974</v>
      </c>
      <c r="F27" t="s">
        <v>87</v>
      </c>
      <c r="G27" t="s">
        <v>203</v>
      </c>
      <c r="H27" t="s">
        <v>242</v>
      </c>
      <c r="I27" s="4">
        <v>100638.28079999999</v>
      </c>
      <c r="J27" s="4">
        <v>402553.12319999997</v>
      </c>
      <c r="L27" s="4">
        <v>4</v>
      </c>
    </row>
    <row r="28" spans="1:12">
      <c r="A28" t="s">
        <v>86</v>
      </c>
      <c r="B28" s="10">
        <v>45627</v>
      </c>
      <c r="C28" s="18">
        <f t="shared" si="0"/>
        <v>12</v>
      </c>
      <c r="D28" t="s">
        <v>136</v>
      </c>
      <c r="E28">
        <v>7503974</v>
      </c>
      <c r="F28" t="s">
        <v>87</v>
      </c>
      <c r="G28" t="s">
        <v>203</v>
      </c>
      <c r="H28" t="s">
        <v>240</v>
      </c>
      <c r="I28" s="4">
        <v>100638.28079999999</v>
      </c>
      <c r="J28" s="4">
        <v>-201276.56159999999</v>
      </c>
      <c r="L28" s="4">
        <v>-2</v>
      </c>
    </row>
    <row r="29" spans="1:12">
      <c r="A29" t="s">
        <v>86</v>
      </c>
      <c r="B29" s="10">
        <v>45627</v>
      </c>
      <c r="C29" s="18">
        <f t="shared" si="0"/>
        <v>12</v>
      </c>
      <c r="D29" t="s">
        <v>136</v>
      </c>
      <c r="E29">
        <v>7503974</v>
      </c>
      <c r="F29" t="s">
        <v>87</v>
      </c>
      <c r="G29" t="s">
        <v>203</v>
      </c>
      <c r="H29" t="s">
        <v>232</v>
      </c>
      <c r="I29" s="4">
        <v>100638.28079999999</v>
      </c>
      <c r="J29" s="4">
        <v>-402553.12319999997</v>
      </c>
      <c r="L29" s="4">
        <v>-4</v>
      </c>
    </row>
    <row r="30" spans="1:12">
      <c r="A30" t="s">
        <v>86</v>
      </c>
      <c r="B30" s="10">
        <v>45627</v>
      </c>
      <c r="C30" s="18">
        <f t="shared" si="0"/>
        <v>12</v>
      </c>
      <c r="D30" t="s">
        <v>136</v>
      </c>
      <c r="E30">
        <v>7503974</v>
      </c>
      <c r="F30" t="s">
        <v>87</v>
      </c>
      <c r="G30" t="s">
        <v>203</v>
      </c>
      <c r="H30" t="s">
        <v>230</v>
      </c>
      <c r="I30" s="4">
        <v>100638.28079999999</v>
      </c>
      <c r="J30" s="4">
        <v>-201276.56159999999</v>
      </c>
      <c r="L30" s="4">
        <v>-2</v>
      </c>
    </row>
    <row r="31" spans="1:12">
      <c r="A31" t="s">
        <v>86</v>
      </c>
      <c r="B31" s="10">
        <v>45627</v>
      </c>
      <c r="C31" s="18">
        <f t="shared" si="0"/>
        <v>12</v>
      </c>
      <c r="D31" t="s">
        <v>136</v>
      </c>
      <c r="E31">
        <v>7503974</v>
      </c>
      <c r="F31" t="s">
        <v>87</v>
      </c>
      <c r="G31" t="s">
        <v>203</v>
      </c>
      <c r="H31" t="s">
        <v>223</v>
      </c>
      <c r="I31" s="4">
        <v>100638.28079999999</v>
      </c>
      <c r="J31" s="4">
        <v>402553.12319999997</v>
      </c>
      <c r="L31" s="4">
        <v>4</v>
      </c>
    </row>
    <row r="32" spans="1:12">
      <c r="A32" t="s">
        <v>86</v>
      </c>
      <c r="B32" s="10">
        <v>45631</v>
      </c>
      <c r="C32" s="18">
        <f t="shared" si="0"/>
        <v>12</v>
      </c>
      <c r="D32" t="s">
        <v>136</v>
      </c>
      <c r="E32">
        <v>7242425</v>
      </c>
      <c r="F32" t="s">
        <v>89</v>
      </c>
      <c r="G32" t="s">
        <v>203</v>
      </c>
      <c r="H32" t="s">
        <v>240</v>
      </c>
      <c r="I32" s="4">
        <v>100638.28079999999</v>
      </c>
      <c r="J32" s="4">
        <v>402553.12319999997</v>
      </c>
      <c r="K32" s="4">
        <v>-13870.744320000002</v>
      </c>
      <c r="L32" s="4">
        <v>4</v>
      </c>
    </row>
    <row r="33" spans="1:12">
      <c r="A33" t="s">
        <v>86</v>
      </c>
      <c r="B33" s="10">
        <v>45631</v>
      </c>
      <c r="C33" s="18">
        <f t="shared" si="0"/>
        <v>12</v>
      </c>
      <c r="D33" t="s">
        <v>136</v>
      </c>
      <c r="E33">
        <v>7242425</v>
      </c>
      <c r="F33" t="s">
        <v>89</v>
      </c>
      <c r="G33" t="s">
        <v>203</v>
      </c>
      <c r="H33" t="s">
        <v>234</v>
      </c>
      <c r="I33" s="4">
        <v>100638.28079999999</v>
      </c>
      <c r="J33" s="4">
        <v>402553.12319999997</v>
      </c>
      <c r="K33" s="4">
        <v>-13870.744320000002</v>
      </c>
      <c r="L33" s="4">
        <v>4</v>
      </c>
    </row>
    <row r="34" spans="1:12">
      <c r="A34" t="s">
        <v>86</v>
      </c>
      <c r="B34" s="10">
        <v>45631</v>
      </c>
      <c r="C34" s="18">
        <f t="shared" si="0"/>
        <v>12</v>
      </c>
      <c r="D34" t="s">
        <v>136</v>
      </c>
      <c r="E34">
        <v>7242425</v>
      </c>
      <c r="F34" t="s">
        <v>89</v>
      </c>
      <c r="G34" t="s">
        <v>203</v>
      </c>
      <c r="H34" t="s">
        <v>232</v>
      </c>
      <c r="I34" s="4">
        <v>100638.28079999999</v>
      </c>
      <c r="J34" s="4">
        <v>201276.56159999999</v>
      </c>
      <c r="K34" s="4">
        <v>-6935.3721600000008</v>
      </c>
      <c r="L34" s="4">
        <v>2</v>
      </c>
    </row>
    <row r="35" spans="1:12">
      <c r="A35" t="s">
        <v>86</v>
      </c>
      <c r="B35" s="10">
        <v>45631</v>
      </c>
      <c r="C35" s="18">
        <f t="shared" si="0"/>
        <v>12</v>
      </c>
      <c r="D35" t="s">
        <v>136</v>
      </c>
      <c r="E35">
        <v>7242425</v>
      </c>
      <c r="F35" t="s">
        <v>89</v>
      </c>
      <c r="G35" t="s">
        <v>203</v>
      </c>
      <c r="H35" t="s">
        <v>230</v>
      </c>
      <c r="I35" s="4">
        <v>100638.28079999999</v>
      </c>
      <c r="J35" s="4">
        <v>402553.12319999997</v>
      </c>
      <c r="K35" s="4">
        <v>-13870.744320000002</v>
      </c>
      <c r="L35" s="4">
        <v>4</v>
      </c>
    </row>
    <row r="36" spans="1:12">
      <c r="A36" t="s">
        <v>86</v>
      </c>
      <c r="B36" s="10">
        <v>45631</v>
      </c>
      <c r="C36" s="18">
        <f t="shared" si="0"/>
        <v>12</v>
      </c>
      <c r="D36" t="s">
        <v>136</v>
      </c>
      <c r="E36">
        <v>7242425</v>
      </c>
      <c r="F36" t="s">
        <v>89</v>
      </c>
      <c r="G36" t="s">
        <v>203</v>
      </c>
      <c r="H36" t="s">
        <v>224</v>
      </c>
      <c r="I36" s="4">
        <v>100638.28079999999</v>
      </c>
      <c r="J36" s="4">
        <v>201276.56159999999</v>
      </c>
      <c r="K36" s="4">
        <v>-6935.3721600000008</v>
      </c>
      <c r="L36" s="4">
        <v>2</v>
      </c>
    </row>
    <row r="37" spans="1:12">
      <c r="A37" t="s">
        <v>86</v>
      </c>
      <c r="B37" s="10">
        <v>45631</v>
      </c>
      <c r="C37" s="18">
        <f t="shared" si="0"/>
        <v>12</v>
      </c>
      <c r="D37" t="s">
        <v>136</v>
      </c>
      <c r="E37">
        <v>7242425</v>
      </c>
      <c r="F37" t="s">
        <v>89</v>
      </c>
      <c r="G37" t="s">
        <v>203</v>
      </c>
      <c r="H37" t="s">
        <v>223</v>
      </c>
      <c r="I37" s="4">
        <v>100638.28079999999</v>
      </c>
      <c r="J37" s="4">
        <v>402553.12319999997</v>
      </c>
      <c r="K37" s="4">
        <v>-13870.744320000002</v>
      </c>
      <c r="L37" s="4">
        <v>4</v>
      </c>
    </row>
    <row r="38" spans="1:12">
      <c r="A38" t="s">
        <v>86</v>
      </c>
      <c r="B38" s="10">
        <v>45635</v>
      </c>
      <c r="C38" s="18">
        <f t="shared" si="0"/>
        <v>12</v>
      </c>
      <c r="D38" t="s">
        <v>136</v>
      </c>
      <c r="E38">
        <v>7241129</v>
      </c>
      <c r="F38" t="s">
        <v>87</v>
      </c>
      <c r="G38" t="s">
        <v>202</v>
      </c>
      <c r="H38" t="s">
        <v>259</v>
      </c>
      <c r="I38" s="4">
        <v>30279.432800000002</v>
      </c>
      <c r="J38" s="4">
        <v>3027943.2800000003</v>
      </c>
      <c r="K38" s="4">
        <v>-90461.376000000004</v>
      </c>
      <c r="L38" s="4">
        <v>100</v>
      </c>
    </row>
    <row r="39" spans="1:12">
      <c r="A39" t="s">
        <v>86</v>
      </c>
      <c r="B39" s="10">
        <v>45635</v>
      </c>
      <c r="C39" s="18">
        <f t="shared" si="0"/>
        <v>12</v>
      </c>
      <c r="D39" t="s">
        <v>136</v>
      </c>
      <c r="E39">
        <v>8510405</v>
      </c>
      <c r="F39" t="s">
        <v>87</v>
      </c>
      <c r="G39" t="s">
        <v>203</v>
      </c>
      <c r="H39" t="s">
        <v>234</v>
      </c>
      <c r="I39" s="4">
        <v>100638.28079999999</v>
      </c>
      <c r="J39" s="4">
        <v>201276.56159999999</v>
      </c>
      <c r="L39" s="4">
        <v>2</v>
      </c>
    </row>
    <row r="40" spans="1:12">
      <c r="A40" t="s">
        <v>86</v>
      </c>
      <c r="B40" s="10">
        <v>45643</v>
      </c>
      <c r="C40" s="18">
        <f t="shared" si="0"/>
        <v>12</v>
      </c>
      <c r="D40" t="s">
        <v>136</v>
      </c>
      <c r="E40">
        <v>7907092</v>
      </c>
      <c r="F40" t="s">
        <v>87</v>
      </c>
      <c r="G40" t="s">
        <v>203</v>
      </c>
      <c r="H40" t="s">
        <v>236</v>
      </c>
      <c r="I40" s="4">
        <v>100638.28079999999</v>
      </c>
      <c r="J40" s="4">
        <v>2012765.6159999999</v>
      </c>
      <c r="K40" s="4">
        <v>-69353.72159999999</v>
      </c>
      <c r="L40" s="4">
        <v>20</v>
      </c>
    </row>
    <row r="41" spans="1:12">
      <c r="A41" t="s">
        <v>86</v>
      </c>
      <c r="B41" s="10">
        <v>45643</v>
      </c>
      <c r="C41" s="18">
        <f t="shared" si="0"/>
        <v>12</v>
      </c>
      <c r="D41" t="s">
        <v>136</v>
      </c>
      <c r="E41">
        <v>7907092</v>
      </c>
      <c r="F41" t="s">
        <v>87</v>
      </c>
      <c r="G41" t="s">
        <v>203</v>
      </c>
      <c r="H41" t="s">
        <v>230</v>
      </c>
      <c r="I41" s="4">
        <v>100638.28079999999</v>
      </c>
      <c r="J41" s="4">
        <v>2012765.6159999999</v>
      </c>
      <c r="K41" s="4">
        <v>-69353.72159999999</v>
      </c>
      <c r="L41" s="4">
        <v>20</v>
      </c>
    </row>
    <row r="42" spans="1:12">
      <c r="A42" t="s">
        <v>86</v>
      </c>
      <c r="B42" s="10">
        <v>45643</v>
      </c>
      <c r="C42" s="18">
        <f t="shared" si="0"/>
        <v>12</v>
      </c>
      <c r="D42" t="s">
        <v>136</v>
      </c>
      <c r="E42">
        <v>7907092</v>
      </c>
      <c r="F42" t="s">
        <v>87</v>
      </c>
      <c r="G42" t="s">
        <v>203</v>
      </c>
      <c r="H42" t="s">
        <v>228</v>
      </c>
      <c r="I42" s="4">
        <v>100638.28079999999</v>
      </c>
      <c r="J42" s="4">
        <v>2012765.6159999999</v>
      </c>
      <c r="K42" s="4">
        <v>-69353.72159999999</v>
      </c>
      <c r="L42" s="4">
        <v>20</v>
      </c>
    </row>
    <row r="43" spans="1:12">
      <c r="A43" t="s">
        <v>86</v>
      </c>
      <c r="B43" s="10">
        <v>45643</v>
      </c>
      <c r="C43" s="18">
        <f t="shared" si="0"/>
        <v>12</v>
      </c>
      <c r="D43" t="s">
        <v>136</v>
      </c>
      <c r="E43">
        <v>7907092</v>
      </c>
      <c r="F43" t="s">
        <v>87</v>
      </c>
      <c r="G43" t="s">
        <v>203</v>
      </c>
      <c r="H43" t="s">
        <v>239</v>
      </c>
      <c r="I43" s="4">
        <v>125766.4408</v>
      </c>
      <c r="J43" s="4">
        <v>1257664.4080000001</v>
      </c>
      <c r="K43" s="4">
        <v>-45230.688000000002</v>
      </c>
      <c r="L43" s="4">
        <v>10</v>
      </c>
    </row>
    <row r="44" spans="1:12">
      <c r="A44" t="s">
        <v>86</v>
      </c>
      <c r="B44" s="10">
        <v>45643</v>
      </c>
      <c r="C44" s="18">
        <f t="shared" si="0"/>
        <v>12</v>
      </c>
      <c r="D44" t="s">
        <v>136</v>
      </c>
      <c r="E44">
        <v>7907092</v>
      </c>
      <c r="F44" t="s">
        <v>87</v>
      </c>
      <c r="G44" t="s">
        <v>203</v>
      </c>
      <c r="H44" t="s">
        <v>235</v>
      </c>
      <c r="I44" s="4">
        <v>125766.4408</v>
      </c>
      <c r="J44" s="4">
        <v>1257664.4080000001</v>
      </c>
      <c r="K44" s="4">
        <v>-45230.688000000002</v>
      </c>
      <c r="L44" s="4">
        <v>10</v>
      </c>
    </row>
    <row r="45" spans="1:12">
      <c r="A45" t="s">
        <v>91</v>
      </c>
      <c r="B45" s="10">
        <v>45627</v>
      </c>
      <c r="C45" s="18">
        <f t="shared" si="0"/>
        <v>12</v>
      </c>
      <c r="D45" t="s">
        <v>148</v>
      </c>
      <c r="E45">
        <v>6080443</v>
      </c>
      <c r="F45" t="s">
        <v>88</v>
      </c>
      <c r="G45" t="s">
        <v>204</v>
      </c>
      <c r="H45" t="s">
        <v>215</v>
      </c>
      <c r="I45" s="4">
        <v>75510.12079999999</v>
      </c>
      <c r="J45" s="4">
        <v>2265303.6239999998</v>
      </c>
      <c r="K45" s="4">
        <v>-113076.72</v>
      </c>
      <c r="L45" s="4">
        <v>30</v>
      </c>
    </row>
    <row r="46" spans="1:12">
      <c r="A46" t="s">
        <v>91</v>
      </c>
      <c r="B46" s="10">
        <v>45630</v>
      </c>
      <c r="C46" s="18">
        <f t="shared" si="0"/>
        <v>12</v>
      </c>
      <c r="D46" t="s">
        <v>148</v>
      </c>
      <c r="E46">
        <v>6607386</v>
      </c>
      <c r="F46" t="s">
        <v>88</v>
      </c>
      <c r="G46" t="s">
        <v>203</v>
      </c>
      <c r="H46" t="s">
        <v>240</v>
      </c>
      <c r="I46" s="4">
        <v>100638.28079999999</v>
      </c>
      <c r="J46" s="4">
        <v>201276.56159999999</v>
      </c>
      <c r="K46" s="4">
        <v>-8669.2151999999987</v>
      </c>
      <c r="L46" s="4">
        <v>2</v>
      </c>
    </row>
    <row r="47" spans="1:12">
      <c r="A47" t="s">
        <v>91</v>
      </c>
      <c r="B47" s="10">
        <v>45630</v>
      </c>
      <c r="C47" s="18">
        <f t="shared" si="0"/>
        <v>12</v>
      </c>
      <c r="D47" t="s">
        <v>148</v>
      </c>
      <c r="E47">
        <v>6607386</v>
      </c>
      <c r="F47" t="s">
        <v>88</v>
      </c>
      <c r="G47" t="s">
        <v>203</v>
      </c>
      <c r="H47" t="s">
        <v>238</v>
      </c>
      <c r="I47" s="4">
        <v>95606.36675999999</v>
      </c>
      <c r="J47" s="4">
        <v>191212.73351999998</v>
      </c>
      <c r="K47" s="4">
        <v>-8669.2151999999987</v>
      </c>
      <c r="L47" s="4">
        <v>2</v>
      </c>
    </row>
    <row r="48" spans="1:12">
      <c r="A48" t="s">
        <v>91</v>
      </c>
      <c r="B48" s="10">
        <v>45630</v>
      </c>
      <c r="C48" s="18">
        <f t="shared" si="0"/>
        <v>12</v>
      </c>
      <c r="D48" t="s">
        <v>148</v>
      </c>
      <c r="E48">
        <v>6536135</v>
      </c>
      <c r="F48" t="s">
        <v>89</v>
      </c>
      <c r="G48" t="s">
        <v>204</v>
      </c>
      <c r="H48" t="s">
        <v>217</v>
      </c>
      <c r="I48" s="4">
        <v>78022.936799999996</v>
      </c>
      <c r="J48" s="4">
        <v>78022.936799999996</v>
      </c>
      <c r="K48" s="4">
        <v>-3580.7627999999995</v>
      </c>
      <c r="L48" s="4">
        <v>1</v>
      </c>
    </row>
    <row r="49" spans="1:12">
      <c r="A49" t="s">
        <v>91</v>
      </c>
      <c r="B49" s="10">
        <v>45630</v>
      </c>
      <c r="C49" s="18">
        <f t="shared" si="0"/>
        <v>12</v>
      </c>
      <c r="D49" t="s">
        <v>148</v>
      </c>
      <c r="E49">
        <v>6536135</v>
      </c>
      <c r="F49" t="s">
        <v>89</v>
      </c>
      <c r="G49" t="s">
        <v>204</v>
      </c>
      <c r="H49" t="s">
        <v>213</v>
      </c>
      <c r="I49" s="4">
        <v>119484.4008</v>
      </c>
      <c r="J49" s="4">
        <v>358453.20240000001</v>
      </c>
      <c r="K49" s="4">
        <v>-16019.201999999999</v>
      </c>
      <c r="L49" s="4">
        <v>3</v>
      </c>
    </row>
    <row r="50" spans="1:12">
      <c r="A50" t="s">
        <v>91</v>
      </c>
      <c r="B50" s="10">
        <v>45636</v>
      </c>
      <c r="C50" s="18">
        <f t="shared" si="0"/>
        <v>12</v>
      </c>
      <c r="D50" t="s">
        <v>148</v>
      </c>
      <c r="E50">
        <v>8479065</v>
      </c>
      <c r="F50" t="s">
        <v>88</v>
      </c>
      <c r="G50" t="s">
        <v>203</v>
      </c>
      <c r="H50" t="s">
        <v>243</v>
      </c>
      <c r="I50" s="4">
        <v>100638.28079999999</v>
      </c>
      <c r="J50" s="4">
        <v>402553.12319999997</v>
      </c>
      <c r="K50" s="4">
        <v>-17338.430399999997</v>
      </c>
      <c r="L50" s="4">
        <v>4</v>
      </c>
    </row>
    <row r="51" spans="1:12">
      <c r="A51" t="s">
        <v>91</v>
      </c>
      <c r="B51" s="10">
        <v>45636</v>
      </c>
      <c r="C51" s="18">
        <f t="shared" si="0"/>
        <v>12</v>
      </c>
      <c r="D51" t="s">
        <v>148</v>
      </c>
      <c r="E51">
        <v>8479065</v>
      </c>
      <c r="F51" t="s">
        <v>88</v>
      </c>
      <c r="G51" t="s">
        <v>203</v>
      </c>
      <c r="H51" t="s">
        <v>242</v>
      </c>
      <c r="I51" s="4">
        <v>100638.28079999999</v>
      </c>
      <c r="J51" s="4">
        <v>402553.12319999997</v>
      </c>
      <c r="K51" s="4">
        <v>-17338.430399999997</v>
      </c>
      <c r="L51" s="4">
        <v>4</v>
      </c>
    </row>
    <row r="52" spans="1:12">
      <c r="A52" t="s">
        <v>91</v>
      </c>
      <c r="B52" s="10">
        <v>45636</v>
      </c>
      <c r="C52" s="18">
        <f t="shared" si="0"/>
        <v>12</v>
      </c>
      <c r="D52" t="s">
        <v>148</v>
      </c>
      <c r="E52">
        <v>8479065</v>
      </c>
      <c r="F52" t="s">
        <v>88</v>
      </c>
      <c r="G52" t="s">
        <v>203</v>
      </c>
      <c r="H52" t="s">
        <v>240</v>
      </c>
      <c r="I52" s="4">
        <v>100638.28079999999</v>
      </c>
      <c r="J52" s="4">
        <v>402553.12319999997</v>
      </c>
      <c r="K52" s="4">
        <v>-17338.430399999997</v>
      </c>
      <c r="L52" s="4">
        <v>4</v>
      </c>
    </row>
    <row r="53" spans="1:12">
      <c r="A53" t="s">
        <v>91</v>
      </c>
      <c r="B53" s="10">
        <v>45636</v>
      </c>
      <c r="C53" s="18">
        <f t="shared" si="0"/>
        <v>12</v>
      </c>
      <c r="D53" t="s">
        <v>148</v>
      </c>
      <c r="E53">
        <v>8479065</v>
      </c>
      <c r="F53" t="s">
        <v>88</v>
      </c>
      <c r="G53" t="s">
        <v>203</v>
      </c>
      <c r="H53" t="s">
        <v>238</v>
      </c>
      <c r="I53" s="4">
        <v>95606.36675999999</v>
      </c>
      <c r="J53" s="4">
        <v>382425.46703999996</v>
      </c>
      <c r="K53" s="4">
        <v>-17338.430399999997</v>
      </c>
      <c r="L53" s="4">
        <v>4</v>
      </c>
    </row>
    <row r="54" spans="1:12">
      <c r="A54" t="s">
        <v>91</v>
      </c>
      <c r="B54" s="10">
        <v>45636</v>
      </c>
      <c r="C54" s="18">
        <f t="shared" si="0"/>
        <v>12</v>
      </c>
      <c r="D54" t="s">
        <v>148</v>
      </c>
      <c r="E54">
        <v>8479065</v>
      </c>
      <c r="F54" t="s">
        <v>88</v>
      </c>
      <c r="G54" t="s">
        <v>203</v>
      </c>
      <c r="H54" t="s">
        <v>234</v>
      </c>
      <c r="I54" s="4">
        <v>100638.28079999999</v>
      </c>
      <c r="J54" s="4">
        <v>402553.12319999997</v>
      </c>
      <c r="K54" s="4">
        <v>-17338.430399999997</v>
      </c>
      <c r="L54" s="4">
        <v>4</v>
      </c>
    </row>
    <row r="55" spans="1:12">
      <c r="A55" t="s">
        <v>91</v>
      </c>
      <c r="B55" s="10">
        <v>45636</v>
      </c>
      <c r="C55" s="18">
        <f t="shared" si="0"/>
        <v>12</v>
      </c>
      <c r="D55" t="s">
        <v>148</v>
      </c>
      <c r="E55">
        <v>8479065</v>
      </c>
      <c r="F55" t="s">
        <v>88</v>
      </c>
      <c r="G55" t="s">
        <v>203</v>
      </c>
      <c r="H55" t="s">
        <v>239</v>
      </c>
      <c r="I55" s="4">
        <v>125766.4408</v>
      </c>
      <c r="J55" s="4">
        <v>503065.76319999999</v>
      </c>
      <c r="K55" s="4">
        <v>-22615.344000000001</v>
      </c>
      <c r="L55" s="4">
        <v>4</v>
      </c>
    </row>
    <row r="56" spans="1:12">
      <c r="A56" t="s">
        <v>91</v>
      </c>
      <c r="B56" s="10">
        <v>45636</v>
      </c>
      <c r="C56" s="18">
        <f t="shared" si="0"/>
        <v>12</v>
      </c>
      <c r="D56" t="s">
        <v>148</v>
      </c>
      <c r="E56">
        <v>8479065</v>
      </c>
      <c r="F56" t="s">
        <v>88</v>
      </c>
      <c r="G56" t="s">
        <v>203</v>
      </c>
      <c r="H56" t="s">
        <v>237</v>
      </c>
      <c r="I56" s="4">
        <v>125766.4408</v>
      </c>
      <c r="J56" s="4">
        <v>503065.76319999999</v>
      </c>
      <c r="K56" s="4">
        <v>-22615.344000000001</v>
      </c>
      <c r="L56" s="4">
        <v>4</v>
      </c>
    </row>
    <row r="57" spans="1:12">
      <c r="A57" t="s">
        <v>91</v>
      </c>
      <c r="B57" s="10">
        <v>45636</v>
      </c>
      <c r="C57" s="18">
        <f t="shared" si="0"/>
        <v>12</v>
      </c>
      <c r="D57" t="s">
        <v>148</v>
      </c>
      <c r="E57">
        <v>8479065</v>
      </c>
      <c r="F57" t="s">
        <v>88</v>
      </c>
      <c r="G57" t="s">
        <v>203</v>
      </c>
      <c r="H57" t="s">
        <v>235</v>
      </c>
      <c r="I57" s="4">
        <v>125766.4408</v>
      </c>
      <c r="J57" s="4">
        <v>503065.76319999999</v>
      </c>
      <c r="K57" s="4">
        <v>-22615.344000000001</v>
      </c>
      <c r="L57" s="4">
        <v>4</v>
      </c>
    </row>
    <row r="58" spans="1:12">
      <c r="A58" t="s">
        <v>91</v>
      </c>
      <c r="B58" s="10">
        <v>45636</v>
      </c>
      <c r="C58" s="18">
        <f t="shared" si="0"/>
        <v>12</v>
      </c>
      <c r="D58" t="s">
        <v>148</v>
      </c>
      <c r="E58">
        <v>8479065</v>
      </c>
      <c r="F58" t="s">
        <v>88</v>
      </c>
      <c r="G58" t="s">
        <v>203</v>
      </c>
      <c r="H58" t="s">
        <v>233</v>
      </c>
      <c r="I58" s="4">
        <v>120735.78316800001</v>
      </c>
      <c r="J58" s="4">
        <v>482943.13267200004</v>
      </c>
      <c r="K58" s="4">
        <v>-22615.344000000001</v>
      </c>
      <c r="L58" s="4">
        <v>4</v>
      </c>
    </row>
    <row r="59" spans="1:12">
      <c r="A59" t="s">
        <v>91</v>
      </c>
      <c r="B59" s="10">
        <v>45636</v>
      </c>
      <c r="C59" s="18">
        <f t="shared" si="0"/>
        <v>12</v>
      </c>
      <c r="D59" t="s">
        <v>148</v>
      </c>
      <c r="E59">
        <v>8479065</v>
      </c>
      <c r="F59" t="s">
        <v>88</v>
      </c>
      <c r="G59" t="s">
        <v>203</v>
      </c>
      <c r="H59" t="s">
        <v>231</v>
      </c>
      <c r="I59" s="4">
        <v>125766.4408</v>
      </c>
      <c r="J59" s="4">
        <v>503065.76319999999</v>
      </c>
      <c r="K59" s="4">
        <v>-22615.344000000001</v>
      </c>
      <c r="L59" s="4">
        <v>4</v>
      </c>
    </row>
    <row r="60" spans="1:12">
      <c r="A60" t="s">
        <v>91</v>
      </c>
      <c r="B60" s="10">
        <v>45639</v>
      </c>
      <c r="C60" s="18">
        <f t="shared" si="0"/>
        <v>12</v>
      </c>
      <c r="D60" t="s">
        <v>148</v>
      </c>
      <c r="E60">
        <v>8479065</v>
      </c>
      <c r="F60" t="s">
        <v>88</v>
      </c>
      <c r="G60" t="s">
        <v>203</v>
      </c>
      <c r="H60" t="s">
        <v>230</v>
      </c>
      <c r="I60" s="4">
        <v>100638.28079999999</v>
      </c>
      <c r="J60" s="4">
        <v>603829.68479999993</v>
      </c>
      <c r="K60" s="4">
        <v>-26007.645599999996</v>
      </c>
      <c r="L60" s="4">
        <v>6</v>
      </c>
    </row>
    <row r="61" spans="1:12">
      <c r="A61" t="s">
        <v>91</v>
      </c>
      <c r="B61" s="10">
        <v>45641</v>
      </c>
      <c r="C61" s="18">
        <f t="shared" si="0"/>
        <v>12</v>
      </c>
      <c r="D61" t="s">
        <v>148</v>
      </c>
      <c r="E61">
        <v>6536135</v>
      </c>
      <c r="F61" t="s">
        <v>89</v>
      </c>
      <c r="G61" t="s">
        <v>204</v>
      </c>
      <c r="H61" t="s">
        <v>212</v>
      </c>
      <c r="I61" s="4">
        <v>62946.040799999995</v>
      </c>
      <c r="J61" s="4">
        <v>503568.32639999996</v>
      </c>
      <c r="K61" s="4">
        <v>-12564.08</v>
      </c>
      <c r="L61" s="4">
        <v>8</v>
      </c>
    </row>
    <row r="62" spans="1:12">
      <c r="A62" t="s">
        <v>91</v>
      </c>
      <c r="B62" s="10">
        <v>45642</v>
      </c>
      <c r="C62" s="18">
        <f t="shared" si="0"/>
        <v>12</v>
      </c>
      <c r="D62" t="s">
        <v>148</v>
      </c>
      <c r="E62">
        <v>6080443</v>
      </c>
      <c r="F62" t="s">
        <v>88</v>
      </c>
      <c r="G62" t="s">
        <v>204</v>
      </c>
      <c r="H62" t="s">
        <v>214</v>
      </c>
      <c r="I62" s="4">
        <v>119484.4008</v>
      </c>
      <c r="J62" s="4">
        <v>1792266.0120000001</v>
      </c>
      <c r="K62" s="4">
        <v>-80096.009999999995</v>
      </c>
      <c r="L62" s="4">
        <v>15</v>
      </c>
    </row>
    <row r="63" spans="1:12">
      <c r="A63" t="s">
        <v>91</v>
      </c>
      <c r="B63" s="10">
        <v>45655</v>
      </c>
      <c r="C63" s="18">
        <f t="shared" si="0"/>
        <v>12</v>
      </c>
      <c r="D63" t="s">
        <v>148</v>
      </c>
      <c r="E63">
        <v>6536135</v>
      </c>
      <c r="F63" t="s">
        <v>89</v>
      </c>
      <c r="G63" t="s">
        <v>204</v>
      </c>
      <c r="H63" t="s">
        <v>213</v>
      </c>
      <c r="I63" s="4">
        <v>119484.4008</v>
      </c>
      <c r="J63" s="4">
        <v>597422.00399999996</v>
      </c>
      <c r="K63" s="4">
        <v>-26698.67</v>
      </c>
      <c r="L63" s="4">
        <v>5</v>
      </c>
    </row>
    <row r="64" spans="1:12">
      <c r="A64" t="s">
        <v>91</v>
      </c>
      <c r="B64" s="10">
        <v>45655</v>
      </c>
      <c r="C64" s="18">
        <f t="shared" si="0"/>
        <v>12</v>
      </c>
      <c r="D64" t="s">
        <v>148</v>
      </c>
      <c r="E64">
        <v>6536135</v>
      </c>
      <c r="F64" t="s">
        <v>89</v>
      </c>
      <c r="G64" t="s">
        <v>204</v>
      </c>
      <c r="H64" t="s">
        <v>220</v>
      </c>
      <c r="I64" s="4">
        <v>37817.880799999999</v>
      </c>
      <c r="J64" s="4">
        <v>453814.56959999999</v>
      </c>
      <c r="K64" s="4">
        <v>-22615.344000000001</v>
      </c>
      <c r="L64" s="4">
        <v>12</v>
      </c>
    </row>
    <row r="65" spans="1:12">
      <c r="A65" t="s">
        <v>91</v>
      </c>
      <c r="B65" s="10">
        <v>45655</v>
      </c>
      <c r="C65" s="18">
        <f t="shared" si="0"/>
        <v>12</v>
      </c>
      <c r="D65" t="s">
        <v>149</v>
      </c>
      <c r="E65">
        <v>8479065</v>
      </c>
      <c r="F65" t="s">
        <v>88</v>
      </c>
      <c r="G65" t="s">
        <v>204</v>
      </c>
      <c r="H65" t="s">
        <v>219</v>
      </c>
      <c r="I65" s="4">
        <v>44099.9208</v>
      </c>
      <c r="J65" s="4">
        <v>88199.8416</v>
      </c>
      <c r="K65" s="4">
        <v>-3769.2239999999997</v>
      </c>
      <c r="L65" s="4">
        <v>2</v>
      </c>
    </row>
    <row r="66" spans="1:12">
      <c r="A66" t="s">
        <v>91</v>
      </c>
      <c r="B66" s="10">
        <v>45655</v>
      </c>
      <c r="C66" s="18">
        <f t="shared" ref="C66:C129" si="1">MONTH(B66)</f>
        <v>12</v>
      </c>
      <c r="D66" t="s">
        <v>149</v>
      </c>
      <c r="E66">
        <v>8479065</v>
      </c>
      <c r="F66" t="s">
        <v>88</v>
      </c>
      <c r="G66" t="s">
        <v>204</v>
      </c>
      <c r="H66" t="s">
        <v>216</v>
      </c>
      <c r="I66" s="4">
        <v>113202.36079999999</v>
      </c>
      <c r="J66" s="4">
        <v>113202.36079999999</v>
      </c>
      <c r="K66" s="4">
        <v>-5653.8360000000002</v>
      </c>
      <c r="L66" s="4">
        <v>1</v>
      </c>
    </row>
    <row r="67" spans="1:12">
      <c r="A67" t="s">
        <v>91</v>
      </c>
      <c r="B67" s="10">
        <v>45655</v>
      </c>
      <c r="C67" s="18">
        <f t="shared" si="1"/>
        <v>12</v>
      </c>
      <c r="D67" t="s">
        <v>149</v>
      </c>
      <c r="E67">
        <v>8479065</v>
      </c>
      <c r="F67" t="s">
        <v>88</v>
      </c>
      <c r="G67" t="s">
        <v>204</v>
      </c>
      <c r="H67" t="s">
        <v>215</v>
      </c>
      <c r="I67" s="4">
        <v>75510.12079999999</v>
      </c>
      <c r="J67" s="4">
        <v>151020.24159999998</v>
      </c>
      <c r="K67" s="4">
        <v>-7538.4479999999994</v>
      </c>
      <c r="L67" s="4">
        <v>2</v>
      </c>
    </row>
    <row r="68" spans="1:12">
      <c r="A68" t="s">
        <v>91</v>
      </c>
      <c r="B68" s="10">
        <v>45655</v>
      </c>
      <c r="C68" s="18">
        <f t="shared" si="1"/>
        <v>12</v>
      </c>
      <c r="D68" t="s">
        <v>149</v>
      </c>
      <c r="E68">
        <v>8479065</v>
      </c>
      <c r="F68" t="s">
        <v>88</v>
      </c>
      <c r="G68" t="s">
        <v>204</v>
      </c>
      <c r="H68" t="s">
        <v>214</v>
      </c>
      <c r="I68" s="4">
        <v>119484.4008</v>
      </c>
      <c r="J68" s="4">
        <v>238968.80160000001</v>
      </c>
      <c r="K68" s="4">
        <v>-10679.467999999999</v>
      </c>
      <c r="L68" s="4">
        <v>2</v>
      </c>
    </row>
    <row r="69" spans="1:12">
      <c r="A69" t="s">
        <v>91</v>
      </c>
      <c r="B69" s="10">
        <v>45655</v>
      </c>
      <c r="C69" s="18">
        <f t="shared" si="1"/>
        <v>12</v>
      </c>
      <c r="D69" t="s">
        <v>149</v>
      </c>
      <c r="E69">
        <v>8479065</v>
      </c>
      <c r="F69" t="s">
        <v>88</v>
      </c>
      <c r="G69" t="s">
        <v>204</v>
      </c>
      <c r="H69" t="s">
        <v>213</v>
      </c>
      <c r="I69" s="4">
        <v>119484.4008</v>
      </c>
      <c r="J69" s="4">
        <v>238968.80160000001</v>
      </c>
      <c r="K69" s="4">
        <v>-10679.467999999999</v>
      </c>
      <c r="L69" s="4">
        <v>2</v>
      </c>
    </row>
    <row r="70" spans="1:12">
      <c r="A70" t="s">
        <v>92</v>
      </c>
      <c r="B70" s="10">
        <v>45636</v>
      </c>
      <c r="C70" s="18">
        <f t="shared" si="1"/>
        <v>12</v>
      </c>
      <c r="D70" t="s">
        <v>179</v>
      </c>
      <c r="E70">
        <v>6682776</v>
      </c>
      <c r="F70" t="s">
        <v>87</v>
      </c>
      <c r="G70" t="s">
        <v>203</v>
      </c>
      <c r="H70" t="s">
        <v>235</v>
      </c>
      <c r="I70" s="4">
        <v>125766.4408</v>
      </c>
      <c r="J70" s="4">
        <v>628832.20400000003</v>
      </c>
      <c r="K70" s="4">
        <v>-28269.18</v>
      </c>
      <c r="L70" s="4">
        <v>5</v>
      </c>
    </row>
    <row r="71" spans="1:12">
      <c r="A71" t="s">
        <v>92</v>
      </c>
      <c r="B71" s="10">
        <v>45636</v>
      </c>
      <c r="C71" s="18">
        <f t="shared" si="1"/>
        <v>12</v>
      </c>
      <c r="D71" t="s">
        <v>179</v>
      </c>
      <c r="E71">
        <v>6682776</v>
      </c>
      <c r="F71" t="s">
        <v>87</v>
      </c>
      <c r="G71" t="s">
        <v>203</v>
      </c>
      <c r="H71" t="s">
        <v>233</v>
      </c>
      <c r="I71" s="4">
        <v>120735.78316800001</v>
      </c>
      <c r="J71" s="4">
        <v>603678.91584000003</v>
      </c>
      <c r="K71" s="4">
        <v>-28269.18</v>
      </c>
      <c r="L71" s="4">
        <v>5</v>
      </c>
    </row>
    <row r="72" spans="1:12">
      <c r="A72" t="s">
        <v>92</v>
      </c>
      <c r="B72" s="10">
        <v>45640</v>
      </c>
      <c r="C72" s="18">
        <f t="shared" si="1"/>
        <v>12</v>
      </c>
      <c r="D72" t="s">
        <v>179</v>
      </c>
      <c r="E72">
        <v>6754589</v>
      </c>
      <c r="F72" t="s">
        <v>88</v>
      </c>
      <c r="G72" t="s">
        <v>206</v>
      </c>
      <c r="H72" t="s">
        <v>251</v>
      </c>
      <c r="I72" s="4">
        <v>19223.042399999998</v>
      </c>
      <c r="J72" s="4">
        <v>-384460.848</v>
      </c>
      <c r="L72" s="4">
        <v>-20</v>
      </c>
    </row>
    <row r="73" spans="1:12">
      <c r="A73" t="s">
        <v>92</v>
      </c>
      <c r="B73" s="10">
        <v>45642</v>
      </c>
      <c r="C73" s="18">
        <f t="shared" si="1"/>
        <v>12</v>
      </c>
      <c r="D73" t="s">
        <v>179</v>
      </c>
      <c r="E73">
        <v>6754589</v>
      </c>
      <c r="F73" t="s">
        <v>88</v>
      </c>
      <c r="G73" t="s">
        <v>202</v>
      </c>
      <c r="H73" t="s">
        <v>261</v>
      </c>
      <c r="I73" s="4">
        <v>41587.104800000001</v>
      </c>
      <c r="J73" s="4">
        <v>-41587.104800000001</v>
      </c>
      <c r="L73" s="4">
        <v>-1</v>
      </c>
    </row>
    <row r="74" spans="1:12">
      <c r="A74" t="s">
        <v>92</v>
      </c>
      <c r="B74" s="10">
        <v>45642</v>
      </c>
      <c r="C74" s="18">
        <f t="shared" si="1"/>
        <v>12</v>
      </c>
      <c r="D74" t="s">
        <v>179</v>
      </c>
      <c r="E74">
        <v>6754589</v>
      </c>
      <c r="F74" t="s">
        <v>88</v>
      </c>
      <c r="G74" t="s">
        <v>202</v>
      </c>
      <c r="H74" t="s">
        <v>260</v>
      </c>
      <c r="I74" s="4">
        <v>41587.104800000001</v>
      </c>
      <c r="J74" s="4">
        <v>-41587.104800000001</v>
      </c>
      <c r="L74" s="4">
        <v>-1</v>
      </c>
    </row>
    <row r="75" spans="1:12">
      <c r="A75" t="s">
        <v>92</v>
      </c>
      <c r="B75" s="10">
        <v>45642</v>
      </c>
      <c r="C75" s="18">
        <f t="shared" si="1"/>
        <v>12</v>
      </c>
      <c r="D75" t="s">
        <v>179</v>
      </c>
      <c r="E75">
        <v>6754589</v>
      </c>
      <c r="F75" t="s">
        <v>88</v>
      </c>
      <c r="G75" t="s">
        <v>202</v>
      </c>
      <c r="H75" t="s">
        <v>259</v>
      </c>
      <c r="I75" s="4">
        <v>30279.432800000002</v>
      </c>
      <c r="J75" s="4">
        <v>-30279.432800000002</v>
      </c>
      <c r="L75" s="4">
        <v>-1</v>
      </c>
    </row>
    <row r="76" spans="1:12">
      <c r="A76" t="s">
        <v>92</v>
      </c>
      <c r="B76" s="10">
        <v>45642</v>
      </c>
      <c r="C76" s="18">
        <f t="shared" si="1"/>
        <v>12</v>
      </c>
      <c r="D76" t="s">
        <v>179</v>
      </c>
      <c r="E76">
        <v>6754589</v>
      </c>
      <c r="F76" t="s">
        <v>88</v>
      </c>
      <c r="G76" t="s">
        <v>202</v>
      </c>
      <c r="H76" t="s">
        <v>258</v>
      </c>
      <c r="I76" s="4">
        <v>37817.880799999999</v>
      </c>
      <c r="J76" s="4">
        <v>-37817.880799999999</v>
      </c>
      <c r="L76" s="4">
        <v>-1</v>
      </c>
    </row>
    <row r="77" spans="1:12">
      <c r="A77" t="s">
        <v>92</v>
      </c>
      <c r="B77" s="10">
        <v>45642</v>
      </c>
      <c r="C77" s="18">
        <f t="shared" si="1"/>
        <v>12</v>
      </c>
      <c r="D77" t="s">
        <v>179</v>
      </c>
      <c r="E77">
        <v>6754589</v>
      </c>
      <c r="F77" t="s">
        <v>88</v>
      </c>
      <c r="G77" t="s">
        <v>202</v>
      </c>
      <c r="H77" t="s">
        <v>257</v>
      </c>
      <c r="I77" s="4">
        <v>56664.000799999994</v>
      </c>
      <c r="J77" s="4">
        <v>-56664.000799999994</v>
      </c>
      <c r="L77" s="4">
        <v>-1</v>
      </c>
    </row>
    <row r="78" spans="1:12">
      <c r="A78" t="s">
        <v>92</v>
      </c>
      <c r="B78" s="10">
        <v>45642</v>
      </c>
      <c r="C78" s="18">
        <f t="shared" si="1"/>
        <v>12</v>
      </c>
      <c r="D78" t="s">
        <v>179</v>
      </c>
      <c r="E78">
        <v>6754589</v>
      </c>
      <c r="F78" t="s">
        <v>88</v>
      </c>
      <c r="G78" t="s">
        <v>202</v>
      </c>
      <c r="H78" t="s">
        <v>256</v>
      </c>
      <c r="I78" s="4">
        <v>64202.448800000006</v>
      </c>
      <c r="J78" s="4">
        <v>-64202.448800000006</v>
      </c>
      <c r="L78" s="4">
        <v>-1</v>
      </c>
    </row>
    <row r="79" spans="1:12">
      <c r="A79" t="s">
        <v>92</v>
      </c>
      <c r="B79" s="10">
        <v>45642</v>
      </c>
      <c r="C79" s="18">
        <f t="shared" si="1"/>
        <v>12</v>
      </c>
      <c r="D79" t="s">
        <v>179</v>
      </c>
      <c r="E79">
        <v>6754589</v>
      </c>
      <c r="F79" t="s">
        <v>88</v>
      </c>
      <c r="G79" t="s">
        <v>202</v>
      </c>
      <c r="H79" t="s">
        <v>255</v>
      </c>
      <c r="I79" s="4">
        <v>72489.71596799999</v>
      </c>
      <c r="J79" s="4">
        <v>-72489.71596799999</v>
      </c>
      <c r="L79" s="4">
        <v>-1</v>
      </c>
    </row>
    <row r="80" spans="1:12">
      <c r="A80" t="s">
        <v>92</v>
      </c>
      <c r="B80" s="10">
        <v>45642</v>
      </c>
      <c r="C80" s="18">
        <f t="shared" si="1"/>
        <v>12</v>
      </c>
      <c r="D80" t="s">
        <v>179</v>
      </c>
      <c r="E80">
        <v>6754589</v>
      </c>
      <c r="F80" t="s">
        <v>88</v>
      </c>
      <c r="G80" t="s">
        <v>202</v>
      </c>
      <c r="H80" t="s">
        <v>254</v>
      </c>
      <c r="I80" s="4">
        <v>37817.880799999999</v>
      </c>
      <c r="J80" s="4">
        <v>-37817.880799999999</v>
      </c>
      <c r="L80" s="4">
        <v>-1</v>
      </c>
    </row>
    <row r="81" spans="1:12">
      <c r="A81" t="s">
        <v>92</v>
      </c>
      <c r="B81" s="10">
        <v>45642</v>
      </c>
      <c r="C81" s="18">
        <f t="shared" si="1"/>
        <v>12</v>
      </c>
      <c r="D81" t="s">
        <v>179</v>
      </c>
      <c r="E81">
        <v>6754589</v>
      </c>
      <c r="F81" t="s">
        <v>88</v>
      </c>
      <c r="G81" t="s">
        <v>202</v>
      </c>
      <c r="H81" t="s">
        <v>253</v>
      </c>
      <c r="I81" s="4">
        <v>46669.275160000005</v>
      </c>
      <c r="J81" s="4">
        <v>-46669.275160000005</v>
      </c>
      <c r="L81" s="4">
        <v>-1</v>
      </c>
    </row>
    <row r="82" spans="1:12">
      <c r="A82" t="s">
        <v>92</v>
      </c>
      <c r="B82" s="10">
        <v>45646</v>
      </c>
      <c r="C82" s="18">
        <f t="shared" si="1"/>
        <v>12</v>
      </c>
      <c r="D82" t="s">
        <v>179</v>
      </c>
      <c r="E82">
        <v>6499774</v>
      </c>
      <c r="F82" t="s">
        <v>88</v>
      </c>
      <c r="G82" t="s">
        <v>203</v>
      </c>
      <c r="H82" t="s">
        <v>240</v>
      </c>
      <c r="I82" s="4">
        <v>100638.28079999999</v>
      </c>
      <c r="J82" s="4">
        <v>1006382.808</v>
      </c>
      <c r="K82" s="4">
        <v>-43346.076000000001</v>
      </c>
      <c r="L82" s="4">
        <v>10</v>
      </c>
    </row>
    <row r="83" spans="1:12">
      <c r="A83" t="s">
        <v>92</v>
      </c>
      <c r="B83" s="10">
        <v>45646</v>
      </c>
      <c r="C83" s="18">
        <f t="shared" si="1"/>
        <v>12</v>
      </c>
      <c r="D83" t="s">
        <v>179</v>
      </c>
      <c r="E83">
        <v>6499774</v>
      </c>
      <c r="F83" t="s">
        <v>88</v>
      </c>
      <c r="G83" t="s">
        <v>203</v>
      </c>
      <c r="H83" t="s">
        <v>231</v>
      </c>
      <c r="I83" s="4">
        <v>125766.4408</v>
      </c>
      <c r="J83" s="4">
        <v>628832.20400000003</v>
      </c>
      <c r="K83" s="4">
        <v>-28269.18</v>
      </c>
      <c r="L83" s="4">
        <v>5</v>
      </c>
    </row>
    <row r="84" spans="1:12">
      <c r="A84" t="s">
        <v>92</v>
      </c>
      <c r="B84" s="10">
        <v>45647</v>
      </c>
      <c r="C84" s="18">
        <f t="shared" si="1"/>
        <v>12</v>
      </c>
      <c r="D84" t="s">
        <v>179</v>
      </c>
      <c r="E84">
        <v>6700685</v>
      </c>
      <c r="F84" t="s">
        <v>87</v>
      </c>
      <c r="G84" t="s">
        <v>206</v>
      </c>
      <c r="H84" t="s">
        <v>251</v>
      </c>
      <c r="I84" s="4">
        <v>19223.042399999998</v>
      </c>
      <c r="J84" s="4">
        <v>384460.848</v>
      </c>
      <c r="K84" s="4">
        <v>-14448.691999999999</v>
      </c>
      <c r="L84" s="4">
        <v>20</v>
      </c>
    </row>
    <row r="85" spans="1:12">
      <c r="A85" t="s">
        <v>92</v>
      </c>
      <c r="B85" s="10">
        <v>45655</v>
      </c>
      <c r="C85" s="18">
        <f t="shared" si="1"/>
        <v>12</v>
      </c>
      <c r="D85" t="s">
        <v>179</v>
      </c>
      <c r="E85">
        <v>6700685</v>
      </c>
      <c r="F85" t="s">
        <v>87</v>
      </c>
      <c r="G85" t="s">
        <v>202</v>
      </c>
      <c r="H85" t="s">
        <v>261</v>
      </c>
      <c r="I85" s="4">
        <v>41587.104800000001</v>
      </c>
      <c r="J85" s="4">
        <v>41587.104800000001</v>
      </c>
      <c r="K85" s="4">
        <v>-4146.1464000000005</v>
      </c>
      <c r="L85" s="4">
        <v>1</v>
      </c>
    </row>
    <row r="86" spans="1:12">
      <c r="A86" t="s">
        <v>92</v>
      </c>
      <c r="B86" s="10">
        <v>45655</v>
      </c>
      <c r="C86" s="18">
        <f t="shared" si="1"/>
        <v>12</v>
      </c>
      <c r="D86" t="s">
        <v>179</v>
      </c>
      <c r="E86">
        <v>6700685</v>
      </c>
      <c r="F86" t="s">
        <v>87</v>
      </c>
      <c r="G86" t="s">
        <v>202</v>
      </c>
      <c r="H86" t="s">
        <v>260</v>
      </c>
      <c r="I86" s="4">
        <v>41587.104800000001</v>
      </c>
      <c r="J86" s="4">
        <v>41587.104800000001</v>
      </c>
      <c r="K86" s="4">
        <v>-4146.1464000000005</v>
      </c>
      <c r="L86" s="4">
        <v>1</v>
      </c>
    </row>
    <row r="87" spans="1:12">
      <c r="A87" t="s">
        <v>92</v>
      </c>
      <c r="B87" s="10">
        <v>45656</v>
      </c>
      <c r="C87" s="18">
        <f t="shared" si="1"/>
        <v>12</v>
      </c>
      <c r="D87" t="s">
        <v>179</v>
      </c>
      <c r="E87">
        <v>6700754</v>
      </c>
      <c r="F87" t="s">
        <v>90</v>
      </c>
      <c r="G87" t="s">
        <v>203</v>
      </c>
      <c r="H87" t="s">
        <v>238</v>
      </c>
      <c r="I87" s="4">
        <v>95606.36675999999</v>
      </c>
      <c r="J87" s="4">
        <v>956063.66759999993</v>
      </c>
      <c r="K87" s="4">
        <v>-43346.076000000001</v>
      </c>
      <c r="L87" s="4">
        <v>10</v>
      </c>
    </row>
    <row r="88" spans="1:12">
      <c r="A88" t="s">
        <v>92</v>
      </c>
      <c r="B88" s="10">
        <v>45656</v>
      </c>
      <c r="C88" s="18">
        <f t="shared" si="1"/>
        <v>12</v>
      </c>
      <c r="D88" t="s">
        <v>179</v>
      </c>
      <c r="E88">
        <v>6700754</v>
      </c>
      <c r="F88" t="s">
        <v>90</v>
      </c>
      <c r="G88" t="s">
        <v>203</v>
      </c>
      <c r="H88" t="s">
        <v>234</v>
      </c>
      <c r="I88" s="4">
        <v>100638.28079999999</v>
      </c>
      <c r="J88" s="4">
        <v>201276.56159999999</v>
      </c>
      <c r="K88" s="4">
        <v>-8669.2151999999987</v>
      </c>
      <c r="L88" s="4">
        <v>2</v>
      </c>
    </row>
    <row r="89" spans="1:12">
      <c r="A89" t="s">
        <v>93</v>
      </c>
      <c r="B89" s="10">
        <v>45641</v>
      </c>
      <c r="C89" s="18">
        <f t="shared" si="1"/>
        <v>12</v>
      </c>
      <c r="D89" t="s">
        <v>160</v>
      </c>
      <c r="E89">
        <v>4878925</v>
      </c>
      <c r="F89" t="s">
        <v>89</v>
      </c>
      <c r="G89" t="s">
        <v>203</v>
      </c>
      <c r="H89" t="s">
        <v>237</v>
      </c>
      <c r="I89" s="4">
        <v>125766.4408</v>
      </c>
      <c r="J89" s="4">
        <v>503065.76319999999</v>
      </c>
      <c r="K89" s="4">
        <v>-22615.344000000001</v>
      </c>
      <c r="L89" s="4">
        <v>4</v>
      </c>
    </row>
    <row r="90" spans="1:12">
      <c r="A90" t="s">
        <v>93</v>
      </c>
      <c r="B90" s="10">
        <v>45642</v>
      </c>
      <c r="C90" s="18">
        <f t="shared" si="1"/>
        <v>12</v>
      </c>
      <c r="D90" t="s">
        <v>184</v>
      </c>
      <c r="E90">
        <v>4879013</v>
      </c>
      <c r="F90" t="s">
        <v>88</v>
      </c>
      <c r="G90" t="s">
        <v>203</v>
      </c>
      <c r="H90" t="s">
        <v>235</v>
      </c>
      <c r="I90" s="4">
        <v>125766.4408</v>
      </c>
      <c r="J90" s="4">
        <v>1006131.5264</v>
      </c>
      <c r="K90" s="4">
        <v>-45230.688000000002</v>
      </c>
      <c r="L90" s="4">
        <v>8</v>
      </c>
    </row>
    <row r="91" spans="1:12">
      <c r="A91" t="s">
        <v>93</v>
      </c>
      <c r="B91" s="10">
        <v>45643</v>
      </c>
      <c r="C91" s="18">
        <f t="shared" si="1"/>
        <v>12</v>
      </c>
      <c r="D91" t="s">
        <v>184</v>
      </c>
      <c r="E91">
        <v>4879013</v>
      </c>
      <c r="F91" t="s">
        <v>88</v>
      </c>
      <c r="G91" t="s">
        <v>203</v>
      </c>
      <c r="H91" t="s">
        <v>235</v>
      </c>
      <c r="I91" s="4">
        <v>125766.4408</v>
      </c>
      <c r="J91" s="4">
        <v>377299.3224</v>
      </c>
      <c r="K91" s="4">
        <v>-16961.508000000002</v>
      </c>
      <c r="L91" s="4">
        <v>3</v>
      </c>
    </row>
    <row r="92" spans="1:12">
      <c r="A92" t="s">
        <v>93</v>
      </c>
      <c r="B92" s="10">
        <v>45644</v>
      </c>
      <c r="C92" s="18">
        <f t="shared" si="1"/>
        <v>12</v>
      </c>
      <c r="D92" t="s">
        <v>184</v>
      </c>
      <c r="E92">
        <v>4873700</v>
      </c>
      <c r="F92" t="s">
        <v>87</v>
      </c>
      <c r="G92" t="s">
        <v>203</v>
      </c>
      <c r="H92" t="s">
        <v>237</v>
      </c>
      <c r="I92" s="4">
        <v>125766.4408</v>
      </c>
      <c r="J92" s="4">
        <v>1257664.4080000001</v>
      </c>
      <c r="K92" s="4">
        <v>-56538.36</v>
      </c>
      <c r="L92" s="4">
        <v>10</v>
      </c>
    </row>
    <row r="93" spans="1:12">
      <c r="A93" t="s">
        <v>93</v>
      </c>
      <c r="B93" s="10">
        <v>45654</v>
      </c>
      <c r="C93" s="18">
        <f t="shared" si="1"/>
        <v>12</v>
      </c>
      <c r="D93" t="s">
        <v>184</v>
      </c>
      <c r="E93">
        <v>4879013</v>
      </c>
      <c r="F93" t="s">
        <v>88</v>
      </c>
      <c r="G93" t="s">
        <v>204</v>
      </c>
      <c r="H93" t="s">
        <v>218</v>
      </c>
      <c r="I93" s="4">
        <v>71740.896800000002</v>
      </c>
      <c r="J93" s="4">
        <v>573927.17440000002</v>
      </c>
      <c r="K93" s="4">
        <v>-28646.102399999996</v>
      </c>
      <c r="L93" s="4">
        <v>8</v>
      </c>
    </row>
    <row r="94" spans="1:12">
      <c r="A94" t="s">
        <v>94</v>
      </c>
      <c r="B94" s="10">
        <v>45630</v>
      </c>
      <c r="C94" s="18">
        <f t="shared" si="1"/>
        <v>12</v>
      </c>
      <c r="D94" t="s">
        <v>165</v>
      </c>
      <c r="E94">
        <v>4876291</v>
      </c>
      <c r="F94" t="s">
        <v>87</v>
      </c>
      <c r="G94" t="s">
        <v>203</v>
      </c>
      <c r="H94" t="s">
        <v>233</v>
      </c>
      <c r="I94" s="4">
        <v>120735.78316800001</v>
      </c>
      <c r="J94" s="4">
        <v>603678.91584000003</v>
      </c>
      <c r="K94" s="4">
        <v>-28269.18</v>
      </c>
      <c r="L94" s="4">
        <v>5</v>
      </c>
    </row>
    <row r="95" spans="1:12">
      <c r="A95" t="s">
        <v>94</v>
      </c>
      <c r="B95" s="10">
        <v>45630</v>
      </c>
      <c r="C95" s="18">
        <f t="shared" si="1"/>
        <v>12</v>
      </c>
      <c r="D95" t="s">
        <v>165</v>
      </c>
      <c r="E95">
        <v>4876291</v>
      </c>
      <c r="F95" t="s">
        <v>87</v>
      </c>
      <c r="G95" t="s">
        <v>203</v>
      </c>
      <c r="H95" t="s">
        <v>231</v>
      </c>
      <c r="I95" s="4">
        <v>125766.4408</v>
      </c>
      <c r="J95" s="4">
        <v>628832.20400000003</v>
      </c>
      <c r="K95" s="4">
        <v>-28269.18</v>
      </c>
      <c r="L95" s="4">
        <v>5</v>
      </c>
    </row>
    <row r="96" spans="1:12">
      <c r="A96" t="s">
        <v>94</v>
      </c>
      <c r="B96" s="10">
        <v>45630</v>
      </c>
      <c r="C96" s="18">
        <f t="shared" si="1"/>
        <v>12</v>
      </c>
      <c r="D96" t="s">
        <v>165</v>
      </c>
      <c r="E96">
        <v>4876004</v>
      </c>
      <c r="F96" t="s">
        <v>90</v>
      </c>
      <c r="G96" t="s">
        <v>203</v>
      </c>
      <c r="H96" t="s">
        <v>232</v>
      </c>
      <c r="I96" s="4">
        <v>100638.28079999999</v>
      </c>
      <c r="J96" s="4">
        <v>1006382.808</v>
      </c>
      <c r="K96" s="4">
        <v>-43346.076000000001</v>
      </c>
      <c r="L96" s="4">
        <v>10</v>
      </c>
    </row>
    <row r="97" spans="1:12">
      <c r="A97" t="s">
        <v>94</v>
      </c>
      <c r="B97" s="10">
        <v>45630</v>
      </c>
      <c r="C97" s="18">
        <f t="shared" si="1"/>
        <v>12</v>
      </c>
      <c r="D97" t="s">
        <v>165</v>
      </c>
      <c r="E97">
        <v>4876004</v>
      </c>
      <c r="F97" t="s">
        <v>90</v>
      </c>
      <c r="G97" t="s">
        <v>203</v>
      </c>
      <c r="H97" t="s">
        <v>230</v>
      </c>
      <c r="I97" s="4">
        <v>100638.28079999999</v>
      </c>
      <c r="J97" s="4">
        <v>1006382.808</v>
      </c>
      <c r="K97" s="4">
        <v>-43346.076000000001</v>
      </c>
      <c r="L97" s="4">
        <v>10</v>
      </c>
    </row>
    <row r="98" spans="1:12">
      <c r="A98" t="s">
        <v>94</v>
      </c>
      <c r="B98" s="10">
        <v>45630</v>
      </c>
      <c r="C98" s="18">
        <f t="shared" si="1"/>
        <v>12</v>
      </c>
      <c r="D98" t="s">
        <v>165</v>
      </c>
      <c r="E98">
        <v>4876004</v>
      </c>
      <c r="F98" t="s">
        <v>90</v>
      </c>
      <c r="G98" t="s">
        <v>203</v>
      </c>
      <c r="H98" t="s">
        <v>224</v>
      </c>
      <c r="I98" s="4">
        <v>100638.28079999999</v>
      </c>
      <c r="J98" s="4">
        <v>1006382.808</v>
      </c>
      <c r="K98" s="4">
        <v>-43346.076000000001</v>
      </c>
      <c r="L98" s="4">
        <v>10</v>
      </c>
    </row>
    <row r="99" spans="1:12">
      <c r="A99" t="s">
        <v>94</v>
      </c>
      <c r="B99" s="10">
        <v>45630</v>
      </c>
      <c r="C99" s="18">
        <f t="shared" si="1"/>
        <v>12</v>
      </c>
      <c r="D99" t="s">
        <v>165</v>
      </c>
      <c r="E99">
        <v>4876004</v>
      </c>
      <c r="F99" t="s">
        <v>90</v>
      </c>
      <c r="G99" t="s">
        <v>203</v>
      </c>
      <c r="H99" t="s">
        <v>229</v>
      </c>
      <c r="I99" s="4">
        <v>125766.4408</v>
      </c>
      <c r="J99" s="4">
        <v>1257664.4080000001</v>
      </c>
      <c r="K99" s="4">
        <v>-56538.36</v>
      </c>
      <c r="L99" s="4">
        <v>10</v>
      </c>
    </row>
    <row r="100" spans="1:12">
      <c r="A100" t="s">
        <v>94</v>
      </c>
      <c r="B100" s="10">
        <v>45631</v>
      </c>
      <c r="C100" s="18">
        <f t="shared" si="1"/>
        <v>12</v>
      </c>
      <c r="D100" t="s">
        <v>165</v>
      </c>
      <c r="E100">
        <v>4879054</v>
      </c>
      <c r="F100" t="s">
        <v>87</v>
      </c>
      <c r="G100" t="s">
        <v>203</v>
      </c>
      <c r="H100" t="s">
        <v>242</v>
      </c>
      <c r="I100" s="4">
        <v>100638.28079999999</v>
      </c>
      <c r="J100" s="4">
        <v>1006382.808</v>
      </c>
      <c r="K100" s="4">
        <v>-43346.076000000001</v>
      </c>
      <c r="L100" s="4">
        <v>10</v>
      </c>
    </row>
    <row r="101" spans="1:12">
      <c r="A101" t="s">
        <v>94</v>
      </c>
      <c r="B101" s="10">
        <v>45631</v>
      </c>
      <c r="C101" s="18">
        <f t="shared" si="1"/>
        <v>12</v>
      </c>
      <c r="D101" t="s">
        <v>165</v>
      </c>
      <c r="E101">
        <v>4879054</v>
      </c>
      <c r="F101" t="s">
        <v>87</v>
      </c>
      <c r="G101" t="s">
        <v>203</v>
      </c>
      <c r="H101" t="s">
        <v>240</v>
      </c>
      <c r="I101" s="4">
        <v>100638.28079999999</v>
      </c>
      <c r="J101" s="4">
        <v>603829.68479999993</v>
      </c>
      <c r="K101" s="4">
        <v>-26007.645599999996</v>
      </c>
      <c r="L101" s="4">
        <v>6</v>
      </c>
    </row>
    <row r="102" spans="1:12">
      <c r="A102" t="s">
        <v>94</v>
      </c>
      <c r="B102" s="10">
        <v>45631</v>
      </c>
      <c r="C102" s="18">
        <f t="shared" si="1"/>
        <v>12</v>
      </c>
      <c r="D102" t="s">
        <v>165</v>
      </c>
      <c r="E102">
        <v>4879054</v>
      </c>
      <c r="F102" t="s">
        <v>87</v>
      </c>
      <c r="G102" t="s">
        <v>203</v>
      </c>
      <c r="H102" t="s">
        <v>234</v>
      </c>
      <c r="I102" s="4">
        <v>100638.28079999999</v>
      </c>
      <c r="J102" s="4">
        <v>1006382.808</v>
      </c>
      <c r="K102" s="4">
        <v>-43346.076000000001</v>
      </c>
      <c r="L102" s="4">
        <v>10</v>
      </c>
    </row>
    <row r="103" spans="1:12">
      <c r="A103" t="s">
        <v>94</v>
      </c>
      <c r="B103" s="10">
        <v>45631</v>
      </c>
      <c r="C103" s="18">
        <f t="shared" si="1"/>
        <v>12</v>
      </c>
      <c r="D103" t="s">
        <v>165</v>
      </c>
      <c r="E103">
        <v>4879054</v>
      </c>
      <c r="F103" t="s">
        <v>87</v>
      </c>
      <c r="G103" t="s">
        <v>203</v>
      </c>
      <c r="H103" t="s">
        <v>224</v>
      </c>
      <c r="I103" s="4">
        <v>100638.28079999999</v>
      </c>
      <c r="J103" s="4">
        <v>603829.68479999993</v>
      </c>
      <c r="K103" s="4">
        <v>-26007.645599999996</v>
      </c>
      <c r="L103" s="4">
        <v>6</v>
      </c>
    </row>
    <row r="104" spans="1:12">
      <c r="A104" t="s">
        <v>94</v>
      </c>
      <c r="B104" s="10">
        <v>45631</v>
      </c>
      <c r="C104" s="18">
        <f t="shared" si="1"/>
        <v>12</v>
      </c>
      <c r="D104" t="s">
        <v>165</v>
      </c>
      <c r="E104">
        <v>4879054</v>
      </c>
      <c r="F104" t="s">
        <v>87</v>
      </c>
      <c r="G104" t="s">
        <v>203</v>
      </c>
      <c r="H104" t="s">
        <v>235</v>
      </c>
      <c r="I104" s="4">
        <v>125766.4408</v>
      </c>
      <c r="J104" s="4">
        <v>628832.20400000003</v>
      </c>
      <c r="K104" s="4">
        <v>-28269.18</v>
      </c>
      <c r="L104" s="4">
        <v>5</v>
      </c>
    </row>
    <row r="105" spans="1:12">
      <c r="A105" t="s">
        <v>94</v>
      </c>
      <c r="B105" s="10">
        <v>45631</v>
      </c>
      <c r="C105" s="18">
        <f t="shared" si="1"/>
        <v>12</v>
      </c>
      <c r="D105" t="s">
        <v>165</v>
      </c>
      <c r="E105">
        <v>4879054</v>
      </c>
      <c r="F105" t="s">
        <v>87</v>
      </c>
      <c r="G105" t="s">
        <v>203</v>
      </c>
      <c r="H105" t="s">
        <v>233</v>
      </c>
      <c r="I105" s="4">
        <v>120735.78316800001</v>
      </c>
      <c r="J105" s="4">
        <v>603678.91584000003</v>
      </c>
      <c r="K105" s="4">
        <v>-28269.18</v>
      </c>
      <c r="L105" s="4">
        <v>5</v>
      </c>
    </row>
    <row r="106" spans="1:12">
      <c r="A106" t="s">
        <v>94</v>
      </c>
      <c r="B106" s="10">
        <v>45631</v>
      </c>
      <c r="C106" s="18">
        <f t="shared" si="1"/>
        <v>12</v>
      </c>
      <c r="D106" t="s">
        <v>165</v>
      </c>
      <c r="E106">
        <v>4879054</v>
      </c>
      <c r="F106" t="s">
        <v>87</v>
      </c>
      <c r="G106" t="s">
        <v>203</v>
      </c>
      <c r="H106" t="s">
        <v>231</v>
      </c>
      <c r="I106" s="4">
        <v>125766.4408</v>
      </c>
      <c r="J106" s="4">
        <v>628832.20400000003</v>
      </c>
      <c r="K106" s="4">
        <v>-28269.18</v>
      </c>
      <c r="L106" s="4">
        <v>5</v>
      </c>
    </row>
    <row r="107" spans="1:12">
      <c r="A107" t="s">
        <v>94</v>
      </c>
      <c r="B107" s="10">
        <v>45631</v>
      </c>
      <c r="C107" s="18">
        <f t="shared" si="1"/>
        <v>12</v>
      </c>
      <c r="D107" t="s">
        <v>165</v>
      </c>
      <c r="E107">
        <v>4879054</v>
      </c>
      <c r="F107" t="s">
        <v>87</v>
      </c>
      <c r="G107" t="s">
        <v>203</v>
      </c>
      <c r="H107" t="s">
        <v>229</v>
      </c>
      <c r="I107" s="4">
        <v>125766.4408</v>
      </c>
      <c r="J107" s="4">
        <v>628832.20400000003</v>
      </c>
      <c r="K107" s="4">
        <v>-28269.18</v>
      </c>
      <c r="L107" s="4">
        <v>5</v>
      </c>
    </row>
    <row r="108" spans="1:12">
      <c r="A108" t="s">
        <v>94</v>
      </c>
      <c r="B108" s="10">
        <v>45631</v>
      </c>
      <c r="C108" s="18">
        <f t="shared" si="1"/>
        <v>12</v>
      </c>
      <c r="D108" t="s">
        <v>165</v>
      </c>
      <c r="E108">
        <v>4875847</v>
      </c>
      <c r="F108" t="s">
        <v>90</v>
      </c>
      <c r="G108" t="s">
        <v>203</v>
      </c>
      <c r="H108" t="s">
        <v>235</v>
      </c>
      <c r="I108" s="4">
        <v>125766.4408</v>
      </c>
      <c r="J108" s="4">
        <v>880365.08559999999</v>
      </c>
      <c r="K108" s="4">
        <v>-39576.851999999999</v>
      </c>
      <c r="L108" s="4">
        <v>7</v>
      </c>
    </row>
    <row r="109" spans="1:12">
      <c r="A109" t="s">
        <v>94</v>
      </c>
      <c r="B109" s="10">
        <v>45631</v>
      </c>
      <c r="C109" s="18">
        <f t="shared" si="1"/>
        <v>12</v>
      </c>
      <c r="D109" t="s">
        <v>165</v>
      </c>
      <c r="E109">
        <v>4875847</v>
      </c>
      <c r="F109" t="s">
        <v>90</v>
      </c>
      <c r="G109" t="s">
        <v>203</v>
      </c>
      <c r="H109" t="s">
        <v>231</v>
      </c>
      <c r="I109" s="4">
        <v>125766.4408</v>
      </c>
      <c r="J109" s="4">
        <v>1257664.4080000001</v>
      </c>
      <c r="K109" s="4">
        <v>-56538.36</v>
      </c>
      <c r="L109" s="4">
        <v>10</v>
      </c>
    </row>
    <row r="110" spans="1:12">
      <c r="A110" t="s">
        <v>94</v>
      </c>
      <c r="B110" s="10">
        <v>45631</v>
      </c>
      <c r="C110" s="18">
        <f t="shared" si="1"/>
        <v>12</v>
      </c>
      <c r="D110" t="s">
        <v>165</v>
      </c>
      <c r="E110">
        <v>4875847</v>
      </c>
      <c r="F110" t="s">
        <v>90</v>
      </c>
      <c r="G110" t="s">
        <v>203</v>
      </c>
      <c r="H110" t="s">
        <v>229</v>
      </c>
      <c r="I110" s="4">
        <v>125766.4408</v>
      </c>
      <c r="J110" s="4">
        <v>628832.20400000003</v>
      </c>
      <c r="K110" s="4">
        <v>-28269.18</v>
      </c>
      <c r="L110" s="4">
        <v>5</v>
      </c>
    </row>
    <row r="111" spans="1:12">
      <c r="A111" t="s">
        <v>94</v>
      </c>
      <c r="B111" s="10">
        <v>45637</v>
      </c>
      <c r="C111" s="18">
        <f t="shared" si="1"/>
        <v>12</v>
      </c>
      <c r="D111" t="s">
        <v>165</v>
      </c>
      <c r="E111">
        <v>4876170</v>
      </c>
      <c r="F111" t="s">
        <v>87</v>
      </c>
      <c r="G111" t="s">
        <v>203</v>
      </c>
      <c r="H111" t="s">
        <v>235</v>
      </c>
      <c r="I111" s="4">
        <v>125766.4408</v>
      </c>
      <c r="J111" s="4">
        <v>1006131.5264</v>
      </c>
      <c r="K111" s="4">
        <v>-45230.688000000002</v>
      </c>
      <c r="L111" s="4">
        <v>8</v>
      </c>
    </row>
    <row r="112" spans="1:12">
      <c r="A112" t="s">
        <v>94</v>
      </c>
      <c r="B112" s="10">
        <v>45637</v>
      </c>
      <c r="C112" s="18">
        <f t="shared" si="1"/>
        <v>12</v>
      </c>
      <c r="D112" t="s">
        <v>165</v>
      </c>
      <c r="E112">
        <v>4876170</v>
      </c>
      <c r="F112" t="s">
        <v>87</v>
      </c>
      <c r="G112" t="s">
        <v>203</v>
      </c>
      <c r="H112" t="s">
        <v>233</v>
      </c>
      <c r="I112" s="4">
        <v>120735.78316800001</v>
      </c>
      <c r="J112" s="4">
        <v>1207357.8316800001</v>
      </c>
      <c r="K112" s="4">
        <v>-56538.36</v>
      </c>
      <c r="L112" s="4">
        <v>10</v>
      </c>
    </row>
    <row r="113" spans="1:12">
      <c r="A113" t="s">
        <v>94</v>
      </c>
      <c r="B113" s="10">
        <v>45638</v>
      </c>
      <c r="C113" s="18">
        <f t="shared" si="1"/>
        <v>12</v>
      </c>
      <c r="D113" t="s">
        <v>165</v>
      </c>
      <c r="E113">
        <v>4876993</v>
      </c>
      <c r="F113" t="s">
        <v>87</v>
      </c>
      <c r="G113" t="s">
        <v>203</v>
      </c>
      <c r="H113" t="s">
        <v>242</v>
      </c>
      <c r="I113" s="4">
        <v>100638.28079999999</v>
      </c>
      <c r="J113" s="4">
        <v>201276.56159999999</v>
      </c>
      <c r="K113" s="4">
        <v>-8669.2151999999987</v>
      </c>
      <c r="L113" s="4">
        <v>2</v>
      </c>
    </row>
    <row r="114" spans="1:12">
      <c r="A114" t="s">
        <v>94</v>
      </c>
      <c r="B114" s="10">
        <v>45638</v>
      </c>
      <c r="C114" s="18">
        <f t="shared" si="1"/>
        <v>12</v>
      </c>
      <c r="D114" t="s">
        <v>165</v>
      </c>
      <c r="E114">
        <v>4876125</v>
      </c>
      <c r="F114" t="s">
        <v>87</v>
      </c>
      <c r="G114" t="s">
        <v>203</v>
      </c>
      <c r="H114" t="s">
        <v>242</v>
      </c>
      <c r="I114" s="4">
        <v>100638.28079999999</v>
      </c>
      <c r="J114" s="4">
        <v>603829.68479999993</v>
      </c>
      <c r="K114" s="4">
        <v>-26007.645599999996</v>
      </c>
      <c r="L114" s="4">
        <v>6</v>
      </c>
    </row>
    <row r="115" spans="1:12">
      <c r="A115" t="s">
        <v>94</v>
      </c>
      <c r="B115" s="10">
        <v>45638</v>
      </c>
      <c r="C115" s="18">
        <f t="shared" si="1"/>
        <v>12</v>
      </c>
      <c r="D115" t="s">
        <v>165</v>
      </c>
      <c r="E115">
        <v>4876125</v>
      </c>
      <c r="F115" t="s">
        <v>87</v>
      </c>
      <c r="G115" t="s">
        <v>203</v>
      </c>
      <c r="H115" t="s">
        <v>234</v>
      </c>
      <c r="I115" s="4">
        <v>100638.28079999999</v>
      </c>
      <c r="J115" s="4">
        <v>402553.12319999997</v>
      </c>
      <c r="K115" s="4">
        <v>-17338.430399999997</v>
      </c>
      <c r="L115" s="4">
        <v>4</v>
      </c>
    </row>
    <row r="116" spans="1:12">
      <c r="A116" t="s">
        <v>94</v>
      </c>
      <c r="B116" s="10">
        <v>45643</v>
      </c>
      <c r="C116" s="18">
        <f t="shared" si="1"/>
        <v>12</v>
      </c>
      <c r="D116" t="s">
        <v>165</v>
      </c>
      <c r="E116">
        <v>4875967</v>
      </c>
      <c r="F116" t="s">
        <v>87</v>
      </c>
      <c r="G116" t="s">
        <v>203</v>
      </c>
      <c r="H116" t="s">
        <v>242</v>
      </c>
      <c r="I116" s="4">
        <v>100638.28079999999</v>
      </c>
      <c r="J116" s="4">
        <v>201276.56159999999</v>
      </c>
      <c r="K116" s="4">
        <v>-8669.2151999999987</v>
      </c>
      <c r="L116" s="4">
        <v>2</v>
      </c>
    </row>
    <row r="117" spans="1:12">
      <c r="A117" t="s">
        <v>94</v>
      </c>
      <c r="B117" s="10">
        <v>45643</v>
      </c>
      <c r="C117" s="18">
        <f t="shared" si="1"/>
        <v>12</v>
      </c>
      <c r="D117" t="s">
        <v>165</v>
      </c>
      <c r="E117">
        <v>4875967</v>
      </c>
      <c r="F117" t="s">
        <v>87</v>
      </c>
      <c r="G117" t="s">
        <v>203</v>
      </c>
      <c r="H117" t="s">
        <v>234</v>
      </c>
      <c r="I117" s="4">
        <v>100638.28079999999</v>
      </c>
      <c r="J117" s="4">
        <v>201276.56159999999</v>
      </c>
      <c r="K117" s="4">
        <v>-8669.2151999999987</v>
      </c>
      <c r="L117" s="4">
        <v>2</v>
      </c>
    </row>
    <row r="118" spans="1:12">
      <c r="A118" t="s">
        <v>94</v>
      </c>
      <c r="B118" s="10">
        <v>45649</v>
      </c>
      <c r="C118" s="18">
        <f t="shared" si="1"/>
        <v>12</v>
      </c>
      <c r="D118" t="s">
        <v>165</v>
      </c>
      <c r="E118">
        <v>4876291</v>
      </c>
      <c r="F118" t="s">
        <v>87</v>
      </c>
      <c r="G118" t="s">
        <v>203</v>
      </c>
      <c r="H118" t="s">
        <v>242</v>
      </c>
      <c r="I118" s="4">
        <v>100638.28079999999</v>
      </c>
      <c r="J118" s="4">
        <v>603829.68479999993</v>
      </c>
      <c r="K118" s="4">
        <v>-26007.645599999996</v>
      </c>
      <c r="L118" s="4">
        <v>6</v>
      </c>
    </row>
    <row r="119" spans="1:12">
      <c r="A119" t="s">
        <v>94</v>
      </c>
      <c r="B119" s="10">
        <v>45649</v>
      </c>
      <c r="C119" s="18">
        <f t="shared" si="1"/>
        <v>12</v>
      </c>
      <c r="D119" t="s">
        <v>165</v>
      </c>
      <c r="E119">
        <v>4876291</v>
      </c>
      <c r="F119" t="s">
        <v>87</v>
      </c>
      <c r="G119" t="s">
        <v>203</v>
      </c>
      <c r="H119" t="s">
        <v>240</v>
      </c>
      <c r="I119" s="4">
        <v>100638.28079999999</v>
      </c>
      <c r="J119" s="4">
        <v>402553.12319999997</v>
      </c>
      <c r="K119" s="4">
        <v>-17338.430399999997</v>
      </c>
      <c r="L119" s="4">
        <v>4</v>
      </c>
    </row>
    <row r="120" spans="1:12">
      <c r="A120" t="s">
        <v>94</v>
      </c>
      <c r="B120" s="10">
        <v>45649</v>
      </c>
      <c r="C120" s="18">
        <f t="shared" si="1"/>
        <v>12</v>
      </c>
      <c r="D120" t="s">
        <v>165</v>
      </c>
      <c r="E120">
        <v>4876291</v>
      </c>
      <c r="F120" t="s">
        <v>87</v>
      </c>
      <c r="G120" t="s">
        <v>203</v>
      </c>
      <c r="H120" t="s">
        <v>232</v>
      </c>
      <c r="I120" s="4">
        <v>100638.28079999999</v>
      </c>
      <c r="J120" s="4">
        <v>1207659.3695999999</v>
      </c>
      <c r="K120" s="4">
        <v>-52015.291199999992</v>
      </c>
      <c r="L120" s="4">
        <v>12</v>
      </c>
    </row>
    <row r="121" spans="1:12">
      <c r="A121" t="s">
        <v>94</v>
      </c>
      <c r="B121" s="10">
        <v>45649</v>
      </c>
      <c r="C121" s="18">
        <f t="shared" si="1"/>
        <v>12</v>
      </c>
      <c r="D121" t="s">
        <v>165</v>
      </c>
      <c r="E121">
        <v>4876291</v>
      </c>
      <c r="F121" t="s">
        <v>87</v>
      </c>
      <c r="G121" t="s">
        <v>203</v>
      </c>
      <c r="H121" t="s">
        <v>230</v>
      </c>
      <c r="I121" s="4">
        <v>100638.28079999999</v>
      </c>
      <c r="J121" s="4">
        <v>603829.68479999993</v>
      </c>
      <c r="K121" s="4">
        <v>-26007.645599999996</v>
      </c>
      <c r="L121" s="4">
        <v>6</v>
      </c>
    </row>
    <row r="122" spans="1:12">
      <c r="A122" t="s">
        <v>94</v>
      </c>
      <c r="B122" s="10">
        <v>45652</v>
      </c>
      <c r="C122" s="18">
        <f t="shared" si="1"/>
        <v>12</v>
      </c>
      <c r="D122" t="s">
        <v>165</v>
      </c>
      <c r="E122">
        <v>6080862</v>
      </c>
      <c r="F122" t="s">
        <v>87</v>
      </c>
      <c r="G122" t="s">
        <v>203</v>
      </c>
      <c r="H122" t="s">
        <v>242</v>
      </c>
      <c r="I122" s="4">
        <v>100638.28079999999</v>
      </c>
      <c r="J122" s="4">
        <v>402553.12319999997</v>
      </c>
      <c r="K122" s="4">
        <v>-17338.430399999997</v>
      </c>
      <c r="L122" s="4">
        <v>4</v>
      </c>
    </row>
    <row r="123" spans="1:12">
      <c r="A123" t="s">
        <v>94</v>
      </c>
      <c r="B123" s="10">
        <v>45652</v>
      </c>
      <c r="C123" s="18">
        <f t="shared" si="1"/>
        <v>12</v>
      </c>
      <c r="D123" t="s">
        <v>165</v>
      </c>
      <c r="E123">
        <v>6080862</v>
      </c>
      <c r="F123" t="s">
        <v>87</v>
      </c>
      <c r="G123" t="s">
        <v>203</v>
      </c>
      <c r="H123" t="s">
        <v>234</v>
      </c>
      <c r="I123" s="4">
        <v>100638.28079999999</v>
      </c>
      <c r="J123" s="4">
        <v>603829.68479999993</v>
      </c>
      <c r="K123" s="4">
        <v>-26007.645599999996</v>
      </c>
      <c r="L123" s="4">
        <v>6</v>
      </c>
    </row>
    <row r="124" spans="1:12">
      <c r="A124" t="s">
        <v>94</v>
      </c>
      <c r="B124" s="10">
        <v>45653</v>
      </c>
      <c r="C124" s="18">
        <f t="shared" si="1"/>
        <v>12</v>
      </c>
      <c r="D124" t="s">
        <v>165</v>
      </c>
      <c r="E124">
        <v>4876215</v>
      </c>
      <c r="F124" t="s">
        <v>90</v>
      </c>
      <c r="G124" t="s">
        <v>203</v>
      </c>
      <c r="H124" t="s">
        <v>234</v>
      </c>
      <c r="I124" s="4">
        <v>100638.28079999999</v>
      </c>
      <c r="J124" s="4">
        <v>503191.40399999998</v>
      </c>
      <c r="K124" s="4">
        <v>-21673.038</v>
      </c>
      <c r="L124" s="4">
        <v>5</v>
      </c>
    </row>
    <row r="125" spans="1:12">
      <c r="A125" t="s">
        <v>94</v>
      </c>
      <c r="B125" s="10">
        <v>45653</v>
      </c>
      <c r="C125" s="18">
        <f t="shared" si="1"/>
        <v>12</v>
      </c>
      <c r="D125" t="s">
        <v>165</v>
      </c>
      <c r="E125">
        <v>4876215</v>
      </c>
      <c r="F125" t="s">
        <v>90</v>
      </c>
      <c r="G125" t="s">
        <v>203</v>
      </c>
      <c r="H125" t="s">
        <v>228</v>
      </c>
      <c r="I125" s="4">
        <v>100638.28079999999</v>
      </c>
      <c r="J125" s="4">
        <v>503191.40399999998</v>
      </c>
      <c r="K125" s="4">
        <v>-21673.038</v>
      </c>
      <c r="L125" s="4">
        <v>5</v>
      </c>
    </row>
    <row r="126" spans="1:12">
      <c r="A126" t="s">
        <v>95</v>
      </c>
      <c r="B126" s="10">
        <v>45630</v>
      </c>
      <c r="C126" s="18">
        <f t="shared" si="1"/>
        <v>12</v>
      </c>
      <c r="D126" t="s">
        <v>188</v>
      </c>
      <c r="E126">
        <v>6080791</v>
      </c>
      <c r="F126" t="s">
        <v>87</v>
      </c>
      <c r="G126" t="s">
        <v>203</v>
      </c>
      <c r="H126" t="s">
        <v>229</v>
      </c>
      <c r="I126" s="4">
        <v>125766.4408</v>
      </c>
      <c r="J126" s="4">
        <v>503065.76319999999</v>
      </c>
      <c r="L126" s="4">
        <v>4</v>
      </c>
    </row>
    <row r="127" spans="1:12">
      <c r="A127" t="s">
        <v>95</v>
      </c>
      <c r="B127" s="10">
        <v>45633</v>
      </c>
      <c r="C127" s="18">
        <f t="shared" si="1"/>
        <v>12</v>
      </c>
      <c r="D127" t="s">
        <v>188</v>
      </c>
      <c r="E127">
        <v>6080791</v>
      </c>
      <c r="F127" t="s">
        <v>87</v>
      </c>
      <c r="G127" t="s">
        <v>203</v>
      </c>
      <c r="H127" t="s">
        <v>229</v>
      </c>
      <c r="I127" s="4">
        <v>125766.4408</v>
      </c>
      <c r="J127" s="4">
        <v>251532.88159999999</v>
      </c>
      <c r="L127" s="4">
        <v>2</v>
      </c>
    </row>
    <row r="128" spans="1:12">
      <c r="A128" t="s">
        <v>95</v>
      </c>
      <c r="B128" s="10">
        <v>45640</v>
      </c>
      <c r="C128" s="18">
        <f t="shared" si="1"/>
        <v>12</v>
      </c>
      <c r="D128" t="s">
        <v>143</v>
      </c>
      <c r="E128">
        <v>4877018</v>
      </c>
      <c r="F128" t="s">
        <v>89</v>
      </c>
      <c r="G128" t="s">
        <v>203</v>
      </c>
      <c r="H128" t="s">
        <v>229</v>
      </c>
      <c r="I128" s="4">
        <v>125766.4408</v>
      </c>
      <c r="J128" s="4">
        <v>2389562.3752000001</v>
      </c>
      <c r="L128" s="4">
        <v>19</v>
      </c>
    </row>
    <row r="129" spans="1:12">
      <c r="A129" t="s">
        <v>95</v>
      </c>
      <c r="B129" s="10">
        <v>45643</v>
      </c>
      <c r="C129" s="18">
        <f t="shared" si="1"/>
        <v>12</v>
      </c>
      <c r="D129" t="s">
        <v>143</v>
      </c>
      <c r="E129">
        <v>6080791</v>
      </c>
      <c r="F129" t="s">
        <v>87</v>
      </c>
      <c r="G129" t="s">
        <v>203</v>
      </c>
      <c r="H129" t="s">
        <v>238</v>
      </c>
      <c r="I129" s="4">
        <v>95606.36675999999</v>
      </c>
      <c r="J129" s="4">
        <v>382425.46703999996</v>
      </c>
      <c r="L129" s="4">
        <v>4</v>
      </c>
    </row>
    <row r="130" spans="1:12">
      <c r="A130" t="s">
        <v>95</v>
      </c>
      <c r="B130" s="10">
        <v>45644</v>
      </c>
      <c r="C130" s="18">
        <f t="shared" ref="C130:C193" si="2">MONTH(B130)</f>
        <v>12</v>
      </c>
      <c r="D130" t="s">
        <v>142</v>
      </c>
      <c r="E130">
        <v>4877327</v>
      </c>
      <c r="F130" t="s">
        <v>90</v>
      </c>
      <c r="G130" t="s">
        <v>203</v>
      </c>
      <c r="H130" t="s">
        <v>234</v>
      </c>
      <c r="I130" s="4">
        <v>100638.28079999999</v>
      </c>
      <c r="J130" s="4">
        <v>201276.56159999999</v>
      </c>
      <c r="L130" s="4">
        <v>2</v>
      </c>
    </row>
    <row r="131" spans="1:12">
      <c r="A131" t="s">
        <v>95</v>
      </c>
      <c r="B131" s="10">
        <v>45644</v>
      </c>
      <c r="C131" s="18">
        <f t="shared" si="2"/>
        <v>12</v>
      </c>
      <c r="D131" t="s">
        <v>143</v>
      </c>
      <c r="E131">
        <v>4876241</v>
      </c>
      <c r="F131" t="s">
        <v>89</v>
      </c>
      <c r="G131" t="s">
        <v>203</v>
      </c>
      <c r="H131" t="s">
        <v>234</v>
      </c>
      <c r="I131" s="4">
        <v>100638.28079999999</v>
      </c>
      <c r="J131" s="4">
        <v>1006382.808</v>
      </c>
      <c r="L131" s="4">
        <v>10</v>
      </c>
    </row>
    <row r="132" spans="1:12">
      <c r="A132" t="s">
        <v>95</v>
      </c>
      <c r="B132" s="10">
        <v>45644</v>
      </c>
      <c r="C132" s="18">
        <f t="shared" si="2"/>
        <v>12</v>
      </c>
      <c r="D132" t="s">
        <v>143</v>
      </c>
      <c r="E132">
        <v>4876604</v>
      </c>
      <c r="F132" t="s">
        <v>87</v>
      </c>
      <c r="G132" t="s">
        <v>203</v>
      </c>
      <c r="H132" t="s">
        <v>238</v>
      </c>
      <c r="I132" s="4">
        <v>95606.36675999999</v>
      </c>
      <c r="J132" s="4">
        <v>573638.20055999991</v>
      </c>
      <c r="L132" s="4">
        <v>6</v>
      </c>
    </row>
    <row r="133" spans="1:12">
      <c r="A133" t="s">
        <v>95</v>
      </c>
      <c r="B133" s="10">
        <v>45644</v>
      </c>
      <c r="C133" s="18">
        <f t="shared" si="2"/>
        <v>12</v>
      </c>
      <c r="D133" t="s">
        <v>143</v>
      </c>
      <c r="E133">
        <v>4878866</v>
      </c>
      <c r="F133" t="s">
        <v>87</v>
      </c>
      <c r="G133" t="s">
        <v>203</v>
      </c>
      <c r="H133" t="s">
        <v>238</v>
      </c>
      <c r="I133" s="4">
        <v>95606.36675999999</v>
      </c>
      <c r="J133" s="4">
        <v>382425.46703999996</v>
      </c>
      <c r="L133" s="4">
        <v>4</v>
      </c>
    </row>
    <row r="134" spans="1:12">
      <c r="A134" t="s">
        <v>95</v>
      </c>
      <c r="B134" s="10">
        <v>45644</v>
      </c>
      <c r="C134" s="18">
        <f t="shared" si="2"/>
        <v>12</v>
      </c>
      <c r="D134" t="s">
        <v>144</v>
      </c>
      <c r="E134">
        <v>4876393</v>
      </c>
      <c r="F134" t="s">
        <v>87</v>
      </c>
      <c r="G134" t="s">
        <v>203</v>
      </c>
      <c r="H134" t="s">
        <v>234</v>
      </c>
      <c r="I134" s="4">
        <v>100638.28079999999</v>
      </c>
      <c r="J134" s="4">
        <v>603829.68479999993</v>
      </c>
      <c r="L134" s="4">
        <v>6</v>
      </c>
    </row>
    <row r="135" spans="1:12">
      <c r="A135" t="s">
        <v>95</v>
      </c>
      <c r="B135" s="10">
        <v>45645</v>
      </c>
      <c r="C135" s="18">
        <f t="shared" si="2"/>
        <v>12</v>
      </c>
      <c r="D135" t="s">
        <v>142</v>
      </c>
      <c r="E135">
        <v>4878040</v>
      </c>
      <c r="F135" t="s">
        <v>88</v>
      </c>
      <c r="G135" t="s">
        <v>203</v>
      </c>
      <c r="H135" t="s">
        <v>234</v>
      </c>
      <c r="I135" s="4">
        <v>100638.28079999999</v>
      </c>
      <c r="J135" s="4">
        <v>100638.28079999999</v>
      </c>
      <c r="L135" s="4">
        <v>1</v>
      </c>
    </row>
    <row r="136" spans="1:12">
      <c r="A136" t="s">
        <v>95</v>
      </c>
      <c r="B136" s="10">
        <v>45647</v>
      </c>
      <c r="C136" s="18">
        <f t="shared" si="2"/>
        <v>12</v>
      </c>
      <c r="D136" t="s">
        <v>142</v>
      </c>
      <c r="E136">
        <v>4876393</v>
      </c>
      <c r="F136" t="s">
        <v>87</v>
      </c>
      <c r="G136" t="s">
        <v>203</v>
      </c>
      <c r="H136" t="s">
        <v>238</v>
      </c>
      <c r="I136" s="4">
        <v>95606.36675999999</v>
      </c>
      <c r="J136" s="4">
        <v>382425.46703999996</v>
      </c>
      <c r="L136" s="4">
        <v>4</v>
      </c>
    </row>
    <row r="137" spans="1:12">
      <c r="A137" t="s">
        <v>95</v>
      </c>
      <c r="B137" s="10">
        <v>45647</v>
      </c>
      <c r="C137" s="18">
        <f t="shared" si="2"/>
        <v>12</v>
      </c>
      <c r="D137" t="s">
        <v>143</v>
      </c>
      <c r="E137">
        <v>6080791</v>
      </c>
      <c r="F137" t="s">
        <v>87</v>
      </c>
      <c r="G137" t="s">
        <v>203</v>
      </c>
      <c r="H137" t="s">
        <v>238</v>
      </c>
      <c r="I137" s="4">
        <v>95606.36675999999</v>
      </c>
      <c r="J137" s="4">
        <v>286819.10027999996</v>
      </c>
      <c r="L137" s="4">
        <v>3</v>
      </c>
    </row>
    <row r="138" spans="1:12">
      <c r="A138" t="s">
        <v>98</v>
      </c>
      <c r="B138" s="10">
        <v>45641</v>
      </c>
      <c r="C138" s="18">
        <f t="shared" si="2"/>
        <v>12</v>
      </c>
      <c r="D138" t="s">
        <v>201</v>
      </c>
      <c r="E138">
        <v>6486682</v>
      </c>
      <c r="F138" t="s">
        <v>88</v>
      </c>
      <c r="G138" t="s">
        <v>206</v>
      </c>
      <c r="H138" t="s">
        <v>209</v>
      </c>
      <c r="I138" s="4">
        <v>17715.352800000001</v>
      </c>
      <c r="J138" s="4">
        <v>1771535.28</v>
      </c>
      <c r="L138" s="4">
        <v>100</v>
      </c>
    </row>
    <row r="139" spans="1:12">
      <c r="A139" t="s">
        <v>98</v>
      </c>
      <c r="B139" s="10">
        <v>45649</v>
      </c>
      <c r="C139" s="18">
        <f t="shared" si="2"/>
        <v>12</v>
      </c>
      <c r="D139" t="s">
        <v>200</v>
      </c>
      <c r="E139">
        <v>6487044</v>
      </c>
      <c r="F139" t="s">
        <v>89</v>
      </c>
      <c r="G139" t="s">
        <v>206</v>
      </c>
      <c r="H139" t="s">
        <v>209</v>
      </c>
      <c r="I139" s="4">
        <v>17715.352800000001</v>
      </c>
      <c r="J139" s="4">
        <v>1771535.28</v>
      </c>
      <c r="L139" s="4">
        <v>100</v>
      </c>
    </row>
    <row r="140" spans="1:12">
      <c r="A140" t="s">
        <v>108</v>
      </c>
      <c r="B140" s="10">
        <v>45639</v>
      </c>
      <c r="C140" s="18">
        <f t="shared" si="2"/>
        <v>12</v>
      </c>
      <c r="D140" t="s">
        <v>197</v>
      </c>
      <c r="E140">
        <v>6960775</v>
      </c>
      <c r="F140" t="s">
        <v>89</v>
      </c>
      <c r="G140" t="s">
        <v>204</v>
      </c>
      <c r="H140" t="s">
        <v>221</v>
      </c>
      <c r="I140" s="4">
        <v>25253.800799999997</v>
      </c>
      <c r="J140" s="4">
        <v>252538.00799999997</v>
      </c>
      <c r="K140" s="4">
        <v>-12564.08</v>
      </c>
      <c r="L140" s="4">
        <v>10</v>
      </c>
    </row>
    <row r="141" spans="1:12">
      <c r="A141" t="s">
        <v>106</v>
      </c>
      <c r="B141" s="10">
        <v>45628</v>
      </c>
      <c r="C141" s="18">
        <f t="shared" si="2"/>
        <v>12</v>
      </c>
      <c r="D141" t="s">
        <v>135</v>
      </c>
      <c r="E141">
        <v>8213369</v>
      </c>
      <c r="F141" t="s">
        <v>87</v>
      </c>
      <c r="G141" t="s">
        <v>203</v>
      </c>
      <c r="H141" t="s">
        <v>230</v>
      </c>
      <c r="I141" s="4">
        <v>100638.28079999999</v>
      </c>
      <c r="J141" s="4">
        <v>603829.68479999993</v>
      </c>
      <c r="K141" s="4">
        <v>-26007.645599999996</v>
      </c>
      <c r="L141" s="4">
        <v>6</v>
      </c>
    </row>
    <row r="142" spans="1:12">
      <c r="A142" t="s">
        <v>106</v>
      </c>
      <c r="B142" s="10">
        <v>45628</v>
      </c>
      <c r="C142" s="18">
        <f t="shared" si="2"/>
        <v>12</v>
      </c>
      <c r="D142" t="s">
        <v>135</v>
      </c>
      <c r="E142">
        <v>8213369</v>
      </c>
      <c r="F142" t="s">
        <v>87</v>
      </c>
      <c r="G142" t="s">
        <v>203</v>
      </c>
      <c r="H142" t="s">
        <v>224</v>
      </c>
      <c r="I142" s="4">
        <v>100638.28079999999</v>
      </c>
      <c r="J142" s="4">
        <v>805106.24639999995</v>
      </c>
      <c r="K142" s="4">
        <v>-34676.860799999995</v>
      </c>
      <c r="L142" s="4">
        <v>8</v>
      </c>
    </row>
    <row r="143" spans="1:12">
      <c r="A143" t="s">
        <v>106</v>
      </c>
      <c r="B143" s="10">
        <v>45628</v>
      </c>
      <c r="C143" s="18">
        <f t="shared" si="2"/>
        <v>12</v>
      </c>
      <c r="D143" t="s">
        <v>135</v>
      </c>
      <c r="E143">
        <v>8213369</v>
      </c>
      <c r="F143" t="s">
        <v>87</v>
      </c>
      <c r="G143" t="s">
        <v>203</v>
      </c>
      <c r="H143" t="s">
        <v>241</v>
      </c>
      <c r="I143" s="4">
        <v>125766.4408</v>
      </c>
      <c r="J143" s="4">
        <v>251532.88159999999</v>
      </c>
      <c r="K143" s="4">
        <v>-11307.672</v>
      </c>
      <c r="L143" s="4">
        <v>2</v>
      </c>
    </row>
    <row r="144" spans="1:12">
      <c r="A144" t="s">
        <v>106</v>
      </c>
      <c r="B144" s="10">
        <v>45630</v>
      </c>
      <c r="C144" s="18">
        <f t="shared" si="2"/>
        <v>12</v>
      </c>
      <c r="D144" t="s">
        <v>135</v>
      </c>
      <c r="E144">
        <v>4872948</v>
      </c>
      <c r="F144" t="s">
        <v>88</v>
      </c>
      <c r="G144" t="s">
        <v>203</v>
      </c>
      <c r="H144" t="s">
        <v>228</v>
      </c>
      <c r="I144" s="4">
        <v>100638.28079999999</v>
      </c>
      <c r="J144" s="4">
        <v>603829.68479999993</v>
      </c>
      <c r="K144" s="4">
        <v>-26007.645599999996</v>
      </c>
      <c r="L144" s="4">
        <v>6</v>
      </c>
    </row>
    <row r="145" spans="1:12">
      <c r="A145" t="s">
        <v>106</v>
      </c>
      <c r="B145" s="10">
        <v>45630</v>
      </c>
      <c r="C145" s="18">
        <f t="shared" si="2"/>
        <v>12</v>
      </c>
      <c r="D145" t="s">
        <v>135</v>
      </c>
      <c r="E145">
        <v>4872948</v>
      </c>
      <c r="F145" t="s">
        <v>88</v>
      </c>
      <c r="G145" t="s">
        <v>203</v>
      </c>
      <c r="H145" t="s">
        <v>223</v>
      </c>
      <c r="I145" s="4">
        <v>100638.28079999999</v>
      </c>
      <c r="J145" s="4">
        <v>402553.12319999997</v>
      </c>
      <c r="K145" s="4">
        <v>-17338.430399999997</v>
      </c>
      <c r="L145" s="4">
        <v>4</v>
      </c>
    </row>
    <row r="146" spans="1:12">
      <c r="A146" t="s">
        <v>106</v>
      </c>
      <c r="B146" s="10">
        <v>45630</v>
      </c>
      <c r="C146" s="18">
        <f t="shared" si="2"/>
        <v>12</v>
      </c>
      <c r="D146" t="s">
        <v>135</v>
      </c>
      <c r="E146">
        <v>4872948</v>
      </c>
      <c r="F146" t="s">
        <v>88</v>
      </c>
      <c r="G146" t="s">
        <v>203</v>
      </c>
      <c r="H146" t="s">
        <v>241</v>
      </c>
      <c r="I146" s="4">
        <v>125766.4408</v>
      </c>
      <c r="J146" s="4">
        <v>251532.88159999999</v>
      </c>
      <c r="K146" s="4">
        <v>-11307.672</v>
      </c>
      <c r="L146" s="4">
        <v>2</v>
      </c>
    </row>
    <row r="147" spans="1:12">
      <c r="A147" t="s">
        <v>106</v>
      </c>
      <c r="B147" s="10">
        <v>45630</v>
      </c>
      <c r="C147" s="18">
        <f t="shared" si="2"/>
        <v>12</v>
      </c>
      <c r="D147" t="s">
        <v>135</v>
      </c>
      <c r="E147">
        <v>4872947</v>
      </c>
      <c r="F147" t="s">
        <v>88</v>
      </c>
      <c r="G147" t="s">
        <v>203</v>
      </c>
      <c r="H147" t="s">
        <v>238</v>
      </c>
      <c r="I147" s="4">
        <v>95606.36675999999</v>
      </c>
      <c r="J147" s="4">
        <v>573638.20055999991</v>
      </c>
      <c r="K147" s="4">
        <v>-26007.645599999996</v>
      </c>
      <c r="L147" s="4">
        <v>6</v>
      </c>
    </row>
    <row r="148" spans="1:12">
      <c r="A148" t="s">
        <v>106</v>
      </c>
      <c r="B148" s="10">
        <v>45630</v>
      </c>
      <c r="C148" s="18">
        <f t="shared" si="2"/>
        <v>12</v>
      </c>
      <c r="D148" t="s">
        <v>135</v>
      </c>
      <c r="E148">
        <v>4872947</v>
      </c>
      <c r="F148" t="s">
        <v>88</v>
      </c>
      <c r="G148" t="s">
        <v>203</v>
      </c>
      <c r="H148" t="s">
        <v>236</v>
      </c>
      <c r="I148" s="4">
        <v>100638.28079999999</v>
      </c>
      <c r="J148" s="4">
        <v>603829.68479999993</v>
      </c>
      <c r="K148" s="4">
        <v>-26007.645599999996</v>
      </c>
      <c r="L148" s="4">
        <v>6</v>
      </c>
    </row>
    <row r="149" spans="1:12">
      <c r="A149" t="s">
        <v>106</v>
      </c>
      <c r="B149" s="10">
        <v>45630</v>
      </c>
      <c r="C149" s="18">
        <f t="shared" si="2"/>
        <v>12</v>
      </c>
      <c r="D149" t="s">
        <v>135</v>
      </c>
      <c r="E149">
        <v>4872947</v>
      </c>
      <c r="F149" t="s">
        <v>88</v>
      </c>
      <c r="G149" t="s">
        <v>203</v>
      </c>
      <c r="H149" t="s">
        <v>232</v>
      </c>
      <c r="I149" s="4">
        <v>100638.28079999999</v>
      </c>
      <c r="J149" s="4">
        <v>603829.68479999993</v>
      </c>
      <c r="K149" s="4">
        <v>-26007.645599999996</v>
      </c>
      <c r="L149" s="4">
        <v>6</v>
      </c>
    </row>
    <row r="150" spans="1:12">
      <c r="A150" t="s">
        <v>106</v>
      </c>
      <c r="B150" s="10">
        <v>45630</v>
      </c>
      <c r="C150" s="18">
        <f t="shared" si="2"/>
        <v>12</v>
      </c>
      <c r="D150" t="s">
        <v>135</v>
      </c>
      <c r="E150">
        <v>4872947</v>
      </c>
      <c r="F150" t="s">
        <v>88</v>
      </c>
      <c r="G150" t="s">
        <v>203</v>
      </c>
      <c r="H150" t="s">
        <v>223</v>
      </c>
      <c r="I150" s="4">
        <v>100638.28079999999</v>
      </c>
      <c r="J150" s="4">
        <v>603829.68479999993</v>
      </c>
      <c r="K150" s="4">
        <v>-26007.645599999996</v>
      </c>
      <c r="L150" s="4">
        <v>6</v>
      </c>
    </row>
    <row r="151" spans="1:12">
      <c r="A151" t="s">
        <v>106</v>
      </c>
      <c r="B151" s="10">
        <v>45630</v>
      </c>
      <c r="C151" s="18">
        <f t="shared" si="2"/>
        <v>12</v>
      </c>
      <c r="D151" t="s">
        <v>135</v>
      </c>
      <c r="E151">
        <v>4872839</v>
      </c>
      <c r="F151" t="s">
        <v>89</v>
      </c>
      <c r="G151" t="s">
        <v>203</v>
      </c>
      <c r="H151" t="s">
        <v>225</v>
      </c>
      <c r="I151" s="4">
        <v>100638.28079999999</v>
      </c>
      <c r="J151" s="4">
        <v>1006382.808</v>
      </c>
      <c r="K151" s="4">
        <v>-43346.076000000001</v>
      </c>
      <c r="L151" s="4">
        <v>10</v>
      </c>
    </row>
    <row r="152" spans="1:12">
      <c r="A152" t="s">
        <v>106</v>
      </c>
      <c r="B152" s="10">
        <v>45632</v>
      </c>
      <c r="C152" s="18">
        <f t="shared" si="2"/>
        <v>12</v>
      </c>
      <c r="D152" t="s">
        <v>135</v>
      </c>
      <c r="E152">
        <v>4872613</v>
      </c>
      <c r="F152" t="s">
        <v>88</v>
      </c>
      <c r="G152" t="s">
        <v>203</v>
      </c>
      <c r="H152" t="s">
        <v>238</v>
      </c>
      <c r="I152" s="4">
        <v>95606.36675999999</v>
      </c>
      <c r="J152" s="4">
        <v>382425.46703999996</v>
      </c>
      <c r="K152" s="4">
        <v>-17338.430399999997</v>
      </c>
      <c r="L152" s="4">
        <v>4</v>
      </c>
    </row>
    <row r="153" spans="1:12">
      <c r="A153" t="s">
        <v>106</v>
      </c>
      <c r="B153" s="10">
        <v>45632</v>
      </c>
      <c r="C153" s="18">
        <f t="shared" si="2"/>
        <v>12</v>
      </c>
      <c r="D153" t="s">
        <v>135</v>
      </c>
      <c r="E153">
        <v>4872613</v>
      </c>
      <c r="F153" t="s">
        <v>88</v>
      </c>
      <c r="G153" t="s">
        <v>203</v>
      </c>
      <c r="H153" t="s">
        <v>232</v>
      </c>
      <c r="I153" s="4">
        <v>100638.28079999999</v>
      </c>
      <c r="J153" s="4">
        <v>402553.12319999997</v>
      </c>
      <c r="K153" s="4">
        <v>-17338.430399999997</v>
      </c>
      <c r="L153" s="4">
        <v>4</v>
      </c>
    </row>
    <row r="154" spans="1:12">
      <c r="A154" t="s">
        <v>106</v>
      </c>
      <c r="B154" s="10">
        <v>45632</v>
      </c>
      <c r="C154" s="18">
        <f t="shared" si="2"/>
        <v>12</v>
      </c>
      <c r="D154" t="s">
        <v>135</v>
      </c>
      <c r="E154">
        <v>4872613</v>
      </c>
      <c r="F154" t="s">
        <v>88</v>
      </c>
      <c r="G154" t="s">
        <v>203</v>
      </c>
      <c r="H154" t="s">
        <v>223</v>
      </c>
      <c r="I154" s="4">
        <v>100638.28079999999</v>
      </c>
      <c r="J154" s="4">
        <v>402553.12319999997</v>
      </c>
      <c r="K154" s="4">
        <v>-17338.430399999997</v>
      </c>
      <c r="L154" s="4">
        <v>4</v>
      </c>
    </row>
    <row r="155" spans="1:12">
      <c r="A155" t="s">
        <v>106</v>
      </c>
      <c r="B155" s="10">
        <v>45632</v>
      </c>
      <c r="C155" s="18">
        <f t="shared" si="2"/>
        <v>12</v>
      </c>
      <c r="D155" t="s">
        <v>135</v>
      </c>
      <c r="E155">
        <v>4876331</v>
      </c>
      <c r="F155" t="s">
        <v>89</v>
      </c>
      <c r="G155" t="s">
        <v>203</v>
      </c>
      <c r="H155" t="s">
        <v>242</v>
      </c>
      <c r="I155" s="4">
        <v>100638.28079999999</v>
      </c>
      <c r="J155" s="4">
        <v>2012765.6159999999</v>
      </c>
      <c r="K155" s="4">
        <v>-86692.152000000002</v>
      </c>
      <c r="L155" s="4">
        <v>20</v>
      </c>
    </row>
    <row r="156" spans="1:12">
      <c r="A156" t="s">
        <v>106</v>
      </c>
      <c r="B156" s="10">
        <v>45635</v>
      </c>
      <c r="C156" s="18">
        <f t="shared" si="2"/>
        <v>12</v>
      </c>
      <c r="D156" t="s">
        <v>135</v>
      </c>
      <c r="E156">
        <v>4878797</v>
      </c>
      <c r="F156" t="s">
        <v>88</v>
      </c>
      <c r="G156" t="s">
        <v>204</v>
      </c>
      <c r="H156" t="s">
        <v>219</v>
      </c>
      <c r="I156" s="4">
        <v>44099.9208</v>
      </c>
      <c r="J156" s="4">
        <v>529199.04960000003</v>
      </c>
      <c r="K156" s="4">
        <v>-22615.344000000001</v>
      </c>
      <c r="L156" s="4">
        <v>12</v>
      </c>
    </row>
    <row r="157" spans="1:12">
      <c r="A157" t="s">
        <v>106</v>
      </c>
      <c r="B157" s="10">
        <v>45636</v>
      </c>
      <c r="C157" s="18">
        <f t="shared" si="2"/>
        <v>12</v>
      </c>
      <c r="D157" t="s">
        <v>135</v>
      </c>
      <c r="E157">
        <v>4878797</v>
      </c>
      <c r="F157" t="s">
        <v>88</v>
      </c>
      <c r="G157" t="s">
        <v>204</v>
      </c>
      <c r="H157" t="s">
        <v>218</v>
      </c>
      <c r="I157" s="4">
        <v>71740.896800000002</v>
      </c>
      <c r="J157" s="4">
        <v>430445.38080000004</v>
      </c>
      <c r="K157" s="4">
        <v>-21484.576799999999</v>
      </c>
      <c r="L157" s="4">
        <v>6</v>
      </c>
    </row>
    <row r="158" spans="1:12">
      <c r="A158" t="s">
        <v>106</v>
      </c>
      <c r="B158" s="10">
        <v>45636</v>
      </c>
      <c r="C158" s="18">
        <f t="shared" si="2"/>
        <v>12</v>
      </c>
      <c r="D158" t="s">
        <v>135</v>
      </c>
      <c r="E158">
        <v>4879076</v>
      </c>
      <c r="F158" t="s">
        <v>88</v>
      </c>
      <c r="G158" t="s">
        <v>203</v>
      </c>
      <c r="H158" t="s">
        <v>228</v>
      </c>
      <c r="I158" s="4">
        <v>100638.28079999999</v>
      </c>
      <c r="J158" s="4">
        <v>402553.12319999997</v>
      </c>
      <c r="K158" s="4">
        <v>-17338.430399999997</v>
      </c>
      <c r="L158" s="4">
        <v>4</v>
      </c>
    </row>
    <row r="159" spans="1:12">
      <c r="A159" t="s">
        <v>106</v>
      </c>
      <c r="B159" s="10">
        <v>45636</v>
      </c>
      <c r="C159" s="18">
        <f t="shared" si="2"/>
        <v>12</v>
      </c>
      <c r="D159" t="s">
        <v>135</v>
      </c>
      <c r="E159">
        <v>4879076</v>
      </c>
      <c r="F159" t="s">
        <v>88</v>
      </c>
      <c r="G159" t="s">
        <v>203</v>
      </c>
      <c r="H159" t="s">
        <v>225</v>
      </c>
      <c r="I159" s="4">
        <v>100638.28079999999</v>
      </c>
      <c r="J159" s="4">
        <v>402553.12319999997</v>
      </c>
      <c r="K159" s="4">
        <v>-17338.430399999997</v>
      </c>
      <c r="L159" s="4">
        <v>4</v>
      </c>
    </row>
    <row r="160" spans="1:12">
      <c r="A160" t="s">
        <v>106</v>
      </c>
      <c r="B160" s="10">
        <v>45636</v>
      </c>
      <c r="C160" s="18">
        <f t="shared" si="2"/>
        <v>12</v>
      </c>
      <c r="D160" t="s">
        <v>135</v>
      </c>
      <c r="E160">
        <v>4879076</v>
      </c>
      <c r="F160" t="s">
        <v>88</v>
      </c>
      <c r="G160" t="s">
        <v>203</v>
      </c>
      <c r="H160" t="s">
        <v>223</v>
      </c>
      <c r="I160" s="4">
        <v>100638.28079999999</v>
      </c>
      <c r="J160" s="4">
        <v>402553.12319999997</v>
      </c>
      <c r="K160" s="4">
        <v>-17338.430399999997</v>
      </c>
      <c r="L160" s="4">
        <v>4</v>
      </c>
    </row>
    <row r="161" spans="1:12">
      <c r="A161" t="s">
        <v>106</v>
      </c>
      <c r="B161" s="10">
        <v>45636</v>
      </c>
      <c r="C161" s="18">
        <f t="shared" si="2"/>
        <v>12</v>
      </c>
      <c r="D161" t="s">
        <v>135</v>
      </c>
      <c r="E161">
        <v>4872585</v>
      </c>
      <c r="F161" t="s">
        <v>90</v>
      </c>
      <c r="G161" t="s">
        <v>204</v>
      </c>
      <c r="H161" t="s">
        <v>220</v>
      </c>
      <c r="I161" s="4">
        <v>37817.880799999999</v>
      </c>
      <c r="J161" s="4">
        <v>226907.28479999999</v>
      </c>
      <c r="K161" s="4">
        <v>-11307.672</v>
      </c>
      <c r="L161" s="4">
        <v>6</v>
      </c>
    </row>
    <row r="162" spans="1:12">
      <c r="A162" t="s">
        <v>106</v>
      </c>
      <c r="B162" s="10">
        <v>45636</v>
      </c>
      <c r="C162" s="18">
        <f t="shared" si="2"/>
        <v>12</v>
      </c>
      <c r="D162" t="s">
        <v>135</v>
      </c>
      <c r="E162">
        <v>4872844</v>
      </c>
      <c r="F162" t="s">
        <v>88</v>
      </c>
      <c r="G162" t="s">
        <v>204</v>
      </c>
      <c r="H162" t="s">
        <v>216</v>
      </c>
      <c r="I162" s="4">
        <v>113202.36079999999</v>
      </c>
      <c r="J162" s="4">
        <v>566011.804</v>
      </c>
      <c r="K162" s="4">
        <v>-28269.18</v>
      </c>
      <c r="L162" s="4">
        <v>5</v>
      </c>
    </row>
    <row r="163" spans="1:12">
      <c r="A163" t="s">
        <v>106</v>
      </c>
      <c r="B163" s="10">
        <v>45637</v>
      </c>
      <c r="C163" s="18">
        <f t="shared" si="2"/>
        <v>12</v>
      </c>
      <c r="D163" t="s">
        <v>135</v>
      </c>
      <c r="E163">
        <v>4872585</v>
      </c>
      <c r="F163" t="s">
        <v>90</v>
      </c>
      <c r="G163" t="s">
        <v>204</v>
      </c>
      <c r="H163" t="s">
        <v>221</v>
      </c>
      <c r="I163" s="4">
        <v>25253.800799999997</v>
      </c>
      <c r="J163" s="4">
        <v>25253.800799999997</v>
      </c>
      <c r="K163" s="4">
        <v>-1256.4080000000001</v>
      </c>
      <c r="L163" s="4">
        <v>1</v>
      </c>
    </row>
    <row r="164" spans="1:12">
      <c r="A164" t="s">
        <v>106</v>
      </c>
      <c r="B164" s="10">
        <v>45638</v>
      </c>
      <c r="C164" s="18">
        <f t="shared" si="2"/>
        <v>12</v>
      </c>
      <c r="D164" t="s">
        <v>135</v>
      </c>
      <c r="E164">
        <v>4878797</v>
      </c>
      <c r="F164" t="s">
        <v>88</v>
      </c>
      <c r="G164" t="s">
        <v>204</v>
      </c>
      <c r="H164" t="s">
        <v>218</v>
      </c>
      <c r="I164" s="4">
        <v>71740.896800000002</v>
      </c>
      <c r="J164" s="4">
        <v>430445.38080000004</v>
      </c>
      <c r="K164" s="4">
        <v>-21484.576799999999</v>
      </c>
      <c r="L164" s="4">
        <v>6</v>
      </c>
    </row>
    <row r="165" spans="1:12">
      <c r="A165" t="s">
        <v>106</v>
      </c>
      <c r="B165" s="10">
        <v>45638</v>
      </c>
      <c r="C165" s="18">
        <f t="shared" si="2"/>
        <v>12</v>
      </c>
      <c r="D165" t="s">
        <v>135</v>
      </c>
      <c r="E165">
        <v>4878797</v>
      </c>
      <c r="F165" t="s">
        <v>88</v>
      </c>
      <c r="G165" t="s">
        <v>202</v>
      </c>
      <c r="H165" t="s">
        <v>260</v>
      </c>
      <c r="I165" s="4">
        <v>41587.104800000001</v>
      </c>
      <c r="J165" s="4">
        <v>831742.09600000002</v>
      </c>
      <c r="K165" s="4">
        <v>-41461.464</v>
      </c>
      <c r="L165" s="4">
        <v>20</v>
      </c>
    </row>
    <row r="166" spans="1:12">
      <c r="A166" t="s">
        <v>106</v>
      </c>
      <c r="B166" s="10">
        <v>45638</v>
      </c>
      <c r="C166" s="18">
        <f t="shared" si="2"/>
        <v>12</v>
      </c>
      <c r="D166" t="s">
        <v>135</v>
      </c>
      <c r="E166">
        <v>6080798</v>
      </c>
      <c r="F166" t="s">
        <v>88</v>
      </c>
      <c r="G166" t="s">
        <v>203</v>
      </c>
      <c r="H166" t="s">
        <v>238</v>
      </c>
      <c r="I166" s="4">
        <v>95606.36675999999</v>
      </c>
      <c r="J166" s="4">
        <v>191212.73351999998</v>
      </c>
      <c r="K166" s="4">
        <v>-8669.2151999999987</v>
      </c>
      <c r="L166" s="4">
        <v>2</v>
      </c>
    </row>
    <row r="167" spans="1:12">
      <c r="A167" t="s">
        <v>106</v>
      </c>
      <c r="B167" s="10">
        <v>45638</v>
      </c>
      <c r="C167" s="18">
        <f t="shared" si="2"/>
        <v>12</v>
      </c>
      <c r="D167" t="s">
        <v>135</v>
      </c>
      <c r="E167">
        <v>6080798</v>
      </c>
      <c r="F167" t="s">
        <v>88</v>
      </c>
      <c r="G167" t="s">
        <v>203</v>
      </c>
      <c r="H167" t="s">
        <v>232</v>
      </c>
      <c r="I167" s="4">
        <v>100638.28079999999</v>
      </c>
      <c r="J167" s="4">
        <v>201276.56159999999</v>
      </c>
      <c r="K167" s="4">
        <v>-8669.2151999999987</v>
      </c>
      <c r="L167" s="4">
        <v>2</v>
      </c>
    </row>
    <row r="168" spans="1:12">
      <c r="A168" t="s">
        <v>106</v>
      </c>
      <c r="B168" s="10">
        <v>45638</v>
      </c>
      <c r="C168" s="18">
        <f t="shared" si="2"/>
        <v>12</v>
      </c>
      <c r="D168" t="s">
        <v>135</v>
      </c>
      <c r="E168">
        <v>6080798</v>
      </c>
      <c r="F168" t="s">
        <v>88</v>
      </c>
      <c r="G168" t="s">
        <v>203</v>
      </c>
      <c r="H168" t="s">
        <v>223</v>
      </c>
      <c r="I168" s="4">
        <v>100638.28079999999</v>
      </c>
      <c r="J168" s="4">
        <v>201276.56159999999</v>
      </c>
      <c r="K168" s="4">
        <v>-8669.2151999999987</v>
      </c>
      <c r="L168" s="4">
        <v>2</v>
      </c>
    </row>
    <row r="169" spans="1:12">
      <c r="A169" t="s">
        <v>106</v>
      </c>
      <c r="B169" s="10">
        <v>45638</v>
      </c>
      <c r="C169" s="18">
        <f t="shared" si="2"/>
        <v>12</v>
      </c>
      <c r="D169" t="s">
        <v>135</v>
      </c>
      <c r="E169">
        <v>4872844</v>
      </c>
      <c r="F169" t="s">
        <v>88</v>
      </c>
      <c r="G169" t="s">
        <v>203</v>
      </c>
      <c r="H169" t="s">
        <v>238</v>
      </c>
      <c r="I169" s="4">
        <v>95606.36675999999</v>
      </c>
      <c r="J169" s="4">
        <v>382425.46703999996</v>
      </c>
      <c r="K169" s="4">
        <v>-17338.430399999997</v>
      </c>
      <c r="L169" s="4">
        <v>4</v>
      </c>
    </row>
    <row r="170" spans="1:12">
      <c r="A170" t="s">
        <v>106</v>
      </c>
      <c r="B170" s="10">
        <v>45638</v>
      </c>
      <c r="C170" s="18">
        <f t="shared" si="2"/>
        <v>12</v>
      </c>
      <c r="D170" t="s">
        <v>135</v>
      </c>
      <c r="E170">
        <v>4872844</v>
      </c>
      <c r="F170" t="s">
        <v>88</v>
      </c>
      <c r="G170" t="s">
        <v>203</v>
      </c>
      <c r="H170" t="s">
        <v>232</v>
      </c>
      <c r="I170" s="4">
        <v>100638.28079999999</v>
      </c>
      <c r="J170" s="4">
        <v>402553.12319999997</v>
      </c>
      <c r="K170" s="4">
        <v>-17338.430399999997</v>
      </c>
      <c r="L170" s="4">
        <v>4</v>
      </c>
    </row>
    <row r="171" spans="1:12">
      <c r="A171" t="s">
        <v>106</v>
      </c>
      <c r="B171" s="10">
        <v>45638</v>
      </c>
      <c r="C171" s="18">
        <f t="shared" si="2"/>
        <v>12</v>
      </c>
      <c r="D171" t="s">
        <v>135</v>
      </c>
      <c r="E171">
        <v>4872844</v>
      </c>
      <c r="F171" t="s">
        <v>88</v>
      </c>
      <c r="G171" t="s">
        <v>203</v>
      </c>
      <c r="H171" t="s">
        <v>223</v>
      </c>
      <c r="I171" s="4">
        <v>100638.28079999999</v>
      </c>
      <c r="J171" s="4">
        <v>402553.12319999997</v>
      </c>
      <c r="K171" s="4">
        <v>-17338.430399999997</v>
      </c>
      <c r="L171" s="4">
        <v>4</v>
      </c>
    </row>
    <row r="172" spans="1:12">
      <c r="A172" t="s">
        <v>106</v>
      </c>
      <c r="B172" s="10">
        <v>45640</v>
      </c>
      <c r="C172" s="18">
        <f t="shared" si="2"/>
        <v>12</v>
      </c>
      <c r="D172" t="s">
        <v>135</v>
      </c>
      <c r="E172">
        <v>4873753</v>
      </c>
      <c r="F172" t="s">
        <v>88</v>
      </c>
      <c r="G172" t="s">
        <v>203</v>
      </c>
      <c r="H172" t="s">
        <v>232</v>
      </c>
      <c r="I172" s="4">
        <v>100638.28079999999</v>
      </c>
      <c r="J172" s="4">
        <v>1006382.808</v>
      </c>
      <c r="K172" s="4">
        <v>-43346.076000000001</v>
      </c>
      <c r="L172" s="4">
        <v>10</v>
      </c>
    </row>
    <row r="173" spans="1:12">
      <c r="A173" t="s">
        <v>106</v>
      </c>
      <c r="B173" s="10">
        <v>45640</v>
      </c>
      <c r="C173" s="18">
        <f t="shared" si="2"/>
        <v>12</v>
      </c>
      <c r="D173" t="s">
        <v>135</v>
      </c>
      <c r="E173">
        <v>4872844</v>
      </c>
      <c r="F173" t="s">
        <v>88</v>
      </c>
      <c r="G173" t="s">
        <v>204</v>
      </c>
      <c r="H173" t="s">
        <v>215</v>
      </c>
      <c r="I173" s="4">
        <v>75510.12079999999</v>
      </c>
      <c r="J173" s="4">
        <v>1132651.8119999999</v>
      </c>
      <c r="K173" s="4">
        <v>-56538.36</v>
      </c>
      <c r="L173" s="4">
        <v>15</v>
      </c>
    </row>
    <row r="174" spans="1:12">
      <c r="A174" t="s">
        <v>106</v>
      </c>
      <c r="B174" s="10">
        <v>45651</v>
      </c>
      <c r="C174" s="18">
        <f t="shared" si="2"/>
        <v>12</v>
      </c>
      <c r="D174" t="s">
        <v>135</v>
      </c>
      <c r="E174">
        <v>4878797</v>
      </c>
      <c r="F174" t="s">
        <v>88</v>
      </c>
      <c r="G174" t="s">
        <v>204</v>
      </c>
      <c r="H174" t="s">
        <v>218</v>
      </c>
      <c r="I174" s="4">
        <v>71740.896800000002</v>
      </c>
      <c r="J174" s="4">
        <v>215222.69040000002</v>
      </c>
      <c r="K174" s="4">
        <v>-10742.288399999999</v>
      </c>
      <c r="L174" s="4">
        <v>3</v>
      </c>
    </row>
    <row r="175" spans="1:12">
      <c r="A175" t="s">
        <v>106</v>
      </c>
      <c r="B175" s="10">
        <v>45651</v>
      </c>
      <c r="C175" s="18">
        <f t="shared" si="2"/>
        <v>12</v>
      </c>
      <c r="D175" t="s">
        <v>135</v>
      </c>
      <c r="E175">
        <v>4878723</v>
      </c>
      <c r="F175" t="s">
        <v>90</v>
      </c>
      <c r="G175" t="s">
        <v>203</v>
      </c>
      <c r="H175" t="s">
        <v>244</v>
      </c>
      <c r="I175" s="4">
        <v>125766.4408</v>
      </c>
      <c r="J175" s="4">
        <v>-251532.88159999999</v>
      </c>
      <c r="K175" s="4">
        <v>11307.672</v>
      </c>
      <c r="L175" s="4">
        <v>-2</v>
      </c>
    </row>
    <row r="176" spans="1:12">
      <c r="A176" t="s">
        <v>106</v>
      </c>
      <c r="B176" s="10">
        <v>45656</v>
      </c>
      <c r="C176" s="18">
        <f t="shared" si="2"/>
        <v>12</v>
      </c>
      <c r="D176" t="s">
        <v>135</v>
      </c>
      <c r="E176">
        <v>4879076</v>
      </c>
      <c r="F176" t="s">
        <v>88</v>
      </c>
      <c r="G176" t="s">
        <v>203</v>
      </c>
      <c r="H176" t="s">
        <v>232</v>
      </c>
      <c r="I176" s="4">
        <v>100638.28079999999</v>
      </c>
      <c r="J176" s="4">
        <v>402553.12319999997</v>
      </c>
      <c r="K176" s="4">
        <v>-17338.430399999997</v>
      </c>
      <c r="L176" s="4">
        <v>4</v>
      </c>
    </row>
    <row r="177" spans="1:12">
      <c r="A177" t="s">
        <v>106</v>
      </c>
      <c r="B177" s="10">
        <v>45656</v>
      </c>
      <c r="C177" s="18">
        <f t="shared" si="2"/>
        <v>12</v>
      </c>
      <c r="D177" t="s">
        <v>135</v>
      </c>
      <c r="E177">
        <v>4879076</v>
      </c>
      <c r="F177" t="s">
        <v>88</v>
      </c>
      <c r="G177" t="s">
        <v>203</v>
      </c>
      <c r="H177" t="s">
        <v>228</v>
      </c>
      <c r="I177" s="4">
        <v>100638.28079999999</v>
      </c>
      <c r="J177" s="4">
        <v>402553.12319999997</v>
      </c>
      <c r="K177" s="4">
        <v>-17338.430399999997</v>
      </c>
      <c r="L177" s="4">
        <v>4</v>
      </c>
    </row>
    <row r="178" spans="1:12">
      <c r="A178" t="s">
        <v>106</v>
      </c>
      <c r="B178" s="10">
        <v>45656</v>
      </c>
      <c r="C178" s="18">
        <f t="shared" si="2"/>
        <v>12</v>
      </c>
      <c r="D178" t="s">
        <v>135</v>
      </c>
      <c r="E178">
        <v>4879076</v>
      </c>
      <c r="F178" t="s">
        <v>88</v>
      </c>
      <c r="G178" t="s">
        <v>203</v>
      </c>
      <c r="H178" t="s">
        <v>223</v>
      </c>
      <c r="I178" s="4">
        <v>100638.28079999999</v>
      </c>
      <c r="J178" s="4">
        <v>402553.12319999997</v>
      </c>
      <c r="K178" s="4">
        <v>-17338.430399999997</v>
      </c>
      <c r="L178" s="4">
        <v>4</v>
      </c>
    </row>
    <row r="179" spans="1:12">
      <c r="A179" t="s">
        <v>105</v>
      </c>
      <c r="B179" s="10">
        <v>45600</v>
      </c>
      <c r="C179" s="18">
        <f t="shared" si="2"/>
        <v>11</v>
      </c>
      <c r="D179" t="s">
        <v>186</v>
      </c>
      <c r="E179">
        <v>6080604</v>
      </c>
      <c r="F179" t="s">
        <v>8</v>
      </c>
      <c r="G179" t="s">
        <v>202</v>
      </c>
      <c r="H179" t="s">
        <v>261</v>
      </c>
      <c r="I179" s="4">
        <v>41587.104800000001</v>
      </c>
      <c r="J179" s="4">
        <v>831742.09600000002</v>
      </c>
      <c r="L179" s="4">
        <v>20</v>
      </c>
    </row>
    <row r="180" spans="1:12">
      <c r="A180" t="s">
        <v>105</v>
      </c>
      <c r="B180" s="10">
        <v>45604</v>
      </c>
      <c r="C180" s="18">
        <f t="shared" si="2"/>
        <v>11</v>
      </c>
      <c r="D180" t="s">
        <v>129</v>
      </c>
      <c r="E180">
        <v>4876376</v>
      </c>
      <c r="F180" t="s">
        <v>8</v>
      </c>
      <c r="G180" t="s">
        <v>203</v>
      </c>
      <c r="H180" t="s">
        <v>232</v>
      </c>
      <c r="I180" s="4">
        <v>100638.28079999999</v>
      </c>
      <c r="J180" s="4">
        <v>201276.56159999999</v>
      </c>
      <c r="L180" s="4">
        <v>2</v>
      </c>
    </row>
    <row r="181" spans="1:12">
      <c r="A181" t="s">
        <v>105</v>
      </c>
      <c r="B181" s="10">
        <v>45604</v>
      </c>
      <c r="C181" s="18">
        <f t="shared" si="2"/>
        <v>11</v>
      </c>
      <c r="D181" t="s">
        <v>129</v>
      </c>
      <c r="E181">
        <v>4876376</v>
      </c>
      <c r="F181" t="s">
        <v>8</v>
      </c>
      <c r="G181" t="s">
        <v>203</v>
      </c>
      <c r="H181" t="s">
        <v>230</v>
      </c>
      <c r="I181" s="4">
        <v>100638.28079999999</v>
      </c>
      <c r="J181" s="4">
        <v>201276.56159999999</v>
      </c>
      <c r="L181" s="4">
        <v>2</v>
      </c>
    </row>
    <row r="182" spans="1:12">
      <c r="A182" t="s">
        <v>105</v>
      </c>
      <c r="B182" s="10">
        <v>45604</v>
      </c>
      <c r="C182" s="18">
        <f t="shared" si="2"/>
        <v>11</v>
      </c>
      <c r="D182" t="s">
        <v>129</v>
      </c>
      <c r="E182">
        <v>4877196</v>
      </c>
      <c r="F182" t="s">
        <v>8</v>
      </c>
      <c r="G182" t="s">
        <v>203</v>
      </c>
      <c r="H182" t="s">
        <v>234</v>
      </c>
      <c r="I182" s="4">
        <v>100638.28079999999</v>
      </c>
      <c r="J182" s="4">
        <v>603829.68479999993</v>
      </c>
      <c r="L182" s="4">
        <v>6</v>
      </c>
    </row>
    <row r="183" spans="1:12">
      <c r="A183" t="s">
        <v>105</v>
      </c>
      <c r="B183" s="10">
        <v>45604</v>
      </c>
      <c r="C183" s="18">
        <f t="shared" si="2"/>
        <v>11</v>
      </c>
      <c r="D183" t="s">
        <v>129</v>
      </c>
      <c r="E183">
        <v>4877196</v>
      </c>
      <c r="F183" t="s">
        <v>8</v>
      </c>
      <c r="G183" t="s">
        <v>203</v>
      </c>
      <c r="H183" t="s">
        <v>232</v>
      </c>
      <c r="I183" s="4">
        <v>100638.28079999999</v>
      </c>
      <c r="J183" s="4">
        <v>603829.68479999993</v>
      </c>
      <c r="L183" s="4">
        <v>6</v>
      </c>
    </row>
    <row r="184" spans="1:12">
      <c r="A184" t="s">
        <v>105</v>
      </c>
      <c r="B184" s="10">
        <v>45604</v>
      </c>
      <c r="C184" s="18">
        <f t="shared" si="2"/>
        <v>11</v>
      </c>
      <c r="D184" t="s">
        <v>129</v>
      </c>
      <c r="E184">
        <v>4877196</v>
      </c>
      <c r="F184" t="s">
        <v>8</v>
      </c>
      <c r="G184" t="s">
        <v>203</v>
      </c>
      <c r="H184" t="s">
        <v>230</v>
      </c>
      <c r="I184" s="4">
        <v>100638.28079999999</v>
      </c>
      <c r="J184" s="4">
        <v>1207659.3695999999</v>
      </c>
      <c r="L184" s="4">
        <v>12</v>
      </c>
    </row>
    <row r="185" spans="1:12">
      <c r="A185" t="s">
        <v>105</v>
      </c>
      <c r="B185" s="10">
        <v>45604</v>
      </c>
      <c r="C185" s="18">
        <f t="shared" si="2"/>
        <v>11</v>
      </c>
      <c r="D185" t="s">
        <v>129</v>
      </c>
      <c r="E185">
        <v>4877196</v>
      </c>
      <c r="F185" t="s">
        <v>8</v>
      </c>
      <c r="G185" t="s">
        <v>203</v>
      </c>
      <c r="H185" t="s">
        <v>228</v>
      </c>
      <c r="I185" s="4">
        <v>100638.28079999999</v>
      </c>
      <c r="J185" s="4">
        <v>603829.68479999993</v>
      </c>
      <c r="L185" s="4">
        <v>6</v>
      </c>
    </row>
    <row r="186" spans="1:12">
      <c r="A186" t="s">
        <v>105</v>
      </c>
      <c r="B186" s="10">
        <v>45607</v>
      </c>
      <c r="C186" s="18">
        <f t="shared" si="2"/>
        <v>11</v>
      </c>
      <c r="D186" t="s">
        <v>186</v>
      </c>
      <c r="E186">
        <v>4877187</v>
      </c>
      <c r="F186" t="s">
        <v>8</v>
      </c>
      <c r="G186" t="s">
        <v>204</v>
      </c>
      <c r="H186" t="s">
        <v>214</v>
      </c>
      <c r="I186" s="4">
        <v>119484.4008</v>
      </c>
      <c r="J186" s="4">
        <v>716906.40480000002</v>
      </c>
      <c r="L186" s="4">
        <v>6</v>
      </c>
    </row>
    <row r="187" spans="1:12">
      <c r="A187" t="s">
        <v>105</v>
      </c>
      <c r="B187" s="10">
        <v>45607</v>
      </c>
      <c r="C187" s="18">
        <f t="shared" si="2"/>
        <v>11</v>
      </c>
      <c r="D187" t="s">
        <v>186</v>
      </c>
      <c r="E187">
        <v>4877187</v>
      </c>
      <c r="F187" t="s">
        <v>8</v>
      </c>
      <c r="G187" t="s">
        <v>204</v>
      </c>
      <c r="H187" t="s">
        <v>221</v>
      </c>
      <c r="I187" s="4">
        <v>25253.800799999997</v>
      </c>
      <c r="J187" s="4">
        <v>50507.601599999995</v>
      </c>
      <c r="L187" s="4">
        <v>2</v>
      </c>
    </row>
    <row r="188" spans="1:12">
      <c r="A188" t="s">
        <v>105</v>
      </c>
      <c r="B188" s="10">
        <v>45608</v>
      </c>
      <c r="C188" s="18">
        <f t="shared" si="2"/>
        <v>11</v>
      </c>
      <c r="D188" t="s">
        <v>129</v>
      </c>
      <c r="E188">
        <v>4878181</v>
      </c>
      <c r="F188" t="s">
        <v>8</v>
      </c>
      <c r="G188" t="s">
        <v>203</v>
      </c>
      <c r="H188" t="s">
        <v>240</v>
      </c>
      <c r="I188" s="4">
        <v>100638.28079999999</v>
      </c>
      <c r="J188" s="4">
        <v>402553.12319999997</v>
      </c>
      <c r="L188" s="4">
        <v>4</v>
      </c>
    </row>
    <row r="189" spans="1:12">
      <c r="A189" t="s">
        <v>105</v>
      </c>
      <c r="B189" s="10">
        <v>45608</v>
      </c>
      <c r="C189" s="18">
        <f t="shared" si="2"/>
        <v>11</v>
      </c>
      <c r="D189" t="s">
        <v>129</v>
      </c>
      <c r="E189">
        <v>4878181</v>
      </c>
      <c r="F189" t="s">
        <v>8</v>
      </c>
      <c r="G189" t="s">
        <v>203</v>
      </c>
      <c r="H189" t="s">
        <v>238</v>
      </c>
      <c r="I189" s="4">
        <v>95606.36675999999</v>
      </c>
      <c r="J189" s="4">
        <v>382425.46703999996</v>
      </c>
      <c r="L189" s="4">
        <v>4</v>
      </c>
    </row>
    <row r="190" spans="1:12">
      <c r="A190" t="s">
        <v>105</v>
      </c>
      <c r="B190" s="10">
        <v>45608</v>
      </c>
      <c r="C190" s="18">
        <f t="shared" si="2"/>
        <v>11</v>
      </c>
      <c r="D190" t="s">
        <v>129</v>
      </c>
      <c r="E190">
        <v>4878181</v>
      </c>
      <c r="F190" t="s">
        <v>8</v>
      </c>
      <c r="G190" t="s">
        <v>203</v>
      </c>
      <c r="H190" t="s">
        <v>232</v>
      </c>
      <c r="I190" s="4">
        <v>100638.28079999999</v>
      </c>
      <c r="J190" s="4">
        <v>402553.12319999997</v>
      </c>
      <c r="L190" s="4">
        <v>4</v>
      </c>
    </row>
    <row r="191" spans="1:12">
      <c r="A191" t="s">
        <v>105</v>
      </c>
      <c r="B191" s="10">
        <v>45608</v>
      </c>
      <c r="C191" s="18">
        <f t="shared" si="2"/>
        <v>11</v>
      </c>
      <c r="D191" t="s">
        <v>129</v>
      </c>
      <c r="E191">
        <v>4878181</v>
      </c>
      <c r="F191" t="s">
        <v>8</v>
      </c>
      <c r="G191" t="s">
        <v>203</v>
      </c>
      <c r="H191" t="s">
        <v>230</v>
      </c>
      <c r="I191" s="4">
        <v>100638.28079999999</v>
      </c>
      <c r="J191" s="4">
        <v>402553.12319999997</v>
      </c>
      <c r="L191" s="4">
        <v>4</v>
      </c>
    </row>
    <row r="192" spans="1:12">
      <c r="A192" t="s">
        <v>105</v>
      </c>
      <c r="B192" s="10">
        <v>45608</v>
      </c>
      <c r="C192" s="18">
        <f t="shared" si="2"/>
        <v>11</v>
      </c>
      <c r="D192" t="s">
        <v>129</v>
      </c>
      <c r="E192">
        <v>4876376</v>
      </c>
      <c r="F192" t="s">
        <v>8</v>
      </c>
      <c r="G192" t="s">
        <v>203</v>
      </c>
      <c r="H192" t="s">
        <v>239</v>
      </c>
      <c r="I192" s="4">
        <v>125766.4408</v>
      </c>
      <c r="J192" s="4">
        <v>125766.4408</v>
      </c>
      <c r="L192" s="4">
        <v>1</v>
      </c>
    </row>
    <row r="193" spans="1:12">
      <c r="A193" t="s">
        <v>105</v>
      </c>
      <c r="B193" s="10">
        <v>45608</v>
      </c>
      <c r="C193" s="18">
        <f t="shared" si="2"/>
        <v>11</v>
      </c>
      <c r="D193" t="s">
        <v>129</v>
      </c>
      <c r="E193">
        <v>4876376</v>
      </c>
      <c r="F193" t="s">
        <v>8</v>
      </c>
      <c r="G193" t="s">
        <v>203</v>
      </c>
      <c r="H193" t="s">
        <v>237</v>
      </c>
      <c r="I193" s="4">
        <v>125766.4408</v>
      </c>
      <c r="J193" s="4">
        <v>125766.4408</v>
      </c>
      <c r="L193" s="4">
        <v>1</v>
      </c>
    </row>
    <row r="194" spans="1:12">
      <c r="A194" t="s">
        <v>105</v>
      </c>
      <c r="B194" s="10">
        <v>45608</v>
      </c>
      <c r="C194" s="18">
        <f t="shared" ref="C194:C257" si="3">MONTH(B194)</f>
        <v>11</v>
      </c>
      <c r="D194" t="s">
        <v>129</v>
      </c>
      <c r="E194">
        <v>4875084</v>
      </c>
      <c r="F194" t="s">
        <v>8</v>
      </c>
      <c r="G194" t="s">
        <v>203</v>
      </c>
      <c r="H194" t="s">
        <v>240</v>
      </c>
      <c r="I194" s="4">
        <v>100638.28079999999</v>
      </c>
      <c r="J194" s="4">
        <v>201276.56159999999</v>
      </c>
      <c r="L194" s="4">
        <v>2</v>
      </c>
    </row>
    <row r="195" spans="1:12">
      <c r="A195" t="s">
        <v>105</v>
      </c>
      <c r="B195" s="10">
        <v>45608</v>
      </c>
      <c r="C195" s="18">
        <f t="shared" si="3"/>
        <v>11</v>
      </c>
      <c r="D195" t="s">
        <v>129</v>
      </c>
      <c r="E195">
        <v>4875084</v>
      </c>
      <c r="F195" t="s">
        <v>8</v>
      </c>
      <c r="G195" t="s">
        <v>203</v>
      </c>
      <c r="H195" t="s">
        <v>238</v>
      </c>
      <c r="I195" s="4">
        <v>95606.36675999999</v>
      </c>
      <c r="J195" s="4">
        <v>191212.73351999998</v>
      </c>
      <c r="L195" s="4">
        <v>2</v>
      </c>
    </row>
    <row r="196" spans="1:12">
      <c r="A196" t="s">
        <v>105</v>
      </c>
      <c r="B196" s="10">
        <v>45608</v>
      </c>
      <c r="C196" s="18">
        <f t="shared" si="3"/>
        <v>11</v>
      </c>
      <c r="D196" t="s">
        <v>128</v>
      </c>
      <c r="E196">
        <v>6893143</v>
      </c>
      <c r="F196" t="s">
        <v>8</v>
      </c>
      <c r="G196" t="s">
        <v>203</v>
      </c>
      <c r="H196" t="s">
        <v>240</v>
      </c>
      <c r="I196" s="4">
        <v>100638.28079999999</v>
      </c>
      <c r="J196" s="4">
        <v>402553.12319999997</v>
      </c>
      <c r="K196" s="4">
        <v>-16102.124928000001</v>
      </c>
      <c r="L196" s="4">
        <v>4</v>
      </c>
    </row>
    <row r="197" spans="1:12">
      <c r="A197" t="s">
        <v>105</v>
      </c>
      <c r="B197" s="10">
        <v>45608</v>
      </c>
      <c r="C197" s="18">
        <f t="shared" si="3"/>
        <v>11</v>
      </c>
      <c r="D197" t="s">
        <v>128</v>
      </c>
      <c r="E197">
        <v>6893143</v>
      </c>
      <c r="F197" t="s">
        <v>8</v>
      </c>
      <c r="G197" t="s">
        <v>203</v>
      </c>
      <c r="H197" t="s">
        <v>238</v>
      </c>
      <c r="I197" s="4">
        <v>95606.36675999999</v>
      </c>
      <c r="J197" s="4">
        <v>382425.46703999996</v>
      </c>
      <c r="K197" s="4">
        <v>-16102.124928000001</v>
      </c>
      <c r="L197" s="4">
        <v>4</v>
      </c>
    </row>
    <row r="198" spans="1:12">
      <c r="A198" t="s">
        <v>105</v>
      </c>
      <c r="B198" s="10">
        <v>45608</v>
      </c>
      <c r="C198" s="18">
        <f t="shared" si="3"/>
        <v>11</v>
      </c>
      <c r="D198" t="s">
        <v>128</v>
      </c>
      <c r="E198">
        <v>6893143</v>
      </c>
      <c r="F198" t="s">
        <v>8</v>
      </c>
      <c r="G198" t="s">
        <v>203</v>
      </c>
      <c r="H198" t="s">
        <v>232</v>
      </c>
      <c r="I198" s="4">
        <v>100638.28079999999</v>
      </c>
      <c r="J198" s="4">
        <v>402553.12319999997</v>
      </c>
      <c r="K198" s="4">
        <v>-16102.124928000001</v>
      </c>
      <c r="L198" s="4">
        <v>4</v>
      </c>
    </row>
    <row r="199" spans="1:12">
      <c r="A199" t="s">
        <v>105</v>
      </c>
      <c r="B199" s="10">
        <v>45608</v>
      </c>
      <c r="C199" s="18">
        <f t="shared" si="3"/>
        <v>11</v>
      </c>
      <c r="D199" t="s">
        <v>128</v>
      </c>
      <c r="E199">
        <v>6893143</v>
      </c>
      <c r="F199" t="s">
        <v>8</v>
      </c>
      <c r="G199" t="s">
        <v>203</v>
      </c>
      <c r="H199" t="s">
        <v>230</v>
      </c>
      <c r="I199" s="4">
        <v>100638.28079999999</v>
      </c>
      <c r="J199" s="4">
        <v>402553.12319999997</v>
      </c>
      <c r="K199" s="4">
        <v>-16102.124928000001</v>
      </c>
      <c r="L199" s="4">
        <v>4</v>
      </c>
    </row>
    <row r="200" spans="1:12">
      <c r="A200" t="s">
        <v>105</v>
      </c>
      <c r="B200" s="10">
        <v>45608</v>
      </c>
      <c r="C200" s="18">
        <f t="shared" si="3"/>
        <v>11</v>
      </c>
      <c r="D200" t="s">
        <v>128</v>
      </c>
      <c r="E200">
        <v>6893143</v>
      </c>
      <c r="F200" t="s">
        <v>8</v>
      </c>
      <c r="G200" t="s">
        <v>203</v>
      </c>
      <c r="H200" t="s">
        <v>239</v>
      </c>
      <c r="I200" s="4">
        <v>125766.4408</v>
      </c>
      <c r="J200" s="4">
        <v>251532.88159999999</v>
      </c>
      <c r="K200" s="4">
        <v>-10061.315263999999</v>
      </c>
      <c r="L200" s="4">
        <v>2</v>
      </c>
    </row>
    <row r="201" spans="1:12">
      <c r="A201" t="s">
        <v>105</v>
      </c>
      <c r="B201" s="10">
        <v>45608</v>
      </c>
      <c r="C201" s="18">
        <f t="shared" si="3"/>
        <v>11</v>
      </c>
      <c r="D201" t="s">
        <v>128</v>
      </c>
      <c r="E201">
        <v>6893143</v>
      </c>
      <c r="F201" t="s">
        <v>8</v>
      </c>
      <c r="G201" t="s">
        <v>203</v>
      </c>
      <c r="H201" t="s">
        <v>237</v>
      </c>
      <c r="I201" s="4">
        <v>125766.4408</v>
      </c>
      <c r="J201" s="4">
        <v>251532.88159999999</v>
      </c>
      <c r="K201" s="4">
        <v>-10061.315263999999</v>
      </c>
      <c r="L201" s="4">
        <v>2</v>
      </c>
    </row>
    <row r="202" spans="1:12">
      <c r="A202" t="s">
        <v>105</v>
      </c>
      <c r="B202" s="10">
        <v>45608</v>
      </c>
      <c r="C202" s="18">
        <f t="shared" si="3"/>
        <v>11</v>
      </c>
      <c r="D202" t="s">
        <v>128</v>
      </c>
      <c r="E202">
        <v>6893143</v>
      </c>
      <c r="F202" t="s">
        <v>8</v>
      </c>
      <c r="G202" t="s">
        <v>203</v>
      </c>
      <c r="H202" t="s">
        <v>231</v>
      </c>
      <c r="I202" s="4">
        <v>125766.4408</v>
      </c>
      <c r="J202" s="4">
        <v>251532.88159999999</v>
      </c>
      <c r="K202" s="4">
        <v>-10061.315263999999</v>
      </c>
      <c r="L202" s="4">
        <v>2</v>
      </c>
    </row>
    <row r="203" spans="1:12">
      <c r="A203" t="s">
        <v>105</v>
      </c>
      <c r="B203" s="10">
        <v>45608</v>
      </c>
      <c r="C203" s="18">
        <f t="shared" si="3"/>
        <v>11</v>
      </c>
      <c r="D203" t="s">
        <v>128</v>
      </c>
      <c r="E203">
        <v>6893143</v>
      </c>
      <c r="F203" t="s">
        <v>8</v>
      </c>
      <c r="G203" t="s">
        <v>203</v>
      </c>
      <c r="H203" t="s">
        <v>229</v>
      </c>
      <c r="I203" s="4">
        <v>125766.4408</v>
      </c>
      <c r="J203" s="4">
        <v>251532.88159999999</v>
      </c>
      <c r="K203" s="4">
        <v>-10061.315263999999</v>
      </c>
      <c r="L203" s="4">
        <v>2</v>
      </c>
    </row>
    <row r="204" spans="1:12">
      <c r="A204" t="s">
        <v>105</v>
      </c>
      <c r="B204" s="10">
        <v>45611</v>
      </c>
      <c r="C204" s="18">
        <f t="shared" si="3"/>
        <v>11</v>
      </c>
      <c r="D204" t="s">
        <v>132</v>
      </c>
      <c r="E204">
        <v>4878731</v>
      </c>
      <c r="F204" t="s">
        <v>8</v>
      </c>
      <c r="G204" t="s">
        <v>203</v>
      </c>
      <c r="H204" t="s">
        <v>239</v>
      </c>
      <c r="I204" s="4">
        <v>125766.4408</v>
      </c>
      <c r="J204" s="4">
        <v>251532.88159999999</v>
      </c>
      <c r="L204" s="4">
        <v>2</v>
      </c>
    </row>
    <row r="205" spans="1:12">
      <c r="A205" t="s">
        <v>105</v>
      </c>
      <c r="B205" s="10">
        <v>45611</v>
      </c>
      <c r="C205" s="18">
        <f t="shared" si="3"/>
        <v>11</v>
      </c>
      <c r="D205" t="s">
        <v>132</v>
      </c>
      <c r="E205">
        <v>4878731</v>
      </c>
      <c r="F205" t="s">
        <v>8</v>
      </c>
      <c r="G205" t="s">
        <v>203</v>
      </c>
      <c r="H205" t="s">
        <v>237</v>
      </c>
      <c r="I205" s="4">
        <v>125766.4408</v>
      </c>
      <c r="J205" s="4">
        <v>251532.88159999999</v>
      </c>
      <c r="L205" s="4">
        <v>2</v>
      </c>
    </row>
    <row r="206" spans="1:12">
      <c r="A206" t="s">
        <v>105</v>
      </c>
      <c r="B206" s="10">
        <v>45611</v>
      </c>
      <c r="C206" s="18">
        <f t="shared" si="3"/>
        <v>11</v>
      </c>
      <c r="D206" t="s">
        <v>132</v>
      </c>
      <c r="E206">
        <v>4878731</v>
      </c>
      <c r="F206" t="s">
        <v>8</v>
      </c>
      <c r="G206" t="s">
        <v>203</v>
      </c>
      <c r="H206" t="s">
        <v>233</v>
      </c>
      <c r="I206" s="4">
        <v>120735.78316800001</v>
      </c>
      <c r="J206" s="4">
        <v>241471.56633600002</v>
      </c>
      <c r="L206" s="4">
        <v>2</v>
      </c>
    </row>
    <row r="207" spans="1:12">
      <c r="A207" t="s">
        <v>105</v>
      </c>
      <c r="B207" s="10">
        <v>45614</v>
      </c>
      <c r="C207" s="18">
        <f t="shared" si="3"/>
        <v>11</v>
      </c>
      <c r="D207" t="s">
        <v>186</v>
      </c>
      <c r="E207">
        <v>4876516</v>
      </c>
      <c r="F207" t="s">
        <v>8</v>
      </c>
      <c r="G207" t="s">
        <v>206</v>
      </c>
      <c r="H207" t="s">
        <v>250</v>
      </c>
      <c r="I207" s="4">
        <v>17715.352800000001</v>
      </c>
      <c r="J207" s="4">
        <v>478314.52559999999</v>
      </c>
      <c r="L207" s="4">
        <v>27</v>
      </c>
    </row>
    <row r="208" spans="1:12">
      <c r="A208" t="s">
        <v>105</v>
      </c>
      <c r="B208" s="10">
        <v>45615</v>
      </c>
      <c r="C208" s="18">
        <f t="shared" si="3"/>
        <v>11</v>
      </c>
      <c r="D208" t="s">
        <v>129</v>
      </c>
      <c r="E208">
        <v>4878181</v>
      </c>
      <c r="F208" t="s">
        <v>8</v>
      </c>
      <c r="G208" t="s">
        <v>203</v>
      </c>
      <c r="H208" t="s">
        <v>241</v>
      </c>
      <c r="I208" s="4">
        <v>125766.4408</v>
      </c>
      <c r="J208" s="4">
        <v>125766.4408</v>
      </c>
      <c r="L208" s="4">
        <v>1</v>
      </c>
    </row>
    <row r="209" spans="1:12">
      <c r="A209" t="s">
        <v>105</v>
      </c>
      <c r="B209" s="10">
        <v>45615</v>
      </c>
      <c r="C209" s="18">
        <f t="shared" si="3"/>
        <v>11</v>
      </c>
      <c r="D209" t="s">
        <v>129</v>
      </c>
      <c r="E209">
        <v>4878181</v>
      </c>
      <c r="F209" t="s">
        <v>8</v>
      </c>
      <c r="G209" t="s">
        <v>203</v>
      </c>
      <c r="H209" t="s">
        <v>239</v>
      </c>
      <c r="I209" s="4">
        <v>125766.4408</v>
      </c>
      <c r="J209" s="4">
        <v>125766.4408</v>
      </c>
      <c r="L209" s="4">
        <v>1</v>
      </c>
    </row>
    <row r="210" spans="1:12">
      <c r="A210" t="s">
        <v>105</v>
      </c>
      <c r="B210" s="10">
        <v>45615</v>
      </c>
      <c r="C210" s="18">
        <f t="shared" si="3"/>
        <v>11</v>
      </c>
      <c r="D210" t="s">
        <v>129</v>
      </c>
      <c r="E210">
        <v>4878181</v>
      </c>
      <c r="F210" t="s">
        <v>8</v>
      </c>
      <c r="G210" t="s">
        <v>203</v>
      </c>
      <c r="H210" t="s">
        <v>235</v>
      </c>
      <c r="I210" s="4">
        <v>125766.4408</v>
      </c>
      <c r="J210" s="4">
        <v>125766.4408</v>
      </c>
      <c r="L210" s="4">
        <v>1</v>
      </c>
    </row>
    <row r="211" spans="1:12">
      <c r="A211" t="s">
        <v>105</v>
      </c>
      <c r="B211" s="10">
        <v>45615</v>
      </c>
      <c r="C211" s="18">
        <f t="shared" si="3"/>
        <v>11</v>
      </c>
      <c r="D211" t="s">
        <v>129</v>
      </c>
      <c r="E211">
        <v>4878181</v>
      </c>
      <c r="F211" t="s">
        <v>8</v>
      </c>
      <c r="G211" t="s">
        <v>203</v>
      </c>
      <c r="H211" t="s">
        <v>233</v>
      </c>
      <c r="I211" s="4">
        <v>120735.78316800001</v>
      </c>
      <c r="J211" s="4">
        <v>120735.78316800001</v>
      </c>
      <c r="L211" s="4">
        <v>1</v>
      </c>
    </row>
    <row r="212" spans="1:12">
      <c r="A212" t="s">
        <v>105</v>
      </c>
      <c r="B212" s="10">
        <v>45615</v>
      </c>
      <c r="C212" s="18">
        <f t="shared" si="3"/>
        <v>11</v>
      </c>
      <c r="D212" t="s">
        <v>186</v>
      </c>
      <c r="E212">
        <v>6080604</v>
      </c>
      <c r="F212" t="s">
        <v>8</v>
      </c>
      <c r="G212" t="s">
        <v>206</v>
      </c>
      <c r="H212" t="s">
        <v>249</v>
      </c>
      <c r="I212" s="4">
        <v>17715.352800000001</v>
      </c>
      <c r="J212" s="4">
        <v>885767.64</v>
      </c>
      <c r="L212" s="4">
        <v>50</v>
      </c>
    </row>
    <row r="213" spans="1:12">
      <c r="A213" t="s">
        <v>105</v>
      </c>
      <c r="B213" s="10">
        <v>45615</v>
      </c>
      <c r="C213" s="18">
        <f t="shared" si="3"/>
        <v>11</v>
      </c>
      <c r="D213" t="s">
        <v>186</v>
      </c>
      <c r="E213">
        <v>6080604</v>
      </c>
      <c r="F213" t="s">
        <v>8</v>
      </c>
      <c r="G213" t="s">
        <v>206</v>
      </c>
      <c r="H213" t="s">
        <v>209</v>
      </c>
      <c r="I213" s="4">
        <v>17715.352800000001</v>
      </c>
      <c r="J213" s="4">
        <v>885767.64</v>
      </c>
      <c r="L213" s="4">
        <v>50</v>
      </c>
    </row>
    <row r="214" spans="1:12">
      <c r="A214" t="s">
        <v>105</v>
      </c>
      <c r="B214" s="10">
        <v>45601</v>
      </c>
      <c r="C214" s="18">
        <f t="shared" si="3"/>
        <v>11</v>
      </c>
      <c r="D214" t="s">
        <v>125</v>
      </c>
      <c r="E214">
        <v>6992965</v>
      </c>
      <c r="F214" t="s">
        <v>8</v>
      </c>
      <c r="G214" t="s">
        <v>203</v>
      </c>
      <c r="H214" t="s">
        <v>224</v>
      </c>
      <c r="I214" s="4">
        <v>100638.28079999999</v>
      </c>
      <c r="J214" s="4">
        <v>201276.56159999999</v>
      </c>
      <c r="L214" s="4">
        <v>2</v>
      </c>
    </row>
    <row r="215" spans="1:12">
      <c r="A215" t="s">
        <v>105</v>
      </c>
      <c r="B215" s="10">
        <v>45601</v>
      </c>
      <c r="C215" s="18">
        <f t="shared" si="3"/>
        <v>11</v>
      </c>
      <c r="D215" t="s">
        <v>125</v>
      </c>
      <c r="E215">
        <v>6992965</v>
      </c>
      <c r="F215" t="s">
        <v>8</v>
      </c>
      <c r="G215" t="s">
        <v>203</v>
      </c>
      <c r="H215" t="s">
        <v>223</v>
      </c>
      <c r="I215" s="4">
        <v>100638.28079999999</v>
      </c>
      <c r="J215" s="4">
        <v>201276.56159999999</v>
      </c>
      <c r="L215" s="4">
        <v>2</v>
      </c>
    </row>
    <row r="216" spans="1:12">
      <c r="A216" t="s">
        <v>105</v>
      </c>
      <c r="B216" s="10">
        <v>45601</v>
      </c>
      <c r="C216" s="18">
        <f t="shared" si="3"/>
        <v>11</v>
      </c>
      <c r="D216" t="s">
        <v>125</v>
      </c>
      <c r="E216">
        <v>6992965</v>
      </c>
      <c r="F216" t="s">
        <v>8</v>
      </c>
      <c r="G216" t="s">
        <v>203</v>
      </c>
      <c r="H216" t="s">
        <v>244</v>
      </c>
      <c r="I216" s="4">
        <v>125766.4408</v>
      </c>
      <c r="J216" s="4">
        <v>251532.88159999999</v>
      </c>
      <c r="L216" s="4">
        <v>2</v>
      </c>
    </row>
    <row r="217" spans="1:12">
      <c r="A217" t="s">
        <v>105</v>
      </c>
      <c r="B217" s="10">
        <v>45603</v>
      </c>
      <c r="C217" s="18">
        <f t="shared" si="3"/>
        <v>11</v>
      </c>
      <c r="D217" t="s">
        <v>110</v>
      </c>
      <c r="E217">
        <v>4878172</v>
      </c>
      <c r="F217" t="s">
        <v>8</v>
      </c>
      <c r="G217" t="s">
        <v>203</v>
      </c>
      <c r="H217" t="s">
        <v>224</v>
      </c>
      <c r="I217" s="4">
        <v>100638.28079999999</v>
      </c>
      <c r="J217" s="4">
        <v>402553.12319999997</v>
      </c>
      <c r="L217" s="4">
        <v>4</v>
      </c>
    </row>
    <row r="218" spans="1:12">
      <c r="A218" t="s">
        <v>105</v>
      </c>
      <c r="B218" s="10">
        <v>45603</v>
      </c>
      <c r="C218" s="18">
        <f t="shared" si="3"/>
        <v>11</v>
      </c>
      <c r="D218" t="s">
        <v>110</v>
      </c>
      <c r="E218">
        <v>4878172</v>
      </c>
      <c r="F218" t="s">
        <v>8</v>
      </c>
      <c r="G218" t="s">
        <v>203</v>
      </c>
      <c r="H218" t="s">
        <v>223</v>
      </c>
      <c r="I218" s="4">
        <v>100638.28079999999</v>
      </c>
      <c r="J218" s="4">
        <v>402553.12319999997</v>
      </c>
      <c r="L218" s="4">
        <v>4</v>
      </c>
    </row>
    <row r="219" spans="1:12">
      <c r="A219" t="s">
        <v>105</v>
      </c>
      <c r="B219" s="10">
        <v>45603</v>
      </c>
      <c r="C219" s="18">
        <f t="shared" si="3"/>
        <v>11</v>
      </c>
      <c r="D219" t="s">
        <v>112</v>
      </c>
      <c r="E219">
        <v>4877603</v>
      </c>
      <c r="F219" t="s">
        <v>8</v>
      </c>
      <c r="G219" t="s">
        <v>203</v>
      </c>
      <c r="H219" t="s">
        <v>230</v>
      </c>
      <c r="I219" s="4">
        <v>100638.28079999999</v>
      </c>
      <c r="J219" s="4">
        <v>201276.56159999999</v>
      </c>
      <c r="L219" s="4">
        <v>2</v>
      </c>
    </row>
    <row r="220" spans="1:12">
      <c r="A220" t="s">
        <v>105</v>
      </c>
      <c r="B220" s="10">
        <v>45603</v>
      </c>
      <c r="C220" s="18">
        <f t="shared" si="3"/>
        <v>11</v>
      </c>
      <c r="D220" t="s">
        <v>112</v>
      </c>
      <c r="E220">
        <v>4877603</v>
      </c>
      <c r="F220" t="s">
        <v>8</v>
      </c>
      <c r="G220" t="s">
        <v>203</v>
      </c>
      <c r="H220" t="s">
        <v>224</v>
      </c>
      <c r="I220" s="4">
        <v>100638.28079999999</v>
      </c>
      <c r="J220" s="4">
        <v>201276.56159999999</v>
      </c>
      <c r="L220" s="4">
        <v>2</v>
      </c>
    </row>
    <row r="221" spans="1:12">
      <c r="A221" t="s">
        <v>105</v>
      </c>
      <c r="B221" s="10">
        <v>45603</v>
      </c>
      <c r="C221" s="18">
        <f t="shared" si="3"/>
        <v>11</v>
      </c>
      <c r="D221" t="s">
        <v>112</v>
      </c>
      <c r="E221">
        <v>4877603</v>
      </c>
      <c r="F221" t="s">
        <v>8</v>
      </c>
      <c r="G221" t="s">
        <v>203</v>
      </c>
      <c r="H221" t="s">
        <v>223</v>
      </c>
      <c r="I221" s="4">
        <v>100638.28079999999</v>
      </c>
      <c r="J221" s="4">
        <v>201276.56159999999</v>
      </c>
      <c r="L221" s="4">
        <v>2</v>
      </c>
    </row>
    <row r="222" spans="1:12">
      <c r="A222" t="s">
        <v>105</v>
      </c>
      <c r="B222" s="10">
        <v>45603</v>
      </c>
      <c r="C222" s="18">
        <f t="shared" si="3"/>
        <v>11</v>
      </c>
      <c r="D222" t="s">
        <v>118</v>
      </c>
      <c r="E222">
        <v>4877628</v>
      </c>
      <c r="F222" t="s">
        <v>8</v>
      </c>
      <c r="G222" t="s">
        <v>203</v>
      </c>
      <c r="H222" t="s">
        <v>223</v>
      </c>
      <c r="I222" s="4">
        <v>100638.28079999999</v>
      </c>
      <c r="J222" s="4">
        <v>402553.12319999997</v>
      </c>
      <c r="L222" s="4">
        <v>4</v>
      </c>
    </row>
    <row r="223" spans="1:12">
      <c r="A223" t="s">
        <v>105</v>
      </c>
      <c r="B223" s="10">
        <v>45605</v>
      </c>
      <c r="C223" s="18">
        <f t="shared" si="3"/>
        <v>11</v>
      </c>
      <c r="D223" t="s">
        <v>110</v>
      </c>
      <c r="E223">
        <v>7675600</v>
      </c>
      <c r="F223" t="s">
        <v>8</v>
      </c>
      <c r="G223" t="s">
        <v>203</v>
      </c>
      <c r="H223" t="s">
        <v>230</v>
      </c>
      <c r="I223" s="4">
        <v>100638.28079999999</v>
      </c>
      <c r="J223" s="4">
        <v>201276.56159999999</v>
      </c>
      <c r="L223" s="4">
        <v>2</v>
      </c>
    </row>
    <row r="224" spans="1:12">
      <c r="A224" t="s">
        <v>105</v>
      </c>
      <c r="B224" s="10">
        <v>45605</v>
      </c>
      <c r="C224" s="18">
        <f t="shared" si="3"/>
        <v>11</v>
      </c>
      <c r="D224" t="s">
        <v>116</v>
      </c>
      <c r="E224">
        <v>4878477</v>
      </c>
      <c r="F224" t="s">
        <v>8</v>
      </c>
      <c r="G224" t="s">
        <v>203</v>
      </c>
      <c r="H224" t="s">
        <v>230</v>
      </c>
      <c r="I224" s="4">
        <v>100638.28079999999</v>
      </c>
      <c r="J224" s="4">
        <v>402553.12319999997</v>
      </c>
      <c r="L224" s="4">
        <v>4</v>
      </c>
    </row>
    <row r="225" spans="1:12">
      <c r="A225" t="s">
        <v>105</v>
      </c>
      <c r="B225" s="10">
        <v>45605</v>
      </c>
      <c r="C225" s="18">
        <f t="shared" si="3"/>
        <v>11</v>
      </c>
      <c r="D225" t="s">
        <v>116</v>
      </c>
      <c r="E225">
        <v>4878477</v>
      </c>
      <c r="F225" t="s">
        <v>8</v>
      </c>
      <c r="G225" t="s">
        <v>203</v>
      </c>
      <c r="H225" t="s">
        <v>223</v>
      </c>
      <c r="I225" s="4">
        <v>100638.28079999999</v>
      </c>
      <c r="J225" s="4">
        <v>402553.12319999997</v>
      </c>
      <c r="L225" s="4">
        <v>4</v>
      </c>
    </row>
    <row r="226" spans="1:12">
      <c r="A226" t="s">
        <v>105</v>
      </c>
      <c r="B226" s="10">
        <v>45608</v>
      </c>
      <c r="C226" s="18">
        <f t="shared" si="3"/>
        <v>11</v>
      </c>
      <c r="D226" t="s">
        <v>125</v>
      </c>
      <c r="E226">
        <v>6992965</v>
      </c>
      <c r="F226" t="s">
        <v>8</v>
      </c>
      <c r="G226" t="s">
        <v>203</v>
      </c>
      <c r="H226" t="s">
        <v>244</v>
      </c>
      <c r="I226" s="4">
        <v>125766.4408</v>
      </c>
      <c r="J226" s="4">
        <v>251532.88159999999</v>
      </c>
      <c r="L226" s="4">
        <v>2</v>
      </c>
    </row>
    <row r="227" spans="1:12">
      <c r="A227" t="s">
        <v>105</v>
      </c>
      <c r="B227" s="10">
        <v>45609</v>
      </c>
      <c r="C227" s="18">
        <f t="shared" si="3"/>
        <v>11</v>
      </c>
      <c r="D227" t="s">
        <v>125</v>
      </c>
      <c r="E227">
        <v>6992965</v>
      </c>
      <c r="F227" t="s">
        <v>8</v>
      </c>
      <c r="G227" t="s">
        <v>203</v>
      </c>
      <c r="H227" t="s">
        <v>244</v>
      </c>
      <c r="I227" s="4">
        <v>125766.4408</v>
      </c>
      <c r="J227" s="4">
        <v>251532.88159999999</v>
      </c>
      <c r="L227" s="4">
        <v>2</v>
      </c>
    </row>
    <row r="228" spans="1:12">
      <c r="A228" t="s">
        <v>105</v>
      </c>
      <c r="B228" s="10">
        <v>45611</v>
      </c>
      <c r="C228" s="18">
        <f t="shared" si="3"/>
        <v>11</v>
      </c>
      <c r="D228" t="s">
        <v>114</v>
      </c>
      <c r="E228">
        <v>4878058</v>
      </c>
      <c r="F228" t="s">
        <v>8</v>
      </c>
      <c r="G228" t="s">
        <v>203</v>
      </c>
      <c r="H228" t="s">
        <v>230</v>
      </c>
      <c r="I228" s="4">
        <v>100638.28079999999</v>
      </c>
      <c r="J228" s="4">
        <v>201276.56159999999</v>
      </c>
      <c r="L228" s="4">
        <v>2</v>
      </c>
    </row>
    <row r="229" spans="1:12">
      <c r="A229" t="s">
        <v>105</v>
      </c>
      <c r="B229" s="10">
        <v>45611</v>
      </c>
      <c r="C229" s="18">
        <f t="shared" si="3"/>
        <v>11</v>
      </c>
      <c r="D229" t="s">
        <v>114</v>
      </c>
      <c r="E229">
        <v>4878058</v>
      </c>
      <c r="F229" t="s">
        <v>8</v>
      </c>
      <c r="G229" t="s">
        <v>203</v>
      </c>
      <c r="H229" t="s">
        <v>223</v>
      </c>
      <c r="I229" s="4">
        <v>100638.28079999999</v>
      </c>
      <c r="J229" s="4">
        <v>201276.56159999999</v>
      </c>
      <c r="L229" s="4">
        <v>2</v>
      </c>
    </row>
    <row r="230" spans="1:12">
      <c r="A230" t="s">
        <v>105</v>
      </c>
      <c r="B230" s="10">
        <v>45614</v>
      </c>
      <c r="C230" s="18">
        <f t="shared" si="3"/>
        <v>11</v>
      </c>
      <c r="D230" t="s">
        <v>111</v>
      </c>
      <c r="E230">
        <v>4878259</v>
      </c>
      <c r="F230" t="s">
        <v>8</v>
      </c>
      <c r="G230" t="s">
        <v>203</v>
      </c>
      <c r="H230" t="s">
        <v>230</v>
      </c>
      <c r="I230" s="4">
        <v>100638.28079999999</v>
      </c>
      <c r="J230" s="4">
        <v>201276.56159999999</v>
      </c>
      <c r="L230" s="4">
        <v>2</v>
      </c>
    </row>
    <row r="231" spans="1:12">
      <c r="A231" t="s">
        <v>105</v>
      </c>
      <c r="B231" s="10">
        <v>45614</v>
      </c>
      <c r="C231" s="18">
        <f t="shared" si="3"/>
        <v>11</v>
      </c>
      <c r="D231" t="s">
        <v>111</v>
      </c>
      <c r="E231">
        <v>4878259</v>
      </c>
      <c r="F231" t="s">
        <v>8</v>
      </c>
      <c r="G231" t="s">
        <v>203</v>
      </c>
      <c r="H231" t="s">
        <v>224</v>
      </c>
      <c r="I231" s="4">
        <v>100638.28079999999</v>
      </c>
      <c r="J231" s="4">
        <v>201276.56159999999</v>
      </c>
      <c r="L231" s="4">
        <v>2</v>
      </c>
    </row>
    <row r="232" spans="1:12">
      <c r="A232" t="s">
        <v>105</v>
      </c>
      <c r="B232" s="10">
        <v>45614</v>
      </c>
      <c r="C232" s="18">
        <f t="shared" si="3"/>
        <v>11</v>
      </c>
      <c r="D232" t="s">
        <v>111</v>
      </c>
      <c r="E232">
        <v>4878259</v>
      </c>
      <c r="F232" t="s">
        <v>8</v>
      </c>
      <c r="G232" t="s">
        <v>203</v>
      </c>
      <c r="H232" t="s">
        <v>223</v>
      </c>
      <c r="I232" s="4">
        <v>100638.28079999999</v>
      </c>
      <c r="J232" s="4">
        <v>201276.56159999999</v>
      </c>
      <c r="L232" s="4">
        <v>2</v>
      </c>
    </row>
    <row r="233" spans="1:12">
      <c r="A233" t="s">
        <v>105</v>
      </c>
      <c r="B233" s="10">
        <v>45614</v>
      </c>
      <c r="C233" s="18">
        <f t="shared" si="3"/>
        <v>11</v>
      </c>
      <c r="D233" t="s">
        <v>126</v>
      </c>
      <c r="E233">
        <v>6444288</v>
      </c>
      <c r="F233" t="s">
        <v>8</v>
      </c>
      <c r="G233" t="s">
        <v>203</v>
      </c>
      <c r="H233" t="s">
        <v>230</v>
      </c>
      <c r="I233" s="4">
        <v>100638.28079999999</v>
      </c>
      <c r="J233" s="4">
        <v>402553.12319999997</v>
      </c>
      <c r="K233" s="4">
        <v>-12076.593696</v>
      </c>
      <c r="L233" s="4">
        <v>4</v>
      </c>
    </row>
    <row r="234" spans="1:12">
      <c r="A234" t="s">
        <v>105</v>
      </c>
      <c r="B234" s="10">
        <v>45614</v>
      </c>
      <c r="C234" s="18">
        <f t="shared" si="3"/>
        <v>11</v>
      </c>
      <c r="D234" t="s">
        <v>126</v>
      </c>
      <c r="E234">
        <v>6444288</v>
      </c>
      <c r="F234" t="s">
        <v>8</v>
      </c>
      <c r="G234" t="s">
        <v>203</v>
      </c>
      <c r="H234" t="s">
        <v>223</v>
      </c>
      <c r="I234" s="4">
        <v>100638.28079999999</v>
      </c>
      <c r="J234" s="4">
        <v>402553.12319999997</v>
      </c>
      <c r="K234" s="4">
        <v>-12076.593696</v>
      </c>
      <c r="L234" s="4">
        <v>4</v>
      </c>
    </row>
    <row r="235" spans="1:12">
      <c r="A235" t="s">
        <v>105</v>
      </c>
      <c r="B235" s="10">
        <v>45614</v>
      </c>
      <c r="C235" s="18">
        <f t="shared" si="3"/>
        <v>11</v>
      </c>
      <c r="D235" t="s">
        <v>126</v>
      </c>
      <c r="E235">
        <v>6444288</v>
      </c>
      <c r="F235" t="s">
        <v>8</v>
      </c>
      <c r="G235" t="s">
        <v>203</v>
      </c>
      <c r="H235" t="s">
        <v>241</v>
      </c>
      <c r="I235" s="4">
        <v>125766.4408</v>
      </c>
      <c r="J235" s="4">
        <v>251532.88159999999</v>
      </c>
      <c r="K235" s="4">
        <v>-7545.9864480000006</v>
      </c>
      <c r="L235" s="4">
        <v>2</v>
      </c>
    </row>
    <row r="236" spans="1:12">
      <c r="A236" t="s">
        <v>105</v>
      </c>
      <c r="B236" s="10">
        <v>45615</v>
      </c>
      <c r="C236" s="18">
        <f t="shared" si="3"/>
        <v>11</v>
      </c>
      <c r="D236" t="s">
        <v>125</v>
      </c>
      <c r="E236">
        <v>6992965</v>
      </c>
      <c r="F236" t="s">
        <v>8</v>
      </c>
      <c r="G236" t="s">
        <v>203</v>
      </c>
      <c r="H236" t="s">
        <v>223</v>
      </c>
      <c r="I236" s="4">
        <v>100638.28079999999</v>
      </c>
      <c r="J236" s="4">
        <v>603829.68479999993</v>
      </c>
      <c r="L236" s="4">
        <v>6</v>
      </c>
    </row>
    <row r="237" spans="1:12">
      <c r="A237" t="s">
        <v>105</v>
      </c>
      <c r="B237" s="10">
        <v>45617</v>
      </c>
      <c r="C237" s="18">
        <f t="shared" si="3"/>
        <v>11</v>
      </c>
      <c r="D237" t="s">
        <v>127</v>
      </c>
      <c r="E237">
        <v>4877862</v>
      </c>
      <c r="F237" t="s">
        <v>8</v>
      </c>
      <c r="G237" t="s">
        <v>203</v>
      </c>
      <c r="H237" t="s">
        <v>230</v>
      </c>
      <c r="I237" s="4">
        <v>100638.28079999999</v>
      </c>
      <c r="J237" s="4">
        <v>402553.12319999997</v>
      </c>
      <c r="L237" s="4">
        <v>4</v>
      </c>
    </row>
    <row r="238" spans="1:12">
      <c r="A238" t="s">
        <v>105</v>
      </c>
      <c r="B238" s="10">
        <v>45617</v>
      </c>
      <c r="C238" s="18">
        <f t="shared" si="3"/>
        <v>11</v>
      </c>
      <c r="D238" t="s">
        <v>127</v>
      </c>
      <c r="E238">
        <v>4877862</v>
      </c>
      <c r="F238" t="s">
        <v>8</v>
      </c>
      <c r="G238" t="s">
        <v>203</v>
      </c>
      <c r="H238" t="s">
        <v>224</v>
      </c>
      <c r="I238" s="4">
        <v>100638.28079999999</v>
      </c>
      <c r="J238" s="4">
        <v>402553.12319999997</v>
      </c>
      <c r="L238" s="4">
        <v>4</v>
      </c>
    </row>
    <row r="239" spans="1:12">
      <c r="A239" t="s">
        <v>105</v>
      </c>
      <c r="B239" s="10">
        <v>45617</v>
      </c>
      <c r="C239" s="18">
        <f t="shared" si="3"/>
        <v>11</v>
      </c>
      <c r="D239" t="s">
        <v>127</v>
      </c>
      <c r="E239">
        <v>4877862</v>
      </c>
      <c r="F239" t="s">
        <v>8</v>
      </c>
      <c r="G239" t="s">
        <v>203</v>
      </c>
      <c r="H239" t="s">
        <v>223</v>
      </c>
      <c r="I239" s="4">
        <v>100638.28079999999</v>
      </c>
      <c r="J239" s="4">
        <v>402553.12319999997</v>
      </c>
      <c r="L239" s="4">
        <v>4</v>
      </c>
    </row>
    <row r="240" spans="1:12">
      <c r="A240" t="s">
        <v>105</v>
      </c>
      <c r="B240" s="10">
        <v>45618</v>
      </c>
      <c r="C240" s="18">
        <f t="shared" si="3"/>
        <v>11</v>
      </c>
      <c r="D240" t="s">
        <v>113</v>
      </c>
      <c r="E240">
        <v>4878530</v>
      </c>
      <c r="F240" t="s">
        <v>8</v>
      </c>
      <c r="G240" t="s">
        <v>203</v>
      </c>
      <c r="H240" t="s">
        <v>224</v>
      </c>
      <c r="I240" s="4">
        <v>100638.28079999999</v>
      </c>
      <c r="J240" s="4">
        <v>201276.56159999999</v>
      </c>
      <c r="L240" s="4">
        <v>2</v>
      </c>
    </row>
    <row r="241" spans="1:12">
      <c r="A241" t="s">
        <v>105</v>
      </c>
      <c r="B241" s="10">
        <v>45618</v>
      </c>
      <c r="C241" s="18">
        <f t="shared" si="3"/>
        <v>11</v>
      </c>
      <c r="D241" t="s">
        <v>113</v>
      </c>
      <c r="E241">
        <v>4878530</v>
      </c>
      <c r="F241" t="s">
        <v>8</v>
      </c>
      <c r="G241" t="s">
        <v>203</v>
      </c>
      <c r="H241" t="s">
        <v>241</v>
      </c>
      <c r="I241" s="4">
        <v>125766.4408</v>
      </c>
      <c r="J241" s="4">
        <v>125766.4408</v>
      </c>
      <c r="L241" s="4">
        <v>1</v>
      </c>
    </row>
    <row r="242" spans="1:12">
      <c r="A242" t="s">
        <v>105</v>
      </c>
      <c r="B242" s="10">
        <v>45618</v>
      </c>
      <c r="C242" s="18">
        <f t="shared" si="3"/>
        <v>11</v>
      </c>
      <c r="D242" t="s">
        <v>113</v>
      </c>
      <c r="E242">
        <v>4878530</v>
      </c>
      <c r="F242" t="s">
        <v>8</v>
      </c>
      <c r="G242" t="s">
        <v>203</v>
      </c>
      <c r="H242" t="s">
        <v>235</v>
      </c>
      <c r="I242" s="4">
        <v>125766.4408</v>
      </c>
      <c r="J242" s="4">
        <v>125766.4408</v>
      </c>
      <c r="L242" s="4">
        <v>1</v>
      </c>
    </row>
    <row r="243" spans="1:12">
      <c r="A243" t="s">
        <v>105</v>
      </c>
      <c r="B243" s="10">
        <v>45618</v>
      </c>
      <c r="C243" s="18">
        <f t="shared" si="3"/>
        <v>11</v>
      </c>
      <c r="D243" t="s">
        <v>113</v>
      </c>
      <c r="E243">
        <v>4878530</v>
      </c>
      <c r="F243" t="s">
        <v>8</v>
      </c>
      <c r="G243" t="s">
        <v>203</v>
      </c>
      <c r="H243" t="s">
        <v>231</v>
      </c>
      <c r="I243" s="4">
        <v>125766.4408</v>
      </c>
      <c r="J243" s="4">
        <v>125766.4408</v>
      </c>
      <c r="L243" s="4">
        <v>1</v>
      </c>
    </row>
    <row r="244" spans="1:12">
      <c r="A244" t="s">
        <v>105</v>
      </c>
      <c r="B244" s="10">
        <v>45624</v>
      </c>
      <c r="C244" s="18">
        <f t="shared" si="3"/>
        <v>11</v>
      </c>
      <c r="D244" t="s">
        <v>113</v>
      </c>
      <c r="E244">
        <v>4877650</v>
      </c>
      <c r="F244" t="s">
        <v>8</v>
      </c>
      <c r="G244" t="s">
        <v>203</v>
      </c>
      <c r="H244" t="s">
        <v>223</v>
      </c>
      <c r="I244" s="4">
        <v>100638.28079999999</v>
      </c>
      <c r="J244" s="4">
        <v>201276.56159999999</v>
      </c>
      <c r="L244" s="4">
        <v>2</v>
      </c>
    </row>
    <row r="245" spans="1:12">
      <c r="A245" t="s">
        <v>105</v>
      </c>
      <c r="B245" s="10">
        <v>45626</v>
      </c>
      <c r="C245" s="18">
        <f t="shared" si="3"/>
        <v>11</v>
      </c>
      <c r="D245" t="s">
        <v>186</v>
      </c>
      <c r="E245">
        <v>4877644</v>
      </c>
      <c r="F245" t="s">
        <v>8</v>
      </c>
      <c r="G245" t="s">
        <v>206</v>
      </c>
      <c r="H245" t="s">
        <v>209</v>
      </c>
      <c r="I245" s="4">
        <v>17715.352800000001</v>
      </c>
      <c r="J245" s="4">
        <v>265730.29200000002</v>
      </c>
      <c r="L245" s="4">
        <v>15</v>
      </c>
    </row>
    <row r="246" spans="1:12">
      <c r="A246" t="s">
        <v>107</v>
      </c>
      <c r="B246" s="10">
        <v>45597</v>
      </c>
      <c r="C246" s="18">
        <f t="shared" si="3"/>
        <v>11</v>
      </c>
      <c r="D246" t="s">
        <v>162</v>
      </c>
      <c r="E246">
        <v>4874391</v>
      </c>
      <c r="F246" t="s">
        <v>8</v>
      </c>
      <c r="G246" t="s">
        <v>203</v>
      </c>
      <c r="H246" t="s">
        <v>236</v>
      </c>
      <c r="I246" s="4">
        <v>100638.28079999999</v>
      </c>
      <c r="J246" s="4">
        <v>402553.12319999997</v>
      </c>
      <c r="L246" s="4">
        <v>4</v>
      </c>
    </row>
    <row r="247" spans="1:12">
      <c r="A247" t="s">
        <v>107</v>
      </c>
      <c r="B247" s="10">
        <v>45597</v>
      </c>
      <c r="C247" s="18">
        <f t="shared" si="3"/>
        <v>11</v>
      </c>
      <c r="D247" t="s">
        <v>162</v>
      </c>
      <c r="E247">
        <v>4874391</v>
      </c>
      <c r="F247" t="s">
        <v>8</v>
      </c>
      <c r="G247" t="s">
        <v>203</v>
      </c>
      <c r="H247" t="s">
        <v>234</v>
      </c>
      <c r="I247" s="4">
        <v>100638.28079999999</v>
      </c>
      <c r="J247" s="4">
        <v>201276.56159999999</v>
      </c>
      <c r="L247" s="4">
        <v>2</v>
      </c>
    </row>
    <row r="248" spans="1:12">
      <c r="A248" t="s">
        <v>107</v>
      </c>
      <c r="B248" s="10">
        <v>45597</v>
      </c>
      <c r="C248" s="18">
        <f t="shared" si="3"/>
        <v>11</v>
      </c>
      <c r="D248" t="s">
        <v>162</v>
      </c>
      <c r="E248">
        <v>4874391</v>
      </c>
      <c r="F248" t="s">
        <v>8</v>
      </c>
      <c r="G248" t="s">
        <v>203</v>
      </c>
      <c r="H248" t="s">
        <v>228</v>
      </c>
      <c r="I248" s="4">
        <v>100638.28079999999</v>
      </c>
      <c r="J248" s="4">
        <v>201276.56159999999</v>
      </c>
      <c r="L248" s="4">
        <v>2</v>
      </c>
    </row>
    <row r="249" spans="1:12">
      <c r="A249" t="s">
        <v>107</v>
      </c>
      <c r="B249" s="10">
        <v>45597</v>
      </c>
      <c r="C249" s="18">
        <f t="shared" si="3"/>
        <v>11</v>
      </c>
      <c r="D249" t="s">
        <v>162</v>
      </c>
      <c r="E249">
        <v>4874391</v>
      </c>
      <c r="F249" t="s">
        <v>8</v>
      </c>
      <c r="G249" t="s">
        <v>203</v>
      </c>
      <c r="H249" t="s">
        <v>224</v>
      </c>
      <c r="I249" s="4">
        <v>100638.28079999999</v>
      </c>
      <c r="J249" s="4">
        <v>402553.12319999997</v>
      </c>
      <c r="L249" s="4">
        <v>4</v>
      </c>
    </row>
    <row r="250" spans="1:12">
      <c r="A250" t="s">
        <v>107</v>
      </c>
      <c r="B250" s="10">
        <v>45597</v>
      </c>
      <c r="C250" s="18">
        <f t="shared" si="3"/>
        <v>11</v>
      </c>
      <c r="D250" t="s">
        <v>162</v>
      </c>
      <c r="E250">
        <v>4878665</v>
      </c>
      <c r="F250" t="s">
        <v>8</v>
      </c>
      <c r="G250" t="s">
        <v>203</v>
      </c>
      <c r="H250" t="s">
        <v>236</v>
      </c>
      <c r="I250" s="4">
        <v>100638.28079999999</v>
      </c>
      <c r="J250" s="4">
        <v>402553.12319999997</v>
      </c>
      <c r="L250" s="4">
        <v>4</v>
      </c>
    </row>
    <row r="251" spans="1:12">
      <c r="A251" t="s">
        <v>107</v>
      </c>
      <c r="B251" s="10">
        <v>45597</v>
      </c>
      <c r="C251" s="18">
        <f t="shared" si="3"/>
        <v>11</v>
      </c>
      <c r="D251" t="s">
        <v>162</v>
      </c>
      <c r="E251">
        <v>4878665</v>
      </c>
      <c r="F251" t="s">
        <v>8</v>
      </c>
      <c r="G251" t="s">
        <v>203</v>
      </c>
      <c r="H251" t="s">
        <v>224</v>
      </c>
      <c r="I251" s="4">
        <v>100638.28079999999</v>
      </c>
      <c r="J251" s="4">
        <v>1207659.3695999999</v>
      </c>
      <c r="L251" s="4">
        <v>12</v>
      </c>
    </row>
    <row r="252" spans="1:12">
      <c r="A252" t="s">
        <v>107</v>
      </c>
      <c r="B252" s="10">
        <v>45597</v>
      </c>
      <c r="C252" s="18">
        <f t="shared" si="3"/>
        <v>11</v>
      </c>
      <c r="D252" t="s">
        <v>162</v>
      </c>
      <c r="E252">
        <v>4874459</v>
      </c>
      <c r="F252" t="s">
        <v>8</v>
      </c>
      <c r="G252" t="s">
        <v>203</v>
      </c>
      <c r="H252" t="s">
        <v>236</v>
      </c>
      <c r="I252" s="4">
        <v>100638.28079999999</v>
      </c>
      <c r="J252" s="4">
        <v>402553.12319999997</v>
      </c>
      <c r="L252" s="4">
        <v>4</v>
      </c>
    </row>
    <row r="253" spans="1:12">
      <c r="A253" t="s">
        <v>107</v>
      </c>
      <c r="B253" s="10">
        <v>45597</v>
      </c>
      <c r="C253" s="18">
        <f t="shared" si="3"/>
        <v>11</v>
      </c>
      <c r="D253" t="s">
        <v>162</v>
      </c>
      <c r="E253">
        <v>4874459</v>
      </c>
      <c r="F253" t="s">
        <v>8</v>
      </c>
      <c r="G253" t="s">
        <v>203</v>
      </c>
      <c r="H253" t="s">
        <v>234</v>
      </c>
      <c r="I253" s="4">
        <v>100638.28079999999</v>
      </c>
      <c r="J253" s="4">
        <v>402553.12319999997</v>
      </c>
      <c r="L253" s="4">
        <v>4</v>
      </c>
    </row>
    <row r="254" spans="1:12">
      <c r="A254" t="s">
        <v>107</v>
      </c>
      <c r="B254" s="10">
        <v>45597</v>
      </c>
      <c r="C254" s="18">
        <f t="shared" si="3"/>
        <v>11</v>
      </c>
      <c r="D254" t="s">
        <v>162</v>
      </c>
      <c r="E254">
        <v>4874459</v>
      </c>
      <c r="F254" t="s">
        <v>8</v>
      </c>
      <c r="G254" t="s">
        <v>203</v>
      </c>
      <c r="H254" t="s">
        <v>228</v>
      </c>
      <c r="I254" s="4">
        <v>100638.28079999999</v>
      </c>
      <c r="J254" s="4">
        <v>402553.12319999997</v>
      </c>
      <c r="L254" s="4">
        <v>4</v>
      </c>
    </row>
    <row r="255" spans="1:12">
      <c r="A255" t="s">
        <v>107</v>
      </c>
      <c r="B255" s="10">
        <v>45597</v>
      </c>
      <c r="C255" s="18">
        <f t="shared" si="3"/>
        <v>11</v>
      </c>
      <c r="D255" t="s">
        <v>162</v>
      </c>
      <c r="E255">
        <v>4874459</v>
      </c>
      <c r="F255" t="s">
        <v>8</v>
      </c>
      <c r="G255" t="s">
        <v>203</v>
      </c>
      <c r="H255" t="s">
        <v>224</v>
      </c>
      <c r="I255" s="4">
        <v>100638.28079999999</v>
      </c>
      <c r="J255" s="4">
        <v>603829.68479999993</v>
      </c>
      <c r="L255" s="4">
        <v>6</v>
      </c>
    </row>
    <row r="256" spans="1:12">
      <c r="A256" t="s">
        <v>107</v>
      </c>
      <c r="B256" s="10">
        <v>45597</v>
      </c>
      <c r="C256" s="18">
        <f t="shared" si="3"/>
        <v>11</v>
      </c>
      <c r="D256" t="s">
        <v>162</v>
      </c>
      <c r="E256">
        <v>4874459</v>
      </c>
      <c r="F256" t="s">
        <v>8</v>
      </c>
      <c r="G256" t="s">
        <v>203</v>
      </c>
      <c r="H256" t="s">
        <v>229</v>
      </c>
      <c r="I256" s="4">
        <v>125766.4408</v>
      </c>
      <c r="J256" s="4">
        <v>377299.3224</v>
      </c>
      <c r="L256" s="4">
        <v>3</v>
      </c>
    </row>
    <row r="257" spans="1:12">
      <c r="A257" t="s">
        <v>107</v>
      </c>
      <c r="B257" s="10">
        <v>45598</v>
      </c>
      <c r="C257" s="18">
        <f t="shared" si="3"/>
        <v>11</v>
      </c>
      <c r="D257" t="s">
        <v>162</v>
      </c>
      <c r="E257">
        <v>4878665</v>
      </c>
      <c r="F257" t="s">
        <v>8</v>
      </c>
      <c r="G257" t="s">
        <v>203</v>
      </c>
      <c r="H257" t="s">
        <v>229</v>
      </c>
      <c r="I257" s="4">
        <v>125766.4408</v>
      </c>
      <c r="J257" s="4">
        <v>251532.88159999999</v>
      </c>
      <c r="L257" s="4">
        <v>2</v>
      </c>
    </row>
    <row r="258" spans="1:12">
      <c r="A258" t="s">
        <v>107</v>
      </c>
      <c r="B258" s="10">
        <v>45601</v>
      </c>
      <c r="C258" s="18">
        <f t="shared" ref="C258:C321" si="4">MONTH(B258)</f>
        <v>11</v>
      </c>
      <c r="D258" t="s">
        <v>151</v>
      </c>
      <c r="E258">
        <v>4876098</v>
      </c>
      <c r="F258" t="s">
        <v>8</v>
      </c>
      <c r="G258" t="s">
        <v>202</v>
      </c>
      <c r="H258" t="s">
        <v>257</v>
      </c>
      <c r="I258" s="4">
        <v>56664.000799999994</v>
      </c>
      <c r="J258" s="4">
        <v>2833200.0399999996</v>
      </c>
      <c r="L258" s="4">
        <v>50</v>
      </c>
    </row>
    <row r="259" spans="1:12">
      <c r="A259" t="s">
        <v>107</v>
      </c>
      <c r="B259" s="10">
        <v>45601</v>
      </c>
      <c r="C259" s="18">
        <f t="shared" si="4"/>
        <v>11</v>
      </c>
      <c r="D259" t="s">
        <v>151</v>
      </c>
      <c r="E259">
        <v>4876098</v>
      </c>
      <c r="F259" t="s">
        <v>8</v>
      </c>
      <c r="G259" t="s">
        <v>202</v>
      </c>
      <c r="H259" t="s">
        <v>256</v>
      </c>
      <c r="I259" s="4">
        <v>64202.448800000006</v>
      </c>
      <c r="J259" s="4">
        <v>3210122.4400000004</v>
      </c>
      <c r="L259" s="4">
        <v>50</v>
      </c>
    </row>
    <row r="260" spans="1:12">
      <c r="A260" t="s">
        <v>107</v>
      </c>
      <c r="B260" s="10">
        <v>45601</v>
      </c>
      <c r="C260" s="18">
        <f t="shared" si="4"/>
        <v>11</v>
      </c>
      <c r="D260" t="s">
        <v>162</v>
      </c>
      <c r="E260">
        <v>4874112</v>
      </c>
      <c r="F260" t="s">
        <v>8</v>
      </c>
      <c r="G260" t="s">
        <v>203</v>
      </c>
      <c r="H260" t="s">
        <v>236</v>
      </c>
      <c r="I260" s="4">
        <v>100638.28079999999</v>
      </c>
      <c r="J260" s="4">
        <v>1006382.808</v>
      </c>
      <c r="L260" s="4">
        <v>10</v>
      </c>
    </row>
    <row r="261" spans="1:12">
      <c r="A261" t="s">
        <v>107</v>
      </c>
      <c r="B261" s="10">
        <v>45607</v>
      </c>
      <c r="C261" s="18">
        <f t="shared" si="4"/>
        <v>11</v>
      </c>
      <c r="D261" t="s">
        <v>140</v>
      </c>
      <c r="E261">
        <v>4874346</v>
      </c>
      <c r="F261" t="s">
        <v>8</v>
      </c>
      <c r="G261" t="s">
        <v>203</v>
      </c>
      <c r="H261" t="s">
        <v>240</v>
      </c>
      <c r="I261" s="4">
        <v>100638.28079999999</v>
      </c>
      <c r="J261" s="4">
        <v>1006382.808</v>
      </c>
      <c r="L261" s="4">
        <v>10</v>
      </c>
    </row>
    <row r="262" spans="1:12">
      <c r="A262" t="s">
        <v>107</v>
      </c>
      <c r="B262" s="10">
        <v>45607</v>
      </c>
      <c r="C262" s="18">
        <f t="shared" si="4"/>
        <v>11</v>
      </c>
      <c r="D262" t="s">
        <v>140</v>
      </c>
      <c r="E262">
        <v>4874346</v>
      </c>
      <c r="F262" t="s">
        <v>8</v>
      </c>
      <c r="G262" t="s">
        <v>203</v>
      </c>
      <c r="H262" t="s">
        <v>230</v>
      </c>
      <c r="I262" s="4">
        <v>100638.28079999999</v>
      </c>
      <c r="J262" s="4">
        <v>1006382.808</v>
      </c>
      <c r="L262" s="4">
        <v>10</v>
      </c>
    </row>
    <row r="263" spans="1:12">
      <c r="A263" t="s">
        <v>107</v>
      </c>
      <c r="B263" s="10">
        <v>45607</v>
      </c>
      <c r="C263" s="18">
        <f t="shared" si="4"/>
        <v>11</v>
      </c>
      <c r="D263" t="s">
        <v>140</v>
      </c>
      <c r="E263">
        <v>4874346</v>
      </c>
      <c r="F263" t="s">
        <v>8</v>
      </c>
      <c r="G263" t="s">
        <v>203</v>
      </c>
      <c r="H263" t="s">
        <v>239</v>
      </c>
      <c r="I263" s="4">
        <v>125766.4408</v>
      </c>
      <c r="J263" s="4">
        <v>628832.20400000003</v>
      </c>
      <c r="L263" s="4">
        <v>5</v>
      </c>
    </row>
    <row r="264" spans="1:12">
      <c r="A264" t="s">
        <v>107</v>
      </c>
      <c r="B264" s="10">
        <v>45607</v>
      </c>
      <c r="C264" s="18">
        <f t="shared" si="4"/>
        <v>11</v>
      </c>
      <c r="D264" t="s">
        <v>140</v>
      </c>
      <c r="E264">
        <v>4874346</v>
      </c>
      <c r="F264" t="s">
        <v>8</v>
      </c>
      <c r="G264" t="s">
        <v>203</v>
      </c>
      <c r="H264" t="s">
        <v>237</v>
      </c>
      <c r="I264" s="4">
        <v>125766.4408</v>
      </c>
      <c r="J264" s="4">
        <v>628832.20400000003</v>
      </c>
      <c r="L264" s="4">
        <v>5</v>
      </c>
    </row>
    <row r="265" spans="1:12">
      <c r="A265" t="s">
        <v>107</v>
      </c>
      <c r="B265" s="10">
        <v>45607</v>
      </c>
      <c r="C265" s="18">
        <f t="shared" si="4"/>
        <v>11</v>
      </c>
      <c r="D265" t="s">
        <v>140</v>
      </c>
      <c r="E265">
        <v>4874346</v>
      </c>
      <c r="F265" t="s">
        <v>8</v>
      </c>
      <c r="G265" t="s">
        <v>203</v>
      </c>
      <c r="H265" t="s">
        <v>235</v>
      </c>
      <c r="I265" s="4">
        <v>125766.4408</v>
      </c>
      <c r="J265" s="4">
        <v>628832.20400000003</v>
      </c>
      <c r="L265" s="4">
        <v>5</v>
      </c>
    </row>
    <row r="266" spans="1:12">
      <c r="A266" t="s">
        <v>107</v>
      </c>
      <c r="B266" s="10">
        <v>45607</v>
      </c>
      <c r="C266" s="18">
        <f t="shared" si="4"/>
        <v>11</v>
      </c>
      <c r="D266" t="s">
        <v>140</v>
      </c>
      <c r="E266">
        <v>4874346</v>
      </c>
      <c r="F266" t="s">
        <v>8</v>
      </c>
      <c r="G266" t="s">
        <v>203</v>
      </c>
      <c r="H266" t="s">
        <v>231</v>
      </c>
      <c r="I266" s="4">
        <v>125766.4408</v>
      </c>
      <c r="J266" s="4">
        <v>628832.20400000003</v>
      </c>
      <c r="L266" s="4">
        <v>5</v>
      </c>
    </row>
    <row r="267" spans="1:12">
      <c r="A267" t="s">
        <v>107</v>
      </c>
      <c r="B267" s="10">
        <v>45607</v>
      </c>
      <c r="C267" s="18">
        <f t="shared" si="4"/>
        <v>11</v>
      </c>
      <c r="D267" t="s">
        <v>140</v>
      </c>
      <c r="E267">
        <v>6990664</v>
      </c>
      <c r="F267" t="s">
        <v>8</v>
      </c>
      <c r="G267" t="s">
        <v>203</v>
      </c>
      <c r="H267" t="s">
        <v>245</v>
      </c>
      <c r="I267" s="4">
        <v>100638.28079999999</v>
      </c>
      <c r="J267" s="4">
        <v>1006382.808</v>
      </c>
      <c r="L267" s="4">
        <v>10</v>
      </c>
    </row>
    <row r="268" spans="1:12">
      <c r="A268" t="s">
        <v>107</v>
      </c>
      <c r="B268" s="10">
        <v>45607</v>
      </c>
      <c r="C268" s="18">
        <f t="shared" si="4"/>
        <v>11</v>
      </c>
      <c r="D268" t="s">
        <v>140</v>
      </c>
      <c r="E268">
        <v>6990664</v>
      </c>
      <c r="F268" t="s">
        <v>8</v>
      </c>
      <c r="G268" t="s">
        <v>203</v>
      </c>
      <c r="H268" t="s">
        <v>238</v>
      </c>
      <c r="I268" s="4">
        <v>95606.36675999999</v>
      </c>
      <c r="J268" s="4">
        <v>191212.73351999998</v>
      </c>
      <c r="L268" s="4">
        <v>2</v>
      </c>
    </row>
    <row r="269" spans="1:12">
      <c r="A269" t="s">
        <v>107</v>
      </c>
      <c r="B269" s="10">
        <v>45607</v>
      </c>
      <c r="C269" s="18">
        <f t="shared" si="4"/>
        <v>11</v>
      </c>
      <c r="D269" t="s">
        <v>140</v>
      </c>
      <c r="E269">
        <v>6990664</v>
      </c>
      <c r="F269" t="s">
        <v>8</v>
      </c>
      <c r="G269" t="s">
        <v>203</v>
      </c>
      <c r="H269" t="s">
        <v>232</v>
      </c>
      <c r="I269" s="4">
        <v>100638.28079999999</v>
      </c>
      <c r="J269" s="4">
        <v>201276.56159999999</v>
      </c>
      <c r="L269" s="4">
        <v>2</v>
      </c>
    </row>
    <row r="270" spans="1:12">
      <c r="A270" t="s">
        <v>107</v>
      </c>
      <c r="B270" s="10">
        <v>45609</v>
      </c>
      <c r="C270" s="18">
        <f t="shared" si="4"/>
        <v>11</v>
      </c>
      <c r="D270" t="s">
        <v>190</v>
      </c>
      <c r="E270">
        <v>4878657</v>
      </c>
      <c r="F270" t="s">
        <v>8</v>
      </c>
      <c r="G270" t="s">
        <v>203</v>
      </c>
      <c r="H270" t="s">
        <v>238</v>
      </c>
      <c r="I270" s="4">
        <v>95606.36675999999</v>
      </c>
      <c r="J270" s="4">
        <v>764850.93407999992</v>
      </c>
      <c r="K270" s="4">
        <v>-34676.860799999995</v>
      </c>
      <c r="L270" s="4">
        <v>8</v>
      </c>
    </row>
    <row r="271" spans="1:12">
      <c r="A271" t="s">
        <v>107</v>
      </c>
      <c r="B271" s="10">
        <v>45609</v>
      </c>
      <c r="C271" s="18">
        <f t="shared" si="4"/>
        <v>11</v>
      </c>
      <c r="D271" t="s">
        <v>190</v>
      </c>
      <c r="E271">
        <v>4878657</v>
      </c>
      <c r="F271" t="s">
        <v>8</v>
      </c>
      <c r="G271" t="s">
        <v>203</v>
      </c>
      <c r="H271" t="s">
        <v>232</v>
      </c>
      <c r="I271" s="4">
        <v>100638.28079999999</v>
      </c>
      <c r="J271" s="4">
        <v>805106.24639999995</v>
      </c>
      <c r="K271" s="4">
        <v>-34676.860799999995</v>
      </c>
      <c r="L271" s="4">
        <v>8</v>
      </c>
    </row>
    <row r="272" spans="1:12">
      <c r="A272" t="s">
        <v>107</v>
      </c>
      <c r="B272" s="10">
        <v>45611</v>
      </c>
      <c r="C272" s="18">
        <f t="shared" si="4"/>
        <v>11</v>
      </c>
      <c r="D272" t="s">
        <v>162</v>
      </c>
      <c r="E272">
        <v>4874459</v>
      </c>
      <c r="F272" t="s">
        <v>8</v>
      </c>
      <c r="G272" t="s">
        <v>203</v>
      </c>
      <c r="H272" t="s">
        <v>236</v>
      </c>
      <c r="I272" s="4">
        <v>100638.28079999999</v>
      </c>
      <c r="J272" s="4">
        <v>402553.12319999997</v>
      </c>
      <c r="L272" s="4">
        <v>4</v>
      </c>
    </row>
    <row r="273" spans="1:12">
      <c r="A273" t="s">
        <v>107</v>
      </c>
      <c r="B273" s="10">
        <v>45611</v>
      </c>
      <c r="C273" s="18">
        <f t="shared" si="4"/>
        <v>11</v>
      </c>
      <c r="D273" t="s">
        <v>162</v>
      </c>
      <c r="E273">
        <v>4874459</v>
      </c>
      <c r="F273" t="s">
        <v>8</v>
      </c>
      <c r="G273" t="s">
        <v>203</v>
      </c>
      <c r="H273" t="s">
        <v>232</v>
      </c>
      <c r="I273" s="4">
        <v>100638.28079999999</v>
      </c>
      <c r="J273" s="4">
        <v>402553.12319999997</v>
      </c>
      <c r="L273" s="4">
        <v>4</v>
      </c>
    </row>
    <row r="274" spans="1:12">
      <c r="A274" t="s">
        <v>107</v>
      </c>
      <c r="B274" s="10">
        <v>45611</v>
      </c>
      <c r="C274" s="18">
        <f t="shared" si="4"/>
        <v>11</v>
      </c>
      <c r="D274" t="s">
        <v>162</v>
      </c>
      <c r="E274">
        <v>4874459</v>
      </c>
      <c r="F274" t="s">
        <v>8</v>
      </c>
      <c r="G274" t="s">
        <v>203</v>
      </c>
      <c r="H274" t="s">
        <v>230</v>
      </c>
      <c r="I274" s="4">
        <v>100638.28079999999</v>
      </c>
      <c r="J274" s="4">
        <v>402553.12319999997</v>
      </c>
      <c r="L274" s="4">
        <v>4</v>
      </c>
    </row>
    <row r="275" spans="1:12">
      <c r="A275" t="s">
        <v>107</v>
      </c>
      <c r="B275" s="10">
        <v>45611</v>
      </c>
      <c r="C275" s="18">
        <f t="shared" si="4"/>
        <v>11</v>
      </c>
      <c r="D275" t="s">
        <v>162</v>
      </c>
      <c r="E275">
        <v>4874459</v>
      </c>
      <c r="F275" t="s">
        <v>8</v>
      </c>
      <c r="G275" t="s">
        <v>203</v>
      </c>
      <c r="H275" t="s">
        <v>228</v>
      </c>
      <c r="I275" s="4">
        <v>100638.28079999999</v>
      </c>
      <c r="J275" s="4">
        <v>402553.12319999997</v>
      </c>
      <c r="L275" s="4">
        <v>4</v>
      </c>
    </row>
    <row r="276" spans="1:12">
      <c r="A276" t="s">
        <v>107</v>
      </c>
      <c r="B276" s="10">
        <v>45611</v>
      </c>
      <c r="C276" s="18">
        <f t="shared" si="4"/>
        <v>11</v>
      </c>
      <c r="D276" t="s">
        <v>162</v>
      </c>
      <c r="E276">
        <v>4874459</v>
      </c>
      <c r="F276" t="s">
        <v>8</v>
      </c>
      <c r="G276" t="s">
        <v>203</v>
      </c>
      <c r="H276" t="s">
        <v>223</v>
      </c>
      <c r="I276" s="4">
        <v>100638.28079999999</v>
      </c>
      <c r="J276" s="4">
        <v>402553.12319999997</v>
      </c>
      <c r="L276" s="4">
        <v>4</v>
      </c>
    </row>
    <row r="277" spans="1:12">
      <c r="A277" t="s">
        <v>107</v>
      </c>
      <c r="B277" s="10">
        <v>45612</v>
      </c>
      <c r="C277" s="18">
        <f t="shared" si="4"/>
        <v>11</v>
      </c>
      <c r="D277" t="s">
        <v>163</v>
      </c>
      <c r="E277">
        <v>4874231</v>
      </c>
      <c r="F277" t="s">
        <v>8</v>
      </c>
      <c r="G277" t="s">
        <v>203</v>
      </c>
      <c r="H277" t="s">
        <v>232</v>
      </c>
      <c r="I277" s="4">
        <v>100638.28079999999</v>
      </c>
      <c r="J277" s="4">
        <v>402553.12319999997</v>
      </c>
      <c r="L277" s="4">
        <v>4</v>
      </c>
    </row>
    <row r="278" spans="1:12">
      <c r="A278" t="s">
        <v>107</v>
      </c>
      <c r="B278" s="10">
        <v>45612</v>
      </c>
      <c r="C278" s="18">
        <f t="shared" si="4"/>
        <v>11</v>
      </c>
      <c r="D278" t="s">
        <v>163</v>
      </c>
      <c r="E278">
        <v>4874231</v>
      </c>
      <c r="F278" t="s">
        <v>8</v>
      </c>
      <c r="G278" t="s">
        <v>203</v>
      </c>
      <c r="H278" t="s">
        <v>230</v>
      </c>
      <c r="I278" s="4">
        <v>100638.28079999999</v>
      </c>
      <c r="J278" s="4">
        <v>603829.68479999993</v>
      </c>
      <c r="L278" s="4">
        <v>6</v>
      </c>
    </row>
    <row r="279" spans="1:12">
      <c r="A279" t="s">
        <v>107</v>
      </c>
      <c r="B279" s="10">
        <v>45612</v>
      </c>
      <c r="C279" s="18">
        <f t="shared" si="4"/>
        <v>11</v>
      </c>
      <c r="D279" t="s">
        <v>163</v>
      </c>
      <c r="E279">
        <v>4874231</v>
      </c>
      <c r="F279" t="s">
        <v>8</v>
      </c>
      <c r="G279" t="s">
        <v>203</v>
      </c>
      <c r="H279" t="s">
        <v>228</v>
      </c>
      <c r="I279" s="4">
        <v>100638.28079999999</v>
      </c>
      <c r="J279" s="4">
        <v>402553.12319999997</v>
      </c>
      <c r="L279" s="4">
        <v>4</v>
      </c>
    </row>
    <row r="280" spans="1:12">
      <c r="A280" t="s">
        <v>107</v>
      </c>
      <c r="B280" s="10">
        <v>45612</v>
      </c>
      <c r="C280" s="18">
        <f t="shared" si="4"/>
        <v>11</v>
      </c>
      <c r="D280" t="s">
        <v>163</v>
      </c>
      <c r="E280">
        <v>4874231</v>
      </c>
      <c r="F280" t="s">
        <v>8</v>
      </c>
      <c r="G280" t="s">
        <v>203</v>
      </c>
      <c r="H280" t="s">
        <v>227</v>
      </c>
      <c r="I280" s="4">
        <v>100638.28079999999</v>
      </c>
      <c r="J280" s="4">
        <v>402553.12319999997</v>
      </c>
      <c r="L280" s="4">
        <v>4</v>
      </c>
    </row>
    <row r="281" spans="1:12">
      <c r="A281" t="s">
        <v>107</v>
      </c>
      <c r="B281" s="10">
        <v>45612</v>
      </c>
      <c r="C281" s="18">
        <f t="shared" si="4"/>
        <v>11</v>
      </c>
      <c r="D281" t="s">
        <v>163</v>
      </c>
      <c r="E281">
        <v>4874231</v>
      </c>
      <c r="F281" t="s">
        <v>8</v>
      </c>
      <c r="G281" t="s">
        <v>203</v>
      </c>
      <c r="H281" t="s">
        <v>224</v>
      </c>
      <c r="I281" s="4">
        <v>100638.28079999999</v>
      </c>
      <c r="J281" s="4">
        <v>402553.12319999997</v>
      </c>
      <c r="L281" s="4">
        <v>4</v>
      </c>
    </row>
    <row r="282" spans="1:12">
      <c r="A282" t="s">
        <v>107</v>
      </c>
      <c r="B282" s="10">
        <v>45615</v>
      </c>
      <c r="C282" s="18">
        <f t="shared" si="4"/>
        <v>11</v>
      </c>
      <c r="D282" t="s">
        <v>162</v>
      </c>
      <c r="E282">
        <v>4878665</v>
      </c>
      <c r="F282" t="s">
        <v>8</v>
      </c>
      <c r="G282" t="s">
        <v>203</v>
      </c>
      <c r="H282" t="s">
        <v>239</v>
      </c>
      <c r="I282" s="4">
        <v>125766.4408</v>
      </c>
      <c r="J282" s="4">
        <v>-125766.4408</v>
      </c>
      <c r="L282" s="4">
        <v>-1</v>
      </c>
    </row>
    <row r="283" spans="1:12">
      <c r="A283" t="s">
        <v>107</v>
      </c>
      <c r="B283" s="10">
        <v>45615</v>
      </c>
      <c r="C283" s="18">
        <f t="shared" si="4"/>
        <v>11</v>
      </c>
      <c r="D283" t="s">
        <v>187</v>
      </c>
      <c r="E283">
        <v>4876600</v>
      </c>
      <c r="F283" t="s">
        <v>8</v>
      </c>
      <c r="G283" t="s">
        <v>203</v>
      </c>
      <c r="H283" t="s">
        <v>242</v>
      </c>
      <c r="I283" s="4">
        <v>100638.28079999999</v>
      </c>
      <c r="J283" s="4">
        <v>1006382.808</v>
      </c>
      <c r="L283" s="4">
        <v>10</v>
      </c>
    </row>
    <row r="284" spans="1:12">
      <c r="A284" t="s">
        <v>107</v>
      </c>
      <c r="B284" s="10">
        <v>45615</v>
      </c>
      <c r="C284" s="18">
        <f t="shared" si="4"/>
        <v>11</v>
      </c>
      <c r="D284" t="s">
        <v>187</v>
      </c>
      <c r="E284">
        <v>4876600</v>
      </c>
      <c r="F284" t="s">
        <v>8</v>
      </c>
      <c r="G284" t="s">
        <v>203</v>
      </c>
      <c r="H284" t="s">
        <v>234</v>
      </c>
      <c r="I284" s="4">
        <v>100638.28079999999</v>
      </c>
      <c r="J284" s="4">
        <v>1006382.808</v>
      </c>
      <c r="L284" s="4">
        <v>10</v>
      </c>
    </row>
    <row r="285" spans="1:12">
      <c r="A285" t="s">
        <v>107</v>
      </c>
      <c r="B285" s="10">
        <v>45615</v>
      </c>
      <c r="C285" s="18">
        <f t="shared" si="4"/>
        <v>11</v>
      </c>
      <c r="D285" t="s">
        <v>187</v>
      </c>
      <c r="E285">
        <v>4876600</v>
      </c>
      <c r="F285" t="s">
        <v>8</v>
      </c>
      <c r="G285" t="s">
        <v>203</v>
      </c>
      <c r="H285" t="s">
        <v>232</v>
      </c>
      <c r="I285" s="4">
        <v>100638.28079999999</v>
      </c>
      <c r="J285" s="4">
        <v>201276.56159999999</v>
      </c>
      <c r="L285" s="4">
        <v>2</v>
      </c>
    </row>
    <row r="286" spans="1:12">
      <c r="A286" t="s">
        <v>107</v>
      </c>
      <c r="B286" s="10">
        <v>45615</v>
      </c>
      <c r="C286" s="18">
        <f t="shared" si="4"/>
        <v>11</v>
      </c>
      <c r="D286" t="s">
        <v>187</v>
      </c>
      <c r="E286">
        <v>4876600</v>
      </c>
      <c r="F286" t="s">
        <v>8</v>
      </c>
      <c r="G286" t="s">
        <v>203</v>
      </c>
      <c r="H286" t="s">
        <v>228</v>
      </c>
      <c r="I286" s="4">
        <v>100638.28079999999</v>
      </c>
      <c r="J286" s="4">
        <v>201276.56159999999</v>
      </c>
      <c r="L286" s="4">
        <v>2</v>
      </c>
    </row>
    <row r="287" spans="1:12">
      <c r="A287" t="s">
        <v>107</v>
      </c>
      <c r="B287" s="10">
        <v>45615</v>
      </c>
      <c r="C287" s="18">
        <f t="shared" si="4"/>
        <v>11</v>
      </c>
      <c r="D287" t="s">
        <v>187</v>
      </c>
      <c r="E287">
        <v>4876600</v>
      </c>
      <c r="F287" t="s">
        <v>8</v>
      </c>
      <c r="G287" t="s">
        <v>203</v>
      </c>
      <c r="H287" t="s">
        <v>224</v>
      </c>
      <c r="I287" s="4">
        <v>100638.28079999999</v>
      </c>
      <c r="J287" s="4">
        <v>603829.68479999993</v>
      </c>
      <c r="L287" s="4">
        <v>6</v>
      </c>
    </row>
    <row r="288" spans="1:12">
      <c r="A288" t="s">
        <v>107</v>
      </c>
      <c r="B288" s="10">
        <v>45615</v>
      </c>
      <c r="C288" s="18">
        <f t="shared" si="4"/>
        <v>11</v>
      </c>
      <c r="D288" t="s">
        <v>187</v>
      </c>
      <c r="E288">
        <v>4876600</v>
      </c>
      <c r="F288" t="s">
        <v>8</v>
      </c>
      <c r="G288" t="s">
        <v>203</v>
      </c>
      <c r="H288" t="s">
        <v>223</v>
      </c>
      <c r="I288" s="4">
        <v>100638.28079999999</v>
      </c>
      <c r="J288" s="4">
        <v>603829.68479999993</v>
      </c>
      <c r="L288" s="4">
        <v>6</v>
      </c>
    </row>
    <row r="289" spans="1:12">
      <c r="A289" t="s">
        <v>107</v>
      </c>
      <c r="B289" s="10">
        <v>45615</v>
      </c>
      <c r="C289" s="18">
        <f t="shared" si="4"/>
        <v>11</v>
      </c>
      <c r="D289" t="s">
        <v>182</v>
      </c>
      <c r="E289">
        <v>4874538</v>
      </c>
      <c r="F289" t="s">
        <v>8</v>
      </c>
      <c r="G289" t="s">
        <v>203</v>
      </c>
      <c r="H289" t="s">
        <v>236</v>
      </c>
      <c r="I289" s="4">
        <v>100638.28079999999</v>
      </c>
      <c r="J289" s="4">
        <v>201276.56159999999</v>
      </c>
      <c r="L289" s="4">
        <v>2</v>
      </c>
    </row>
    <row r="290" spans="1:12">
      <c r="A290" t="s">
        <v>107</v>
      </c>
      <c r="B290" s="10">
        <v>45615</v>
      </c>
      <c r="C290" s="18">
        <f t="shared" si="4"/>
        <v>11</v>
      </c>
      <c r="D290" t="s">
        <v>182</v>
      </c>
      <c r="E290">
        <v>4874538</v>
      </c>
      <c r="F290" t="s">
        <v>8</v>
      </c>
      <c r="G290" t="s">
        <v>203</v>
      </c>
      <c r="H290" t="s">
        <v>227</v>
      </c>
      <c r="I290" s="4">
        <v>100638.28079999999</v>
      </c>
      <c r="J290" s="4">
        <v>201276.56159999999</v>
      </c>
      <c r="L290" s="4">
        <v>2</v>
      </c>
    </row>
    <row r="291" spans="1:12">
      <c r="A291" t="s">
        <v>107</v>
      </c>
      <c r="B291" s="10">
        <v>45619</v>
      </c>
      <c r="C291" s="18">
        <f t="shared" si="4"/>
        <v>11</v>
      </c>
      <c r="D291" t="s">
        <v>167</v>
      </c>
      <c r="E291">
        <v>4875363</v>
      </c>
      <c r="F291" t="s">
        <v>8</v>
      </c>
      <c r="G291" t="s">
        <v>203</v>
      </c>
      <c r="H291" t="s">
        <v>240</v>
      </c>
      <c r="I291" s="4">
        <v>100638.28079999999</v>
      </c>
      <c r="J291" s="4">
        <v>1006382.808</v>
      </c>
      <c r="L291" s="4">
        <v>10</v>
      </c>
    </row>
    <row r="292" spans="1:12">
      <c r="A292" t="s">
        <v>107</v>
      </c>
      <c r="B292" s="10">
        <v>45619</v>
      </c>
      <c r="C292" s="18">
        <f t="shared" si="4"/>
        <v>11</v>
      </c>
      <c r="D292" t="s">
        <v>167</v>
      </c>
      <c r="E292">
        <v>4875363</v>
      </c>
      <c r="F292" t="s">
        <v>8</v>
      </c>
      <c r="G292" t="s">
        <v>203</v>
      </c>
      <c r="H292" t="s">
        <v>236</v>
      </c>
      <c r="I292" s="4">
        <v>100638.28079999999</v>
      </c>
      <c r="J292" s="4">
        <v>402553.12319999997</v>
      </c>
      <c r="L292" s="4">
        <v>4</v>
      </c>
    </row>
    <row r="293" spans="1:12">
      <c r="A293" t="s">
        <v>107</v>
      </c>
      <c r="B293" s="10">
        <v>45619</v>
      </c>
      <c r="C293" s="18">
        <f t="shared" si="4"/>
        <v>11</v>
      </c>
      <c r="D293" t="s">
        <v>167</v>
      </c>
      <c r="E293">
        <v>4875363</v>
      </c>
      <c r="F293" t="s">
        <v>8</v>
      </c>
      <c r="G293" t="s">
        <v>203</v>
      </c>
      <c r="H293" t="s">
        <v>232</v>
      </c>
      <c r="I293" s="4">
        <v>100638.28079999999</v>
      </c>
      <c r="J293" s="4">
        <v>1006382.808</v>
      </c>
      <c r="L293" s="4">
        <v>10</v>
      </c>
    </row>
    <row r="294" spans="1:12">
      <c r="A294" t="s">
        <v>107</v>
      </c>
      <c r="B294" s="10">
        <v>45619</v>
      </c>
      <c r="C294" s="18">
        <f t="shared" si="4"/>
        <v>11</v>
      </c>
      <c r="D294" t="s">
        <v>167</v>
      </c>
      <c r="E294">
        <v>4875363</v>
      </c>
      <c r="F294" t="s">
        <v>8</v>
      </c>
      <c r="G294" t="s">
        <v>203</v>
      </c>
      <c r="H294" t="s">
        <v>230</v>
      </c>
      <c r="I294" s="4">
        <v>100638.28079999999</v>
      </c>
      <c r="J294" s="4">
        <v>1006382.808</v>
      </c>
      <c r="L294" s="4">
        <v>10</v>
      </c>
    </row>
    <row r="295" spans="1:12">
      <c r="A295" t="s">
        <v>107</v>
      </c>
      <c r="B295" s="10">
        <v>45619</v>
      </c>
      <c r="C295" s="18">
        <f t="shared" si="4"/>
        <v>11</v>
      </c>
      <c r="D295" t="s">
        <v>167</v>
      </c>
      <c r="E295">
        <v>4875363</v>
      </c>
      <c r="F295" t="s">
        <v>8</v>
      </c>
      <c r="G295" t="s">
        <v>203</v>
      </c>
      <c r="H295" t="s">
        <v>227</v>
      </c>
      <c r="I295" s="4">
        <v>100638.28079999999</v>
      </c>
      <c r="J295" s="4">
        <v>1006382.808</v>
      </c>
      <c r="L295" s="4">
        <v>10</v>
      </c>
    </row>
    <row r="296" spans="1:12">
      <c r="A296" t="s">
        <v>107</v>
      </c>
      <c r="B296" s="10">
        <v>45619</v>
      </c>
      <c r="C296" s="18">
        <f t="shared" si="4"/>
        <v>11</v>
      </c>
      <c r="D296" t="s">
        <v>167</v>
      </c>
      <c r="E296">
        <v>4875363</v>
      </c>
      <c r="F296" t="s">
        <v>8</v>
      </c>
      <c r="G296" t="s">
        <v>203</v>
      </c>
      <c r="H296" t="s">
        <v>224</v>
      </c>
      <c r="I296" s="4">
        <v>100638.28079999999</v>
      </c>
      <c r="J296" s="4">
        <v>1006382.808</v>
      </c>
      <c r="L296" s="4">
        <v>10</v>
      </c>
    </row>
    <row r="297" spans="1:12">
      <c r="A297" t="s">
        <v>107</v>
      </c>
      <c r="B297" s="10">
        <v>45619</v>
      </c>
      <c r="C297" s="18">
        <f t="shared" si="4"/>
        <v>11</v>
      </c>
      <c r="D297" t="s">
        <v>171</v>
      </c>
      <c r="E297">
        <v>4875729</v>
      </c>
      <c r="F297" t="s">
        <v>8</v>
      </c>
      <c r="G297" t="s">
        <v>203</v>
      </c>
      <c r="H297" t="s">
        <v>230</v>
      </c>
      <c r="I297" s="4">
        <v>100638.28079999999</v>
      </c>
      <c r="J297" s="4">
        <v>201276.56159999999</v>
      </c>
      <c r="L297" s="4">
        <v>2</v>
      </c>
    </row>
    <row r="298" spans="1:12">
      <c r="A298" t="s">
        <v>107</v>
      </c>
      <c r="B298" s="10">
        <v>45619</v>
      </c>
      <c r="C298" s="18">
        <f t="shared" si="4"/>
        <v>11</v>
      </c>
      <c r="D298" t="s">
        <v>171</v>
      </c>
      <c r="E298">
        <v>4875704</v>
      </c>
      <c r="F298" t="s">
        <v>8</v>
      </c>
      <c r="G298" t="s">
        <v>203</v>
      </c>
      <c r="H298" t="s">
        <v>240</v>
      </c>
      <c r="I298" s="4">
        <v>100638.28079999999</v>
      </c>
      <c r="J298" s="4">
        <v>402553.12319999997</v>
      </c>
      <c r="L298" s="4">
        <v>4</v>
      </c>
    </row>
    <row r="299" spans="1:12">
      <c r="A299" t="s">
        <v>107</v>
      </c>
      <c r="B299" s="10">
        <v>45619</v>
      </c>
      <c r="C299" s="18">
        <f t="shared" si="4"/>
        <v>11</v>
      </c>
      <c r="D299" t="s">
        <v>171</v>
      </c>
      <c r="E299">
        <v>4875704</v>
      </c>
      <c r="F299" t="s">
        <v>8</v>
      </c>
      <c r="G299" t="s">
        <v>203</v>
      </c>
      <c r="H299" t="s">
        <v>230</v>
      </c>
      <c r="I299" s="4">
        <v>100638.28079999999</v>
      </c>
      <c r="J299" s="4">
        <v>805106.24639999995</v>
      </c>
      <c r="L299" s="4">
        <v>8</v>
      </c>
    </row>
    <row r="300" spans="1:12">
      <c r="A300" t="s">
        <v>107</v>
      </c>
      <c r="B300" s="10">
        <v>45620</v>
      </c>
      <c r="C300" s="18">
        <f t="shared" si="4"/>
        <v>11</v>
      </c>
      <c r="D300" t="s">
        <v>182</v>
      </c>
      <c r="E300">
        <v>4874538</v>
      </c>
      <c r="F300" t="s">
        <v>8</v>
      </c>
      <c r="G300" t="s">
        <v>203</v>
      </c>
      <c r="H300" t="s">
        <v>240</v>
      </c>
      <c r="I300" s="4">
        <v>100638.28079999999</v>
      </c>
      <c r="J300" s="4">
        <v>402553.12319999997</v>
      </c>
      <c r="L300" s="4">
        <v>4</v>
      </c>
    </row>
    <row r="301" spans="1:12">
      <c r="A301" t="s">
        <v>107</v>
      </c>
      <c r="B301" s="10">
        <v>45620</v>
      </c>
      <c r="C301" s="18">
        <f t="shared" si="4"/>
        <v>11</v>
      </c>
      <c r="D301" t="s">
        <v>182</v>
      </c>
      <c r="E301">
        <v>4874538</v>
      </c>
      <c r="F301" t="s">
        <v>8</v>
      </c>
      <c r="G301" t="s">
        <v>203</v>
      </c>
      <c r="H301" t="s">
        <v>232</v>
      </c>
      <c r="I301" s="4">
        <v>100638.28079999999</v>
      </c>
      <c r="J301" s="4">
        <v>402553.12319999997</v>
      </c>
      <c r="L301" s="4">
        <v>4</v>
      </c>
    </row>
    <row r="302" spans="1:12">
      <c r="A302" t="s">
        <v>107</v>
      </c>
      <c r="B302" s="10">
        <v>45620</v>
      </c>
      <c r="C302" s="18">
        <f t="shared" si="4"/>
        <v>11</v>
      </c>
      <c r="D302" t="s">
        <v>182</v>
      </c>
      <c r="E302">
        <v>4874538</v>
      </c>
      <c r="F302" t="s">
        <v>8</v>
      </c>
      <c r="G302" t="s">
        <v>203</v>
      </c>
      <c r="H302" t="s">
        <v>230</v>
      </c>
      <c r="I302" s="4">
        <v>100638.28079999999</v>
      </c>
      <c r="J302" s="4">
        <v>805106.24639999995</v>
      </c>
      <c r="L302" s="4">
        <v>8</v>
      </c>
    </row>
    <row r="303" spans="1:12">
      <c r="A303" t="s">
        <v>107</v>
      </c>
      <c r="B303" s="10">
        <v>45620</v>
      </c>
      <c r="C303" s="18">
        <f t="shared" si="4"/>
        <v>11</v>
      </c>
      <c r="D303" t="s">
        <v>182</v>
      </c>
      <c r="E303">
        <v>4874538</v>
      </c>
      <c r="F303" t="s">
        <v>8</v>
      </c>
      <c r="G303" t="s">
        <v>203</v>
      </c>
      <c r="H303" t="s">
        <v>224</v>
      </c>
      <c r="I303" s="4">
        <v>100638.28079999999</v>
      </c>
      <c r="J303" s="4">
        <v>201276.56159999999</v>
      </c>
      <c r="L303" s="4">
        <v>2</v>
      </c>
    </row>
    <row r="304" spans="1:12">
      <c r="A304" t="s">
        <v>107</v>
      </c>
      <c r="B304" s="10">
        <v>45621</v>
      </c>
      <c r="C304" s="18">
        <f t="shared" si="4"/>
        <v>11</v>
      </c>
      <c r="D304" t="s">
        <v>151</v>
      </c>
      <c r="E304">
        <v>4876098</v>
      </c>
      <c r="F304" t="s">
        <v>8</v>
      </c>
      <c r="G304" t="s">
        <v>204</v>
      </c>
      <c r="H304" t="s">
        <v>216</v>
      </c>
      <c r="I304" s="4">
        <v>113202.36079999999</v>
      </c>
      <c r="J304" s="4">
        <v>452809.44319999998</v>
      </c>
      <c r="L304" s="4">
        <v>4</v>
      </c>
    </row>
    <row r="305" spans="1:12">
      <c r="A305" t="s">
        <v>107</v>
      </c>
      <c r="B305" s="10">
        <v>45622</v>
      </c>
      <c r="C305" s="18">
        <f t="shared" si="4"/>
        <v>11</v>
      </c>
      <c r="D305" t="s">
        <v>187</v>
      </c>
      <c r="E305">
        <v>4876600</v>
      </c>
      <c r="F305" t="s">
        <v>8</v>
      </c>
      <c r="G305" t="s">
        <v>203</v>
      </c>
      <c r="H305" t="s">
        <v>240</v>
      </c>
      <c r="I305" s="4">
        <v>100638.28079999999</v>
      </c>
      <c r="J305" s="4">
        <v>1207659.3695999999</v>
      </c>
      <c r="L305" s="4">
        <v>12</v>
      </c>
    </row>
    <row r="306" spans="1:12">
      <c r="A306" t="s">
        <v>107</v>
      </c>
      <c r="B306" s="10">
        <v>45622</v>
      </c>
      <c r="C306" s="18">
        <f t="shared" si="4"/>
        <v>11</v>
      </c>
      <c r="D306" t="s">
        <v>187</v>
      </c>
      <c r="E306">
        <v>4876600</v>
      </c>
      <c r="F306" t="s">
        <v>8</v>
      </c>
      <c r="G306" t="s">
        <v>203</v>
      </c>
      <c r="H306" t="s">
        <v>232</v>
      </c>
      <c r="I306" s="4">
        <v>100638.28079999999</v>
      </c>
      <c r="J306" s="4">
        <v>1610212.4927999999</v>
      </c>
      <c r="L306" s="4">
        <v>16</v>
      </c>
    </row>
    <row r="307" spans="1:12">
      <c r="A307" t="s">
        <v>107</v>
      </c>
      <c r="B307" s="10">
        <v>45622</v>
      </c>
      <c r="C307" s="18">
        <f t="shared" si="4"/>
        <v>11</v>
      </c>
      <c r="D307" t="s">
        <v>187</v>
      </c>
      <c r="E307">
        <v>4876600</v>
      </c>
      <c r="F307" t="s">
        <v>8</v>
      </c>
      <c r="G307" t="s">
        <v>203</v>
      </c>
      <c r="H307" t="s">
        <v>230</v>
      </c>
      <c r="I307" s="4">
        <v>100638.28079999999</v>
      </c>
      <c r="J307" s="4">
        <v>201276.56159999999</v>
      </c>
      <c r="L307" s="4">
        <v>2</v>
      </c>
    </row>
    <row r="308" spans="1:12">
      <c r="A308" t="s">
        <v>107</v>
      </c>
      <c r="B308" s="10">
        <v>45622</v>
      </c>
      <c r="C308" s="18">
        <f t="shared" si="4"/>
        <v>11</v>
      </c>
      <c r="D308" t="s">
        <v>187</v>
      </c>
      <c r="E308">
        <v>4876600</v>
      </c>
      <c r="F308" t="s">
        <v>8</v>
      </c>
      <c r="G308" t="s">
        <v>203</v>
      </c>
      <c r="H308" t="s">
        <v>227</v>
      </c>
      <c r="I308" s="4">
        <v>100638.28079999999</v>
      </c>
      <c r="J308" s="4">
        <v>603829.68479999993</v>
      </c>
      <c r="L308" s="4">
        <v>6</v>
      </c>
    </row>
    <row r="309" spans="1:12">
      <c r="A309" t="s">
        <v>107</v>
      </c>
      <c r="B309" s="10">
        <v>45622</v>
      </c>
      <c r="C309" s="18">
        <f t="shared" si="4"/>
        <v>11</v>
      </c>
      <c r="D309" t="s">
        <v>187</v>
      </c>
      <c r="E309">
        <v>4876600</v>
      </c>
      <c r="F309" t="s">
        <v>8</v>
      </c>
      <c r="G309" t="s">
        <v>203</v>
      </c>
      <c r="H309" t="s">
        <v>224</v>
      </c>
      <c r="I309" s="4">
        <v>100638.28079999999</v>
      </c>
      <c r="J309" s="4">
        <v>1811489.0543999998</v>
      </c>
      <c r="L309" s="4">
        <v>18</v>
      </c>
    </row>
    <row r="310" spans="1:12">
      <c r="A310" t="s">
        <v>107</v>
      </c>
      <c r="B310" s="10">
        <v>45625</v>
      </c>
      <c r="C310" s="18">
        <f t="shared" si="4"/>
        <v>11</v>
      </c>
      <c r="D310" t="s">
        <v>162</v>
      </c>
      <c r="E310">
        <v>4878776</v>
      </c>
      <c r="F310" t="s">
        <v>8</v>
      </c>
      <c r="G310" t="s">
        <v>203</v>
      </c>
      <c r="H310" t="s">
        <v>232</v>
      </c>
      <c r="I310" s="4">
        <v>100638.28079999999</v>
      </c>
      <c r="J310" s="4">
        <v>603829.68479999993</v>
      </c>
      <c r="L310" s="4">
        <v>6</v>
      </c>
    </row>
    <row r="311" spans="1:12">
      <c r="A311" t="s">
        <v>107</v>
      </c>
      <c r="B311" s="10">
        <v>45625</v>
      </c>
      <c r="C311" s="18">
        <f t="shared" si="4"/>
        <v>11</v>
      </c>
      <c r="D311" t="s">
        <v>162</v>
      </c>
      <c r="E311">
        <v>4878776</v>
      </c>
      <c r="F311" t="s">
        <v>8</v>
      </c>
      <c r="G311" t="s">
        <v>203</v>
      </c>
      <c r="H311" t="s">
        <v>228</v>
      </c>
      <c r="I311" s="4">
        <v>100638.28079999999</v>
      </c>
      <c r="J311" s="4">
        <v>402553.12319999997</v>
      </c>
      <c r="L311" s="4">
        <v>4</v>
      </c>
    </row>
    <row r="312" spans="1:12">
      <c r="A312" t="s">
        <v>107</v>
      </c>
      <c r="B312" s="10">
        <v>45625</v>
      </c>
      <c r="C312" s="18">
        <f t="shared" si="4"/>
        <v>11</v>
      </c>
      <c r="D312" t="s">
        <v>162</v>
      </c>
      <c r="E312">
        <v>4878776</v>
      </c>
      <c r="F312" t="s">
        <v>8</v>
      </c>
      <c r="G312" t="s">
        <v>203</v>
      </c>
      <c r="H312" t="s">
        <v>222</v>
      </c>
      <c r="I312" s="4">
        <v>100638.28079999999</v>
      </c>
      <c r="J312" s="4">
        <v>603829.68479999993</v>
      </c>
      <c r="L312" s="4">
        <v>6</v>
      </c>
    </row>
    <row r="313" spans="1:12">
      <c r="A313" t="s">
        <v>107</v>
      </c>
      <c r="B313" s="10">
        <v>45625</v>
      </c>
      <c r="C313" s="18">
        <f t="shared" si="4"/>
        <v>11</v>
      </c>
      <c r="D313" t="s">
        <v>162</v>
      </c>
      <c r="E313">
        <v>4874391</v>
      </c>
      <c r="F313" t="s">
        <v>8</v>
      </c>
      <c r="G313" t="s">
        <v>203</v>
      </c>
      <c r="H313" t="s">
        <v>232</v>
      </c>
      <c r="I313" s="4">
        <v>100638.28079999999</v>
      </c>
      <c r="J313" s="4">
        <v>402553.12319999997</v>
      </c>
      <c r="L313" s="4">
        <v>4</v>
      </c>
    </row>
    <row r="314" spans="1:12">
      <c r="A314" t="s">
        <v>107</v>
      </c>
      <c r="B314" s="10">
        <v>45625</v>
      </c>
      <c r="C314" s="18">
        <f t="shared" si="4"/>
        <v>11</v>
      </c>
      <c r="D314" t="s">
        <v>162</v>
      </c>
      <c r="E314">
        <v>4874391</v>
      </c>
      <c r="F314" t="s">
        <v>8</v>
      </c>
      <c r="G314" t="s">
        <v>203</v>
      </c>
      <c r="H314" t="s">
        <v>228</v>
      </c>
      <c r="I314" s="4">
        <v>100638.28079999999</v>
      </c>
      <c r="J314" s="4">
        <v>402553.12319999997</v>
      </c>
      <c r="L314" s="4">
        <v>4</v>
      </c>
    </row>
    <row r="315" spans="1:12">
      <c r="A315" t="s">
        <v>107</v>
      </c>
      <c r="B315" s="10">
        <v>45625</v>
      </c>
      <c r="C315" s="18">
        <f t="shared" si="4"/>
        <v>11</v>
      </c>
      <c r="D315" t="s">
        <v>162</v>
      </c>
      <c r="E315">
        <v>4874391</v>
      </c>
      <c r="F315" t="s">
        <v>8</v>
      </c>
      <c r="G315" t="s">
        <v>203</v>
      </c>
      <c r="H315" t="s">
        <v>222</v>
      </c>
      <c r="I315" s="4">
        <v>100638.28079999999</v>
      </c>
      <c r="J315" s="4">
        <v>603829.68479999993</v>
      </c>
      <c r="L315" s="4">
        <v>6</v>
      </c>
    </row>
    <row r="316" spans="1:12">
      <c r="A316" t="s">
        <v>107</v>
      </c>
      <c r="B316" s="10">
        <v>45625</v>
      </c>
      <c r="C316" s="18">
        <f t="shared" si="4"/>
        <v>11</v>
      </c>
      <c r="D316" t="s">
        <v>162</v>
      </c>
      <c r="E316">
        <v>4874459</v>
      </c>
      <c r="F316" t="s">
        <v>8</v>
      </c>
      <c r="G316" t="s">
        <v>203</v>
      </c>
      <c r="H316" t="s">
        <v>232</v>
      </c>
      <c r="I316" s="4">
        <v>100638.28079999999</v>
      </c>
      <c r="J316" s="4">
        <v>402553.12319999997</v>
      </c>
      <c r="L316" s="4">
        <v>4</v>
      </c>
    </row>
    <row r="317" spans="1:12">
      <c r="A317" t="s">
        <v>107</v>
      </c>
      <c r="B317" s="10">
        <v>45625</v>
      </c>
      <c r="C317" s="18">
        <f t="shared" si="4"/>
        <v>11</v>
      </c>
      <c r="D317" t="s">
        <v>162</v>
      </c>
      <c r="E317">
        <v>4874459</v>
      </c>
      <c r="F317" t="s">
        <v>8</v>
      </c>
      <c r="G317" t="s">
        <v>203</v>
      </c>
      <c r="H317" t="s">
        <v>228</v>
      </c>
      <c r="I317" s="4">
        <v>100638.28079999999</v>
      </c>
      <c r="J317" s="4">
        <v>402553.12319999997</v>
      </c>
      <c r="L317" s="4">
        <v>4</v>
      </c>
    </row>
    <row r="318" spans="1:12">
      <c r="A318" t="s">
        <v>107</v>
      </c>
      <c r="B318" s="10">
        <v>45625</v>
      </c>
      <c r="C318" s="18">
        <f t="shared" si="4"/>
        <v>11</v>
      </c>
      <c r="D318" t="s">
        <v>162</v>
      </c>
      <c r="E318">
        <v>4874459</v>
      </c>
      <c r="F318" t="s">
        <v>8</v>
      </c>
      <c r="G318" t="s">
        <v>203</v>
      </c>
      <c r="H318" t="s">
        <v>222</v>
      </c>
      <c r="I318" s="4">
        <v>100638.28079999999</v>
      </c>
      <c r="J318" s="4">
        <v>402553.12319999997</v>
      </c>
      <c r="L318" s="4">
        <v>4</v>
      </c>
    </row>
    <row r="319" spans="1:12">
      <c r="A319" t="s">
        <v>86</v>
      </c>
      <c r="B319" s="10">
        <v>45598</v>
      </c>
      <c r="C319" s="18">
        <f t="shared" si="4"/>
        <v>11</v>
      </c>
      <c r="D319" t="s">
        <v>136</v>
      </c>
      <c r="E319">
        <v>7242720</v>
      </c>
      <c r="F319" t="s">
        <v>88</v>
      </c>
      <c r="G319" t="s">
        <v>203</v>
      </c>
      <c r="H319" t="s">
        <v>223</v>
      </c>
      <c r="I319" s="4">
        <v>100638.28079999999</v>
      </c>
      <c r="J319" s="4">
        <v>-100638.28079999999</v>
      </c>
      <c r="K319" s="4">
        <v>3467.6860800000004</v>
      </c>
      <c r="L319" s="4">
        <v>-1</v>
      </c>
    </row>
    <row r="320" spans="1:12">
      <c r="A320" t="s">
        <v>86</v>
      </c>
      <c r="B320" s="10">
        <v>45598</v>
      </c>
      <c r="C320" s="18">
        <f t="shared" si="4"/>
        <v>11</v>
      </c>
      <c r="D320" t="s">
        <v>136</v>
      </c>
      <c r="E320">
        <v>7241308</v>
      </c>
      <c r="F320" t="s">
        <v>87</v>
      </c>
      <c r="G320" t="s">
        <v>203</v>
      </c>
      <c r="H320" t="s">
        <v>240</v>
      </c>
      <c r="I320" s="4">
        <v>100638.28079999999</v>
      </c>
      <c r="J320" s="4">
        <v>201276.56159999999</v>
      </c>
      <c r="K320" s="4">
        <v>-8669.2151999999987</v>
      </c>
      <c r="L320" s="4">
        <v>2</v>
      </c>
    </row>
    <row r="321" spans="1:12">
      <c r="A321" t="s">
        <v>86</v>
      </c>
      <c r="B321" s="10">
        <v>45598</v>
      </c>
      <c r="C321" s="18">
        <f t="shared" si="4"/>
        <v>11</v>
      </c>
      <c r="D321" t="s">
        <v>136</v>
      </c>
      <c r="E321">
        <v>7241308</v>
      </c>
      <c r="F321" t="s">
        <v>87</v>
      </c>
      <c r="G321" t="s">
        <v>203</v>
      </c>
      <c r="H321" t="s">
        <v>236</v>
      </c>
      <c r="I321" s="4">
        <v>100638.28079999999</v>
      </c>
      <c r="J321" s="4">
        <v>201276.56159999999</v>
      </c>
      <c r="K321" s="4">
        <v>-8669.2151999999987</v>
      </c>
      <c r="L321" s="4">
        <v>2</v>
      </c>
    </row>
    <row r="322" spans="1:12">
      <c r="A322" t="s">
        <v>86</v>
      </c>
      <c r="B322" s="10">
        <v>45598</v>
      </c>
      <c r="C322" s="18">
        <f t="shared" ref="C322:C385" si="5">MONTH(B322)</f>
        <v>11</v>
      </c>
      <c r="D322" t="s">
        <v>136</v>
      </c>
      <c r="E322">
        <v>7241308</v>
      </c>
      <c r="F322" t="s">
        <v>87</v>
      </c>
      <c r="G322" t="s">
        <v>203</v>
      </c>
      <c r="H322" t="s">
        <v>232</v>
      </c>
      <c r="I322" s="4">
        <v>100638.28079999999</v>
      </c>
      <c r="J322" s="4">
        <v>201276.56159999999</v>
      </c>
      <c r="K322" s="4">
        <v>-8669.2151999999987</v>
      </c>
      <c r="L322" s="4">
        <v>2</v>
      </c>
    </row>
    <row r="323" spans="1:12">
      <c r="A323" t="s">
        <v>86</v>
      </c>
      <c r="B323" s="10">
        <v>45598</v>
      </c>
      <c r="C323" s="18">
        <f t="shared" si="5"/>
        <v>11</v>
      </c>
      <c r="D323" t="s">
        <v>136</v>
      </c>
      <c r="E323">
        <v>7241308</v>
      </c>
      <c r="F323" t="s">
        <v>87</v>
      </c>
      <c r="G323" t="s">
        <v>203</v>
      </c>
      <c r="H323" t="s">
        <v>237</v>
      </c>
      <c r="I323" s="4">
        <v>125766.4408</v>
      </c>
      <c r="J323" s="4">
        <v>251532.88159999999</v>
      </c>
      <c r="K323" s="4">
        <v>-11307.672</v>
      </c>
      <c r="L323" s="4">
        <v>2</v>
      </c>
    </row>
    <row r="324" spans="1:12">
      <c r="A324" t="s">
        <v>86</v>
      </c>
      <c r="B324" s="10">
        <v>45598</v>
      </c>
      <c r="C324" s="18">
        <f t="shared" si="5"/>
        <v>11</v>
      </c>
      <c r="D324" t="s">
        <v>136</v>
      </c>
      <c r="E324">
        <v>7241308</v>
      </c>
      <c r="F324" t="s">
        <v>87</v>
      </c>
      <c r="G324" t="s">
        <v>203</v>
      </c>
      <c r="H324" t="s">
        <v>231</v>
      </c>
      <c r="I324" s="4">
        <v>125766.4408</v>
      </c>
      <c r="J324" s="4">
        <v>251532.88159999999</v>
      </c>
      <c r="K324" s="4">
        <v>-11307.672</v>
      </c>
      <c r="L324" s="4">
        <v>2</v>
      </c>
    </row>
    <row r="325" spans="1:12">
      <c r="A325" t="s">
        <v>86</v>
      </c>
      <c r="B325" s="10">
        <v>45600</v>
      </c>
      <c r="C325" s="18">
        <f t="shared" si="5"/>
        <v>11</v>
      </c>
      <c r="D325" t="s">
        <v>136</v>
      </c>
      <c r="E325">
        <v>7244683</v>
      </c>
      <c r="F325" t="s">
        <v>87</v>
      </c>
      <c r="G325" t="s">
        <v>203</v>
      </c>
      <c r="H325" t="s">
        <v>237</v>
      </c>
      <c r="I325" s="4">
        <v>125766.4408</v>
      </c>
      <c r="J325" s="4">
        <v>628832.20400000003</v>
      </c>
      <c r="K325" s="4">
        <v>-28269.18</v>
      </c>
      <c r="L325" s="4">
        <v>5</v>
      </c>
    </row>
    <row r="326" spans="1:12">
      <c r="A326" t="s">
        <v>86</v>
      </c>
      <c r="B326" s="10">
        <v>45600</v>
      </c>
      <c r="C326" s="18">
        <f t="shared" si="5"/>
        <v>11</v>
      </c>
      <c r="D326" t="s">
        <v>136</v>
      </c>
      <c r="E326">
        <v>7244683</v>
      </c>
      <c r="F326" t="s">
        <v>87</v>
      </c>
      <c r="G326" t="s">
        <v>203</v>
      </c>
      <c r="H326" t="s">
        <v>235</v>
      </c>
      <c r="I326" s="4">
        <v>125766.4408</v>
      </c>
      <c r="J326" s="4">
        <v>628832.20400000003</v>
      </c>
      <c r="K326" s="4">
        <v>-28269.18</v>
      </c>
      <c r="L326" s="4">
        <v>5</v>
      </c>
    </row>
    <row r="327" spans="1:12">
      <c r="A327" t="s">
        <v>86</v>
      </c>
      <c r="B327" s="10">
        <v>45600</v>
      </c>
      <c r="C327" s="18">
        <f t="shared" si="5"/>
        <v>11</v>
      </c>
      <c r="D327" t="s">
        <v>136</v>
      </c>
      <c r="E327">
        <v>7244683</v>
      </c>
      <c r="F327" t="s">
        <v>87</v>
      </c>
      <c r="G327" t="s">
        <v>203</v>
      </c>
      <c r="H327" t="s">
        <v>231</v>
      </c>
      <c r="I327" s="4">
        <v>125766.4408</v>
      </c>
      <c r="J327" s="4">
        <v>628832.20400000003</v>
      </c>
      <c r="K327" s="4">
        <v>-28269.18</v>
      </c>
      <c r="L327" s="4">
        <v>5</v>
      </c>
    </row>
    <row r="328" spans="1:12">
      <c r="A328" t="s">
        <v>86</v>
      </c>
      <c r="B328" s="10">
        <v>45608</v>
      </c>
      <c r="C328" s="18">
        <f t="shared" si="5"/>
        <v>11</v>
      </c>
      <c r="D328" t="s">
        <v>136</v>
      </c>
      <c r="E328">
        <v>7241308</v>
      </c>
      <c r="F328" t="s">
        <v>87</v>
      </c>
      <c r="G328" t="s">
        <v>203</v>
      </c>
      <c r="H328" t="s">
        <v>233</v>
      </c>
      <c r="I328" s="4">
        <v>120735.78316800001</v>
      </c>
      <c r="J328" s="4">
        <v>1207357.8316800001</v>
      </c>
      <c r="K328" s="4">
        <v>-56538.36</v>
      </c>
      <c r="L328" s="4">
        <v>10</v>
      </c>
    </row>
    <row r="329" spans="1:12">
      <c r="A329" t="s">
        <v>86</v>
      </c>
      <c r="B329" s="10">
        <v>45609</v>
      </c>
      <c r="C329" s="18">
        <f t="shared" si="5"/>
        <v>11</v>
      </c>
      <c r="D329" t="s">
        <v>136</v>
      </c>
      <c r="E329">
        <v>7907092</v>
      </c>
      <c r="F329" t="s">
        <v>87</v>
      </c>
      <c r="G329" t="s">
        <v>203</v>
      </c>
      <c r="H329" t="s">
        <v>238</v>
      </c>
      <c r="I329" s="4">
        <v>95606.36675999999</v>
      </c>
      <c r="J329" s="4">
        <v>382425.46703999996</v>
      </c>
      <c r="K329" s="4">
        <v>-17338.430399999997</v>
      </c>
      <c r="L329" s="4">
        <v>4</v>
      </c>
    </row>
    <row r="330" spans="1:12">
      <c r="A330" t="s">
        <v>86</v>
      </c>
      <c r="B330" s="10">
        <v>45609</v>
      </c>
      <c r="C330" s="18">
        <f t="shared" si="5"/>
        <v>11</v>
      </c>
      <c r="D330" t="s">
        <v>136</v>
      </c>
      <c r="E330">
        <v>7907092</v>
      </c>
      <c r="F330" t="s">
        <v>87</v>
      </c>
      <c r="G330" t="s">
        <v>203</v>
      </c>
      <c r="H330" t="s">
        <v>236</v>
      </c>
      <c r="I330" s="4">
        <v>100638.28079999999</v>
      </c>
      <c r="J330" s="4">
        <v>603829.68479999993</v>
      </c>
      <c r="K330" s="4">
        <v>-26007.645599999996</v>
      </c>
      <c r="L330" s="4">
        <v>6</v>
      </c>
    </row>
    <row r="331" spans="1:12">
      <c r="A331" t="s">
        <v>86</v>
      </c>
      <c r="B331" s="10">
        <v>45609</v>
      </c>
      <c r="C331" s="18">
        <f t="shared" si="5"/>
        <v>11</v>
      </c>
      <c r="D331" t="s">
        <v>136</v>
      </c>
      <c r="E331">
        <v>7907092</v>
      </c>
      <c r="F331" t="s">
        <v>87</v>
      </c>
      <c r="G331" t="s">
        <v>203</v>
      </c>
      <c r="H331" t="s">
        <v>230</v>
      </c>
      <c r="I331" s="4">
        <v>100638.28079999999</v>
      </c>
      <c r="J331" s="4">
        <v>1006382.808</v>
      </c>
      <c r="K331" s="4">
        <v>-43346.076000000001</v>
      </c>
      <c r="L331" s="4">
        <v>10</v>
      </c>
    </row>
    <row r="332" spans="1:12">
      <c r="A332" t="s">
        <v>86</v>
      </c>
      <c r="B332" s="10">
        <v>45609</v>
      </c>
      <c r="C332" s="18">
        <f t="shared" si="5"/>
        <v>11</v>
      </c>
      <c r="D332" t="s">
        <v>136</v>
      </c>
      <c r="E332">
        <v>7907092</v>
      </c>
      <c r="F332" t="s">
        <v>87</v>
      </c>
      <c r="G332" t="s">
        <v>203</v>
      </c>
      <c r="H332" t="s">
        <v>237</v>
      </c>
      <c r="I332" s="4">
        <v>125766.4408</v>
      </c>
      <c r="J332" s="4">
        <v>377299.3224</v>
      </c>
      <c r="K332" s="4">
        <v>-16961.508000000002</v>
      </c>
      <c r="L332" s="4">
        <v>3</v>
      </c>
    </row>
    <row r="333" spans="1:12">
      <c r="A333" t="s">
        <v>86</v>
      </c>
      <c r="B333" s="10">
        <v>45609</v>
      </c>
      <c r="C333" s="18">
        <f t="shared" si="5"/>
        <v>11</v>
      </c>
      <c r="D333" t="s">
        <v>136</v>
      </c>
      <c r="E333">
        <v>7907092</v>
      </c>
      <c r="F333" t="s">
        <v>87</v>
      </c>
      <c r="G333" t="s">
        <v>203</v>
      </c>
      <c r="H333" t="s">
        <v>235</v>
      </c>
      <c r="I333" s="4">
        <v>125766.4408</v>
      </c>
      <c r="J333" s="4">
        <v>628832.20400000003</v>
      </c>
      <c r="K333" s="4">
        <v>-28269.18</v>
      </c>
      <c r="L333" s="4">
        <v>5</v>
      </c>
    </row>
    <row r="334" spans="1:12">
      <c r="A334" t="s">
        <v>86</v>
      </c>
      <c r="B334" s="10">
        <v>45609</v>
      </c>
      <c r="C334" s="18">
        <f t="shared" si="5"/>
        <v>11</v>
      </c>
      <c r="D334" t="s">
        <v>136</v>
      </c>
      <c r="E334">
        <v>7907092</v>
      </c>
      <c r="F334" t="s">
        <v>87</v>
      </c>
      <c r="G334" t="s">
        <v>203</v>
      </c>
      <c r="H334" t="s">
        <v>231</v>
      </c>
      <c r="I334" s="4">
        <v>125766.4408</v>
      </c>
      <c r="J334" s="4">
        <v>377299.3224</v>
      </c>
      <c r="K334" s="4">
        <v>-16961.508000000002</v>
      </c>
      <c r="L334" s="4">
        <v>3</v>
      </c>
    </row>
    <row r="335" spans="1:12">
      <c r="A335" t="s">
        <v>86</v>
      </c>
      <c r="B335" s="10">
        <v>45614</v>
      </c>
      <c r="C335" s="18">
        <f t="shared" si="5"/>
        <v>11</v>
      </c>
      <c r="D335" t="s">
        <v>136</v>
      </c>
      <c r="E335">
        <v>7244683</v>
      </c>
      <c r="F335" t="s">
        <v>87</v>
      </c>
      <c r="G335" t="s">
        <v>203</v>
      </c>
      <c r="H335" t="s">
        <v>240</v>
      </c>
      <c r="I335" s="4">
        <v>100638.28079999999</v>
      </c>
      <c r="J335" s="4">
        <v>402553.12319999997</v>
      </c>
      <c r="K335" s="4">
        <v>-17338.430399999997</v>
      </c>
      <c r="L335" s="4">
        <v>4</v>
      </c>
    </row>
    <row r="336" spans="1:12">
      <c r="A336" t="s">
        <v>86</v>
      </c>
      <c r="B336" s="10">
        <v>45614</v>
      </c>
      <c r="C336" s="18">
        <f t="shared" si="5"/>
        <v>11</v>
      </c>
      <c r="D336" t="s">
        <v>136</v>
      </c>
      <c r="E336">
        <v>7244683</v>
      </c>
      <c r="F336" t="s">
        <v>87</v>
      </c>
      <c r="G336" t="s">
        <v>203</v>
      </c>
      <c r="H336" t="s">
        <v>230</v>
      </c>
      <c r="I336" s="4">
        <v>100638.28079999999</v>
      </c>
      <c r="J336" s="4">
        <v>402553.12319999997</v>
      </c>
      <c r="K336" s="4">
        <v>-17338.430399999997</v>
      </c>
      <c r="L336" s="4">
        <v>4</v>
      </c>
    </row>
    <row r="337" spans="1:12">
      <c r="A337" t="s">
        <v>86</v>
      </c>
      <c r="B337" s="10">
        <v>45614</v>
      </c>
      <c r="C337" s="18">
        <f t="shared" si="5"/>
        <v>11</v>
      </c>
      <c r="D337" t="s">
        <v>136</v>
      </c>
      <c r="E337">
        <v>7244683</v>
      </c>
      <c r="F337" t="s">
        <v>87</v>
      </c>
      <c r="G337" t="s">
        <v>203</v>
      </c>
      <c r="H337" t="s">
        <v>224</v>
      </c>
      <c r="I337" s="4">
        <v>100638.28079999999</v>
      </c>
      <c r="J337" s="4">
        <v>402553.12319999997</v>
      </c>
      <c r="K337" s="4">
        <v>-17338.430399999997</v>
      </c>
      <c r="L337" s="4">
        <v>4</v>
      </c>
    </row>
    <row r="338" spans="1:12">
      <c r="A338" t="s">
        <v>86</v>
      </c>
      <c r="B338" s="10">
        <v>45616</v>
      </c>
      <c r="C338" s="18">
        <f t="shared" si="5"/>
        <v>11</v>
      </c>
      <c r="D338" t="s">
        <v>136</v>
      </c>
      <c r="E338">
        <v>7244683</v>
      </c>
      <c r="F338" t="s">
        <v>87</v>
      </c>
      <c r="G338" t="s">
        <v>203</v>
      </c>
      <c r="H338" t="s">
        <v>242</v>
      </c>
      <c r="I338" s="4">
        <v>100638.28079999999</v>
      </c>
      <c r="J338" s="4">
        <v>402553.12319999997</v>
      </c>
      <c r="K338" s="4">
        <v>-17338.430399999997</v>
      </c>
      <c r="L338" s="4">
        <v>4</v>
      </c>
    </row>
    <row r="339" spans="1:12">
      <c r="A339" t="s">
        <v>86</v>
      </c>
      <c r="B339" s="10">
        <v>45616</v>
      </c>
      <c r="C339" s="18">
        <f t="shared" si="5"/>
        <v>11</v>
      </c>
      <c r="D339" t="s">
        <v>136</v>
      </c>
      <c r="E339">
        <v>7244683</v>
      </c>
      <c r="F339" t="s">
        <v>87</v>
      </c>
      <c r="G339" t="s">
        <v>203</v>
      </c>
      <c r="H339" t="s">
        <v>234</v>
      </c>
      <c r="I339" s="4">
        <v>100638.28079999999</v>
      </c>
      <c r="J339" s="4">
        <v>805106.24639999995</v>
      </c>
      <c r="K339" s="4">
        <v>-34676.860799999995</v>
      </c>
      <c r="L339" s="4">
        <v>8</v>
      </c>
    </row>
    <row r="340" spans="1:12">
      <c r="A340" t="s">
        <v>86</v>
      </c>
      <c r="B340" s="10">
        <v>45616</v>
      </c>
      <c r="C340" s="18">
        <f t="shared" si="5"/>
        <v>11</v>
      </c>
      <c r="D340" t="s">
        <v>136</v>
      </c>
      <c r="E340">
        <v>7244683</v>
      </c>
      <c r="F340" t="s">
        <v>87</v>
      </c>
      <c r="G340" t="s">
        <v>203</v>
      </c>
      <c r="H340" t="s">
        <v>232</v>
      </c>
      <c r="I340" s="4">
        <v>100638.28079999999</v>
      </c>
      <c r="J340" s="4">
        <v>603829.68479999993</v>
      </c>
      <c r="K340" s="4">
        <v>-26007.645599999996</v>
      </c>
      <c r="L340" s="4">
        <v>6</v>
      </c>
    </row>
    <row r="341" spans="1:12">
      <c r="A341" t="s">
        <v>86</v>
      </c>
      <c r="B341" s="10">
        <v>45616</v>
      </c>
      <c r="C341" s="18">
        <f t="shared" si="5"/>
        <v>11</v>
      </c>
      <c r="D341" t="s">
        <v>136</v>
      </c>
      <c r="E341">
        <v>7244683</v>
      </c>
      <c r="F341" t="s">
        <v>87</v>
      </c>
      <c r="G341" t="s">
        <v>203</v>
      </c>
      <c r="H341" t="s">
        <v>223</v>
      </c>
      <c r="I341" s="4">
        <v>100638.28079999999</v>
      </c>
      <c r="J341" s="4">
        <v>603829.68479999993</v>
      </c>
      <c r="K341" s="4">
        <v>-26007.645599999996</v>
      </c>
      <c r="L341" s="4">
        <v>6</v>
      </c>
    </row>
    <row r="342" spans="1:12">
      <c r="A342" t="s">
        <v>86</v>
      </c>
      <c r="B342" s="10">
        <v>45617</v>
      </c>
      <c r="C342" s="18">
        <f t="shared" si="5"/>
        <v>11</v>
      </c>
      <c r="D342" t="s">
        <v>136</v>
      </c>
      <c r="E342">
        <v>7244683</v>
      </c>
      <c r="F342" t="s">
        <v>87</v>
      </c>
      <c r="G342" t="s">
        <v>203</v>
      </c>
      <c r="H342" t="s">
        <v>223</v>
      </c>
      <c r="I342" s="4">
        <v>100638.28079999999</v>
      </c>
      <c r="J342" s="4">
        <v>402553.12319999997</v>
      </c>
      <c r="K342" s="4">
        <v>-17338.430399999997</v>
      </c>
      <c r="L342" s="4">
        <v>4</v>
      </c>
    </row>
    <row r="343" spans="1:12">
      <c r="A343" t="s">
        <v>86</v>
      </c>
      <c r="B343" s="10">
        <v>45620</v>
      </c>
      <c r="C343" s="18">
        <f t="shared" si="5"/>
        <v>11</v>
      </c>
      <c r="D343" t="s">
        <v>136</v>
      </c>
      <c r="E343">
        <v>7503974</v>
      </c>
      <c r="F343" t="s">
        <v>87</v>
      </c>
      <c r="G343" t="s">
        <v>203</v>
      </c>
      <c r="H343" t="s">
        <v>237</v>
      </c>
      <c r="I343" s="4">
        <v>125766.4408</v>
      </c>
      <c r="J343" s="4">
        <v>-125766.4408</v>
      </c>
      <c r="L343" s="4">
        <v>-1</v>
      </c>
    </row>
    <row r="344" spans="1:12">
      <c r="A344" t="s">
        <v>86</v>
      </c>
      <c r="B344" s="10">
        <v>45620</v>
      </c>
      <c r="C344" s="18">
        <f t="shared" si="5"/>
        <v>11</v>
      </c>
      <c r="D344" t="s">
        <v>136</v>
      </c>
      <c r="E344">
        <v>7503974</v>
      </c>
      <c r="F344" t="s">
        <v>87</v>
      </c>
      <c r="G344" t="s">
        <v>203</v>
      </c>
      <c r="H344" t="s">
        <v>231</v>
      </c>
      <c r="I344" s="4">
        <v>125766.4408</v>
      </c>
      <c r="J344" s="4">
        <v>-125766.4408</v>
      </c>
      <c r="L344" s="4">
        <v>-1</v>
      </c>
    </row>
    <row r="345" spans="1:12">
      <c r="A345" t="s">
        <v>86</v>
      </c>
      <c r="B345" s="10">
        <v>45624</v>
      </c>
      <c r="C345" s="18">
        <f t="shared" si="5"/>
        <v>11</v>
      </c>
      <c r="D345" t="s">
        <v>136</v>
      </c>
      <c r="E345">
        <v>7241129</v>
      </c>
      <c r="F345" t="s">
        <v>87</v>
      </c>
      <c r="G345" t="s">
        <v>202</v>
      </c>
      <c r="H345" t="s">
        <v>261</v>
      </c>
      <c r="I345" s="4">
        <v>41587.104800000001</v>
      </c>
      <c r="J345" s="4">
        <v>4158710.48</v>
      </c>
      <c r="K345" s="4">
        <v>-124384.39200000001</v>
      </c>
      <c r="L345" s="4">
        <v>100</v>
      </c>
    </row>
    <row r="346" spans="1:12">
      <c r="A346" t="s">
        <v>86</v>
      </c>
      <c r="B346" s="10">
        <v>45625</v>
      </c>
      <c r="C346" s="18">
        <f t="shared" si="5"/>
        <v>11</v>
      </c>
      <c r="D346" t="s">
        <v>136</v>
      </c>
      <c r="E346">
        <v>7241308</v>
      </c>
      <c r="F346" t="s">
        <v>87</v>
      </c>
      <c r="G346" t="s">
        <v>203</v>
      </c>
      <c r="H346" t="s">
        <v>241</v>
      </c>
      <c r="I346" s="4">
        <v>125766.4408</v>
      </c>
      <c r="J346" s="4">
        <v>-125766.4408</v>
      </c>
      <c r="K346" s="4">
        <v>5653.8360000000002</v>
      </c>
      <c r="L346" s="4">
        <v>-1</v>
      </c>
    </row>
    <row r="347" spans="1:12">
      <c r="A347" t="s">
        <v>91</v>
      </c>
      <c r="B347" s="10">
        <v>45599</v>
      </c>
      <c r="C347" s="18">
        <f t="shared" si="5"/>
        <v>11</v>
      </c>
      <c r="D347" t="s">
        <v>148</v>
      </c>
      <c r="E347">
        <v>6080397</v>
      </c>
      <c r="F347" t="s">
        <v>88</v>
      </c>
      <c r="G347" t="s">
        <v>204</v>
      </c>
      <c r="H347" t="s">
        <v>217</v>
      </c>
      <c r="I347" s="4">
        <v>78022.936799999996</v>
      </c>
      <c r="J347" s="4">
        <v>-156045.87359999999</v>
      </c>
      <c r="K347" s="4">
        <v>7161.525599999999</v>
      </c>
      <c r="L347" s="4">
        <v>-2</v>
      </c>
    </row>
    <row r="348" spans="1:12">
      <c r="A348" t="s">
        <v>91</v>
      </c>
      <c r="B348" s="10">
        <v>45599</v>
      </c>
      <c r="C348" s="18">
        <f t="shared" si="5"/>
        <v>11</v>
      </c>
      <c r="D348" t="s">
        <v>148</v>
      </c>
      <c r="E348">
        <v>6607386</v>
      </c>
      <c r="F348" t="s">
        <v>88</v>
      </c>
      <c r="G348" t="s">
        <v>203</v>
      </c>
      <c r="H348" t="s">
        <v>238</v>
      </c>
      <c r="I348" s="4">
        <v>95606.36675999999</v>
      </c>
      <c r="J348" s="4">
        <v>191212.73351999998</v>
      </c>
      <c r="K348" s="4">
        <v>-8669.2151999999987</v>
      </c>
      <c r="L348" s="4">
        <v>2</v>
      </c>
    </row>
    <row r="349" spans="1:12">
      <c r="A349" t="s">
        <v>91</v>
      </c>
      <c r="B349" s="10">
        <v>45599</v>
      </c>
      <c r="C349" s="18">
        <f t="shared" si="5"/>
        <v>11</v>
      </c>
      <c r="D349" t="s">
        <v>148</v>
      </c>
      <c r="E349">
        <v>6607386</v>
      </c>
      <c r="F349" t="s">
        <v>88</v>
      </c>
      <c r="G349" t="s">
        <v>203</v>
      </c>
      <c r="H349" t="s">
        <v>222</v>
      </c>
      <c r="I349" s="4">
        <v>100638.28079999999</v>
      </c>
      <c r="J349" s="4">
        <v>201276.56159999999</v>
      </c>
      <c r="K349" s="4">
        <v>-8669.2151999999987</v>
      </c>
      <c r="L349" s="4">
        <v>2</v>
      </c>
    </row>
    <row r="350" spans="1:12">
      <c r="A350" t="s">
        <v>91</v>
      </c>
      <c r="B350" s="10">
        <v>45601</v>
      </c>
      <c r="C350" s="18">
        <f t="shared" si="5"/>
        <v>11</v>
      </c>
      <c r="D350" t="s">
        <v>149</v>
      </c>
      <c r="E350">
        <v>6080397</v>
      </c>
      <c r="F350" t="s">
        <v>88</v>
      </c>
      <c r="G350" t="s">
        <v>204</v>
      </c>
      <c r="H350" t="s">
        <v>220</v>
      </c>
      <c r="I350" s="4">
        <v>37817.880799999999</v>
      </c>
      <c r="J350" s="4">
        <v>151271.5232</v>
      </c>
      <c r="K350" s="4">
        <v>-7538.4479999999994</v>
      </c>
      <c r="L350" s="4">
        <v>4</v>
      </c>
    </row>
    <row r="351" spans="1:12">
      <c r="A351" t="s">
        <v>91</v>
      </c>
      <c r="B351" s="10">
        <v>45603</v>
      </c>
      <c r="C351" s="18">
        <f t="shared" si="5"/>
        <v>11</v>
      </c>
      <c r="D351" t="s">
        <v>148</v>
      </c>
      <c r="E351">
        <v>6536079</v>
      </c>
      <c r="F351" t="s">
        <v>88</v>
      </c>
      <c r="G351" t="s">
        <v>203</v>
      </c>
      <c r="H351" t="s">
        <v>230</v>
      </c>
      <c r="I351" s="4">
        <v>100638.28079999999</v>
      </c>
      <c r="J351" s="4">
        <v>3019148.4239999996</v>
      </c>
      <c r="K351" s="4">
        <v>-130038.22799999999</v>
      </c>
      <c r="L351" s="4">
        <v>30</v>
      </c>
    </row>
    <row r="352" spans="1:12">
      <c r="A352" t="s">
        <v>91</v>
      </c>
      <c r="B352" s="10">
        <v>45606</v>
      </c>
      <c r="C352" s="18">
        <f t="shared" si="5"/>
        <v>11</v>
      </c>
      <c r="D352" t="s">
        <v>148</v>
      </c>
      <c r="E352">
        <v>6536135</v>
      </c>
      <c r="F352" t="s">
        <v>89</v>
      </c>
      <c r="G352" t="s">
        <v>204</v>
      </c>
      <c r="H352" t="s">
        <v>217</v>
      </c>
      <c r="I352" s="4">
        <v>78022.936799999996</v>
      </c>
      <c r="J352" s="4">
        <v>156045.87359999999</v>
      </c>
      <c r="K352" s="4">
        <v>-7161.525599999999</v>
      </c>
      <c r="L352" s="4">
        <v>2</v>
      </c>
    </row>
    <row r="353" spans="1:12">
      <c r="A353" t="s">
        <v>91</v>
      </c>
      <c r="B353" s="10">
        <v>45606</v>
      </c>
      <c r="C353" s="18">
        <f t="shared" si="5"/>
        <v>11</v>
      </c>
      <c r="D353" t="s">
        <v>148</v>
      </c>
      <c r="E353">
        <v>6536135</v>
      </c>
      <c r="F353" t="s">
        <v>89</v>
      </c>
      <c r="G353" t="s">
        <v>204</v>
      </c>
      <c r="H353" t="s">
        <v>213</v>
      </c>
      <c r="I353" s="4">
        <v>119484.4008</v>
      </c>
      <c r="J353" s="4">
        <v>358453.20240000001</v>
      </c>
      <c r="K353" s="4">
        <v>-16019.201999999999</v>
      </c>
      <c r="L353" s="4">
        <v>3</v>
      </c>
    </row>
    <row r="354" spans="1:12">
      <c r="A354" t="s">
        <v>91</v>
      </c>
      <c r="B354" s="10">
        <v>45608</v>
      </c>
      <c r="C354" s="18">
        <f t="shared" si="5"/>
        <v>11</v>
      </c>
      <c r="D354" t="s">
        <v>148</v>
      </c>
      <c r="E354">
        <v>6080443</v>
      </c>
      <c r="F354" t="s">
        <v>88</v>
      </c>
      <c r="G354" t="s">
        <v>204</v>
      </c>
      <c r="H354" t="s">
        <v>215</v>
      </c>
      <c r="I354" s="4">
        <v>75510.12079999999</v>
      </c>
      <c r="J354" s="4">
        <v>755101.20799999987</v>
      </c>
      <c r="K354" s="4">
        <v>-37692.239999999998</v>
      </c>
      <c r="L354" s="4">
        <v>10</v>
      </c>
    </row>
    <row r="355" spans="1:12">
      <c r="A355" t="s">
        <v>91</v>
      </c>
      <c r="B355" s="10">
        <v>45612</v>
      </c>
      <c r="C355" s="18">
        <f t="shared" si="5"/>
        <v>11</v>
      </c>
      <c r="D355" t="s">
        <v>148</v>
      </c>
      <c r="E355">
        <v>6607386</v>
      </c>
      <c r="F355" t="s">
        <v>88</v>
      </c>
      <c r="G355" t="s">
        <v>203</v>
      </c>
      <c r="H355" t="s">
        <v>240</v>
      </c>
      <c r="I355" s="4">
        <v>100638.28079999999</v>
      </c>
      <c r="J355" s="4">
        <v>201276.56159999999</v>
      </c>
      <c r="K355" s="4">
        <v>-8669.2151999999987</v>
      </c>
      <c r="L355" s="4">
        <v>2</v>
      </c>
    </row>
    <row r="356" spans="1:12">
      <c r="A356" t="s">
        <v>91</v>
      </c>
      <c r="B356" s="10">
        <v>45612</v>
      </c>
      <c r="C356" s="18">
        <f t="shared" si="5"/>
        <v>11</v>
      </c>
      <c r="D356" t="s">
        <v>148</v>
      </c>
      <c r="E356">
        <v>6607386</v>
      </c>
      <c r="F356" t="s">
        <v>88</v>
      </c>
      <c r="G356" t="s">
        <v>203</v>
      </c>
      <c r="H356" t="s">
        <v>227</v>
      </c>
      <c r="I356" s="4">
        <v>100638.28079999999</v>
      </c>
      <c r="J356" s="4">
        <v>201276.56159999999</v>
      </c>
      <c r="K356" s="4">
        <v>-8669.2151999999987</v>
      </c>
      <c r="L356" s="4">
        <v>2</v>
      </c>
    </row>
    <row r="357" spans="1:12">
      <c r="A357" t="s">
        <v>91</v>
      </c>
      <c r="B357" s="10">
        <v>45612</v>
      </c>
      <c r="C357" s="18">
        <f t="shared" si="5"/>
        <v>11</v>
      </c>
      <c r="D357" t="s">
        <v>148</v>
      </c>
      <c r="E357">
        <v>6607386</v>
      </c>
      <c r="F357" t="s">
        <v>88</v>
      </c>
      <c r="G357" t="s">
        <v>203</v>
      </c>
      <c r="H357" t="s">
        <v>225</v>
      </c>
      <c r="I357" s="4">
        <v>100638.28079999999</v>
      </c>
      <c r="J357" s="4">
        <v>201276.56159999999</v>
      </c>
      <c r="K357" s="4">
        <v>-8669.2151999999987</v>
      </c>
      <c r="L357" s="4">
        <v>2</v>
      </c>
    </row>
    <row r="358" spans="1:12">
      <c r="A358" t="s">
        <v>91</v>
      </c>
      <c r="B358" s="10">
        <v>45612</v>
      </c>
      <c r="C358" s="18">
        <f t="shared" si="5"/>
        <v>11</v>
      </c>
      <c r="D358" t="s">
        <v>148</v>
      </c>
      <c r="E358">
        <v>6607386</v>
      </c>
      <c r="F358" t="s">
        <v>88</v>
      </c>
      <c r="G358" t="s">
        <v>203</v>
      </c>
      <c r="H358" t="s">
        <v>229</v>
      </c>
      <c r="I358" s="4">
        <v>125766.4408</v>
      </c>
      <c r="J358" s="4">
        <v>251532.88159999999</v>
      </c>
      <c r="K358" s="4">
        <v>-11307.672</v>
      </c>
      <c r="L358" s="4">
        <v>2</v>
      </c>
    </row>
    <row r="359" spans="1:12">
      <c r="A359" t="s">
        <v>91</v>
      </c>
      <c r="B359" s="10">
        <v>45614</v>
      </c>
      <c r="C359" s="18">
        <f t="shared" si="5"/>
        <v>11</v>
      </c>
      <c r="D359" t="s">
        <v>148</v>
      </c>
      <c r="E359">
        <v>6536135</v>
      </c>
      <c r="F359" t="s">
        <v>89</v>
      </c>
      <c r="G359" t="s">
        <v>204</v>
      </c>
      <c r="H359" t="s">
        <v>212</v>
      </c>
      <c r="I359" s="4">
        <v>62946.040799999995</v>
      </c>
      <c r="J359" s="4">
        <v>62946.040799999995</v>
      </c>
      <c r="K359" s="4">
        <v>-1570.51</v>
      </c>
      <c r="L359" s="4">
        <v>1</v>
      </c>
    </row>
    <row r="360" spans="1:12">
      <c r="A360" t="s">
        <v>91</v>
      </c>
      <c r="B360" s="10">
        <v>45616</v>
      </c>
      <c r="C360" s="18">
        <f t="shared" si="5"/>
        <v>11</v>
      </c>
      <c r="D360" t="s">
        <v>148</v>
      </c>
      <c r="E360">
        <v>6080443</v>
      </c>
      <c r="F360" t="s">
        <v>88</v>
      </c>
      <c r="G360" t="s">
        <v>204</v>
      </c>
      <c r="H360" t="s">
        <v>215</v>
      </c>
      <c r="I360" s="4">
        <v>75510.12079999999</v>
      </c>
      <c r="J360" s="4">
        <v>2265303.6239999998</v>
      </c>
      <c r="K360" s="4">
        <v>-113076.72</v>
      </c>
      <c r="L360" s="4">
        <v>30</v>
      </c>
    </row>
    <row r="361" spans="1:12">
      <c r="A361" t="s">
        <v>91</v>
      </c>
      <c r="B361" s="10">
        <v>45617</v>
      </c>
      <c r="C361" s="18">
        <f t="shared" si="5"/>
        <v>11</v>
      </c>
      <c r="D361" t="s">
        <v>148</v>
      </c>
      <c r="E361">
        <v>6607386</v>
      </c>
      <c r="F361" t="s">
        <v>88</v>
      </c>
      <c r="G361" t="s">
        <v>203</v>
      </c>
      <c r="H361" t="s">
        <v>232</v>
      </c>
      <c r="I361" s="4">
        <v>100638.28079999999</v>
      </c>
      <c r="J361" s="4">
        <v>201276.56159999999</v>
      </c>
      <c r="K361" s="4">
        <v>-8669.2151999999987</v>
      </c>
      <c r="L361" s="4">
        <v>2</v>
      </c>
    </row>
    <row r="362" spans="1:12">
      <c r="A362" t="s">
        <v>91</v>
      </c>
      <c r="B362" s="10">
        <v>45617</v>
      </c>
      <c r="C362" s="18">
        <f t="shared" si="5"/>
        <v>11</v>
      </c>
      <c r="D362" t="s">
        <v>148</v>
      </c>
      <c r="E362">
        <v>6607386</v>
      </c>
      <c r="F362" t="s">
        <v>88</v>
      </c>
      <c r="G362" t="s">
        <v>203</v>
      </c>
      <c r="H362" t="s">
        <v>241</v>
      </c>
      <c r="I362" s="4">
        <v>125766.4408</v>
      </c>
      <c r="J362" s="4">
        <v>377299.3224</v>
      </c>
      <c r="K362" s="4">
        <v>-16961.508000000002</v>
      </c>
      <c r="L362" s="4">
        <v>3</v>
      </c>
    </row>
    <row r="363" spans="1:12">
      <c r="A363" t="s">
        <v>91</v>
      </c>
      <c r="B363" s="10">
        <v>45617</v>
      </c>
      <c r="C363" s="18">
        <f t="shared" si="5"/>
        <v>11</v>
      </c>
      <c r="D363" t="s">
        <v>148</v>
      </c>
      <c r="E363">
        <v>6607386</v>
      </c>
      <c r="F363" t="s">
        <v>88</v>
      </c>
      <c r="G363" t="s">
        <v>203</v>
      </c>
      <c r="H363" t="s">
        <v>233</v>
      </c>
      <c r="I363" s="4">
        <v>120735.78316800001</v>
      </c>
      <c r="J363" s="4">
        <v>603678.91584000003</v>
      </c>
      <c r="K363" s="4">
        <v>-28269.18</v>
      </c>
      <c r="L363" s="4">
        <v>5</v>
      </c>
    </row>
    <row r="364" spans="1:12">
      <c r="A364" t="s">
        <v>91</v>
      </c>
      <c r="B364" s="10">
        <v>45617</v>
      </c>
      <c r="C364" s="18">
        <f t="shared" si="5"/>
        <v>11</v>
      </c>
      <c r="D364" t="s">
        <v>148</v>
      </c>
      <c r="E364">
        <v>6607386</v>
      </c>
      <c r="F364" t="s">
        <v>88</v>
      </c>
      <c r="G364" t="s">
        <v>203</v>
      </c>
      <c r="H364" t="s">
        <v>231</v>
      </c>
      <c r="I364" s="4">
        <v>125766.4408</v>
      </c>
      <c r="J364" s="4">
        <v>628832.20400000003</v>
      </c>
      <c r="K364" s="4">
        <v>-28269.18</v>
      </c>
      <c r="L364" s="4">
        <v>5</v>
      </c>
    </row>
    <row r="365" spans="1:12">
      <c r="A365" t="s">
        <v>91</v>
      </c>
      <c r="B365" s="10">
        <v>45617</v>
      </c>
      <c r="C365" s="18">
        <f t="shared" si="5"/>
        <v>11</v>
      </c>
      <c r="D365" t="s">
        <v>148</v>
      </c>
      <c r="E365">
        <v>6607386</v>
      </c>
      <c r="F365" t="s">
        <v>88</v>
      </c>
      <c r="G365" t="s">
        <v>203</v>
      </c>
      <c r="H365" t="s">
        <v>229</v>
      </c>
      <c r="I365" s="4">
        <v>125766.4408</v>
      </c>
      <c r="J365" s="4">
        <v>377299.3224</v>
      </c>
      <c r="K365" s="4">
        <v>-16961.508000000002</v>
      </c>
      <c r="L365" s="4">
        <v>3</v>
      </c>
    </row>
    <row r="366" spans="1:12">
      <c r="A366" t="s">
        <v>91</v>
      </c>
      <c r="B366" s="10">
        <v>45617</v>
      </c>
      <c r="C366" s="18">
        <f t="shared" si="5"/>
        <v>11</v>
      </c>
      <c r="D366" t="s">
        <v>148</v>
      </c>
      <c r="E366">
        <v>6536135</v>
      </c>
      <c r="F366" t="s">
        <v>89</v>
      </c>
      <c r="G366" t="s">
        <v>204</v>
      </c>
      <c r="H366" t="s">
        <v>221</v>
      </c>
      <c r="I366" s="4">
        <v>25253.800799999997</v>
      </c>
      <c r="J366" s="4">
        <v>75761.402399999992</v>
      </c>
      <c r="K366" s="4">
        <v>-3769.2239999999997</v>
      </c>
      <c r="L366" s="4">
        <v>3</v>
      </c>
    </row>
    <row r="367" spans="1:12">
      <c r="A367" t="s">
        <v>91</v>
      </c>
      <c r="B367" s="10">
        <v>45617</v>
      </c>
      <c r="C367" s="18">
        <f t="shared" si="5"/>
        <v>11</v>
      </c>
      <c r="D367" t="s">
        <v>148</v>
      </c>
      <c r="E367">
        <v>6080397</v>
      </c>
      <c r="F367" t="s">
        <v>88</v>
      </c>
      <c r="G367" t="s">
        <v>203</v>
      </c>
      <c r="H367" t="s">
        <v>245</v>
      </c>
      <c r="I367" s="4">
        <v>100638.28079999999</v>
      </c>
      <c r="J367" s="4">
        <v>201276.56159999999</v>
      </c>
      <c r="K367" s="4">
        <v>-8669.2151999999987</v>
      </c>
      <c r="L367" s="4">
        <v>2</v>
      </c>
    </row>
    <row r="368" spans="1:12">
      <c r="A368" t="s">
        <v>91</v>
      </c>
      <c r="B368" s="10">
        <v>45617</v>
      </c>
      <c r="C368" s="18">
        <f t="shared" si="5"/>
        <v>11</v>
      </c>
      <c r="D368" t="s">
        <v>148</v>
      </c>
      <c r="E368">
        <v>6080397</v>
      </c>
      <c r="F368" t="s">
        <v>88</v>
      </c>
      <c r="G368" t="s">
        <v>203</v>
      </c>
      <c r="H368" t="s">
        <v>241</v>
      </c>
      <c r="I368" s="4">
        <v>125766.4408</v>
      </c>
      <c r="J368" s="4">
        <v>251532.88159999999</v>
      </c>
      <c r="K368" s="4">
        <v>-11307.672</v>
      </c>
      <c r="L368" s="4">
        <v>2</v>
      </c>
    </row>
    <row r="369" spans="1:12">
      <c r="A369" t="s">
        <v>91</v>
      </c>
      <c r="B369" s="10">
        <v>45617</v>
      </c>
      <c r="C369" s="18">
        <f t="shared" si="5"/>
        <v>11</v>
      </c>
      <c r="D369" t="s">
        <v>148</v>
      </c>
      <c r="E369">
        <v>6080397</v>
      </c>
      <c r="F369" t="s">
        <v>88</v>
      </c>
      <c r="G369" t="s">
        <v>203</v>
      </c>
      <c r="H369" t="s">
        <v>233</v>
      </c>
      <c r="I369" s="4">
        <v>120735.78316800001</v>
      </c>
      <c r="J369" s="4">
        <v>120735.78316800001</v>
      </c>
      <c r="K369" s="4">
        <v>-5653.8360000000002</v>
      </c>
      <c r="L369" s="4">
        <v>1</v>
      </c>
    </row>
    <row r="370" spans="1:12">
      <c r="A370" t="s">
        <v>91</v>
      </c>
      <c r="B370" s="10">
        <v>45617</v>
      </c>
      <c r="C370" s="18">
        <f t="shared" si="5"/>
        <v>11</v>
      </c>
      <c r="D370" t="s">
        <v>148</v>
      </c>
      <c r="E370">
        <v>6080397</v>
      </c>
      <c r="F370" t="s">
        <v>88</v>
      </c>
      <c r="G370" t="s">
        <v>203</v>
      </c>
      <c r="H370" t="s">
        <v>231</v>
      </c>
      <c r="I370" s="4">
        <v>125766.4408</v>
      </c>
      <c r="J370" s="4">
        <v>125766.4408</v>
      </c>
      <c r="K370" s="4">
        <v>-5653.8360000000002</v>
      </c>
      <c r="L370" s="4">
        <v>1</v>
      </c>
    </row>
    <row r="371" spans="1:12">
      <c r="A371" t="s">
        <v>91</v>
      </c>
      <c r="B371" s="10">
        <v>45619</v>
      </c>
      <c r="C371" s="18">
        <f t="shared" si="5"/>
        <v>11</v>
      </c>
      <c r="D371" t="s">
        <v>148</v>
      </c>
      <c r="E371">
        <v>6536135</v>
      </c>
      <c r="F371" t="s">
        <v>89</v>
      </c>
      <c r="G371" t="s">
        <v>204</v>
      </c>
      <c r="H371" t="s">
        <v>220</v>
      </c>
      <c r="I371" s="4">
        <v>37817.880799999999</v>
      </c>
      <c r="J371" s="4">
        <v>75635.761599999998</v>
      </c>
      <c r="K371" s="4">
        <v>-3769.2239999999997</v>
      </c>
      <c r="L371" s="4">
        <v>2</v>
      </c>
    </row>
    <row r="372" spans="1:12">
      <c r="A372" t="s">
        <v>91</v>
      </c>
      <c r="B372" s="10">
        <v>45619</v>
      </c>
      <c r="C372" s="18">
        <f t="shared" si="5"/>
        <v>11</v>
      </c>
      <c r="D372" t="s">
        <v>148</v>
      </c>
      <c r="E372">
        <v>6536135</v>
      </c>
      <c r="F372" t="s">
        <v>89</v>
      </c>
      <c r="G372" t="s">
        <v>204</v>
      </c>
      <c r="H372" t="s">
        <v>212</v>
      </c>
      <c r="I372" s="4">
        <v>62946.040799999995</v>
      </c>
      <c r="J372" s="4">
        <v>125892.08159999999</v>
      </c>
      <c r="K372" s="4">
        <v>-3141.02</v>
      </c>
      <c r="L372" s="4">
        <v>2</v>
      </c>
    </row>
    <row r="373" spans="1:12">
      <c r="A373" t="s">
        <v>91</v>
      </c>
      <c r="B373" s="10">
        <v>45619</v>
      </c>
      <c r="C373" s="18">
        <f t="shared" si="5"/>
        <v>11</v>
      </c>
      <c r="D373" t="s">
        <v>148</v>
      </c>
      <c r="E373">
        <v>6536079</v>
      </c>
      <c r="F373" t="s">
        <v>88</v>
      </c>
      <c r="G373" t="s">
        <v>203</v>
      </c>
      <c r="H373" t="s">
        <v>241</v>
      </c>
      <c r="I373" s="4">
        <v>125766.4408</v>
      </c>
      <c r="J373" s="4">
        <v>628832.20400000003</v>
      </c>
      <c r="K373" s="4">
        <v>-28269.18</v>
      </c>
      <c r="L373" s="4">
        <v>5</v>
      </c>
    </row>
    <row r="374" spans="1:12">
      <c r="A374" t="s">
        <v>91</v>
      </c>
      <c r="B374" s="10">
        <v>45619</v>
      </c>
      <c r="C374" s="18">
        <f t="shared" si="5"/>
        <v>11</v>
      </c>
      <c r="D374" t="s">
        <v>148</v>
      </c>
      <c r="E374">
        <v>6536079</v>
      </c>
      <c r="F374" t="s">
        <v>88</v>
      </c>
      <c r="G374" t="s">
        <v>203</v>
      </c>
      <c r="H374" t="s">
        <v>239</v>
      </c>
      <c r="I374" s="4">
        <v>125766.4408</v>
      </c>
      <c r="J374" s="4">
        <v>628832.20400000003</v>
      </c>
      <c r="K374" s="4">
        <v>-28269.18</v>
      </c>
      <c r="L374" s="4">
        <v>5</v>
      </c>
    </row>
    <row r="375" spans="1:12">
      <c r="A375" t="s">
        <v>91</v>
      </c>
      <c r="B375" s="10">
        <v>45619</v>
      </c>
      <c r="C375" s="18">
        <f t="shared" si="5"/>
        <v>11</v>
      </c>
      <c r="D375" t="s">
        <v>148</v>
      </c>
      <c r="E375">
        <v>6536079</v>
      </c>
      <c r="F375" t="s">
        <v>88</v>
      </c>
      <c r="G375" t="s">
        <v>203</v>
      </c>
      <c r="H375" t="s">
        <v>233</v>
      </c>
      <c r="I375" s="4">
        <v>120735.78316800001</v>
      </c>
      <c r="J375" s="4">
        <v>603678.91584000003</v>
      </c>
      <c r="K375" s="4">
        <v>-28269.18</v>
      </c>
      <c r="L375" s="4">
        <v>5</v>
      </c>
    </row>
    <row r="376" spans="1:12">
      <c r="A376" t="s">
        <v>91</v>
      </c>
      <c r="B376" s="10">
        <v>45619</v>
      </c>
      <c r="C376" s="18">
        <f t="shared" si="5"/>
        <v>11</v>
      </c>
      <c r="D376" t="s">
        <v>148</v>
      </c>
      <c r="E376">
        <v>6536079</v>
      </c>
      <c r="F376" t="s">
        <v>88</v>
      </c>
      <c r="G376" t="s">
        <v>203</v>
      </c>
      <c r="H376" t="s">
        <v>231</v>
      </c>
      <c r="I376" s="4">
        <v>125766.4408</v>
      </c>
      <c r="J376" s="4">
        <v>628832.20400000003</v>
      </c>
      <c r="K376" s="4">
        <v>-28269.18</v>
      </c>
      <c r="L376" s="4">
        <v>5</v>
      </c>
    </row>
    <row r="377" spans="1:12">
      <c r="A377" t="s">
        <v>91</v>
      </c>
      <c r="B377" s="10">
        <v>45619</v>
      </c>
      <c r="C377" s="18">
        <f t="shared" si="5"/>
        <v>11</v>
      </c>
      <c r="D377" t="s">
        <v>148</v>
      </c>
      <c r="E377">
        <v>6536079</v>
      </c>
      <c r="F377" t="s">
        <v>88</v>
      </c>
      <c r="G377" t="s">
        <v>203</v>
      </c>
      <c r="H377" t="s">
        <v>229</v>
      </c>
      <c r="I377" s="4">
        <v>125766.4408</v>
      </c>
      <c r="J377" s="4">
        <v>1383430.8488</v>
      </c>
      <c r="K377" s="4">
        <v>-62192.196000000004</v>
      </c>
      <c r="L377" s="4">
        <v>11</v>
      </c>
    </row>
    <row r="378" spans="1:12">
      <c r="A378" t="s">
        <v>91</v>
      </c>
      <c r="B378" s="10">
        <v>45622</v>
      </c>
      <c r="C378" s="18">
        <f t="shared" si="5"/>
        <v>11</v>
      </c>
      <c r="D378" t="s">
        <v>148</v>
      </c>
      <c r="E378">
        <v>6607386</v>
      </c>
      <c r="F378" t="s">
        <v>88</v>
      </c>
      <c r="G378" t="s">
        <v>203</v>
      </c>
      <c r="H378" t="s">
        <v>238</v>
      </c>
      <c r="I378" s="4">
        <v>95606.36675999999</v>
      </c>
      <c r="J378" s="4">
        <v>-95606.36675999999</v>
      </c>
      <c r="K378" s="4">
        <v>4334.6075999999994</v>
      </c>
      <c r="L378" s="4">
        <v>-1</v>
      </c>
    </row>
    <row r="379" spans="1:12">
      <c r="A379" t="s">
        <v>91</v>
      </c>
      <c r="B379" s="10">
        <v>45622</v>
      </c>
      <c r="C379" s="18">
        <f t="shared" si="5"/>
        <v>11</v>
      </c>
      <c r="D379" t="s">
        <v>148</v>
      </c>
      <c r="E379">
        <v>6536135</v>
      </c>
      <c r="F379" t="s">
        <v>89</v>
      </c>
      <c r="G379" t="s">
        <v>204</v>
      </c>
      <c r="H379" t="s">
        <v>217</v>
      </c>
      <c r="I379" s="4">
        <v>78022.936799999996</v>
      </c>
      <c r="J379" s="4">
        <v>390114.68400000001</v>
      </c>
      <c r="K379" s="4">
        <v>-17903.814000000002</v>
      </c>
      <c r="L379" s="4">
        <v>5</v>
      </c>
    </row>
    <row r="380" spans="1:12">
      <c r="A380" t="s">
        <v>91</v>
      </c>
      <c r="B380" s="10">
        <v>45622</v>
      </c>
      <c r="C380" s="18">
        <f t="shared" si="5"/>
        <v>11</v>
      </c>
      <c r="D380" t="s">
        <v>148</v>
      </c>
      <c r="E380">
        <v>6536135</v>
      </c>
      <c r="F380" t="s">
        <v>89</v>
      </c>
      <c r="G380" t="s">
        <v>204</v>
      </c>
      <c r="H380" t="s">
        <v>216</v>
      </c>
      <c r="I380" s="4">
        <v>113202.36079999999</v>
      </c>
      <c r="J380" s="4">
        <v>566011.804</v>
      </c>
      <c r="K380" s="4">
        <v>-28269.18</v>
      </c>
      <c r="L380" s="4">
        <v>5</v>
      </c>
    </row>
    <row r="381" spans="1:12">
      <c r="A381" t="s">
        <v>91</v>
      </c>
      <c r="B381" s="10">
        <v>45622</v>
      </c>
      <c r="C381" s="18">
        <f t="shared" si="5"/>
        <v>11</v>
      </c>
      <c r="D381" t="s">
        <v>148</v>
      </c>
      <c r="E381">
        <v>6536135</v>
      </c>
      <c r="F381" t="s">
        <v>89</v>
      </c>
      <c r="G381" t="s">
        <v>204</v>
      </c>
      <c r="H381" t="s">
        <v>213</v>
      </c>
      <c r="I381" s="4">
        <v>119484.4008</v>
      </c>
      <c r="J381" s="4">
        <v>477937.60320000001</v>
      </c>
      <c r="K381" s="4">
        <v>-21358.935999999998</v>
      </c>
      <c r="L381" s="4">
        <v>4</v>
      </c>
    </row>
    <row r="382" spans="1:12">
      <c r="A382" t="s">
        <v>91</v>
      </c>
      <c r="B382" s="10">
        <v>45624</v>
      </c>
      <c r="C382" s="18">
        <f t="shared" si="5"/>
        <v>11</v>
      </c>
      <c r="D382" t="s">
        <v>148</v>
      </c>
      <c r="E382">
        <v>6080443</v>
      </c>
      <c r="F382" t="s">
        <v>88</v>
      </c>
      <c r="G382" t="s">
        <v>204</v>
      </c>
      <c r="H382" t="s">
        <v>215</v>
      </c>
      <c r="I382" s="4">
        <v>75510.12079999999</v>
      </c>
      <c r="J382" s="4">
        <v>4530607.2479999997</v>
      </c>
      <c r="K382" s="4">
        <v>-226153.44</v>
      </c>
      <c r="L382" s="4">
        <v>60</v>
      </c>
    </row>
    <row r="383" spans="1:12">
      <c r="A383" t="s">
        <v>91</v>
      </c>
      <c r="B383" s="10">
        <v>45624</v>
      </c>
      <c r="C383" s="18">
        <f t="shared" si="5"/>
        <v>11</v>
      </c>
      <c r="D383" t="s">
        <v>148</v>
      </c>
      <c r="E383">
        <v>6536135</v>
      </c>
      <c r="F383" t="s">
        <v>89</v>
      </c>
      <c r="G383" t="s">
        <v>204</v>
      </c>
      <c r="H383" t="s">
        <v>217</v>
      </c>
      <c r="I383" s="4">
        <v>78022.936799999996</v>
      </c>
      <c r="J383" s="4">
        <v>468137.62079999998</v>
      </c>
      <c r="K383" s="4">
        <v>-21484.576799999999</v>
      </c>
      <c r="L383" s="4">
        <v>6</v>
      </c>
    </row>
    <row r="384" spans="1:12">
      <c r="A384" t="s">
        <v>91</v>
      </c>
      <c r="B384" s="10">
        <v>45626</v>
      </c>
      <c r="C384" s="18">
        <f t="shared" si="5"/>
        <v>11</v>
      </c>
      <c r="D384" t="s">
        <v>148</v>
      </c>
      <c r="E384">
        <v>6080443</v>
      </c>
      <c r="F384" t="s">
        <v>88</v>
      </c>
      <c r="G384" t="s">
        <v>204</v>
      </c>
      <c r="H384" t="s">
        <v>215</v>
      </c>
      <c r="I384" s="4">
        <v>75510.12079999999</v>
      </c>
      <c r="J384" s="4">
        <v>4530607.2479999997</v>
      </c>
      <c r="K384" s="4">
        <v>-226153.44</v>
      </c>
      <c r="L384" s="4">
        <v>60</v>
      </c>
    </row>
    <row r="385" spans="1:12">
      <c r="A385" t="s">
        <v>91</v>
      </c>
      <c r="B385" s="10">
        <v>45626</v>
      </c>
      <c r="C385" s="18">
        <f t="shared" si="5"/>
        <v>11</v>
      </c>
      <c r="D385" t="s">
        <v>149</v>
      </c>
      <c r="E385">
        <v>6080397</v>
      </c>
      <c r="F385" t="s">
        <v>88</v>
      </c>
      <c r="G385" t="s">
        <v>204</v>
      </c>
      <c r="H385" t="s">
        <v>215</v>
      </c>
      <c r="I385" s="4">
        <v>75510.12079999999</v>
      </c>
      <c r="J385" s="4">
        <v>1510202.4159999997</v>
      </c>
      <c r="K385" s="4">
        <v>-75384.479999999996</v>
      </c>
      <c r="L385" s="4">
        <v>20</v>
      </c>
    </row>
    <row r="386" spans="1:12">
      <c r="A386" t="s">
        <v>92</v>
      </c>
      <c r="B386" s="10">
        <v>45599</v>
      </c>
      <c r="C386" s="18">
        <f t="shared" ref="C386:C449" si="6">MONTH(B386)</f>
        <v>11</v>
      </c>
      <c r="D386" t="s">
        <v>179</v>
      </c>
      <c r="E386">
        <v>6684266</v>
      </c>
      <c r="F386" t="s">
        <v>89</v>
      </c>
      <c r="G386" t="s">
        <v>203</v>
      </c>
      <c r="H386" t="s">
        <v>228</v>
      </c>
      <c r="I386" s="4">
        <v>100638.28079999999</v>
      </c>
      <c r="J386" s="4">
        <v>2012765.6159999999</v>
      </c>
      <c r="K386" s="4">
        <v>-86692.152000000002</v>
      </c>
      <c r="L386" s="4">
        <v>20</v>
      </c>
    </row>
    <row r="387" spans="1:12">
      <c r="A387" t="s">
        <v>92</v>
      </c>
      <c r="B387" s="10">
        <v>45599</v>
      </c>
      <c r="C387" s="18">
        <f t="shared" si="6"/>
        <v>11</v>
      </c>
      <c r="D387" t="s">
        <v>179</v>
      </c>
      <c r="E387">
        <v>6700769</v>
      </c>
      <c r="F387" t="s">
        <v>88</v>
      </c>
      <c r="G387" t="s">
        <v>203</v>
      </c>
      <c r="H387" t="s">
        <v>236</v>
      </c>
      <c r="I387" s="4">
        <v>100638.28079999999</v>
      </c>
      <c r="J387" s="4">
        <v>1006382.808</v>
      </c>
      <c r="K387" s="4">
        <v>-43346.076000000001</v>
      </c>
      <c r="L387" s="4">
        <v>10</v>
      </c>
    </row>
    <row r="388" spans="1:12">
      <c r="A388" t="s">
        <v>92</v>
      </c>
      <c r="B388" s="10">
        <v>45599</v>
      </c>
      <c r="C388" s="18">
        <f t="shared" si="6"/>
        <v>11</v>
      </c>
      <c r="D388" t="s">
        <v>179</v>
      </c>
      <c r="E388">
        <v>6700769</v>
      </c>
      <c r="F388" t="s">
        <v>88</v>
      </c>
      <c r="G388" t="s">
        <v>203</v>
      </c>
      <c r="H388" t="s">
        <v>232</v>
      </c>
      <c r="I388" s="4">
        <v>100638.28079999999</v>
      </c>
      <c r="J388" s="4">
        <v>2012765.6159999999</v>
      </c>
      <c r="K388" s="4">
        <v>-86692.152000000002</v>
      </c>
      <c r="L388" s="4">
        <v>20</v>
      </c>
    </row>
    <row r="389" spans="1:12">
      <c r="A389" t="s">
        <v>92</v>
      </c>
      <c r="B389" s="10">
        <v>45599</v>
      </c>
      <c r="C389" s="18">
        <f t="shared" si="6"/>
        <v>11</v>
      </c>
      <c r="D389" t="s">
        <v>179</v>
      </c>
      <c r="E389">
        <v>6700769</v>
      </c>
      <c r="F389" t="s">
        <v>88</v>
      </c>
      <c r="G389" t="s">
        <v>203</v>
      </c>
      <c r="H389" t="s">
        <v>230</v>
      </c>
      <c r="I389" s="4">
        <v>100638.28079999999</v>
      </c>
      <c r="J389" s="4">
        <v>1006382.808</v>
      </c>
      <c r="K389" s="4">
        <v>-43346.076000000001</v>
      </c>
      <c r="L389" s="4">
        <v>10</v>
      </c>
    </row>
    <row r="390" spans="1:12">
      <c r="A390" t="s">
        <v>92</v>
      </c>
      <c r="B390" s="10">
        <v>45599</v>
      </c>
      <c r="C390" s="18">
        <f t="shared" si="6"/>
        <v>11</v>
      </c>
      <c r="D390" t="s">
        <v>179</v>
      </c>
      <c r="E390">
        <v>6700769</v>
      </c>
      <c r="F390" t="s">
        <v>88</v>
      </c>
      <c r="G390" t="s">
        <v>203</v>
      </c>
      <c r="H390" t="s">
        <v>231</v>
      </c>
      <c r="I390" s="4">
        <v>125766.4408</v>
      </c>
      <c r="J390" s="4">
        <v>2515328.8160000001</v>
      </c>
      <c r="K390" s="4">
        <v>-113076.72</v>
      </c>
      <c r="L390" s="4">
        <v>20</v>
      </c>
    </row>
    <row r="391" spans="1:12">
      <c r="A391" t="s">
        <v>92</v>
      </c>
      <c r="B391" s="10">
        <v>45599</v>
      </c>
      <c r="C391" s="18">
        <f t="shared" si="6"/>
        <v>11</v>
      </c>
      <c r="D391" t="s">
        <v>179</v>
      </c>
      <c r="E391">
        <v>6700743</v>
      </c>
      <c r="F391" t="s">
        <v>87</v>
      </c>
      <c r="G391" t="s">
        <v>203</v>
      </c>
      <c r="H391" t="s">
        <v>230</v>
      </c>
      <c r="I391" s="4">
        <v>100638.28079999999</v>
      </c>
      <c r="J391" s="4">
        <v>603829.68479999993</v>
      </c>
      <c r="K391" s="4">
        <v>-26007.645599999996</v>
      </c>
      <c r="L391" s="4">
        <v>6</v>
      </c>
    </row>
    <row r="392" spans="1:12">
      <c r="A392" t="s">
        <v>92</v>
      </c>
      <c r="B392" s="10">
        <v>45599</v>
      </c>
      <c r="C392" s="18">
        <f t="shared" si="6"/>
        <v>11</v>
      </c>
      <c r="D392" t="s">
        <v>179</v>
      </c>
      <c r="E392">
        <v>6700743</v>
      </c>
      <c r="F392" t="s">
        <v>87</v>
      </c>
      <c r="G392" t="s">
        <v>203</v>
      </c>
      <c r="H392" t="s">
        <v>229</v>
      </c>
      <c r="I392" s="4">
        <v>125766.4408</v>
      </c>
      <c r="J392" s="4">
        <v>754598.64480000001</v>
      </c>
      <c r="K392" s="4">
        <v>-33923.016000000003</v>
      </c>
      <c r="L392" s="4">
        <v>6</v>
      </c>
    </row>
    <row r="393" spans="1:12">
      <c r="A393" t="s">
        <v>92</v>
      </c>
      <c r="B393" s="10">
        <v>45605</v>
      </c>
      <c r="C393" s="18">
        <f t="shared" si="6"/>
        <v>11</v>
      </c>
      <c r="D393" t="s">
        <v>179</v>
      </c>
      <c r="E393">
        <v>6499774</v>
      </c>
      <c r="F393" t="s">
        <v>88</v>
      </c>
      <c r="G393" t="s">
        <v>203</v>
      </c>
      <c r="H393" t="s">
        <v>225</v>
      </c>
      <c r="I393" s="4">
        <v>100638.28079999999</v>
      </c>
      <c r="J393" s="4">
        <v>1006382.808</v>
      </c>
      <c r="K393" s="4">
        <v>-43346.076000000001</v>
      </c>
      <c r="L393" s="4">
        <v>10</v>
      </c>
    </row>
    <row r="394" spans="1:12">
      <c r="A394" t="s">
        <v>92</v>
      </c>
      <c r="B394" s="10">
        <v>45606</v>
      </c>
      <c r="C394" s="18">
        <f t="shared" si="6"/>
        <v>11</v>
      </c>
      <c r="D394" t="s">
        <v>179</v>
      </c>
      <c r="E394">
        <v>6700754</v>
      </c>
      <c r="F394" t="s">
        <v>90</v>
      </c>
      <c r="G394" t="s">
        <v>203</v>
      </c>
      <c r="H394" t="s">
        <v>230</v>
      </c>
      <c r="I394" s="4">
        <v>100638.28079999999</v>
      </c>
      <c r="J394" s="4">
        <v>402553.12319999997</v>
      </c>
      <c r="K394" s="4">
        <v>-17338.430399999997</v>
      </c>
      <c r="L394" s="4">
        <v>4</v>
      </c>
    </row>
    <row r="395" spans="1:12">
      <c r="A395" t="s">
        <v>92</v>
      </c>
      <c r="B395" s="10">
        <v>45606</v>
      </c>
      <c r="C395" s="18">
        <f t="shared" si="6"/>
        <v>11</v>
      </c>
      <c r="D395" t="s">
        <v>179</v>
      </c>
      <c r="E395">
        <v>6700754</v>
      </c>
      <c r="F395" t="s">
        <v>90</v>
      </c>
      <c r="G395" t="s">
        <v>203</v>
      </c>
      <c r="H395" t="s">
        <v>229</v>
      </c>
      <c r="I395" s="4">
        <v>125766.4408</v>
      </c>
      <c r="J395" s="4">
        <v>125766.4408</v>
      </c>
      <c r="K395" s="4">
        <v>-5653.8360000000002</v>
      </c>
      <c r="L395" s="4">
        <v>1</v>
      </c>
    </row>
    <row r="396" spans="1:12">
      <c r="A396" t="s">
        <v>92</v>
      </c>
      <c r="B396" s="10">
        <v>45607</v>
      </c>
      <c r="C396" s="18">
        <f t="shared" si="6"/>
        <v>11</v>
      </c>
      <c r="D396" t="s">
        <v>179</v>
      </c>
      <c r="E396">
        <v>6700655</v>
      </c>
      <c r="F396" t="s">
        <v>90</v>
      </c>
      <c r="G396" t="s">
        <v>203</v>
      </c>
      <c r="H396" t="s">
        <v>238</v>
      </c>
      <c r="I396" s="4">
        <v>95606.36675999999</v>
      </c>
      <c r="J396" s="4">
        <v>95606.36675999999</v>
      </c>
      <c r="K396" s="4">
        <v>-4334.6075999999994</v>
      </c>
      <c r="L396" s="4">
        <v>1</v>
      </c>
    </row>
    <row r="397" spans="1:12">
      <c r="A397" t="s">
        <v>92</v>
      </c>
      <c r="B397" s="10">
        <v>45607</v>
      </c>
      <c r="C397" s="18">
        <f t="shared" si="6"/>
        <v>11</v>
      </c>
      <c r="D397" t="s">
        <v>179</v>
      </c>
      <c r="E397">
        <v>6700655</v>
      </c>
      <c r="F397" t="s">
        <v>90</v>
      </c>
      <c r="G397" t="s">
        <v>203</v>
      </c>
      <c r="H397" t="s">
        <v>225</v>
      </c>
      <c r="I397" s="4">
        <v>100638.28079999999</v>
      </c>
      <c r="J397" s="4">
        <v>402553.12319999997</v>
      </c>
      <c r="K397" s="4">
        <v>-17338.430399999997</v>
      </c>
      <c r="L397" s="4">
        <v>4</v>
      </c>
    </row>
    <row r="398" spans="1:12">
      <c r="A398" t="s">
        <v>92</v>
      </c>
      <c r="B398" s="10">
        <v>45608</v>
      </c>
      <c r="C398" s="18">
        <f t="shared" si="6"/>
        <v>11</v>
      </c>
      <c r="D398" t="s">
        <v>179</v>
      </c>
      <c r="E398">
        <v>6682193</v>
      </c>
      <c r="F398" t="s">
        <v>88</v>
      </c>
      <c r="G398" t="s">
        <v>203</v>
      </c>
      <c r="H398" t="s">
        <v>225</v>
      </c>
      <c r="I398" s="4">
        <v>100638.28079999999</v>
      </c>
      <c r="J398" s="4">
        <v>603829.68479999993</v>
      </c>
      <c r="K398" s="4">
        <v>-26007.645599999996</v>
      </c>
      <c r="L398" s="4">
        <v>6</v>
      </c>
    </row>
    <row r="399" spans="1:12">
      <c r="A399" t="s">
        <v>92</v>
      </c>
      <c r="B399" s="10">
        <v>45608</v>
      </c>
      <c r="C399" s="18">
        <f t="shared" si="6"/>
        <v>11</v>
      </c>
      <c r="D399" t="s">
        <v>179</v>
      </c>
      <c r="E399">
        <v>6682193</v>
      </c>
      <c r="F399" t="s">
        <v>88</v>
      </c>
      <c r="G399" t="s">
        <v>203</v>
      </c>
      <c r="H399" t="s">
        <v>224</v>
      </c>
      <c r="I399" s="4">
        <v>100638.28079999999</v>
      </c>
      <c r="J399" s="4">
        <v>402553.12319999997</v>
      </c>
      <c r="K399" s="4">
        <v>-17338.430399999997</v>
      </c>
      <c r="L399" s="4">
        <v>4</v>
      </c>
    </row>
    <row r="400" spans="1:12">
      <c r="A400" t="s">
        <v>92</v>
      </c>
      <c r="B400" s="10">
        <v>45609</v>
      </c>
      <c r="C400" s="18">
        <f t="shared" si="6"/>
        <v>11</v>
      </c>
      <c r="D400" t="s">
        <v>179</v>
      </c>
      <c r="E400">
        <v>6700802</v>
      </c>
      <c r="F400" t="s">
        <v>87</v>
      </c>
      <c r="G400" t="s">
        <v>203</v>
      </c>
      <c r="H400" t="s">
        <v>224</v>
      </c>
      <c r="I400" s="4">
        <v>100638.28079999999</v>
      </c>
      <c r="J400" s="4">
        <v>1610212.4927999999</v>
      </c>
      <c r="K400" s="4">
        <v>-69353.72159999999</v>
      </c>
      <c r="L400" s="4">
        <v>16</v>
      </c>
    </row>
    <row r="401" spans="1:12">
      <c r="A401" t="s">
        <v>92</v>
      </c>
      <c r="B401" s="10">
        <v>45612</v>
      </c>
      <c r="C401" s="18">
        <f t="shared" si="6"/>
        <v>11</v>
      </c>
      <c r="D401" t="s">
        <v>179</v>
      </c>
      <c r="E401">
        <v>6700794</v>
      </c>
      <c r="F401" t="s">
        <v>88</v>
      </c>
      <c r="G401" t="s">
        <v>203</v>
      </c>
      <c r="H401" t="s">
        <v>242</v>
      </c>
      <c r="I401" s="4">
        <v>100638.28079999999</v>
      </c>
      <c r="J401" s="4">
        <v>1006382.808</v>
      </c>
      <c r="K401" s="4">
        <v>-43346.076000000001</v>
      </c>
      <c r="L401" s="4">
        <v>10</v>
      </c>
    </row>
    <row r="402" spans="1:12">
      <c r="A402" t="s">
        <v>92</v>
      </c>
      <c r="B402" s="10">
        <v>45612</v>
      </c>
      <c r="C402" s="18">
        <f t="shared" si="6"/>
        <v>11</v>
      </c>
      <c r="D402" t="s">
        <v>179</v>
      </c>
      <c r="E402">
        <v>6700794</v>
      </c>
      <c r="F402" t="s">
        <v>88</v>
      </c>
      <c r="G402" t="s">
        <v>203</v>
      </c>
      <c r="H402" t="s">
        <v>241</v>
      </c>
      <c r="I402" s="4">
        <v>125766.4408</v>
      </c>
      <c r="J402" s="4">
        <v>628832.20400000003</v>
      </c>
      <c r="K402" s="4">
        <v>-28269.18</v>
      </c>
      <c r="L402" s="4">
        <v>5</v>
      </c>
    </row>
    <row r="403" spans="1:12">
      <c r="A403" t="s">
        <v>92</v>
      </c>
      <c r="B403" s="10">
        <v>45612</v>
      </c>
      <c r="C403" s="18">
        <f t="shared" si="6"/>
        <v>11</v>
      </c>
      <c r="D403" t="s">
        <v>179</v>
      </c>
      <c r="E403">
        <v>6700794</v>
      </c>
      <c r="F403" t="s">
        <v>88</v>
      </c>
      <c r="G403" t="s">
        <v>203</v>
      </c>
      <c r="H403" t="s">
        <v>239</v>
      </c>
      <c r="I403" s="4">
        <v>125766.4408</v>
      </c>
      <c r="J403" s="4">
        <v>628832.20400000003</v>
      </c>
      <c r="K403" s="4">
        <v>-28269.18</v>
      </c>
      <c r="L403" s="4">
        <v>5</v>
      </c>
    </row>
    <row r="404" spans="1:12">
      <c r="A404" t="s">
        <v>92</v>
      </c>
      <c r="B404" s="10">
        <v>45613</v>
      </c>
      <c r="C404" s="18">
        <f t="shared" si="6"/>
        <v>11</v>
      </c>
      <c r="D404" t="s">
        <v>179</v>
      </c>
      <c r="E404">
        <v>6700780</v>
      </c>
      <c r="F404" t="s">
        <v>88</v>
      </c>
      <c r="G404" t="s">
        <v>203</v>
      </c>
      <c r="H404" t="s">
        <v>234</v>
      </c>
      <c r="I404" s="4">
        <v>100638.28079999999</v>
      </c>
      <c r="J404" s="4">
        <v>603829.68479999993</v>
      </c>
      <c r="K404" s="4">
        <v>-26007.645599999996</v>
      </c>
      <c r="L404" s="4">
        <v>6</v>
      </c>
    </row>
    <row r="405" spans="1:12">
      <c r="A405" t="s">
        <v>92</v>
      </c>
      <c r="B405" s="10">
        <v>45613</v>
      </c>
      <c r="C405" s="18">
        <f t="shared" si="6"/>
        <v>11</v>
      </c>
      <c r="D405" t="s">
        <v>179</v>
      </c>
      <c r="E405">
        <v>6700780</v>
      </c>
      <c r="F405" t="s">
        <v>88</v>
      </c>
      <c r="G405" t="s">
        <v>203</v>
      </c>
      <c r="H405" t="s">
        <v>237</v>
      </c>
      <c r="I405" s="4">
        <v>125766.4408</v>
      </c>
      <c r="J405" s="4">
        <v>628832.20400000003</v>
      </c>
      <c r="K405" s="4">
        <v>-28269.18</v>
      </c>
      <c r="L405" s="4">
        <v>5</v>
      </c>
    </row>
    <row r="406" spans="1:12">
      <c r="A406" t="s">
        <v>92</v>
      </c>
      <c r="B406" s="10">
        <v>45616</v>
      </c>
      <c r="C406" s="18">
        <f t="shared" si="6"/>
        <v>11</v>
      </c>
      <c r="D406" t="s">
        <v>179</v>
      </c>
      <c r="E406">
        <v>6681936</v>
      </c>
      <c r="F406" t="s">
        <v>88</v>
      </c>
      <c r="G406" t="s">
        <v>203</v>
      </c>
      <c r="H406" t="s">
        <v>231</v>
      </c>
      <c r="I406" s="4">
        <v>125766.4408</v>
      </c>
      <c r="J406" s="4">
        <v>628832.20400000003</v>
      </c>
      <c r="K406" s="4">
        <v>-28269.18</v>
      </c>
      <c r="L406" s="4">
        <v>5</v>
      </c>
    </row>
    <row r="407" spans="1:12">
      <c r="A407" t="s">
        <v>92</v>
      </c>
      <c r="B407" s="10">
        <v>45621</v>
      </c>
      <c r="C407" s="18">
        <f t="shared" si="6"/>
        <v>11</v>
      </c>
      <c r="D407" t="s">
        <v>179</v>
      </c>
      <c r="E407">
        <v>6700780</v>
      </c>
      <c r="F407" t="s">
        <v>88</v>
      </c>
      <c r="G407" t="s">
        <v>203</v>
      </c>
      <c r="H407" t="s">
        <v>242</v>
      </c>
      <c r="I407" s="4">
        <v>100638.28079999999</v>
      </c>
      <c r="J407" s="4">
        <v>1006382.808</v>
      </c>
      <c r="K407" s="4">
        <v>-43346.076000000001</v>
      </c>
      <c r="L407" s="4">
        <v>10</v>
      </c>
    </row>
    <row r="408" spans="1:12">
      <c r="A408" t="s">
        <v>92</v>
      </c>
      <c r="B408" s="10">
        <v>45621</v>
      </c>
      <c r="C408" s="18">
        <f t="shared" si="6"/>
        <v>11</v>
      </c>
      <c r="D408" t="s">
        <v>179</v>
      </c>
      <c r="E408">
        <v>6700780</v>
      </c>
      <c r="F408" t="s">
        <v>88</v>
      </c>
      <c r="G408" t="s">
        <v>203</v>
      </c>
      <c r="H408" t="s">
        <v>236</v>
      </c>
      <c r="I408" s="4">
        <v>100638.28079999999</v>
      </c>
      <c r="J408" s="4">
        <v>1006382.808</v>
      </c>
      <c r="K408" s="4">
        <v>-43346.076000000001</v>
      </c>
      <c r="L408" s="4">
        <v>10</v>
      </c>
    </row>
    <row r="409" spans="1:12">
      <c r="A409" t="s">
        <v>92</v>
      </c>
      <c r="B409" s="10">
        <v>45622</v>
      </c>
      <c r="C409" s="18">
        <f t="shared" si="6"/>
        <v>11</v>
      </c>
      <c r="D409" t="s">
        <v>179</v>
      </c>
      <c r="E409">
        <v>6700758</v>
      </c>
      <c r="F409" t="s">
        <v>88</v>
      </c>
      <c r="G409" t="s">
        <v>203</v>
      </c>
      <c r="H409" t="s">
        <v>228</v>
      </c>
      <c r="I409" s="4">
        <v>100638.28079999999</v>
      </c>
      <c r="J409" s="4">
        <v>1006382.808</v>
      </c>
      <c r="K409" s="4">
        <v>-43346.076000000001</v>
      </c>
      <c r="L409" s="4">
        <v>10</v>
      </c>
    </row>
    <row r="410" spans="1:12">
      <c r="A410" t="s">
        <v>92</v>
      </c>
      <c r="B410" s="10">
        <v>45624</v>
      </c>
      <c r="C410" s="18">
        <f t="shared" si="6"/>
        <v>11</v>
      </c>
      <c r="D410" t="s">
        <v>179</v>
      </c>
      <c r="E410">
        <v>6700769</v>
      </c>
      <c r="F410" t="s">
        <v>88</v>
      </c>
      <c r="G410" t="s">
        <v>203</v>
      </c>
      <c r="H410" t="s">
        <v>239</v>
      </c>
      <c r="I410" s="4">
        <v>125766.4408</v>
      </c>
      <c r="J410" s="4">
        <v>628832.20400000003</v>
      </c>
      <c r="K410" s="4">
        <v>-28269.18</v>
      </c>
      <c r="L410" s="4">
        <v>5</v>
      </c>
    </row>
    <row r="411" spans="1:12">
      <c r="A411" t="s">
        <v>92</v>
      </c>
      <c r="B411" s="10">
        <v>45624</v>
      </c>
      <c r="C411" s="18">
        <f t="shared" si="6"/>
        <v>11</v>
      </c>
      <c r="D411" t="s">
        <v>179</v>
      </c>
      <c r="E411">
        <v>6700769</v>
      </c>
      <c r="F411" t="s">
        <v>88</v>
      </c>
      <c r="G411" t="s">
        <v>203</v>
      </c>
      <c r="H411" t="s">
        <v>233</v>
      </c>
      <c r="I411" s="4">
        <v>120735.78316800001</v>
      </c>
      <c r="J411" s="4">
        <v>603678.91584000003</v>
      </c>
      <c r="K411" s="4">
        <v>-28269.18</v>
      </c>
      <c r="L411" s="4">
        <v>5</v>
      </c>
    </row>
    <row r="412" spans="1:12">
      <c r="A412" t="s">
        <v>93</v>
      </c>
      <c r="B412" s="10">
        <v>45597</v>
      </c>
      <c r="C412" s="18">
        <f t="shared" si="6"/>
        <v>11</v>
      </c>
      <c r="D412" t="s">
        <v>184</v>
      </c>
      <c r="E412">
        <v>4879013</v>
      </c>
      <c r="F412" t="s">
        <v>88</v>
      </c>
      <c r="G412" t="s">
        <v>204</v>
      </c>
      <c r="H412" t="s">
        <v>217</v>
      </c>
      <c r="I412" s="4">
        <v>78022.936799999996</v>
      </c>
      <c r="J412" s="4">
        <v>5305559.7023999998</v>
      </c>
      <c r="K412" s="4">
        <v>-243491.87039999999</v>
      </c>
      <c r="L412" s="4">
        <v>68</v>
      </c>
    </row>
    <row r="413" spans="1:12">
      <c r="A413" t="s">
        <v>93</v>
      </c>
      <c r="B413" s="10">
        <v>45597</v>
      </c>
      <c r="C413" s="18">
        <f t="shared" si="6"/>
        <v>11</v>
      </c>
      <c r="D413" t="s">
        <v>184</v>
      </c>
      <c r="E413">
        <v>4879013</v>
      </c>
      <c r="F413" t="s">
        <v>88</v>
      </c>
      <c r="G413" t="s">
        <v>204</v>
      </c>
      <c r="H413" t="s">
        <v>221</v>
      </c>
      <c r="I413" s="4">
        <v>25253.800799999997</v>
      </c>
      <c r="J413" s="4">
        <v>1388959.0439999998</v>
      </c>
      <c r="K413" s="4">
        <v>-69102.44</v>
      </c>
      <c r="L413" s="4">
        <v>55</v>
      </c>
    </row>
    <row r="414" spans="1:12">
      <c r="A414" t="s">
        <v>93</v>
      </c>
      <c r="B414" s="10">
        <v>45597</v>
      </c>
      <c r="C414" s="18">
        <f t="shared" si="6"/>
        <v>11</v>
      </c>
      <c r="D414" t="s">
        <v>184</v>
      </c>
      <c r="E414">
        <v>4879013</v>
      </c>
      <c r="F414" t="s">
        <v>88</v>
      </c>
      <c r="G414" t="s">
        <v>204</v>
      </c>
      <c r="H414" t="s">
        <v>220</v>
      </c>
      <c r="I414" s="4">
        <v>37817.880799999999</v>
      </c>
      <c r="J414" s="4">
        <v>1134536.4239999999</v>
      </c>
      <c r="K414" s="4">
        <v>-56538.36</v>
      </c>
      <c r="L414" s="4">
        <v>30</v>
      </c>
    </row>
    <row r="415" spans="1:12">
      <c r="A415" t="s">
        <v>93</v>
      </c>
      <c r="B415" s="10">
        <v>45598</v>
      </c>
      <c r="C415" s="18">
        <f t="shared" si="6"/>
        <v>11</v>
      </c>
      <c r="D415" t="s">
        <v>184</v>
      </c>
      <c r="E415">
        <v>4879013</v>
      </c>
      <c r="F415" t="s">
        <v>88</v>
      </c>
      <c r="G415" t="s">
        <v>204</v>
      </c>
      <c r="H415" t="s">
        <v>212</v>
      </c>
      <c r="I415" s="4">
        <v>62946.040799999995</v>
      </c>
      <c r="J415" s="4">
        <v>629460.40799999994</v>
      </c>
      <c r="K415" s="4">
        <v>-18846.12</v>
      </c>
      <c r="L415" s="4">
        <v>10</v>
      </c>
    </row>
    <row r="416" spans="1:12">
      <c r="A416" t="s">
        <v>93</v>
      </c>
      <c r="B416" s="10">
        <v>45599</v>
      </c>
      <c r="C416" s="18">
        <f t="shared" si="6"/>
        <v>11</v>
      </c>
      <c r="D416" t="s">
        <v>184</v>
      </c>
      <c r="E416">
        <v>4874206</v>
      </c>
      <c r="F416" t="s">
        <v>90</v>
      </c>
      <c r="G416" t="s">
        <v>203</v>
      </c>
      <c r="H416" t="s">
        <v>242</v>
      </c>
      <c r="I416" s="4">
        <v>100638.28079999999</v>
      </c>
      <c r="J416" s="4">
        <v>201276.56159999999</v>
      </c>
      <c r="K416" s="4">
        <v>-8669.2151999999987</v>
      </c>
      <c r="L416" s="4">
        <v>2</v>
      </c>
    </row>
    <row r="417" spans="1:12">
      <c r="A417" t="s">
        <v>93</v>
      </c>
      <c r="B417" s="10">
        <v>45599</v>
      </c>
      <c r="C417" s="18">
        <f t="shared" si="6"/>
        <v>11</v>
      </c>
      <c r="D417" t="s">
        <v>184</v>
      </c>
      <c r="E417">
        <v>4874206</v>
      </c>
      <c r="F417" t="s">
        <v>90</v>
      </c>
      <c r="G417" t="s">
        <v>203</v>
      </c>
      <c r="H417" t="s">
        <v>238</v>
      </c>
      <c r="I417" s="4">
        <v>95606.36675999999</v>
      </c>
      <c r="J417" s="4">
        <v>191212.73351999998</v>
      </c>
      <c r="K417" s="4">
        <v>-8669.2151999999987</v>
      </c>
      <c r="L417" s="4">
        <v>2</v>
      </c>
    </row>
    <row r="418" spans="1:12">
      <c r="A418" t="s">
        <v>93</v>
      </c>
      <c r="B418" s="10">
        <v>45599</v>
      </c>
      <c r="C418" s="18">
        <f t="shared" si="6"/>
        <v>11</v>
      </c>
      <c r="D418" t="s">
        <v>184</v>
      </c>
      <c r="E418">
        <v>4874206</v>
      </c>
      <c r="F418" t="s">
        <v>90</v>
      </c>
      <c r="G418" t="s">
        <v>203</v>
      </c>
      <c r="H418" t="s">
        <v>232</v>
      </c>
      <c r="I418" s="4">
        <v>100638.28079999999</v>
      </c>
      <c r="J418" s="4">
        <v>201276.56159999999</v>
      </c>
      <c r="K418" s="4">
        <v>-8669.2151999999987</v>
      </c>
      <c r="L418" s="4">
        <v>2</v>
      </c>
    </row>
    <row r="419" spans="1:12">
      <c r="A419" t="s">
        <v>93</v>
      </c>
      <c r="B419" s="10">
        <v>45599</v>
      </c>
      <c r="C419" s="18">
        <f t="shared" si="6"/>
        <v>11</v>
      </c>
      <c r="D419" t="s">
        <v>184</v>
      </c>
      <c r="E419">
        <v>4874206</v>
      </c>
      <c r="F419" t="s">
        <v>90</v>
      </c>
      <c r="G419" t="s">
        <v>203</v>
      </c>
      <c r="H419" t="s">
        <v>230</v>
      </c>
      <c r="I419" s="4">
        <v>100638.28079999999</v>
      </c>
      <c r="J419" s="4">
        <v>402553.12319999997</v>
      </c>
      <c r="K419" s="4">
        <v>-17338.430399999997</v>
      </c>
      <c r="L419" s="4">
        <v>4</v>
      </c>
    </row>
    <row r="420" spans="1:12">
      <c r="A420" t="s">
        <v>93</v>
      </c>
      <c r="B420" s="10">
        <v>45600</v>
      </c>
      <c r="C420" s="18">
        <f t="shared" si="6"/>
        <v>11</v>
      </c>
      <c r="D420" t="s">
        <v>184</v>
      </c>
      <c r="E420">
        <v>6080130</v>
      </c>
      <c r="F420" t="s">
        <v>87</v>
      </c>
      <c r="G420" t="s">
        <v>203</v>
      </c>
      <c r="H420" t="s">
        <v>235</v>
      </c>
      <c r="I420" s="4">
        <v>125766.4408</v>
      </c>
      <c r="J420" s="4">
        <v>-1006131.5264</v>
      </c>
      <c r="K420" s="4">
        <v>45230.688000000002</v>
      </c>
      <c r="L420" s="4">
        <v>-8</v>
      </c>
    </row>
    <row r="421" spans="1:12">
      <c r="A421" t="s">
        <v>93</v>
      </c>
      <c r="B421" s="10">
        <v>45603</v>
      </c>
      <c r="C421" s="18">
        <f t="shared" si="6"/>
        <v>11</v>
      </c>
      <c r="D421" t="s">
        <v>158</v>
      </c>
      <c r="E421">
        <v>4873780</v>
      </c>
      <c r="F421" t="s">
        <v>87</v>
      </c>
      <c r="G421" t="s">
        <v>203</v>
      </c>
      <c r="H421" t="s">
        <v>242</v>
      </c>
      <c r="I421" s="4">
        <v>100638.28079999999</v>
      </c>
      <c r="J421" s="4">
        <v>402553.12319999997</v>
      </c>
      <c r="L421" s="4">
        <v>4</v>
      </c>
    </row>
    <row r="422" spans="1:12">
      <c r="A422" t="s">
        <v>93</v>
      </c>
      <c r="B422" s="10">
        <v>45603</v>
      </c>
      <c r="C422" s="18">
        <f t="shared" si="6"/>
        <v>11</v>
      </c>
      <c r="D422" t="s">
        <v>158</v>
      </c>
      <c r="E422">
        <v>4873780</v>
      </c>
      <c r="F422" t="s">
        <v>87</v>
      </c>
      <c r="G422" t="s">
        <v>203</v>
      </c>
      <c r="H422" t="s">
        <v>238</v>
      </c>
      <c r="I422" s="4">
        <v>95606.36675999999</v>
      </c>
      <c r="J422" s="4">
        <v>382425.46703999996</v>
      </c>
      <c r="L422" s="4">
        <v>4</v>
      </c>
    </row>
    <row r="423" spans="1:12">
      <c r="A423" t="s">
        <v>93</v>
      </c>
      <c r="B423" s="10">
        <v>45603</v>
      </c>
      <c r="C423" s="18">
        <f t="shared" si="6"/>
        <v>11</v>
      </c>
      <c r="D423" t="s">
        <v>158</v>
      </c>
      <c r="E423">
        <v>4873780</v>
      </c>
      <c r="F423" t="s">
        <v>87</v>
      </c>
      <c r="G423" t="s">
        <v>203</v>
      </c>
      <c r="H423" t="s">
        <v>230</v>
      </c>
      <c r="I423" s="4">
        <v>100638.28079999999</v>
      </c>
      <c r="J423" s="4">
        <v>402553.12319999997</v>
      </c>
      <c r="L423" s="4">
        <v>4</v>
      </c>
    </row>
    <row r="424" spans="1:12">
      <c r="A424" t="s">
        <v>93</v>
      </c>
      <c r="B424" s="10">
        <v>45603</v>
      </c>
      <c r="C424" s="18">
        <f t="shared" si="6"/>
        <v>11</v>
      </c>
      <c r="D424" t="s">
        <v>158</v>
      </c>
      <c r="E424">
        <v>4873780</v>
      </c>
      <c r="F424" t="s">
        <v>87</v>
      </c>
      <c r="G424" t="s">
        <v>203</v>
      </c>
      <c r="H424" t="s">
        <v>228</v>
      </c>
      <c r="I424" s="4">
        <v>100638.28079999999</v>
      </c>
      <c r="J424" s="4">
        <v>402553.12319999997</v>
      </c>
      <c r="L424" s="4">
        <v>4</v>
      </c>
    </row>
    <row r="425" spans="1:12">
      <c r="A425" t="s">
        <v>93</v>
      </c>
      <c r="B425" s="10">
        <v>45603</v>
      </c>
      <c r="C425" s="18">
        <f t="shared" si="6"/>
        <v>11</v>
      </c>
      <c r="D425" t="s">
        <v>158</v>
      </c>
      <c r="E425">
        <v>4873780</v>
      </c>
      <c r="F425" t="s">
        <v>87</v>
      </c>
      <c r="G425" t="s">
        <v>203</v>
      </c>
      <c r="H425" t="s">
        <v>237</v>
      </c>
      <c r="I425" s="4">
        <v>125766.4408</v>
      </c>
      <c r="J425" s="4">
        <v>125766.4408</v>
      </c>
      <c r="L425" s="4">
        <v>1</v>
      </c>
    </row>
    <row r="426" spans="1:12">
      <c r="A426" t="s">
        <v>93</v>
      </c>
      <c r="B426" s="10">
        <v>45603</v>
      </c>
      <c r="C426" s="18">
        <f t="shared" si="6"/>
        <v>11</v>
      </c>
      <c r="D426" t="s">
        <v>158</v>
      </c>
      <c r="E426">
        <v>4873780</v>
      </c>
      <c r="F426" t="s">
        <v>87</v>
      </c>
      <c r="G426" t="s">
        <v>203</v>
      </c>
      <c r="H426" t="s">
        <v>235</v>
      </c>
      <c r="I426" s="4">
        <v>125766.4408</v>
      </c>
      <c r="J426" s="4">
        <v>251532.88159999999</v>
      </c>
      <c r="L426" s="4">
        <v>2</v>
      </c>
    </row>
    <row r="427" spans="1:12">
      <c r="A427" t="s">
        <v>93</v>
      </c>
      <c r="B427" s="10">
        <v>45603</v>
      </c>
      <c r="C427" s="18">
        <f t="shared" si="6"/>
        <v>11</v>
      </c>
      <c r="D427" t="s">
        <v>158</v>
      </c>
      <c r="E427">
        <v>4873780</v>
      </c>
      <c r="F427" t="s">
        <v>87</v>
      </c>
      <c r="G427" t="s">
        <v>203</v>
      </c>
      <c r="H427" t="s">
        <v>231</v>
      </c>
      <c r="I427" s="4">
        <v>125766.4408</v>
      </c>
      <c r="J427" s="4">
        <v>251532.88159999999</v>
      </c>
      <c r="L427" s="4">
        <v>2</v>
      </c>
    </row>
    <row r="428" spans="1:12">
      <c r="A428" t="s">
        <v>93</v>
      </c>
      <c r="B428" s="10">
        <v>45603</v>
      </c>
      <c r="C428" s="18">
        <f t="shared" si="6"/>
        <v>11</v>
      </c>
      <c r="D428" t="s">
        <v>184</v>
      </c>
      <c r="E428">
        <v>4874206</v>
      </c>
      <c r="F428" t="s">
        <v>90</v>
      </c>
      <c r="G428" t="s">
        <v>203</v>
      </c>
      <c r="H428" t="s">
        <v>236</v>
      </c>
      <c r="I428" s="4">
        <v>100638.28079999999</v>
      </c>
      <c r="J428" s="4">
        <v>201276.56159999999</v>
      </c>
      <c r="K428" s="4">
        <v>-8669.2151999999987</v>
      </c>
      <c r="L428" s="4">
        <v>2</v>
      </c>
    </row>
    <row r="429" spans="1:12">
      <c r="A429" t="s">
        <v>93</v>
      </c>
      <c r="B429" s="10">
        <v>45603</v>
      </c>
      <c r="C429" s="18">
        <f t="shared" si="6"/>
        <v>11</v>
      </c>
      <c r="D429" t="s">
        <v>184</v>
      </c>
      <c r="E429">
        <v>4874206</v>
      </c>
      <c r="F429" t="s">
        <v>90</v>
      </c>
      <c r="G429" t="s">
        <v>203</v>
      </c>
      <c r="H429" t="s">
        <v>230</v>
      </c>
      <c r="I429" s="4">
        <v>100638.28079999999</v>
      </c>
      <c r="J429" s="4">
        <v>201276.56159999999</v>
      </c>
      <c r="K429" s="4">
        <v>-8669.2151999999987</v>
      </c>
      <c r="L429" s="4">
        <v>2</v>
      </c>
    </row>
    <row r="430" spans="1:12">
      <c r="A430" t="s">
        <v>93</v>
      </c>
      <c r="B430" s="10">
        <v>45603</v>
      </c>
      <c r="C430" s="18">
        <f t="shared" si="6"/>
        <v>11</v>
      </c>
      <c r="D430" t="s">
        <v>184</v>
      </c>
      <c r="E430">
        <v>4874206</v>
      </c>
      <c r="F430" t="s">
        <v>90</v>
      </c>
      <c r="G430" t="s">
        <v>203</v>
      </c>
      <c r="H430" t="s">
        <v>228</v>
      </c>
      <c r="I430" s="4">
        <v>100638.28079999999</v>
      </c>
      <c r="J430" s="4">
        <v>201276.56159999999</v>
      </c>
      <c r="K430" s="4">
        <v>-8669.2151999999987</v>
      </c>
      <c r="L430" s="4">
        <v>2</v>
      </c>
    </row>
    <row r="431" spans="1:12">
      <c r="A431" t="s">
        <v>93</v>
      </c>
      <c r="B431" s="10">
        <v>45605</v>
      </c>
      <c r="C431" s="18">
        <f t="shared" si="6"/>
        <v>11</v>
      </c>
      <c r="D431" t="s">
        <v>184</v>
      </c>
      <c r="E431">
        <v>4878532</v>
      </c>
      <c r="F431" t="s">
        <v>87</v>
      </c>
      <c r="G431" t="s">
        <v>203</v>
      </c>
      <c r="H431" t="s">
        <v>236</v>
      </c>
      <c r="I431" s="4">
        <v>100638.28079999999</v>
      </c>
      <c r="J431" s="4">
        <v>201276.56159999999</v>
      </c>
      <c r="K431" s="4">
        <v>-8669.2151999999987</v>
      </c>
      <c r="L431" s="4">
        <v>2</v>
      </c>
    </row>
    <row r="432" spans="1:12">
      <c r="A432" t="s">
        <v>93</v>
      </c>
      <c r="B432" s="10">
        <v>45605</v>
      </c>
      <c r="C432" s="18">
        <f t="shared" si="6"/>
        <v>11</v>
      </c>
      <c r="D432" t="s">
        <v>184</v>
      </c>
      <c r="E432">
        <v>4878532</v>
      </c>
      <c r="F432" t="s">
        <v>87</v>
      </c>
      <c r="G432" t="s">
        <v>203</v>
      </c>
      <c r="H432" t="s">
        <v>230</v>
      </c>
      <c r="I432" s="4">
        <v>100638.28079999999</v>
      </c>
      <c r="J432" s="4">
        <v>201276.56159999999</v>
      </c>
      <c r="K432" s="4">
        <v>-8669.2151999999987</v>
      </c>
      <c r="L432" s="4">
        <v>2</v>
      </c>
    </row>
    <row r="433" spans="1:12">
      <c r="A433" t="s">
        <v>93</v>
      </c>
      <c r="B433" s="10">
        <v>45605</v>
      </c>
      <c r="C433" s="18">
        <f t="shared" si="6"/>
        <v>11</v>
      </c>
      <c r="D433" t="s">
        <v>184</v>
      </c>
      <c r="E433">
        <v>4878532</v>
      </c>
      <c r="F433" t="s">
        <v>87</v>
      </c>
      <c r="G433" t="s">
        <v>203</v>
      </c>
      <c r="H433" t="s">
        <v>235</v>
      </c>
      <c r="I433" s="4">
        <v>125766.4408</v>
      </c>
      <c r="J433" s="4">
        <v>251532.88159999999</v>
      </c>
      <c r="K433" s="4">
        <v>-11307.672</v>
      </c>
      <c r="L433" s="4">
        <v>2</v>
      </c>
    </row>
    <row r="434" spans="1:12">
      <c r="A434" t="s">
        <v>93</v>
      </c>
      <c r="B434" s="10">
        <v>45605</v>
      </c>
      <c r="C434" s="18">
        <f t="shared" si="6"/>
        <v>11</v>
      </c>
      <c r="D434" t="s">
        <v>184</v>
      </c>
      <c r="E434">
        <v>4878532</v>
      </c>
      <c r="F434" t="s">
        <v>87</v>
      </c>
      <c r="G434" t="s">
        <v>203</v>
      </c>
      <c r="H434" t="s">
        <v>231</v>
      </c>
      <c r="I434" s="4">
        <v>125766.4408</v>
      </c>
      <c r="J434" s="4">
        <v>251532.88159999999</v>
      </c>
      <c r="K434" s="4">
        <v>-11307.672</v>
      </c>
      <c r="L434" s="4">
        <v>2</v>
      </c>
    </row>
    <row r="435" spans="1:12">
      <c r="A435" t="s">
        <v>93</v>
      </c>
      <c r="B435" s="10">
        <v>45606</v>
      </c>
      <c r="C435" s="18">
        <f t="shared" si="6"/>
        <v>11</v>
      </c>
      <c r="D435" t="s">
        <v>184</v>
      </c>
      <c r="E435">
        <v>4878925</v>
      </c>
      <c r="F435" t="s">
        <v>89</v>
      </c>
      <c r="G435" t="s">
        <v>203</v>
      </c>
      <c r="H435" t="s">
        <v>235</v>
      </c>
      <c r="I435" s="4">
        <v>125766.4408</v>
      </c>
      <c r="J435" s="4">
        <v>125766.4408</v>
      </c>
      <c r="K435" s="4">
        <v>-5653.8360000000002</v>
      </c>
      <c r="L435" s="4">
        <v>1</v>
      </c>
    </row>
    <row r="436" spans="1:12">
      <c r="A436" t="s">
        <v>93</v>
      </c>
      <c r="B436" s="10">
        <v>45608</v>
      </c>
      <c r="C436" s="18">
        <f t="shared" si="6"/>
        <v>11</v>
      </c>
      <c r="D436" t="s">
        <v>160</v>
      </c>
      <c r="E436">
        <v>4877274</v>
      </c>
      <c r="F436" t="s">
        <v>87</v>
      </c>
      <c r="G436" t="s">
        <v>203</v>
      </c>
      <c r="H436" t="s">
        <v>242</v>
      </c>
      <c r="I436" s="4">
        <v>100638.28079999999</v>
      </c>
      <c r="J436" s="4">
        <v>201276.56159999999</v>
      </c>
      <c r="K436" s="4">
        <v>-8669.2151999999987</v>
      </c>
      <c r="L436" s="4">
        <v>2</v>
      </c>
    </row>
    <row r="437" spans="1:12">
      <c r="A437" t="s">
        <v>93</v>
      </c>
      <c r="B437" s="10">
        <v>45608</v>
      </c>
      <c r="C437" s="18">
        <f t="shared" si="6"/>
        <v>11</v>
      </c>
      <c r="D437" t="s">
        <v>160</v>
      </c>
      <c r="E437">
        <v>4877274</v>
      </c>
      <c r="F437" t="s">
        <v>87</v>
      </c>
      <c r="G437" t="s">
        <v>203</v>
      </c>
      <c r="H437" t="s">
        <v>230</v>
      </c>
      <c r="I437" s="4">
        <v>100638.28079999999</v>
      </c>
      <c r="J437" s="4">
        <v>201276.56159999999</v>
      </c>
      <c r="K437" s="4">
        <v>-8669.2151999999987</v>
      </c>
      <c r="L437" s="4">
        <v>2</v>
      </c>
    </row>
    <row r="438" spans="1:12">
      <c r="A438" t="s">
        <v>93</v>
      </c>
      <c r="B438" s="10">
        <v>45608</v>
      </c>
      <c r="C438" s="18">
        <f t="shared" si="6"/>
        <v>11</v>
      </c>
      <c r="D438" t="s">
        <v>160</v>
      </c>
      <c r="E438">
        <v>4876109</v>
      </c>
      <c r="F438" t="s">
        <v>87</v>
      </c>
      <c r="G438" t="s">
        <v>203</v>
      </c>
      <c r="H438" t="s">
        <v>242</v>
      </c>
      <c r="I438" s="4">
        <v>100638.28079999999</v>
      </c>
      <c r="J438" s="4">
        <v>201276.56159999999</v>
      </c>
      <c r="K438" s="4">
        <v>-8669.2151999999987</v>
      </c>
      <c r="L438" s="4">
        <v>2</v>
      </c>
    </row>
    <row r="439" spans="1:12">
      <c r="A439" t="s">
        <v>93</v>
      </c>
      <c r="B439" s="10">
        <v>45608</v>
      </c>
      <c r="C439" s="18">
        <f t="shared" si="6"/>
        <v>11</v>
      </c>
      <c r="D439" t="s">
        <v>160</v>
      </c>
      <c r="E439">
        <v>4876109</v>
      </c>
      <c r="F439" t="s">
        <v>87</v>
      </c>
      <c r="G439" t="s">
        <v>203</v>
      </c>
      <c r="H439" t="s">
        <v>238</v>
      </c>
      <c r="I439" s="4">
        <v>95606.36675999999</v>
      </c>
      <c r="J439" s="4">
        <v>191212.73351999998</v>
      </c>
      <c r="K439" s="4">
        <v>-8669.2151999999987</v>
      </c>
      <c r="L439" s="4">
        <v>2</v>
      </c>
    </row>
    <row r="440" spans="1:12">
      <c r="A440" t="s">
        <v>93</v>
      </c>
      <c r="B440" s="10">
        <v>45608</v>
      </c>
      <c r="C440" s="18">
        <f t="shared" si="6"/>
        <v>11</v>
      </c>
      <c r="D440" t="s">
        <v>160</v>
      </c>
      <c r="E440">
        <v>4876109</v>
      </c>
      <c r="F440" t="s">
        <v>87</v>
      </c>
      <c r="G440" t="s">
        <v>203</v>
      </c>
      <c r="H440" t="s">
        <v>236</v>
      </c>
      <c r="I440" s="4">
        <v>100638.28079999999</v>
      </c>
      <c r="J440" s="4">
        <v>201276.56159999999</v>
      </c>
      <c r="K440" s="4">
        <v>-8669.2151999999987</v>
      </c>
      <c r="L440" s="4">
        <v>2</v>
      </c>
    </row>
    <row r="441" spans="1:12">
      <c r="A441" t="s">
        <v>93</v>
      </c>
      <c r="B441" s="10">
        <v>45608</v>
      </c>
      <c r="C441" s="18">
        <f t="shared" si="6"/>
        <v>11</v>
      </c>
      <c r="D441" t="s">
        <v>160</v>
      </c>
      <c r="E441">
        <v>4876109</v>
      </c>
      <c r="F441" t="s">
        <v>87</v>
      </c>
      <c r="G441" t="s">
        <v>203</v>
      </c>
      <c r="H441" t="s">
        <v>234</v>
      </c>
      <c r="I441" s="4">
        <v>100638.28079999999</v>
      </c>
      <c r="J441" s="4">
        <v>201276.56159999999</v>
      </c>
      <c r="K441" s="4">
        <v>-8669.2151999999987</v>
      </c>
      <c r="L441" s="4">
        <v>2</v>
      </c>
    </row>
    <row r="442" spans="1:12">
      <c r="A442" t="s">
        <v>93</v>
      </c>
      <c r="B442" s="10">
        <v>45608</v>
      </c>
      <c r="C442" s="18">
        <f t="shared" si="6"/>
        <v>11</v>
      </c>
      <c r="D442" t="s">
        <v>160</v>
      </c>
      <c r="E442">
        <v>4876109</v>
      </c>
      <c r="F442" t="s">
        <v>87</v>
      </c>
      <c r="G442" t="s">
        <v>203</v>
      </c>
      <c r="H442" t="s">
        <v>230</v>
      </c>
      <c r="I442" s="4">
        <v>100638.28079999999</v>
      </c>
      <c r="J442" s="4">
        <v>201276.56159999999</v>
      </c>
      <c r="K442" s="4">
        <v>-8669.2151999999987</v>
      </c>
      <c r="L442" s="4">
        <v>2</v>
      </c>
    </row>
    <row r="443" spans="1:12">
      <c r="A443" t="s">
        <v>93</v>
      </c>
      <c r="B443" s="10">
        <v>45608</v>
      </c>
      <c r="C443" s="18">
        <f t="shared" si="6"/>
        <v>11</v>
      </c>
      <c r="D443" t="s">
        <v>160</v>
      </c>
      <c r="E443">
        <v>4873351</v>
      </c>
      <c r="F443" t="s">
        <v>87</v>
      </c>
      <c r="G443" t="s">
        <v>203</v>
      </c>
      <c r="H443" t="s">
        <v>236</v>
      </c>
      <c r="I443" s="4">
        <v>100638.28079999999</v>
      </c>
      <c r="J443" s="4">
        <v>201276.56159999999</v>
      </c>
      <c r="K443" s="4">
        <v>-8669.2151999999987</v>
      </c>
      <c r="L443" s="4">
        <v>2</v>
      </c>
    </row>
    <row r="444" spans="1:12">
      <c r="A444" t="s">
        <v>93</v>
      </c>
      <c r="B444" s="10">
        <v>45608</v>
      </c>
      <c r="C444" s="18">
        <f t="shared" si="6"/>
        <v>11</v>
      </c>
      <c r="D444" t="s">
        <v>160</v>
      </c>
      <c r="E444">
        <v>4873351</v>
      </c>
      <c r="F444" t="s">
        <v>87</v>
      </c>
      <c r="G444" t="s">
        <v>203</v>
      </c>
      <c r="H444" t="s">
        <v>234</v>
      </c>
      <c r="I444" s="4">
        <v>100638.28079999999</v>
      </c>
      <c r="J444" s="4">
        <v>201276.56159999999</v>
      </c>
      <c r="K444" s="4">
        <v>-8669.2151999999987</v>
      </c>
      <c r="L444" s="4">
        <v>2</v>
      </c>
    </row>
    <row r="445" spans="1:12">
      <c r="A445" t="s">
        <v>93</v>
      </c>
      <c r="B445" s="10">
        <v>45610</v>
      </c>
      <c r="C445" s="18">
        <f t="shared" si="6"/>
        <v>11</v>
      </c>
      <c r="D445" t="s">
        <v>160</v>
      </c>
      <c r="E445">
        <v>4877273</v>
      </c>
      <c r="F445" t="s">
        <v>87</v>
      </c>
      <c r="G445" t="s">
        <v>203</v>
      </c>
      <c r="H445" t="s">
        <v>242</v>
      </c>
      <c r="I445" s="4">
        <v>100638.28079999999</v>
      </c>
      <c r="J445" s="4">
        <v>201276.56159999999</v>
      </c>
      <c r="L445" s="4">
        <v>2</v>
      </c>
    </row>
    <row r="446" spans="1:12">
      <c r="A446" t="s">
        <v>93</v>
      </c>
      <c r="B446" s="10">
        <v>45610</v>
      </c>
      <c r="C446" s="18">
        <f t="shared" si="6"/>
        <v>11</v>
      </c>
      <c r="D446" t="s">
        <v>160</v>
      </c>
      <c r="E446">
        <v>4877273</v>
      </c>
      <c r="F446" t="s">
        <v>87</v>
      </c>
      <c r="G446" t="s">
        <v>203</v>
      </c>
      <c r="H446" t="s">
        <v>236</v>
      </c>
      <c r="I446" s="4">
        <v>100638.28079999999</v>
      </c>
      <c r="J446" s="4">
        <v>201276.56159999999</v>
      </c>
      <c r="L446" s="4">
        <v>2</v>
      </c>
    </row>
    <row r="447" spans="1:12">
      <c r="A447" t="s">
        <v>93</v>
      </c>
      <c r="B447" s="10">
        <v>45610</v>
      </c>
      <c r="C447" s="18">
        <f t="shared" si="6"/>
        <v>11</v>
      </c>
      <c r="D447" t="s">
        <v>160</v>
      </c>
      <c r="E447">
        <v>4877273</v>
      </c>
      <c r="F447" t="s">
        <v>87</v>
      </c>
      <c r="G447" t="s">
        <v>203</v>
      </c>
      <c r="H447" t="s">
        <v>234</v>
      </c>
      <c r="I447" s="4">
        <v>100638.28079999999</v>
      </c>
      <c r="J447" s="4">
        <v>201276.56159999999</v>
      </c>
      <c r="L447" s="4">
        <v>2</v>
      </c>
    </row>
    <row r="448" spans="1:12">
      <c r="A448" t="s">
        <v>93</v>
      </c>
      <c r="B448" s="10">
        <v>45610</v>
      </c>
      <c r="C448" s="18">
        <f t="shared" si="6"/>
        <v>11</v>
      </c>
      <c r="D448" t="s">
        <v>160</v>
      </c>
      <c r="E448">
        <v>4877273</v>
      </c>
      <c r="F448" t="s">
        <v>87</v>
      </c>
      <c r="G448" t="s">
        <v>203</v>
      </c>
      <c r="H448" t="s">
        <v>230</v>
      </c>
      <c r="I448" s="4">
        <v>100638.28079999999</v>
      </c>
      <c r="J448" s="4">
        <v>201276.56159999999</v>
      </c>
      <c r="L448" s="4">
        <v>2</v>
      </c>
    </row>
    <row r="449" spans="1:12">
      <c r="A449" t="s">
        <v>93</v>
      </c>
      <c r="B449" s="10">
        <v>45610</v>
      </c>
      <c r="C449" s="18">
        <f t="shared" si="6"/>
        <v>11</v>
      </c>
      <c r="D449" t="s">
        <v>160</v>
      </c>
      <c r="E449">
        <v>4877273</v>
      </c>
      <c r="F449" t="s">
        <v>87</v>
      </c>
      <c r="G449" t="s">
        <v>203</v>
      </c>
      <c r="H449" t="s">
        <v>228</v>
      </c>
      <c r="I449" s="4">
        <v>100638.28079999999</v>
      </c>
      <c r="J449" s="4">
        <v>201276.56159999999</v>
      </c>
      <c r="L449" s="4">
        <v>2</v>
      </c>
    </row>
    <row r="450" spans="1:12">
      <c r="A450" t="s">
        <v>93</v>
      </c>
      <c r="B450" s="10">
        <v>45612</v>
      </c>
      <c r="C450" s="18">
        <f t="shared" ref="C450:C513" si="7">MONTH(B450)</f>
        <v>11</v>
      </c>
      <c r="D450" t="s">
        <v>156</v>
      </c>
      <c r="E450">
        <v>4873794</v>
      </c>
      <c r="F450" t="s">
        <v>87</v>
      </c>
      <c r="G450" t="s">
        <v>203</v>
      </c>
      <c r="H450" t="s">
        <v>242</v>
      </c>
      <c r="I450" s="4">
        <v>100638.28079999999</v>
      </c>
      <c r="J450" s="4">
        <v>201276.56159999999</v>
      </c>
      <c r="K450" s="4">
        <v>-8669.2151999999987</v>
      </c>
      <c r="L450" s="4">
        <v>2</v>
      </c>
    </row>
    <row r="451" spans="1:12">
      <c r="A451" t="s">
        <v>93</v>
      </c>
      <c r="B451" s="10">
        <v>45612</v>
      </c>
      <c r="C451" s="18">
        <f t="shared" si="7"/>
        <v>11</v>
      </c>
      <c r="D451" t="s">
        <v>156</v>
      </c>
      <c r="E451">
        <v>4873794</v>
      </c>
      <c r="F451" t="s">
        <v>87</v>
      </c>
      <c r="G451" t="s">
        <v>203</v>
      </c>
      <c r="H451" t="s">
        <v>230</v>
      </c>
      <c r="I451" s="4">
        <v>100638.28079999999</v>
      </c>
      <c r="J451" s="4">
        <v>402553.12319999997</v>
      </c>
      <c r="K451" s="4">
        <v>-17338.430399999997</v>
      </c>
      <c r="L451" s="4">
        <v>4</v>
      </c>
    </row>
    <row r="452" spans="1:12">
      <c r="A452" t="s">
        <v>93</v>
      </c>
      <c r="B452" s="10">
        <v>45612</v>
      </c>
      <c r="C452" s="18">
        <f t="shared" si="7"/>
        <v>11</v>
      </c>
      <c r="D452" t="s">
        <v>156</v>
      </c>
      <c r="E452">
        <v>4873794</v>
      </c>
      <c r="F452" t="s">
        <v>87</v>
      </c>
      <c r="G452" t="s">
        <v>203</v>
      </c>
      <c r="H452" t="s">
        <v>228</v>
      </c>
      <c r="I452" s="4">
        <v>100638.28079999999</v>
      </c>
      <c r="J452" s="4">
        <v>402553.12319999997</v>
      </c>
      <c r="K452" s="4">
        <v>-17338.430399999997</v>
      </c>
      <c r="L452" s="4">
        <v>4</v>
      </c>
    </row>
    <row r="453" spans="1:12">
      <c r="A453" t="s">
        <v>93</v>
      </c>
      <c r="B453" s="10">
        <v>45618</v>
      </c>
      <c r="C453" s="18">
        <f t="shared" si="7"/>
        <v>11</v>
      </c>
      <c r="D453" t="s">
        <v>184</v>
      </c>
      <c r="E453">
        <v>4879013</v>
      </c>
      <c r="F453" t="s">
        <v>88</v>
      </c>
      <c r="G453" t="s">
        <v>203</v>
      </c>
      <c r="H453" t="s">
        <v>234</v>
      </c>
      <c r="I453" s="4">
        <v>100638.28079999999</v>
      </c>
      <c r="J453" s="4">
        <v>402553.12319999997</v>
      </c>
      <c r="K453" s="4">
        <v>-17338.430399999997</v>
      </c>
      <c r="L453" s="4">
        <v>4</v>
      </c>
    </row>
    <row r="454" spans="1:12">
      <c r="A454" t="s">
        <v>93</v>
      </c>
      <c r="B454" s="10">
        <v>45618</v>
      </c>
      <c r="C454" s="18">
        <f t="shared" si="7"/>
        <v>11</v>
      </c>
      <c r="D454" t="s">
        <v>184</v>
      </c>
      <c r="E454">
        <v>4879013</v>
      </c>
      <c r="F454" t="s">
        <v>88</v>
      </c>
      <c r="G454" t="s">
        <v>203</v>
      </c>
      <c r="H454" t="s">
        <v>230</v>
      </c>
      <c r="I454" s="4">
        <v>100638.28079999999</v>
      </c>
      <c r="J454" s="4">
        <v>201276.56159999999</v>
      </c>
      <c r="K454" s="4">
        <v>-8669.2151999999987</v>
      </c>
      <c r="L454" s="4">
        <v>2</v>
      </c>
    </row>
    <row r="455" spans="1:12">
      <c r="A455" t="s">
        <v>93</v>
      </c>
      <c r="B455" s="10">
        <v>45618</v>
      </c>
      <c r="C455" s="18">
        <f t="shared" si="7"/>
        <v>11</v>
      </c>
      <c r="D455" t="s">
        <v>184</v>
      </c>
      <c r="E455">
        <v>4879013</v>
      </c>
      <c r="F455" t="s">
        <v>88</v>
      </c>
      <c r="G455" t="s">
        <v>203</v>
      </c>
      <c r="H455" t="s">
        <v>228</v>
      </c>
      <c r="I455" s="4">
        <v>100638.28079999999</v>
      </c>
      <c r="J455" s="4">
        <v>402553.12319999997</v>
      </c>
      <c r="K455" s="4">
        <v>-17338.430399999997</v>
      </c>
      <c r="L455" s="4">
        <v>4</v>
      </c>
    </row>
    <row r="456" spans="1:12">
      <c r="A456" t="s">
        <v>93</v>
      </c>
      <c r="B456" s="10">
        <v>45618</v>
      </c>
      <c r="C456" s="18">
        <f t="shared" si="7"/>
        <v>11</v>
      </c>
      <c r="D456" t="s">
        <v>184</v>
      </c>
      <c r="E456">
        <v>4874206</v>
      </c>
      <c r="F456" t="s">
        <v>90</v>
      </c>
      <c r="G456" t="s">
        <v>203</v>
      </c>
      <c r="H456" t="s">
        <v>239</v>
      </c>
      <c r="I456" s="4">
        <v>125766.4408</v>
      </c>
      <c r="J456" s="4">
        <v>251532.88159999999</v>
      </c>
      <c r="K456" s="4">
        <v>-11307.672</v>
      </c>
      <c r="L456" s="4">
        <v>2</v>
      </c>
    </row>
    <row r="457" spans="1:12">
      <c r="A457" t="s">
        <v>93</v>
      </c>
      <c r="B457" s="10">
        <v>45618</v>
      </c>
      <c r="C457" s="18">
        <f t="shared" si="7"/>
        <v>11</v>
      </c>
      <c r="D457" t="s">
        <v>184</v>
      </c>
      <c r="E457">
        <v>4874206</v>
      </c>
      <c r="F457" t="s">
        <v>90</v>
      </c>
      <c r="G457" t="s">
        <v>203</v>
      </c>
      <c r="H457" t="s">
        <v>237</v>
      </c>
      <c r="I457" s="4">
        <v>125766.4408</v>
      </c>
      <c r="J457" s="4">
        <v>251532.88159999999</v>
      </c>
      <c r="K457" s="4">
        <v>-11307.672</v>
      </c>
      <c r="L457" s="4">
        <v>2</v>
      </c>
    </row>
    <row r="458" spans="1:12">
      <c r="A458" t="s">
        <v>93</v>
      </c>
      <c r="B458" s="10">
        <v>45618</v>
      </c>
      <c r="C458" s="18">
        <f t="shared" si="7"/>
        <v>11</v>
      </c>
      <c r="D458" t="s">
        <v>184</v>
      </c>
      <c r="E458">
        <v>4874206</v>
      </c>
      <c r="F458" t="s">
        <v>90</v>
      </c>
      <c r="G458" t="s">
        <v>203</v>
      </c>
      <c r="H458" t="s">
        <v>235</v>
      </c>
      <c r="I458" s="4">
        <v>125766.4408</v>
      </c>
      <c r="J458" s="4">
        <v>251532.88159999999</v>
      </c>
      <c r="K458" s="4">
        <v>-11307.672</v>
      </c>
      <c r="L458" s="4">
        <v>2</v>
      </c>
    </row>
    <row r="459" spans="1:12">
      <c r="A459" t="s">
        <v>93</v>
      </c>
      <c r="B459" s="10">
        <v>45619</v>
      </c>
      <c r="C459" s="18">
        <f t="shared" si="7"/>
        <v>11</v>
      </c>
      <c r="D459" t="s">
        <v>184</v>
      </c>
      <c r="E459">
        <v>4876282</v>
      </c>
      <c r="F459" t="s">
        <v>89</v>
      </c>
      <c r="G459" t="s">
        <v>204</v>
      </c>
      <c r="H459" t="s">
        <v>215</v>
      </c>
      <c r="I459" s="4">
        <v>75510.12079999999</v>
      </c>
      <c r="J459" s="4">
        <v>906121.44959999993</v>
      </c>
      <c r="K459" s="4">
        <v>-45230.688000000002</v>
      </c>
      <c r="L459" s="4">
        <v>12</v>
      </c>
    </row>
    <row r="460" spans="1:12">
      <c r="A460" t="s">
        <v>93</v>
      </c>
      <c r="B460" s="10">
        <v>45619</v>
      </c>
      <c r="C460" s="18">
        <f t="shared" si="7"/>
        <v>11</v>
      </c>
      <c r="D460" t="s">
        <v>184</v>
      </c>
      <c r="E460">
        <v>4876282</v>
      </c>
      <c r="F460" t="s">
        <v>89</v>
      </c>
      <c r="G460" t="s">
        <v>204</v>
      </c>
      <c r="H460" t="s">
        <v>221</v>
      </c>
      <c r="I460" s="4">
        <v>25253.800799999997</v>
      </c>
      <c r="J460" s="4">
        <v>252538.00799999997</v>
      </c>
      <c r="K460" s="4">
        <v>-12564.08</v>
      </c>
      <c r="L460" s="4">
        <v>10</v>
      </c>
    </row>
    <row r="461" spans="1:12">
      <c r="A461" t="s">
        <v>93</v>
      </c>
      <c r="B461" s="10">
        <v>45619</v>
      </c>
      <c r="C461" s="18">
        <f t="shared" si="7"/>
        <v>11</v>
      </c>
      <c r="D461" t="s">
        <v>184</v>
      </c>
      <c r="E461">
        <v>4879013</v>
      </c>
      <c r="F461" t="s">
        <v>88</v>
      </c>
      <c r="G461" t="s">
        <v>204</v>
      </c>
      <c r="H461" t="s">
        <v>221</v>
      </c>
      <c r="I461" s="4">
        <v>25253.800799999997</v>
      </c>
      <c r="J461" s="4">
        <v>505076.01599999995</v>
      </c>
      <c r="K461" s="4">
        <v>-25128.16</v>
      </c>
      <c r="L461" s="4">
        <v>20</v>
      </c>
    </row>
    <row r="462" spans="1:12">
      <c r="A462" t="s">
        <v>93</v>
      </c>
      <c r="B462" s="10">
        <v>45619</v>
      </c>
      <c r="C462" s="18">
        <f t="shared" si="7"/>
        <v>11</v>
      </c>
      <c r="D462" t="s">
        <v>184</v>
      </c>
      <c r="E462">
        <v>4879013</v>
      </c>
      <c r="F462" t="s">
        <v>88</v>
      </c>
      <c r="G462" t="s">
        <v>204</v>
      </c>
      <c r="H462" t="s">
        <v>220</v>
      </c>
      <c r="I462" s="4">
        <v>37817.880799999999</v>
      </c>
      <c r="J462" s="4">
        <v>756357.61599999992</v>
      </c>
      <c r="K462" s="4">
        <v>-37692.239999999998</v>
      </c>
      <c r="L462" s="4">
        <v>20</v>
      </c>
    </row>
    <row r="463" spans="1:12">
      <c r="A463" t="s">
        <v>93</v>
      </c>
      <c r="B463" s="10">
        <v>45619</v>
      </c>
      <c r="C463" s="18">
        <f t="shared" si="7"/>
        <v>11</v>
      </c>
      <c r="D463" t="s">
        <v>184</v>
      </c>
      <c r="E463">
        <v>4879013</v>
      </c>
      <c r="F463" t="s">
        <v>88</v>
      </c>
      <c r="G463" t="s">
        <v>204</v>
      </c>
      <c r="H463" t="s">
        <v>212</v>
      </c>
      <c r="I463" s="4">
        <v>62946.040799999995</v>
      </c>
      <c r="J463" s="4">
        <v>503568.32639999996</v>
      </c>
      <c r="K463" s="4">
        <v>-15076.895999999999</v>
      </c>
      <c r="L463" s="4">
        <v>8</v>
      </c>
    </row>
    <row r="464" spans="1:12">
      <c r="A464" t="s">
        <v>93</v>
      </c>
      <c r="B464" s="10">
        <v>45621</v>
      </c>
      <c r="C464" s="18">
        <f t="shared" si="7"/>
        <v>11</v>
      </c>
      <c r="D464" t="s">
        <v>160</v>
      </c>
      <c r="E464">
        <v>4876110</v>
      </c>
      <c r="F464" t="s">
        <v>90</v>
      </c>
      <c r="G464" t="s">
        <v>203</v>
      </c>
      <c r="H464" t="s">
        <v>239</v>
      </c>
      <c r="I464" s="4">
        <v>125766.4408</v>
      </c>
      <c r="J464" s="4">
        <v>251532.88159999999</v>
      </c>
      <c r="K464" s="4">
        <v>-11307.672</v>
      </c>
      <c r="L464" s="4">
        <v>2</v>
      </c>
    </row>
    <row r="465" spans="1:12">
      <c r="A465" t="s">
        <v>93</v>
      </c>
      <c r="B465" s="10">
        <v>45621</v>
      </c>
      <c r="C465" s="18">
        <f t="shared" si="7"/>
        <v>11</v>
      </c>
      <c r="D465" t="s">
        <v>160</v>
      </c>
      <c r="E465">
        <v>4876110</v>
      </c>
      <c r="F465" t="s">
        <v>90</v>
      </c>
      <c r="G465" t="s">
        <v>203</v>
      </c>
      <c r="H465" t="s">
        <v>237</v>
      </c>
      <c r="I465" s="4">
        <v>125766.4408</v>
      </c>
      <c r="J465" s="4">
        <v>251532.88159999999</v>
      </c>
      <c r="K465" s="4">
        <v>-11307.672</v>
      </c>
      <c r="L465" s="4">
        <v>2</v>
      </c>
    </row>
    <row r="466" spans="1:12">
      <c r="A466" t="s">
        <v>93</v>
      </c>
      <c r="B466" s="10">
        <v>45621</v>
      </c>
      <c r="C466" s="18">
        <f t="shared" si="7"/>
        <v>11</v>
      </c>
      <c r="D466" t="s">
        <v>160</v>
      </c>
      <c r="E466">
        <v>4876110</v>
      </c>
      <c r="F466" t="s">
        <v>90</v>
      </c>
      <c r="G466" t="s">
        <v>203</v>
      </c>
      <c r="H466" t="s">
        <v>235</v>
      </c>
      <c r="I466" s="4">
        <v>125766.4408</v>
      </c>
      <c r="J466" s="4">
        <v>251532.88159999999</v>
      </c>
      <c r="K466" s="4">
        <v>-11307.672</v>
      </c>
      <c r="L466" s="4">
        <v>2</v>
      </c>
    </row>
    <row r="467" spans="1:12">
      <c r="A467" t="s">
        <v>93</v>
      </c>
      <c r="B467" s="10">
        <v>45621</v>
      </c>
      <c r="C467" s="18">
        <f t="shared" si="7"/>
        <v>11</v>
      </c>
      <c r="D467" t="s">
        <v>160</v>
      </c>
      <c r="E467">
        <v>4876110</v>
      </c>
      <c r="F467" t="s">
        <v>90</v>
      </c>
      <c r="G467" t="s">
        <v>203</v>
      </c>
      <c r="H467" t="s">
        <v>231</v>
      </c>
      <c r="I467" s="4">
        <v>125766.4408</v>
      </c>
      <c r="J467" s="4">
        <v>251532.88159999999</v>
      </c>
      <c r="K467" s="4">
        <v>-11307.672</v>
      </c>
      <c r="L467" s="4">
        <v>2</v>
      </c>
    </row>
    <row r="468" spans="1:12">
      <c r="A468" t="s">
        <v>93</v>
      </c>
      <c r="B468" s="10">
        <v>45621</v>
      </c>
      <c r="C468" s="18">
        <f t="shared" si="7"/>
        <v>11</v>
      </c>
      <c r="D468" t="s">
        <v>184</v>
      </c>
      <c r="E468">
        <v>4873457</v>
      </c>
      <c r="F468" t="s">
        <v>90</v>
      </c>
      <c r="G468" t="s">
        <v>203</v>
      </c>
      <c r="H468" t="s">
        <v>234</v>
      </c>
      <c r="I468" s="4">
        <v>100638.28079999999</v>
      </c>
      <c r="J468" s="4">
        <v>603829.68479999993</v>
      </c>
      <c r="K468" s="4">
        <v>-26007.645599999996</v>
      </c>
      <c r="L468" s="4">
        <v>6</v>
      </c>
    </row>
    <row r="469" spans="1:12">
      <c r="A469" t="s">
        <v>93</v>
      </c>
      <c r="B469" s="10">
        <v>45621</v>
      </c>
      <c r="C469" s="18">
        <f t="shared" si="7"/>
        <v>11</v>
      </c>
      <c r="D469" t="s">
        <v>184</v>
      </c>
      <c r="E469">
        <v>4873457</v>
      </c>
      <c r="F469" t="s">
        <v>90</v>
      </c>
      <c r="G469" t="s">
        <v>203</v>
      </c>
      <c r="H469" t="s">
        <v>235</v>
      </c>
      <c r="I469" s="4">
        <v>125766.4408</v>
      </c>
      <c r="J469" s="4">
        <v>377299.3224</v>
      </c>
      <c r="K469" s="4">
        <v>-16961.508000000002</v>
      </c>
      <c r="L469" s="4">
        <v>3</v>
      </c>
    </row>
    <row r="470" spans="1:12">
      <c r="A470" t="s">
        <v>93</v>
      </c>
      <c r="B470" s="10">
        <v>45621</v>
      </c>
      <c r="C470" s="18">
        <f t="shared" si="7"/>
        <v>11</v>
      </c>
      <c r="D470" t="s">
        <v>184</v>
      </c>
      <c r="E470">
        <v>4873457</v>
      </c>
      <c r="F470" t="s">
        <v>90</v>
      </c>
      <c r="G470" t="s">
        <v>203</v>
      </c>
      <c r="H470" t="s">
        <v>231</v>
      </c>
      <c r="I470" s="4">
        <v>125766.4408</v>
      </c>
      <c r="J470" s="4">
        <v>377299.3224</v>
      </c>
      <c r="K470" s="4">
        <v>-16961.508000000002</v>
      </c>
      <c r="L470" s="4">
        <v>3</v>
      </c>
    </row>
    <row r="471" spans="1:12">
      <c r="A471" t="s">
        <v>93</v>
      </c>
      <c r="B471" s="10">
        <v>45622</v>
      </c>
      <c r="C471" s="18">
        <f t="shared" si="7"/>
        <v>11</v>
      </c>
      <c r="D471" t="s">
        <v>160</v>
      </c>
      <c r="E471">
        <v>6080049</v>
      </c>
      <c r="F471" t="s">
        <v>90</v>
      </c>
      <c r="G471" t="s">
        <v>203</v>
      </c>
      <c r="H471" t="s">
        <v>239</v>
      </c>
      <c r="I471" s="4">
        <v>125766.4408</v>
      </c>
      <c r="J471" s="4">
        <v>251532.88159999999</v>
      </c>
      <c r="K471" s="4">
        <v>-11307.672</v>
      </c>
      <c r="L471" s="4">
        <v>2</v>
      </c>
    </row>
    <row r="472" spans="1:12">
      <c r="A472" t="s">
        <v>93</v>
      </c>
      <c r="B472" s="10">
        <v>45622</v>
      </c>
      <c r="C472" s="18">
        <f t="shared" si="7"/>
        <v>11</v>
      </c>
      <c r="D472" t="s">
        <v>160</v>
      </c>
      <c r="E472">
        <v>6080049</v>
      </c>
      <c r="F472" t="s">
        <v>90</v>
      </c>
      <c r="G472" t="s">
        <v>203</v>
      </c>
      <c r="H472" t="s">
        <v>237</v>
      </c>
      <c r="I472" s="4">
        <v>125766.4408</v>
      </c>
      <c r="J472" s="4">
        <v>251532.88159999999</v>
      </c>
      <c r="K472" s="4">
        <v>-11307.672</v>
      </c>
      <c r="L472" s="4">
        <v>2</v>
      </c>
    </row>
    <row r="473" spans="1:12">
      <c r="A473" t="s">
        <v>93</v>
      </c>
      <c r="B473" s="10">
        <v>45625</v>
      </c>
      <c r="C473" s="18">
        <f t="shared" si="7"/>
        <v>11</v>
      </c>
      <c r="D473" t="s">
        <v>184</v>
      </c>
      <c r="E473">
        <v>4876282</v>
      </c>
      <c r="F473" t="s">
        <v>89</v>
      </c>
      <c r="G473" t="s">
        <v>204</v>
      </c>
      <c r="H473" t="s">
        <v>215</v>
      </c>
      <c r="I473" s="4">
        <v>75510.12079999999</v>
      </c>
      <c r="J473" s="4">
        <v>453060.72479999997</v>
      </c>
      <c r="K473" s="4">
        <v>-22615.344000000001</v>
      </c>
      <c r="L473" s="4">
        <v>6</v>
      </c>
    </row>
    <row r="474" spans="1:12">
      <c r="A474" t="s">
        <v>93</v>
      </c>
      <c r="B474" s="10">
        <v>45625</v>
      </c>
      <c r="C474" s="18">
        <f t="shared" si="7"/>
        <v>11</v>
      </c>
      <c r="D474" t="s">
        <v>184</v>
      </c>
      <c r="E474">
        <v>4876282</v>
      </c>
      <c r="F474" t="s">
        <v>89</v>
      </c>
      <c r="G474" t="s">
        <v>204</v>
      </c>
      <c r="H474" t="s">
        <v>213</v>
      </c>
      <c r="I474" s="4">
        <v>119484.4008</v>
      </c>
      <c r="J474" s="4">
        <v>1911750.4128</v>
      </c>
      <c r="K474" s="4">
        <v>-95487.008000000002</v>
      </c>
      <c r="L474" s="4">
        <v>16</v>
      </c>
    </row>
    <row r="475" spans="1:12">
      <c r="A475" t="s">
        <v>94</v>
      </c>
      <c r="B475" s="10">
        <v>45605</v>
      </c>
      <c r="C475" s="18">
        <f t="shared" si="7"/>
        <v>11</v>
      </c>
      <c r="D475" t="s">
        <v>165</v>
      </c>
      <c r="E475">
        <v>4876291</v>
      </c>
      <c r="F475" t="s">
        <v>87</v>
      </c>
      <c r="G475" t="s">
        <v>203</v>
      </c>
      <c r="H475" t="s">
        <v>241</v>
      </c>
      <c r="I475" s="4">
        <v>125766.4408</v>
      </c>
      <c r="J475" s="4">
        <v>1257664.4080000001</v>
      </c>
      <c r="K475" s="4">
        <v>-56538.36</v>
      </c>
      <c r="L475" s="4">
        <v>10</v>
      </c>
    </row>
    <row r="476" spans="1:12">
      <c r="A476" t="s">
        <v>94</v>
      </c>
      <c r="B476" s="10">
        <v>45605</v>
      </c>
      <c r="C476" s="18">
        <f t="shared" si="7"/>
        <v>11</v>
      </c>
      <c r="D476" t="s">
        <v>165</v>
      </c>
      <c r="E476">
        <v>4876291</v>
      </c>
      <c r="F476" t="s">
        <v>87</v>
      </c>
      <c r="G476" t="s">
        <v>203</v>
      </c>
      <c r="H476" t="s">
        <v>239</v>
      </c>
      <c r="I476" s="4">
        <v>125766.4408</v>
      </c>
      <c r="J476" s="4">
        <v>1257664.4080000001</v>
      </c>
      <c r="K476" s="4">
        <v>-56538.36</v>
      </c>
      <c r="L476" s="4">
        <v>10</v>
      </c>
    </row>
    <row r="477" spans="1:12">
      <c r="A477" t="s">
        <v>94</v>
      </c>
      <c r="B477" s="10">
        <v>45605</v>
      </c>
      <c r="C477" s="18">
        <f t="shared" si="7"/>
        <v>11</v>
      </c>
      <c r="D477" t="s">
        <v>165</v>
      </c>
      <c r="E477">
        <v>4875847</v>
      </c>
      <c r="F477" t="s">
        <v>90</v>
      </c>
      <c r="G477" t="s">
        <v>203</v>
      </c>
      <c r="H477" t="s">
        <v>234</v>
      </c>
      <c r="I477" s="4">
        <v>100638.28079999999</v>
      </c>
      <c r="J477" s="4">
        <v>1006382.808</v>
      </c>
      <c r="K477" s="4">
        <v>-43346.076000000001</v>
      </c>
      <c r="L477" s="4">
        <v>10</v>
      </c>
    </row>
    <row r="478" spans="1:12">
      <c r="A478" t="s">
        <v>94</v>
      </c>
      <c r="B478" s="10">
        <v>45605</v>
      </c>
      <c r="C478" s="18">
        <f t="shared" si="7"/>
        <v>11</v>
      </c>
      <c r="D478" t="s">
        <v>165</v>
      </c>
      <c r="E478">
        <v>4875847</v>
      </c>
      <c r="F478" t="s">
        <v>90</v>
      </c>
      <c r="G478" t="s">
        <v>203</v>
      </c>
      <c r="H478" t="s">
        <v>228</v>
      </c>
      <c r="I478" s="4">
        <v>100638.28079999999</v>
      </c>
      <c r="J478" s="4">
        <v>1006382.808</v>
      </c>
      <c r="K478" s="4">
        <v>-43346.076000000001</v>
      </c>
      <c r="L478" s="4">
        <v>10</v>
      </c>
    </row>
    <row r="479" spans="1:12">
      <c r="A479" t="s">
        <v>94</v>
      </c>
      <c r="B479" s="10">
        <v>45605</v>
      </c>
      <c r="C479" s="18">
        <f t="shared" si="7"/>
        <v>11</v>
      </c>
      <c r="D479" t="s">
        <v>165</v>
      </c>
      <c r="E479">
        <v>4875847</v>
      </c>
      <c r="F479" t="s">
        <v>90</v>
      </c>
      <c r="G479" t="s">
        <v>203</v>
      </c>
      <c r="H479" t="s">
        <v>225</v>
      </c>
      <c r="I479" s="4">
        <v>100638.28079999999</v>
      </c>
      <c r="J479" s="4">
        <v>1006382.808</v>
      </c>
      <c r="K479" s="4">
        <v>-43346.076000000001</v>
      </c>
      <c r="L479" s="4">
        <v>10</v>
      </c>
    </row>
    <row r="480" spans="1:12">
      <c r="A480" t="s">
        <v>94</v>
      </c>
      <c r="B480" s="10">
        <v>45605</v>
      </c>
      <c r="C480" s="18">
        <f t="shared" si="7"/>
        <v>11</v>
      </c>
      <c r="D480" t="s">
        <v>165</v>
      </c>
      <c r="E480">
        <v>4875847</v>
      </c>
      <c r="F480" t="s">
        <v>90</v>
      </c>
      <c r="G480" t="s">
        <v>203</v>
      </c>
      <c r="H480" t="s">
        <v>223</v>
      </c>
      <c r="I480" s="4">
        <v>100638.28079999999</v>
      </c>
      <c r="J480" s="4">
        <v>1610212.4927999999</v>
      </c>
      <c r="K480" s="4">
        <v>-69353.72159999999</v>
      </c>
      <c r="L480" s="4">
        <v>16</v>
      </c>
    </row>
    <row r="481" spans="1:12">
      <c r="A481" t="s">
        <v>94</v>
      </c>
      <c r="B481" s="10">
        <v>45605</v>
      </c>
      <c r="C481" s="18">
        <f t="shared" si="7"/>
        <v>11</v>
      </c>
      <c r="D481" t="s">
        <v>165</v>
      </c>
      <c r="E481">
        <v>4875835</v>
      </c>
      <c r="F481" t="s">
        <v>90</v>
      </c>
      <c r="G481" t="s">
        <v>203</v>
      </c>
      <c r="H481" t="s">
        <v>241</v>
      </c>
      <c r="I481" s="4">
        <v>125766.4408</v>
      </c>
      <c r="J481" s="4">
        <v>1509197.2896</v>
      </c>
      <c r="K481" s="4">
        <v>-67846.032000000007</v>
      </c>
      <c r="L481" s="4">
        <v>12</v>
      </c>
    </row>
    <row r="482" spans="1:12">
      <c r="A482" t="s">
        <v>94</v>
      </c>
      <c r="B482" s="10">
        <v>45605</v>
      </c>
      <c r="C482" s="18">
        <f t="shared" si="7"/>
        <v>11</v>
      </c>
      <c r="D482" t="s">
        <v>165</v>
      </c>
      <c r="E482">
        <v>4875835</v>
      </c>
      <c r="F482" t="s">
        <v>90</v>
      </c>
      <c r="G482" t="s">
        <v>203</v>
      </c>
      <c r="H482" t="s">
        <v>239</v>
      </c>
      <c r="I482" s="4">
        <v>125766.4408</v>
      </c>
      <c r="J482" s="4">
        <v>1886496.612</v>
      </c>
      <c r="K482" s="4">
        <v>-84807.54</v>
      </c>
      <c r="L482" s="4">
        <v>15</v>
      </c>
    </row>
    <row r="483" spans="1:12">
      <c r="A483" t="s">
        <v>94</v>
      </c>
      <c r="B483" s="10">
        <v>45605</v>
      </c>
      <c r="C483" s="18">
        <f t="shared" si="7"/>
        <v>11</v>
      </c>
      <c r="D483" t="s">
        <v>165</v>
      </c>
      <c r="E483">
        <v>4875835</v>
      </c>
      <c r="F483" t="s">
        <v>90</v>
      </c>
      <c r="G483" t="s">
        <v>203</v>
      </c>
      <c r="H483" t="s">
        <v>237</v>
      </c>
      <c r="I483" s="4">
        <v>125766.4408</v>
      </c>
      <c r="J483" s="4">
        <v>3144161.02</v>
      </c>
      <c r="K483" s="4">
        <v>-141345.9</v>
      </c>
      <c r="L483" s="4">
        <v>25</v>
      </c>
    </row>
    <row r="484" spans="1:12">
      <c r="A484" t="s">
        <v>94</v>
      </c>
      <c r="B484" s="10">
        <v>45605</v>
      </c>
      <c r="C484" s="18">
        <f t="shared" si="7"/>
        <v>11</v>
      </c>
      <c r="D484" t="s">
        <v>165</v>
      </c>
      <c r="E484">
        <v>4875835</v>
      </c>
      <c r="F484" t="s">
        <v>90</v>
      </c>
      <c r="G484" t="s">
        <v>203</v>
      </c>
      <c r="H484" t="s">
        <v>235</v>
      </c>
      <c r="I484" s="4">
        <v>125766.4408</v>
      </c>
      <c r="J484" s="4">
        <v>377299.3224</v>
      </c>
      <c r="K484" s="4">
        <v>-16961.508000000002</v>
      </c>
      <c r="L484" s="4">
        <v>3</v>
      </c>
    </row>
    <row r="485" spans="1:12">
      <c r="A485" t="s">
        <v>94</v>
      </c>
      <c r="B485" s="10">
        <v>45605</v>
      </c>
      <c r="C485" s="18">
        <f t="shared" si="7"/>
        <v>11</v>
      </c>
      <c r="D485" t="s">
        <v>165</v>
      </c>
      <c r="E485">
        <v>4875835</v>
      </c>
      <c r="F485" t="s">
        <v>90</v>
      </c>
      <c r="G485" t="s">
        <v>203</v>
      </c>
      <c r="H485" t="s">
        <v>231</v>
      </c>
      <c r="I485" s="4">
        <v>125766.4408</v>
      </c>
      <c r="J485" s="4">
        <v>3144161.02</v>
      </c>
      <c r="K485" s="4">
        <v>-141345.9</v>
      </c>
      <c r="L485" s="4">
        <v>25</v>
      </c>
    </row>
    <row r="486" spans="1:12">
      <c r="A486" t="s">
        <v>94</v>
      </c>
      <c r="B486" s="10">
        <v>45617</v>
      </c>
      <c r="C486" s="18">
        <f t="shared" si="7"/>
        <v>11</v>
      </c>
      <c r="D486" t="s">
        <v>165</v>
      </c>
      <c r="E486">
        <v>4875889</v>
      </c>
      <c r="F486" t="s">
        <v>87</v>
      </c>
      <c r="G486" t="s">
        <v>203</v>
      </c>
      <c r="H486" t="s">
        <v>232</v>
      </c>
      <c r="I486" s="4">
        <v>100638.28079999999</v>
      </c>
      <c r="J486" s="4">
        <v>402553.12319999997</v>
      </c>
      <c r="K486" s="4">
        <v>-17338.430399999997</v>
      </c>
      <c r="L486" s="4">
        <v>4</v>
      </c>
    </row>
    <row r="487" spans="1:12">
      <c r="A487" t="s">
        <v>94</v>
      </c>
      <c r="B487" s="10">
        <v>45617</v>
      </c>
      <c r="C487" s="18">
        <f t="shared" si="7"/>
        <v>11</v>
      </c>
      <c r="D487" t="s">
        <v>165</v>
      </c>
      <c r="E487">
        <v>4875889</v>
      </c>
      <c r="F487" t="s">
        <v>87</v>
      </c>
      <c r="G487" t="s">
        <v>203</v>
      </c>
      <c r="H487" t="s">
        <v>225</v>
      </c>
      <c r="I487" s="4">
        <v>100638.28079999999</v>
      </c>
      <c r="J487" s="4">
        <v>1006382.808</v>
      </c>
      <c r="K487" s="4">
        <v>-43346.076000000001</v>
      </c>
      <c r="L487" s="4">
        <v>10</v>
      </c>
    </row>
    <row r="488" spans="1:12">
      <c r="A488" t="s">
        <v>94</v>
      </c>
      <c r="B488" s="10">
        <v>45617</v>
      </c>
      <c r="C488" s="18">
        <f t="shared" si="7"/>
        <v>11</v>
      </c>
      <c r="D488" t="s">
        <v>165</v>
      </c>
      <c r="E488">
        <v>4875889</v>
      </c>
      <c r="F488" t="s">
        <v>87</v>
      </c>
      <c r="G488" t="s">
        <v>203</v>
      </c>
      <c r="H488" t="s">
        <v>224</v>
      </c>
      <c r="I488" s="4">
        <v>100638.28079999999</v>
      </c>
      <c r="J488" s="4">
        <v>1811489.0543999998</v>
      </c>
      <c r="K488" s="4">
        <v>-78022.936799999996</v>
      </c>
      <c r="L488" s="4">
        <v>18</v>
      </c>
    </row>
    <row r="489" spans="1:12">
      <c r="A489" t="s">
        <v>94</v>
      </c>
      <c r="B489" s="10">
        <v>45617</v>
      </c>
      <c r="C489" s="18">
        <f t="shared" si="7"/>
        <v>11</v>
      </c>
      <c r="D489" t="s">
        <v>165</v>
      </c>
      <c r="E489">
        <v>4875889</v>
      </c>
      <c r="F489" t="s">
        <v>87</v>
      </c>
      <c r="G489" t="s">
        <v>203</v>
      </c>
      <c r="H489" t="s">
        <v>223</v>
      </c>
      <c r="I489" s="4">
        <v>100638.28079999999</v>
      </c>
      <c r="J489" s="4">
        <v>1006382.808</v>
      </c>
      <c r="K489" s="4">
        <v>-43346.076000000001</v>
      </c>
      <c r="L489" s="4">
        <v>10</v>
      </c>
    </row>
    <row r="490" spans="1:12">
      <c r="A490" t="s">
        <v>94</v>
      </c>
      <c r="B490" s="10">
        <v>45617</v>
      </c>
      <c r="C490" s="18">
        <f t="shared" si="7"/>
        <v>11</v>
      </c>
      <c r="D490" t="s">
        <v>165</v>
      </c>
      <c r="E490">
        <v>6747343</v>
      </c>
      <c r="F490" t="s">
        <v>87</v>
      </c>
      <c r="G490" t="s">
        <v>205</v>
      </c>
      <c r="H490" t="s">
        <v>211</v>
      </c>
      <c r="I490" s="4">
        <v>5151.2727999999997</v>
      </c>
      <c r="J490" s="4">
        <v>103025.45599999999</v>
      </c>
      <c r="K490" s="4">
        <v>-5025.6320000000005</v>
      </c>
      <c r="L490" s="4">
        <v>20</v>
      </c>
    </row>
    <row r="491" spans="1:12">
      <c r="A491" t="s">
        <v>95</v>
      </c>
      <c r="B491" s="10">
        <v>45598</v>
      </c>
      <c r="C491" s="18">
        <f t="shared" si="7"/>
        <v>11</v>
      </c>
      <c r="D491" t="s">
        <v>143</v>
      </c>
      <c r="E491">
        <v>4876549</v>
      </c>
      <c r="F491" t="s">
        <v>87</v>
      </c>
      <c r="G491" t="s">
        <v>203</v>
      </c>
      <c r="H491" t="s">
        <v>228</v>
      </c>
      <c r="I491" s="4">
        <v>100638.28079999999</v>
      </c>
      <c r="J491" s="4">
        <v>1006382.808</v>
      </c>
      <c r="K491" s="4">
        <v>-43346.076000000001</v>
      </c>
      <c r="L491" s="4">
        <v>10</v>
      </c>
    </row>
    <row r="492" spans="1:12">
      <c r="A492" t="s">
        <v>95</v>
      </c>
      <c r="B492" s="10">
        <v>45599</v>
      </c>
      <c r="C492" s="18">
        <f t="shared" si="7"/>
        <v>11</v>
      </c>
      <c r="D492" t="s">
        <v>188</v>
      </c>
      <c r="E492">
        <v>4878040</v>
      </c>
      <c r="F492" t="s">
        <v>88</v>
      </c>
      <c r="G492" t="s">
        <v>205</v>
      </c>
      <c r="H492" t="s">
        <v>211</v>
      </c>
      <c r="I492" s="4">
        <v>5151.2727999999997</v>
      </c>
      <c r="J492" s="4">
        <v>10302.545599999999</v>
      </c>
      <c r="L492" s="4">
        <v>2</v>
      </c>
    </row>
    <row r="493" spans="1:12">
      <c r="A493" t="s">
        <v>95</v>
      </c>
      <c r="B493" s="10">
        <v>45600</v>
      </c>
      <c r="C493" s="18">
        <f t="shared" si="7"/>
        <v>11</v>
      </c>
      <c r="D493" t="s">
        <v>188</v>
      </c>
      <c r="E493">
        <v>4877018</v>
      </c>
      <c r="F493" t="s">
        <v>89</v>
      </c>
      <c r="G493" t="s">
        <v>203</v>
      </c>
      <c r="H493" t="s">
        <v>228</v>
      </c>
      <c r="I493" s="4">
        <v>100638.28079999999</v>
      </c>
      <c r="J493" s="4">
        <v>3019148.4239999996</v>
      </c>
      <c r="L493" s="4">
        <v>30</v>
      </c>
    </row>
    <row r="494" spans="1:12">
      <c r="A494" t="s">
        <v>95</v>
      </c>
      <c r="B494" s="10">
        <v>45600</v>
      </c>
      <c r="C494" s="18">
        <f t="shared" si="7"/>
        <v>11</v>
      </c>
      <c r="D494" t="s">
        <v>188</v>
      </c>
      <c r="E494">
        <v>4877018</v>
      </c>
      <c r="F494" t="s">
        <v>89</v>
      </c>
      <c r="G494" t="s">
        <v>203</v>
      </c>
      <c r="H494" t="s">
        <v>224</v>
      </c>
      <c r="I494" s="4">
        <v>100638.28079999999</v>
      </c>
      <c r="J494" s="4">
        <v>1610212.4927999999</v>
      </c>
      <c r="L494" s="4">
        <v>16</v>
      </c>
    </row>
    <row r="495" spans="1:12">
      <c r="A495" t="s">
        <v>95</v>
      </c>
      <c r="B495" s="10">
        <v>45602</v>
      </c>
      <c r="C495" s="18">
        <f t="shared" si="7"/>
        <v>11</v>
      </c>
      <c r="D495" t="s">
        <v>188</v>
      </c>
      <c r="E495">
        <v>6080140</v>
      </c>
      <c r="F495" t="s">
        <v>87</v>
      </c>
      <c r="G495" t="s">
        <v>203</v>
      </c>
      <c r="H495" t="s">
        <v>228</v>
      </c>
      <c r="I495" s="4">
        <v>100638.28079999999</v>
      </c>
      <c r="J495" s="4">
        <v>201276.56159999999</v>
      </c>
      <c r="L495" s="4">
        <v>2</v>
      </c>
    </row>
    <row r="496" spans="1:12">
      <c r="A496" t="s">
        <v>95</v>
      </c>
      <c r="B496" s="10">
        <v>45603</v>
      </c>
      <c r="C496" s="18">
        <f t="shared" si="7"/>
        <v>11</v>
      </c>
      <c r="D496" t="s">
        <v>188</v>
      </c>
      <c r="E496">
        <v>4875916</v>
      </c>
      <c r="F496" t="s">
        <v>89</v>
      </c>
      <c r="G496" t="s">
        <v>203</v>
      </c>
      <c r="H496" t="s">
        <v>238</v>
      </c>
      <c r="I496" s="4">
        <v>95606.36675999999</v>
      </c>
      <c r="J496" s="4">
        <v>573638.20055999991</v>
      </c>
      <c r="L496" s="4">
        <v>6</v>
      </c>
    </row>
    <row r="497" spans="1:12">
      <c r="A497" t="s">
        <v>95</v>
      </c>
      <c r="B497" s="10">
        <v>45603</v>
      </c>
      <c r="C497" s="18">
        <f t="shared" si="7"/>
        <v>11</v>
      </c>
      <c r="D497" t="s">
        <v>188</v>
      </c>
      <c r="E497">
        <v>4875916</v>
      </c>
      <c r="F497" t="s">
        <v>89</v>
      </c>
      <c r="G497" t="s">
        <v>203</v>
      </c>
      <c r="H497" t="s">
        <v>237</v>
      </c>
      <c r="I497" s="4">
        <v>125766.4408</v>
      </c>
      <c r="J497" s="4">
        <v>377299.3224</v>
      </c>
      <c r="L497" s="4">
        <v>3</v>
      </c>
    </row>
    <row r="498" spans="1:12">
      <c r="A498" t="s">
        <v>95</v>
      </c>
      <c r="B498" s="10">
        <v>45605</v>
      </c>
      <c r="C498" s="18">
        <f t="shared" si="7"/>
        <v>11</v>
      </c>
      <c r="D498" t="s">
        <v>188</v>
      </c>
      <c r="E498">
        <v>4876241</v>
      </c>
      <c r="F498" t="s">
        <v>89</v>
      </c>
      <c r="G498" t="s">
        <v>203</v>
      </c>
      <c r="H498" t="s">
        <v>238</v>
      </c>
      <c r="I498" s="4">
        <v>95606.36675999999</v>
      </c>
      <c r="J498" s="4">
        <v>956063.66759999993</v>
      </c>
      <c r="L498" s="4">
        <v>10</v>
      </c>
    </row>
    <row r="499" spans="1:12">
      <c r="A499" t="s">
        <v>95</v>
      </c>
      <c r="B499" s="10">
        <v>45605</v>
      </c>
      <c r="C499" s="18">
        <f t="shared" si="7"/>
        <v>11</v>
      </c>
      <c r="D499" t="s">
        <v>188</v>
      </c>
      <c r="E499">
        <v>4877183</v>
      </c>
      <c r="F499" t="s">
        <v>90</v>
      </c>
      <c r="G499" t="s">
        <v>203</v>
      </c>
      <c r="H499" t="s">
        <v>238</v>
      </c>
      <c r="I499" s="4">
        <v>95606.36675999999</v>
      </c>
      <c r="J499" s="4">
        <v>191212.73351999998</v>
      </c>
      <c r="L499" s="4">
        <v>2</v>
      </c>
    </row>
    <row r="500" spans="1:12">
      <c r="A500" t="s">
        <v>95</v>
      </c>
      <c r="B500" s="10">
        <v>45605</v>
      </c>
      <c r="C500" s="18">
        <f t="shared" si="7"/>
        <v>11</v>
      </c>
      <c r="D500" t="s">
        <v>188</v>
      </c>
      <c r="E500">
        <v>4877183</v>
      </c>
      <c r="F500" t="s">
        <v>90</v>
      </c>
      <c r="G500" t="s">
        <v>203</v>
      </c>
      <c r="H500" t="s">
        <v>237</v>
      </c>
      <c r="I500" s="4">
        <v>125766.4408</v>
      </c>
      <c r="J500" s="4">
        <v>125766.4408</v>
      </c>
      <c r="L500" s="4">
        <v>1</v>
      </c>
    </row>
    <row r="501" spans="1:12">
      <c r="A501" t="s">
        <v>95</v>
      </c>
      <c r="B501" s="10">
        <v>45609</v>
      </c>
      <c r="C501" s="18">
        <f t="shared" si="7"/>
        <v>11</v>
      </c>
      <c r="D501" t="s">
        <v>188</v>
      </c>
      <c r="E501">
        <v>6080791</v>
      </c>
      <c r="F501" t="s">
        <v>87</v>
      </c>
      <c r="G501" t="s">
        <v>203</v>
      </c>
      <c r="H501" t="s">
        <v>228</v>
      </c>
      <c r="I501" s="4">
        <v>100638.28079999999</v>
      </c>
      <c r="J501" s="4">
        <v>201276.56159999999</v>
      </c>
      <c r="L501" s="4">
        <v>2</v>
      </c>
    </row>
    <row r="502" spans="1:12">
      <c r="A502" t="s">
        <v>95</v>
      </c>
      <c r="B502" s="10">
        <v>45612</v>
      </c>
      <c r="C502" s="18">
        <f t="shared" si="7"/>
        <v>11</v>
      </c>
      <c r="D502" t="s">
        <v>143</v>
      </c>
      <c r="E502">
        <v>4876549</v>
      </c>
      <c r="F502" t="s">
        <v>87</v>
      </c>
      <c r="G502" t="s">
        <v>203</v>
      </c>
      <c r="H502" t="s">
        <v>238</v>
      </c>
      <c r="I502" s="4">
        <v>95606.36675999999</v>
      </c>
      <c r="J502" s="4">
        <v>1147276.4011199998</v>
      </c>
      <c r="K502" s="4">
        <v>-52015.291199999992</v>
      </c>
      <c r="L502" s="4">
        <v>12</v>
      </c>
    </row>
    <row r="503" spans="1:12">
      <c r="A503" t="s">
        <v>95</v>
      </c>
      <c r="B503" s="10">
        <v>45612</v>
      </c>
      <c r="C503" s="18">
        <f t="shared" si="7"/>
        <v>11</v>
      </c>
      <c r="D503" t="s">
        <v>143</v>
      </c>
      <c r="E503">
        <v>4876549</v>
      </c>
      <c r="F503" t="s">
        <v>87</v>
      </c>
      <c r="G503" t="s">
        <v>203</v>
      </c>
      <c r="H503" t="s">
        <v>237</v>
      </c>
      <c r="I503" s="4">
        <v>125766.4408</v>
      </c>
      <c r="J503" s="4">
        <v>2515328.8160000001</v>
      </c>
      <c r="K503" s="4">
        <v>-113076.72</v>
      </c>
      <c r="L503" s="4">
        <v>20</v>
      </c>
    </row>
    <row r="504" spans="1:12">
      <c r="A504" t="s">
        <v>95</v>
      </c>
      <c r="B504" s="10">
        <v>45612</v>
      </c>
      <c r="C504" s="18">
        <f t="shared" si="7"/>
        <v>11</v>
      </c>
      <c r="D504" t="s">
        <v>188</v>
      </c>
      <c r="E504">
        <v>4876241</v>
      </c>
      <c r="F504" t="s">
        <v>89</v>
      </c>
      <c r="G504" t="s">
        <v>203</v>
      </c>
      <c r="H504" t="s">
        <v>238</v>
      </c>
      <c r="I504" s="4">
        <v>95606.36675999999</v>
      </c>
      <c r="J504" s="4">
        <v>573638.20055999991</v>
      </c>
      <c r="L504" s="4">
        <v>6</v>
      </c>
    </row>
    <row r="505" spans="1:12">
      <c r="A505" t="s">
        <v>95</v>
      </c>
      <c r="B505" s="10">
        <v>45612</v>
      </c>
      <c r="C505" s="18">
        <f t="shared" si="7"/>
        <v>11</v>
      </c>
      <c r="D505" t="s">
        <v>188</v>
      </c>
      <c r="E505">
        <v>4876241</v>
      </c>
      <c r="F505" t="s">
        <v>89</v>
      </c>
      <c r="G505" t="s">
        <v>203</v>
      </c>
      <c r="H505" t="s">
        <v>237</v>
      </c>
      <c r="I505" s="4">
        <v>125766.4408</v>
      </c>
      <c r="J505" s="4">
        <v>503065.76319999999</v>
      </c>
      <c r="L505" s="4">
        <v>4</v>
      </c>
    </row>
    <row r="506" spans="1:12">
      <c r="A506" t="s">
        <v>95</v>
      </c>
      <c r="B506" s="10">
        <v>45612</v>
      </c>
      <c r="C506" s="18">
        <f t="shared" si="7"/>
        <v>11</v>
      </c>
      <c r="D506" t="s">
        <v>188</v>
      </c>
      <c r="E506">
        <v>4877018</v>
      </c>
      <c r="F506" t="s">
        <v>89</v>
      </c>
      <c r="G506" t="s">
        <v>203</v>
      </c>
      <c r="H506" t="s">
        <v>238</v>
      </c>
      <c r="I506" s="4">
        <v>95606.36675999999</v>
      </c>
      <c r="J506" s="4">
        <v>1912127.3351999999</v>
      </c>
      <c r="L506" s="4">
        <v>20</v>
      </c>
    </row>
    <row r="507" spans="1:12">
      <c r="A507" t="s">
        <v>95</v>
      </c>
      <c r="B507" s="10">
        <v>45615</v>
      </c>
      <c r="C507" s="18">
        <f t="shared" si="7"/>
        <v>11</v>
      </c>
      <c r="D507" t="s">
        <v>142</v>
      </c>
      <c r="E507">
        <v>4876156</v>
      </c>
      <c r="F507" t="s">
        <v>87</v>
      </c>
      <c r="G507" t="s">
        <v>203</v>
      </c>
      <c r="H507" t="s">
        <v>237</v>
      </c>
      <c r="I507" s="4">
        <v>125766.4408</v>
      </c>
      <c r="J507" s="4">
        <v>628832.20400000003</v>
      </c>
      <c r="L507" s="4">
        <v>5</v>
      </c>
    </row>
    <row r="508" spans="1:12">
      <c r="A508" t="s">
        <v>95</v>
      </c>
      <c r="B508" s="10">
        <v>45616</v>
      </c>
      <c r="C508" s="18">
        <f t="shared" si="7"/>
        <v>11</v>
      </c>
      <c r="D508" t="s">
        <v>188</v>
      </c>
      <c r="E508">
        <v>4876182</v>
      </c>
      <c r="F508" t="s">
        <v>90</v>
      </c>
      <c r="G508" t="s">
        <v>203</v>
      </c>
      <c r="H508" t="s">
        <v>237</v>
      </c>
      <c r="I508" s="4">
        <v>125766.4408</v>
      </c>
      <c r="J508" s="4">
        <v>754598.64480000001</v>
      </c>
      <c r="L508" s="4">
        <v>6</v>
      </c>
    </row>
    <row r="509" spans="1:12">
      <c r="A509" t="s">
        <v>95</v>
      </c>
      <c r="B509" s="10">
        <v>45619</v>
      </c>
      <c r="C509" s="18">
        <f t="shared" si="7"/>
        <v>11</v>
      </c>
      <c r="D509" t="s">
        <v>188</v>
      </c>
      <c r="E509">
        <v>4878040</v>
      </c>
      <c r="F509" t="s">
        <v>88</v>
      </c>
      <c r="G509" t="s">
        <v>203</v>
      </c>
      <c r="H509" t="s">
        <v>237</v>
      </c>
      <c r="I509" s="4">
        <v>125766.4408</v>
      </c>
      <c r="J509" s="4">
        <v>125766.4408</v>
      </c>
      <c r="L509" s="4">
        <v>1</v>
      </c>
    </row>
    <row r="510" spans="1:12">
      <c r="A510" t="s">
        <v>95</v>
      </c>
      <c r="B510" s="10">
        <v>45624</v>
      </c>
      <c r="C510" s="18">
        <f t="shared" si="7"/>
        <v>11</v>
      </c>
      <c r="D510" t="s">
        <v>188</v>
      </c>
      <c r="E510">
        <v>4876241</v>
      </c>
      <c r="F510" t="s">
        <v>89</v>
      </c>
      <c r="G510" t="s">
        <v>203</v>
      </c>
      <c r="H510" t="s">
        <v>225</v>
      </c>
      <c r="I510" s="4">
        <v>100638.28079999999</v>
      </c>
      <c r="J510" s="4">
        <v>1207659.3695999999</v>
      </c>
      <c r="L510" s="4">
        <v>12</v>
      </c>
    </row>
    <row r="511" spans="1:12">
      <c r="A511" t="s">
        <v>95</v>
      </c>
      <c r="B511" s="10">
        <v>45624</v>
      </c>
      <c r="C511" s="18">
        <f t="shared" si="7"/>
        <v>11</v>
      </c>
      <c r="D511" t="s">
        <v>188</v>
      </c>
      <c r="E511">
        <v>4876241</v>
      </c>
      <c r="F511" t="s">
        <v>89</v>
      </c>
      <c r="G511" t="s">
        <v>203</v>
      </c>
      <c r="H511" t="s">
        <v>222</v>
      </c>
      <c r="I511" s="4">
        <v>100638.28079999999</v>
      </c>
      <c r="J511" s="4">
        <v>1006382.808</v>
      </c>
      <c r="L511" s="4">
        <v>10</v>
      </c>
    </row>
    <row r="512" spans="1:12">
      <c r="A512" t="s">
        <v>95</v>
      </c>
      <c r="B512" s="10">
        <v>45624</v>
      </c>
      <c r="C512" s="18">
        <f t="shared" si="7"/>
        <v>11</v>
      </c>
      <c r="D512" t="s">
        <v>188</v>
      </c>
      <c r="E512">
        <v>4876241</v>
      </c>
      <c r="F512" t="s">
        <v>89</v>
      </c>
      <c r="G512" t="s">
        <v>203</v>
      </c>
      <c r="H512" t="s">
        <v>229</v>
      </c>
      <c r="I512" s="4">
        <v>125766.4408</v>
      </c>
      <c r="J512" s="4">
        <v>1257664.4080000001</v>
      </c>
      <c r="L512" s="4">
        <v>10</v>
      </c>
    </row>
    <row r="513" spans="1:12">
      <c r="A513" t="s">
        <v>95</v>
      </c>
      <c r="B513" s="10">
        <v>45626</v>
      </c>
      <c r="C513" s="18">
        <f t="shared" si="7"/>
        <v>11</v>
      </c>
      <c r="D513" t="s">
        <v>188</v>
      </c>
      <c r="E513">
        <v>6080791</v>
      </c>
      <c r="F513" t="s">
        <v>87</v>
      </c>
      <c r="G513" t="s">
        <v>203</v>
      </c>
      <c r="H513" t="s">
        <v>229</v>
      </c>
      <c r="I513" s="4">
        <v>125766.4408</v>
      </c>
      <c r="J513" s="4">
        <v>377299.3224</v>
      </c>
      <c r="L513" s="4">
        <v>3</v>
      </c>
    </row>
    <row r="514" spans="1:12">
      <c r="A514" t="s">
        <v>108</v>
      </c>
      <c r="B514" s="10">
        <v>45602</v>
      </c>
      <c r="C514" s="18">
        <f t="shared" ref="C514:C577" si="8">MONTH(B514)</f>
        <v>11</v>
      </c>
      <c r="D514" t="s">
        <v>199</v>
      </c>
      <c r="E514">
        <v>6957467</v>
      </c>
      <c r="F514" t="s">
        <v>89</v>
      </c>
      <c r="G514" t="s">
        <v>203</v>
      </c>
      <c r="H514" t="s">
        <v>241</v>
      </c>
      <c r="I514" s="4">
        <v>125766.4408</v>
      </c>
      <c r="J514" s="4">
        <v>251532.88159999999</v>
      </c>
      <c r="L514" s="4">
        <v>2</v>
      </c>
    </row>
    <row r="515" spans="1:12">
      <c r="A515" t="s">
        <v>108</v>
      </c>
      <c r="B515" s="10">
        <v>45602</v>
      </c>
      <c r="C515" s="18">
        <f t="shared" si="8"/>
        <v>11</v>
      </c>
      <c r="D515" t="s">
        <v>199</v>
      </c>
      <c r="E515">
        <v>6957467</v>
      </c>
      <c r="F515" t="s">
        <v>89</v>
      </c>
      <c r="G515" t="s">
        <v>203</v>
      </c>
      <c r="H515" t="s">
        <v>231</v>
      </c>
      <c r="I515" s="4">
        <v>125766.4408</v>
      </c>
      <c r="J515" s="4">
        <v>251532.88159999999</v>
      </c>
      <c r="L515" s="4">
        <v>2</v>
      </c>
    </row>
    <row r="516" spans="1:12">
      <c r="A516" t="s">
        <v>108</v>
      </c>
      <c r="B516" s="10">
        <v>45616</v>
      </c>
      <c r="C516" s="18">
        <f t="shared" si="8"/>
        <v>11</v>
      </c>
      <c r="D516" t="s">
        <v>199</v>
      </c>
      <c r="E516">
        <v>4878051</v>
      </c>
      <c r="F516" t="s">
        <v>90</v>
      </c>
      <c r="G516" t="s">
        <v>203</v>
      </c>
      <c r="H516" t="s">
        <v>236</v>
      </c>
      <c r="I516" s="4">
        <v>100638.28079999999</v>
      </c>
      <c r="J516" s="4">
        <v>402553.12319999997</v>
      </c>
      <c r="L516" s="4">
        <v>4</v>
      </c>
    </row>
    <row r="517" spans="1:12">
      <c r="A517" t="s">
        <v>108</v>
      </c>
      <c r="B517" s="10">
        <v>45616</v>
      </c>
      <c r="C517" s="18">
        <f t="shared" si="8"/>
        <v>11</v>
      </c>
      <c r="D517" t="s">
        <v>199</v>
      </c>
      <c r="E517">
        <v>4878051</v>
      </c>
      <c r="F517" t="s">
        <v>90</v>
      </c>
      <c r="G517" t="s">
        <v>203</v>
      </c>
      <c r="H517" t="s">
        <v>241</v>
      </c>
      <c r="I517" s="4">
        <v>125766.4408</v>
      </c>
      <c r="J517" s="4">
        <v>251532.88159999999</v>
      </c>
      <c r="L517" s="4">
        <v>2</v>
      </c>
    </row>
    <row r="518" spans="1:12">
      <c r="A518" t="s">
        <v>108</v>
      </c>
      <c r="B518" s="10">
        <v>45616</v>
      </c>
      <c r="C518" s="18">
        <f t="shared" si="8"/>
        <v>11</v>
      </c>
      <c r="D518" t="s">
        <v>199</v>
      </c>
      <c r="E518">
        <v>4878051</v>
      </c>
      <c r="F518" t="s">
        <v>90</v>
      </c>
      <c r="G518" t="s">
        <v>203</v>
      </c>
      <c r="H518" t="s">
        <v>235</v>
      </c>
      <c r="I518" s="4">
        <v>125766.4408</v>
      </c>
      <c r="J518" s="4">
        <v>251532.88159999999</v>
      </c>
      <c r="L518" s="4">
        <v>2</v>
      </c>
    </row>
    <row r="519" spans="1:12">
      <c r="A519" t="s">
        <v>108</v>
      </c>
      <c r="B519" s="10">
        <v>45616</v>
      </c>
      <c r="C519" s="18">
        <f t="shared" si="8"/>
        <v>11</v>
      </c>
      <c r="D519" t="s">
        <v>199</v>
      </c>
      <c r="E519">
        <v>4878051</v>
      </c>
      <c r="F519" t="s">
        <v>90</v>
      </c>
      <c r="G519" t="s">
        <v>203</v>
      </c>
      <c r="H519" t="s">
        <v>231</v>
      </c>
      <c r="I519" s="4">
        <v>125766.4408</v>
      </c>
      <c r="J519" s="4">
        <v>251532.88159999999</v>
      </c>
      <c r="L519" s="4">
        <v>2</v>
      </c>
    </row>
    <row r="520" spans="1:12">
      <c r="A520" t="s">
        <v>106</v>
      </c>
      <c r="B520" s="10">
        <v>45601</v>
      </c>
      <c r="C520" s="18">
        <f t="shared" si="8"/>
        <v>11</v>
      </c>
      <c r="D520" t="s">
        <v>135</v>
      </c>
      <c r="E520">
        <v>4872395</v>
      </c>
      <c r="F520" t="s">
        <v>89</v>
      </c>
      <c r="G520" t="s">
        <v>203</v>
      </c>
      <c r="H520" t="s">
        <v>242</v>
      </c>
      <c r="I520" s="4">
        <v>100638.28079999999</v>
      </c>
      <c r="J520" s="4">
        <v>402553.12319999997</v>
      </c>
      <c r="K520" s="4">
        <v>-17338.430399999997</v>
      </c>
      <c r="L520" s="4">
        <v>4</v>
      </c>
    </row>
    <row r="521" spans="1:12">
      <c r="A521" t="s">
        <v>106</v>
      </c>
      <c r="B521" s="10">
        <v>45601</v>
      </c>
      <c r="C521" s="18">
        <f t="shared" si="8"/>
        <v>11</v>
      </c>
      <c r="D521" t="s">
        <v>135</v>
      </c>
      <c r="E521">
        <v>4872395</v>
      </c>
      <c r="F521" t="s">
        <v>89</v>
      </c>
      <c r="G521" t="s">
        <v>203</v>
      </c>
      <c r="H521" t="s">
        <v>236</v>
      </c>
      <c r="I521" s="4">
        <v>100638.28079999999</v>
      </c>
      <c r="J521" s="4">
        <v>402553.12319999997</v>
      </c>
      <c r="K521" s="4">
        <v>-17338.430399999997</v>
      </c>
      <c r="L521" s="4">
        <v>4</v>
      </c>
    </row>
    <row r="522" spans="1:12">
      <c r="A522" t="s">
        <v>106</v>
      </c>
      <c r="B522" s="10">
        <v>45601</v>
      </c>
      <c r="C522" s="18">
        <f t="shared" si="8"/>
        <v>11</v>
      </c>
      <c r="D522" t="s">
        <v>135</v>
      </c>
      <c r="E522">
        <v>4872395</v>
      </c>
      <c r="F522" t="s">
        <v>89</v>
      </c>
      <c r="G522" t="s">
        <v>203</v>
      </c>
      <c r="H522" t="s">
        <v>234</v>
      </c>
      <c r="I522" s="4">
        <v>100638.28079999999</v>
      </c>
      <c r="J522" s="4">
        <v>201276.56159999999</v>
      </c>
      <c r="K522" s="4">
        <v>-8669.2151999999987</v>
      </c>
      <c r="L522" s="4">
        <v>2</v>
      </c>
    </row>
    <row r="523" spans="1:12">
      <c r="A523" t="s">
        <v>106</v>
      </c>
      <c r="B523" s="10">
        <v>45601</v>
      </c>
      <c r="C523" s="18">
        <f t="shared" si="8"/>
        <v>11</v>
      </c>
      <c r="D523" t="s">
        <v>135</v>
      </c>
      <c r="E523">
        <v>4872395</v>
      </c>
      <c r="F523" t="s">
        <v>89</v>
      </c>
      <c r="G523" t="s">
        <v>203</v>
      </c>
      <c r="H523" t="s">
        <v>230</v>
      </c>
      <c r="I523" s="4">
        <v>100638.28079999999</v>
      </c>
      <c r="J523" s="4">
        <v>402553.12319999997</v>
      </c>
      <c r="K523" s="4">
        <v>-17338.430399999997</v>
      </c>
      <c r="L523" s="4">
        <v>4</v>
      </c>
    </row>
    <row r="524" spans="1:12">
      <c r="A524" t="s">
        <v>106</v>
      </c>
      <c r="B524" s="10">
        <v>45601</v>
      </c>
      <c r="C524" s="18">
        <f t="shared" si="8"/>
        <v>11</v>
      </c>
      <c r="D524" t="s">
        <v>135</v>
      </c>
      <c r="E524">
        <v>4872395</v>
      </c>
      <c r="F524" t="s">
        <v>89</v>
      </c>
      <c r="G524" t="s">
        <v>203</v>
      </c>
      <c r="H524" t="s">
        <v>227</v>
      </c>
      <c r="I524" s="4">
        <v>100638.28079999999</v>
      </c>
      <c r="J524" s="4">
        <v>201276.56159999999</v>
      </c>
      <c r="K524" s="4">
        <v>-8669.2151999999987</v>
      </c>
      <c r="L524" s="4">
        <v>2</v>
      </c>
    </row>
    <row r="525" spans="1:12">
      <c r="A525" t="s">
        <v>106</v>
      </c>
      <c r="B525" s="10">
        <v>45601</v>
      </c>
      <c r="C525" s="18">
        <f t="shared" si="8"/>
        <v>11</v>
      </c>
      <c r="D525" t="s">
        <v>135</v>
      </c>
      <c r="E525">
        <v>4872948</v>
      </c>
      <c r="F525" t="s">
        <v>88</v>
      </c>
      <c r="G525" t="s">
        <v>203</v>
      </c>
      <c r="H525" t="s">
        <v>224</v>
      </c>
      <c r="I525" s="4">
        <v>100638.28079999999</v>
      </c>
      <c r="J525" s="4">
        <v>402553.12319999997</v>
      </c>
      <c r="K525" s="4">
        <v>-17338.430399999997</v>
      </c>
      <c r="L525" s="4">
        <v>4</v>
      </c>
    </row>
    <row r="526" spans="1:12">
      <c r="A526" t="s">
        <v>106</v>
      </c>
      <c r="B526" s="10">
        <v>45601</v>
      </c>
      <c r="C526" s="18">
        <f t="shared" si="8"/>
        <v>11</v>
      </c>
      <c r="D526" t="s">
        <v>135</v>
      </c>
      <c r="E526">
        <v>4872613</v>
      </c>
      <c r="F526" t="s">
        <v>88</v>
      </c>
      <c r="G526" t="s">
        <v>203</v>
      </c>
      <c r="H526" t="s">
        <v>227</v>
      </c>
      <c r="I526" s="4">
        <v>100638.28079999999</v>
      </c>
      <c r="J526" s="4">
        <v>1006382.808</v>
      </c>
      <c r="K526" s="4">
        <v>-43346.076000000001</v>
      </c>
      <c r="L526" s="4">
        <v>10</v>
      </c>
    </row>
    <row r="527" spans="1:12">
      <c r="A527" t="s">
        <v>106</v>
      </c>
      <c r="B527" s="10">
        <v>45601</v>
      </c>
      <c r="C527" s="18">
        <f t="shared" si="8"/>
        <v>11</v>
      </c>
      <c r="D527" t="s">
        <v>135</v>
      </c>
      <c r="E527">
        <v>4875762</v>
      </c>
      <c r="F527" t="s">
        <v>88</v>
      </c>
      <c r="G527" t="s">
        <v>203</v>
      </c>
      <c r="H527" t="s">
        <v>236</v>
      </c>
      <c r="I527" s="4">
        <v>100638.28079999999</v>
      </c>
      <c r="J527" s="4">
        <v>1006382.808</v>
      </c>
      <c r="K527" s="4">
        <v>-43346.076000000001</v>
      </c>
      <c r="L527" s="4">
        <v>10</v>
      </c>
    </row>
    <row r="528" spans="1:12">
      <c r="A528" t="s">
        <v>106</v>
      </c>
      <c r="B528" s="10">
        <v>45601</v>
      </c>
      <c r="C528" s="18">
        <f t="shared" si="8"/>
        <v>11</v>
      </c>
      <c r="D528" t="s">
        <v>135</v>
      </c>
      <c r="E528">
        <v>4875762</v>
      </c>
      <c r="F528" t="s">
        <v>88</v>
      </c>
      <c r="G528" t="s">
        <v>203</v>
      </c>
      <c r="H528" t="s">
        <v>230</v>
      </c>
      <c r="I528" s="4">
        <v>100638.28079999999</v>
      </c>
      <c r="J528" s="4">
        <v>1006382.808</v>
      </c>
      <c r="K528" s="4">
        <v>-43346.076000000001</v>
      </c>
      <c r="L528" s="4">
        <v>10</v>
      </c>
    </row>
    <row r="529" spans="1:12">
      <c r="A529" t="s">
        <v>106</v>
      </c>
      <c r="B529" s="10">
        <v>45601</v>
      </c>
      <c r="C529" s="18">
        <f t="shared" si="8"/>
        <v>11</v>
      </c>
      <c r="D529" t="s">
        <v>135</v>
      </c>
      <c r="E529">
        <v>4873753</v>
      </c>
      <c r="F529" t="s">
        <v>88</v>
      </c>
      <c r="G529" t="s">
        <v>203</v>
      </c>
      <c r="H529" t="s">
        <v>236</v>
      </c>
      <c r="I529" s="4">
        <v>100638.28079999999</v>
      </c>
      <c r="J529" s="4">
        <v>3019148.4239999996</v>
      </c>
      <c r="K529" s="4">
        <v>-130038.22799999999</v>
      </c>
      <c r="L529" s="4">
        <v>30</v>
      </c>
    </row>
    <row r="530" spans="1:12">
      <c r="A530" t="s">
        <v>106</v>
      </c>
      <c r="B530" s="10">
        <v>45604</v>
      </c>
      <c r="C530" s="18">
        <f t="shared" si="8"/>
        <v>11</v>
      </c>
      <c r="D530" t="s">
        <v>135</v>
      </c>
      <c r="E530">
        <v>4878846</v>
      </c>
      <c r="F530" t="s">
        <v>89</v>
      </c>
      <c r="G530" t="s">
        <v>204</v>
      </c>
      <c r="H530" t="s">
        <v>219</v>
      </c>
      <c r="I530" s="4">
        <v>44099.9208</v>
      </c>
      <c r="J530" s="4">
        <v>44099.9208</v>
      </c>
      <c r="K530" s="4">
        <v>-1884.6119999999999</v>
      </c>
      <c r="L530" s="4">
        <v>1</v>
      </c>
    </row>
    <row r="531" spans="1:12">
      <c r="A531" t="s">
        <v>106</v>
      </c>
      <c r="B531" s="10">
        <v>45604</v>
      </c>
      <c r="C531" s="18">
        <f t="shared" si="8"/>
        <v>11</v>
      </c>
      <c r="D531" t="s">
        <v>135</v>
      </c>
      <c r="E531">
        <v>4878846</v>
      </c>
      <c r="F531" t="s">
        <v>89</v>
      </c>
      <c r="G531" t="s">
        <v>204</v>
      </c>
      <c r="H531" t="s">
        <v>217</v>
      </c>
      <c r="I531" s="4">
        <v>78022.936799999996</v>
      </c>
      <c r="J531" s="4">
        <v>78022.936799999996</v>
      </c>
      <c r="K531" s="4">
        <v>-3580.7627999999995</v>
      </c>
      <c r="L531" s="4">
        <v>1</v>
      </c>
    </row>
    <row r="532" spans="1:12">
      <c r="A532" t="s">
        <v>106</v>
      </c>
      <c r="B532" s="10">
        <v>45604</v>
      </c>
      <c r="C532" s="18">
        <f t="shared" si="8"/>
        <v>11</v>
      </c>
      <c r="D532" t="s">
        <v>135</v>
      </c>
      <c r="E532">
        <v>4878846</v>
      </c>
      <c r="F532" t="s">
        <v>89</v>
      </c>
      <c r="G532" t="s">
        <v>204</v>
      </c>
      <c r="H532" t="s">
        <v>216</v>
      </c>
      <c r="I532" s="4">
        <v>113202.36079999999</v>
      </c>
      <c r="J532" s="4">
        <v>113202.36079999999</v>
      </c>
      <c r="K532" s="4">
        <v>-5653.8360000000002</v>
      </c>
      <c r="L532" s="4">
        <v>1</v>
      </c>
    </row>
    <row r="533" spans="1:12">
      <c r="A533" t="s">
        <v>106</v>
      </c>
      <c r="B533" s="10">
        <v>45604</v>
      </c>
      <c r="C533" s="18">
        <f t="shared" si="8"/>
        <v>11</v>
      </c>
      <c r="D533" t="s">
        <v>135</v>
      </c>
      <c r="E533">
        <v>4878846</v>
      </c>
      <c r="F533" t="s">
        <v>89</v>
      </c>
      <c r="G533" t="s">
        <v>204</v>
      </c>
      <c r="H533" t="s">
        <v>215</v>
      </c>
      <c r="I533" s="4">
        <v>75510.12079999999</v>
      </c>
      <c r="J533" s="4">
        <v>75510.12079999999</v>
      </c>
      <c r="K533" s="4">
        <v>-3769.2239999999997</v>
      </c>
      <c r="L533" s="4">
        <v>1</v>
      </c>
    </row>
    <row r="534" spans="1:12">
      <c r="A534" t="s">
        <v>106</v>
      </c>
      <c r="B534" s="10">
        <v>45604</v>
      </c>
      <c r="C534" s="18">
        <f t="shared" si="8"/>
        <v>11</v>
      </c>
      <c r="D534" t="s">
        <v>135</v>
      </c>
      <c r="E534">
        <v>4878846</v>
      </c>
      <c r="F534" t="s">
        <v>89</v>
      </c>
      <c r="G534" t="s">
        <v>204</v>
      </c>
      <c r="H534" t="s">
        <v>213</v>
      </c>
      <c r="I534" s="4">
        <v>119484.4008</v>
      </c>
      <c r="J534" s="4">
        <v>119484.4008</v>
      </c>
      <c r="K534" s="4">
        <v>-5339.7339999999995</v>
      </c>
      <c r="L534" s="4">
        <v>1</v>
      </c>
    </row>
    <row r="535" spans="1:12">
      <c r="A535" t="s">
        <v>106</v>
      </c>
      <c r="B535" s="10">
        <v>45610</v>
      </c>
      <c r="C535" s="18">
        <f t="shared" si="8"/>
        <v>11</v>
      </c>
      <c r="D535" t="s">
        <v>135</v>
      </c>
      <c r="E535">
        <v>4878582</v>
      </c>
      <c r="F535" t="s">
        <v>90</v>
      </c>
      <c r="G535" t="s">
        <v>203</v>
      </c>
      <c r="H535" t="s">
        <v>236</v>
      </c>
      <c r="I535" s="4">
        <v>100638.28079999999</v>
      </c>
      <c r="J535" s="4">
        <v>402553.12319999997</v>
      </c>
      <c r="K535" s="4">
        <v>-17338.430399999997</v>
      </c>
      <c r="L535" s="4">
        <v>4</v>
      </c>
    </row>
    <row r="536" spans="1:12">
      <c r="A536" t="s">
        <v>106</v>
      </c>
      <c r="B536" s="10">
        <v>45610</v>
      </c>
      <c r="C536" s="18">
        <f t="shared" si="8"/>
        <v>11</v>
      </c>
      <c r="D536" t="s">
        <v>135</v>
      </c>
      <c r="E536">
        <v>4878582</v>
      </c>
      <c r="F536" t="s">
        <v>90</v>
      </c>
      <c r="G536" t="s">
        <v>203</v>
      </c>
      <c r="H536" t="s">
        <v>232</v>
      </c>
      <c r="I536" s="4">
        <v>100638.28079999999</v>
      </c>
      <c r="J536" s="4">
        <v>402553.12319999997</v>
      </c>
      <c r="K536" s="4">
        <v>-17338.430399999997</v>
      </c>
      <c r="L536" s="4">
        <v>4</v>
      </c>
    </row>
    <row r="537" spans="1:12">
      <c r="A537" t="s">
        <v>106</v>
      </c>
      <c r="B537" s="10">
        <v>45610</v>
      </c>
      <c r="C537" s="18">
        <f t="shared" si="8"/>
        <v>11</v>
      </c>
      <c r="D537" t="s">
        <v>135</v>
      </c>
      <c r="E537">
        <v>4878582</v>
      </c>
      <c r="F537" t="s">
        <v>90</v>
      </c>
      <c r="G537" t="s">
        <v>203</v>
      </c>
      <c r="H537" t="s">
        <v>230</v>
      </c>
      <c r="I537" s="4">
        <v>100638.28079999999</v>
      </c>
      <c r="J537" s="4">
        <v>603829.68479999993</v>
      </c>
      <c r="K537" s="4">
        <v>-26007.645599999996</v>
      </c>
      <c r="L537" s="4">
        <v>6</v>
      </c>
    </row>
    <row r="538" spans="1:12">
      <c r="A538" t="s">
        <v>106</v>
      </c>
      <c r="B538" s="10">
        <v>45610</v>
      </c>
      <c r="C538" s="18">
        <f t="shared" si="8"/>
        <v>11</v>
      </c>
      <c r="D538" t="s">
        <v>135</v>
      </c>
      <c r="E538">
        <v>4878582</v>
      </c>
      <c r="F538" t="s">
        <v>90</v>
      </c>
      <c r="G538" t="s">
        <v>203</v>
      </c>
      <c r="H538" t="s">
        <v>228</v>
      </c>
      <c r="I538" s="4">
        <v>100638.28079999999</v>
      </c>
      <c r="J538" s="4">
        <v>402553.12319999997</v>
      </c>
      <c r="K538" s="4">
        <v>-17338.430399999997</v>
      </c>
      <c r="L538" s="4">
        <v>4</v>
      </c>
    </row>
    <row r="539" spans="1:12">
      <c r="A539" t="s">
        <v>106</v>
      </c>
      <c r="B539" s="10">
        <v>45610</v>
      </c>
      <c r="C539" s="18">
        <f t="shared" si="8"/>
        <v>11</v>
      </c>
      <c r="D539" t="s">
        <v>135</v>
      </c>
      <c r="E539">
        <v>4878582</v>
      </c>
      <c r="F539" t="s">
        <v>90</v>
      </c>
      <c r="G539" t="s">
        <v>203</v>
      </c>
      <c r="H539" t="s">
        <v>223</v>
      </c>
      <c r="I539" s="4">
        <v>100638.28079999999</v>
      </c>
      <c r="J539" s="4">
        <v>402553.12319999997</v>
      </c>
      <c r="K539" s="4">
        <v>-17338.430399999997</v>
      </c>
      <c r="L539" s="4">
        <v>4</v>
      </c>
    </row>
    <row r="540" spans="1:12">
      <c r="A540" t="s">
        <v>106</v>
      </c>
      <c r="B540" s="10">
        <v>45610</v>
      </c>
      <c r="C540" s="18">
        <f t="shared" si="8"/>
        <v>11</v>
      </c>
      <c r="D540" t="s">
        <v>135</v>
      </c>
      <c r="E540">
        <v>4878582</v>
      </c>
      <c r="F540" t="s">
        <v>90</v>
      </c>
      <c r="G540" t="s">
        <v>203</v>
      </c>
      <c r="H540" t="s">
        <v>229</v>
      </c>
      <c r="I540" s="4">
        <v>125766.4408</v>
      </c>
      <c r="J540" s="4">
        <v>503065.76319999999</v>
      </c>
      <c r="K540" s="4">
        <v>-22615.344000000001</v>
      </c>
      <c r="L540" s="4">
        <v>4</v>
      </c>
    </row>
    <row r="541" spans="1:12">
      <c r="A541" t="s">
        <v>106</v>
      </c>
      <c r="B541" s="10">
        <v>45610</v>
      </c>
      <c r="C541" s="18">
        <f t="shared" si="8"/>
        <v>11</v>
      </c>
      <c r="D541" t="s">
        <v>135</v>
      </c>
      <c r="E541">
        <v>8165004</v>
      </c>
      <c r="F541" t="s">
        <v>87</v>
      </c>
      <c r="G541" t="s">
        <v>203</v>
      </c>
      <c r="H541" t="s">
        <v>236</v>
      </c>
      <c r="I541" s="4">
        <v>100638.28079999999</v>
      </c>
      <c r="J541" s="4">
        <v>201276.56159999999</v>
      </c>
      <c r="K541" s="4">
        <v>-8669.2151999999987</v>
      </c>
      <c r="L541" s="4">
        <v>2</v>
      </c>
    </row>
    <row r="542" spans="1:12">
      <c r="A542" t="s">
        <v>106</v>
      </c>
      <c r="B542" s="10">
        <v>45610</v>
      </c>
      <c r="C542" s="18">
        <f t="shared" si="8"/>
        <v>11</v>
      </c>
      <c r="D542" t="s">
        <v>135</v>
      </c>
      <c r="E542">
        <v>8165004</v>
      </c>
      <c r="F542" t="s">
        <v>87</v>
      </c>
      <c r="G542" t="s">
        <v>203</v>
      </c>
      <c r="H542" t="s">
        <v>232</v>
      </c>
      <c r="I542" s="4">
        <v>100638.28079999999</v>
      </c>
      <c r="J542" s="4">
        <v>201276.56159999999</v>
      </c>
      <c r="K542" s="4">
        <v>-8669.2151999999987</v>
      </c>
      <c r="L542" s="4">
        <v>2</v>
      </c>
    </row>
    <row r="543" spans="1:12">
      <c r="A543" t="s">
        <v>106</v>
      </c>
      <c r="B543" s="10">
        <v>45610</v>
      </c>
      <c r="C543" s="18">
        <f t="shared" si="8"/>
        <v>11</v>
      </c>
      <c r="D543" t="s">
        <v>135</v>
      </c>
      <c r="E543">
        <v>8165004</v>
      </c>
      <c r="F543" t="s">
        <v>87</v>
      </c>
      <c r="G543" t="s">
        <v>203</v>
      </c>
      <c r="H543" t="s">
        <v>225</v>
      </c>
      <c r="I543" s="4">
        <v>100638.28079999999</v>
      </c>
      <c r="J543" s="4">
        <v>201276.56159999999</v>
      </c>
      <c r="K543" s="4">
        <v>-8669.2151999999987</v>
      </c>
      <c r="L543" s="4">
        <v>2</v>
      </c>
    </row>
    <row r="544" spans="1:12">
      <c r="A544" t="s">
        <v>106</v>
      </c>
      <c r="B544" s="10">
        <v>45610</v>
      </c>
      <c r="C544" s="18">
        <f t="shared" si="8"/>
        <v>11</v>
      </c>
      <c r="D544" t="s">
        <v>135</v>
      </c>
      <c r="E544">
        <v>8165004</v>
      </c>
      <c r="F544" t="s">
        <v>87</v>
      </c>
      <c r="G544" t="s">
        <v>203</v>
      </c>
      <c r="H544" t="s">
        <v>224</v>
      </c>
      <c r="I544" s="4">
        <v>100638.28079999999</v>
      </c>
      <c r="J544" s="4">
        <v>201276.56159999999</v>
      </c>
      <c r="K544" s="4">
        <v>-8669.2151999999987</v>
      </c>
      <c r="L544" s="4">
        <v>2</v>
      </c>
    </row>
    <row r="545" spans="1:12">
      <c r="A545" t="s">
        <v>106</v>
      </c>
      <c r="B545" s="10">
        <v>45610</v>
      </c>
      <c r="C545" s="18">
        <f t="shared" si="8"/>
        <v>11</v>
      </c>
      <c r="D545" t="s">
        <v>135</v>
      </c>
      <c r="E545">
        <v>8165004</v>
      </c>
      <c r="F545" t="s">
        <v>87</v>
      </c>
      <c r="G545" t="s">
        <v>203</v>
      </c>
      <c r="H545" t="s">
        <v>223</v>
      </c>
      <c r="I545" s="4">
        <v>100638.28079999999</v>
      </c>
      <c r="J545" s="4">
        <v>201276.56159999999</v>
      </c>
      <c r="K545" s="4">
        <v>-8669.2151999999987</v>
      </c>
      <c r="L545" s="4">
        <v>2</v>
      </c>
    </row>
    <row r="546" spans="1:12">
      <c r="A546" t="s">
        <v>106</v>
      </c>
      <c r="B546" s="10">
        <v>45611</v>
      </c>
      <c r="C546" s="18">
        <f t="shared" si="8"/>
        <v>11</v>
      </c>
      <c r="D546" t="s">
        <v>135</v>
      </c>
      <c r="E546">
        <v>4872395</v>
      </c>
      <c r="F546" t="s">
        <v>89</v>
      </c>
      <c r="G546" t="s">
        <v>203</v>
      </c>
      <c r="H546" t="s">
        <v>245</v>
      </c>
      <c r="I546" s="4">
        <v>100638.28079999999</v>
      </c>
      <c r="J546" s="4">
        <v>402553.12319999997</v>
      </c>
      <c r="K546" s="4">
        <v>-17338.430399999997</v>
      </c>
      <c r="L546" s="4">
        <v>4</v>
      </c>
    </row>
    <row r="547" spans="1:12">
      <c r="A547" t="s">
        <v>106</v>
      </c>
      <c r="B547" s="10">
        <v>45611</v>
      </c>
      <c r="C547" s="18">
        <f t="shared" si="8"/>
        <v>11</v>
      </c>
      <c r="D547" t="s">
        <v>135</v>
      </c>
      <c r="E547">
        <v>4872395</v>
      </c>
      <c r="F547" t="s">
        <v>89</v>
      </c>
      <c r="G547" t="s">
        <v>203</v>
      </c>
      <c r="H547" t="s">
        <v>240</v>
      </c>
      <c r="I547" s="4">
        <v>100638.28079999999</v>
      </c>
      <c r="J547" s="4">
        <v>402553.12319999997</v>
      </c>
      <c r="K547" s="4">
        <v>-17338.430399999997</v>
      </c>
      <c r="L547" s="4">
        <v>4</v>
      </c>
    </row>
    <row r="548" spans="1:12">
      <c r="A548" t="s">
        <v>106</v>
      </c>
      <c r="B548" s="10">
        <v>45611</v>
      </c>
      <c r="C548" s="18">
        <f t="shared" si="8"/>
        <v>11</v>
      </c>
      <c r="D548" t="s">
        <v>135</v>
      </c>
      <c r="E548">
        <v>4872395</v>
      </c>
      <c r="F548" t="s">
        <v>89</v>
      </c>
      <c r="G548" t="s">
        <v>203</v>
      </c>
      <c r="H548" t="s">
        <v>238</v>
      </c>
      <c r="I548" s="4">
        <v>95606.36675999999</v>
      </c>
      <c r="J548" s="4">
        <v>382425.46703999996</v>
      </c>
      <c r="K548" s="4">
        <v>-17338.430399999997</v>
      </c>
      <c r="L548" s="4">
        <v>4</v>
      </c>
    </row>
    <row r="549" spans="1:12">
      <c r="A549" t="s">
        <v>106</v>
      </c>
      <c r="B549" s="10">
        <v>45611</v>
      </c>
      <c r="C549" s="18">
        <f t="shared" si="8"/>
        <v>11</v>
      </c>
      <c r="D549" t="s">
        <v>135</v>
      </c>
      <c r="E549">
        <v>4872395</v>
      </c>
      <c r="F549" t="s">
        <v>89</v>
      </c>
      <c r="G549" t="s">
        <v>203</v>
      </c>
      <c r="H549" t="s">
        <v>232</v>
      </c>
      <c r="I549" s="4">
        <v>100638.28079999999</v>
      </c>
      <c r="J549" s="4">
        <v>402553.12319999997</v>
      </c>
      <c r="K549" s="4">
        <v>-17338.430399999997</v>
      </c>
      <c r="L549" s="4">
        <v>4</v>
      </c>
    </row>
    <row r="550" spans="1:12">
      <c r="A550" t="s">
        <v>106</v>
      </c>
      <c r="B550" s="10">
        <v>45611</v>
      </c>
      <c r="C550" s="18">
        <f t="shared" si="8"/>
        <v>11</v>
      </c>
      <c r="D550" t="s">
        <v>135</v>
      </c>
      <c r="E550">
        <v>4872395</v>
      </c>
      <c r="F550" t="s">
        <v>89</v>
      </c>
      <c r="G550" t="s">
        <v>203</v>
      </c>
      <c r="H550" t="s">
        <v>230</v>
      </c>
      <c r="I550" s="4">
        <v>100638.28079999999</v>
      </c>
      <c r="J550" s="4">
        <v>402553.12319999997</v>
      </c>
      <c r="K550" s="4">
        <v>-17338.430399999997</v>
      </c>
      <c r="L550" s="4">
        <v>4</v>
      </c>
    </row>
    <row r="551" spans="1:12">
      <c r="A551" t="s">
        <v>106</v>
      </c>
      <c r="B551" s="10">
        <v>45611</v>
      </c>
      <c r="C551" s="18">
        <f t="shared" si="8"/>
        <v>11</v>
      </c>
      <c r="D551" t="s">
        <v>135</v>
      </c>
      <c r="E551">
        <v>4872395</v>
      </c>
      <c r="F551" t="s">
        <v>89</v>
      </c>
      <c r="G551" t="s">
        <v>203</v>
      </c>
      <c r="H551" t="s">
        <v>241</v>
      </c>
      <c r="I551" s="4">
        <v>125766.4408</v>
      </c>
      <c r="J551" s="4">
        <v>503065.76319999999</v>
      </c>
      <c r="K551" s="4">
        <v>-22615.344000000001</v>
      </c>
      <c r="L551" s="4">
        <v>4</v>
      </c>
    </row>
    <row r="552" spans="1:12">
      <c r="A552" t="s">
        <v>106</v>
      </c>
      <c r="B552" s="10">
        <v>45611</v>
      </c>
      <c r="C552" s="18">
        <f t="shared" si="8"/>
        <v>11</v>
      </c>
      <c r="D552" t="s">
        <v>135</v>
      </c>
      <c r="E552">
        <v>4872395</v>
      </c>
      <c r="F552" t="s">
        <v>89</v>
      </c>
      <c r="G552" t="s">
        <v>203</v>
      </c>
      <c r="H552" t="s">
        <v>237</v>
      </c>
      <c r="I552" s="4">
        <v>125766.4408</v>
      </c>
      <c r="J552" s="4">
        <v>503065.76319999999</v>
      </c>
      <c r="K552" s="4">
        <v>-22615.344000000001</v>
      </c>
      <c r="L552" s="4">
        <v>4</v>
      </c>
    </row>
    <row r="553" spans="1:12">
      <c r="A553" t="s">
        <v>106</v>
      </c>
      <c r="B553" s="10">
        <v>45611</v>
      </c>
      <c r="C553" s="18">
        <f t="shared" si="8"/>
        <v>11</v>
      </c>
      <c r="D553" t="s">
        <v>135</v>
      </c>
      <c r="E553">
        <v>4872395</v>
      </c>
      <c r="F553" t="s">
        <v>89</v>
      </c>
      <c r="G553" t="s">
        <v>203</v>
      </c>
      <c r="H553" t="s">
        <v>235</v>
      </c>
      <c r="I553" s="4">
        <v>125766.4408</v>
      </c>
      <c r="J553" s="4">
        <v>503065.76319999999</v>
      </c>
      <c r="K553" s="4">
        <v>-22615.344000000001</v>
      </c>
      <c r="L553" s="4">
        <v>4</v>
      </c>
    </row>
    <row r="554" spans="1:12">
      <c r="A554" t="s">
        <v>106</v>
      </c>
      <c r="B554" s="10">
        <v>45611</v>
      </c>
      <c r="C554" s="18">
        <f t="shared" si="8"/>
        <v>11</v>
      </c>
      <c r="D554" t="s">
        <v>135</v>
      </c>
      <c r="E554">
        <v>4872395</v>
      </c>
      <c r="F554" t="s">
        <v>89</v>
      </c>
      <c r="G554" t="s">
        <v>203</v>
      </c>
      <c r="H554" t="s">
        <v>231</v>
      </c>
      <c r="I554" s="4">
        <v>125766.4408</v>
      </c>
      <c r="J554" s="4">
        <v>503065.76319999999</v>
      </c>
      <c r="K554" s="4">
        <v>-22615.344000000001</v>
      </c>
      <c r="L554" s="4">
        <v>4</v>
      </c>
    </row>
    <row r="555" spans="1:12">
      <c r="A555" t="s">
        <v>106</v>
      </c>
      <c r="B555" s="10">
        <v>45611</v>
      </c>
      <c r="C555" s="18">
        <f t="shared" si="8"/>
        <v>11</v>
      </c>
      <c r="D555" t="s">
        <v>135</v>
      </c>
      <c r="E555">
        <v>4872395</v>
      </c>
      <c r="F555" t="s">
        <v>89</v>
      </c>
      <c r="G555" t="s">
        <v>203</v>
      </c>
      <c r="H555" t="s">
        <v>229</v>
      </c>
      <c r="I555" s="4">
        <v>125766.4408</v>
      </c>
      <c r="J555" s="4">
        <v>503065.76319999999</v>
      </c>
      <c r="K555" s="4">
        <v>-22615.344000000001</v>
      </c>
      <c r="L555" s="4">
        <v>4</v>
      </c>
    </row>
    <row r="556" spans="1:12">
      <c r="A556" t="s">
        <v>106</v>
      </c>
      <c r="B556" s="10">
        <v>45611</v>
      </c>
      <c r="C556" s="18">
        <f t="shared" si="8"/>
        <v>11</v>
      </c>
      <c r="D556" t="s">
        <v>135</v>
      </c>
      <c r="E556">
        <v>4879028</v>
      </c>
      <c r="F556" t="s">
        <v>87</v>
      </c>
      <c r="G556" t="s">
        <v>203</v>
      </c>
      <c r="H556" t="s">
        <v>245</v>
      </c>
      <c r="I556" s="4">
        <v>100638.28079999999</v>
      </c>
      <c r="J556" s="4">
        <v>402553.12319999997</v>
      </c>
      <c r="K556" s="4">
        <v>-17338.430399999997</v>
      </c>
      <c r="L556" s="4">
        <v>4</v>
      </c>
    </row>
    <row r="557" spans="1:12">
      <c r="A557" t="s">
        <v>106</v>
      </c>
      <c r="B557" s="10">
        <v>45611</v>
      </c>
      <c r="C557" s="18">
        <f t="shared" si="8"/>
        <v>11</v>
      </c>
      <c r="D557" t="s">
        <v>135</v>
      </c>
      <c r="E557">
        <v>4879028</v>
      </c>
      <c r="F557" t="s">
        <v>87</v>
      </c>
      <c r="G557" t="s">
        <v>203</v>
      </c>
      <c r="H557" t="s">
        <v>240</v>
      </c>
      <c r="I557" s="4">
        <v>100638.28079999999</v>
      </c>
      <c r="J557" s="4">
        <v>402553.12319999997</v>
      </c>
      <c r="K557" s="4">
        <v>-17338.430399999997</v>
      </c>
      <c r="L557" s="4">
        <v>4</v>
      </c>
    </row>
    <row r="558" spans="1:12">
      <c r="A558" t="s">
        <v>106</v>
      </c>
      <c r="B558" s="10">
        <v>45611</v>
      </c>
      <c r="C558" s="18">
        <f t="shared" si="8"/>
        <v>11</v>
      </c>
      <c r="D558" t="s">
        <v>135</v>
      </c>
      <c r="E558">
        <v>4879028</v>
      </c>
      <c r="F558" t="s">
        <v>87</v>
      </c>
      <c r="G558" t="s">
        <v>203</v>
      </c>
      <c r="H558" t="s">
        <v>238</v>
      </c>
      <c r="I558" s="4">
        <v>95606.36675999999</v>
      </c>
      <c r="J558" s="4">
        <v>382425.46703999996</v>
      </c>
      <c r="K558" s="4">
        <v>-17338.430399999997</v>
      </c>
      <c r="L558" s="4">
        <v>4</v>
      </c>
    </row>
    <row r="559" spans="1:12">
      <c r="A559" t="s">
        <v>106</v>
      </c>
      <c r="B559" s="10">
        <v>45611</v>
      </c>
      <c r="C559" s="18">
        <f t="shared" si="8"/>
        <v>11</v>
      </c>
      <c r="D559" t="s">
        <v>135</v>
      </c>
      <c r="E559">
        <v>4879028</v>
      </c>
      <c r="F559" t="s">
        <v>87</v>
      </c>
      <c r="G559" t="s">
        <v>203</v>
      </c>
      <c r="H559" t="s">
        <v>232</v>
      </c>
      <c r="I559" s="4">
        <v>100638.28079999999</v>
      </c>
      <c r="J559" s="4">
        <v>402553.12319999997</v>
      </c>
      <c r="K559" s="4">
        <v>-17338.430399999997</v>
      </c>
      <c r="L559" s="4">
        <v>4</v>
      </c>
    </row>
    <row r="560" spans="1:12">
      <c r="A560" t="s">
        <v>106</v>
      </c>
      <c r="B560" s="10">
        <v>45611</v>
      </c>
      <c r="C560" s="18">
        <f t="shared" si="8"/>
        <v>11</v>
      </c>
      <c r="D560" t="s">
        <v>135</v>
      </c>
      <c r="E560">
        <v>4879028</v>
      </c>
      <c r="F560" t="s">
        <v>87</v>
      </c>
      <c r="G560" t="s">
        <v>203</v>
      </c>
      <c r="H560" t="s">
        <v>230</v>
      </c>
      <c r="I560" s="4">
        <v>100638.28079999999</v>
      </c>
      <c r="J560" s="4">
        <v>402553.12319999997</v>
      </c>
      <c r="K560" s="4">
        <v>-17338.430399999997</v>
      </c>
      <c r="L560" s="4">
        <v>4</v>
      </c>
    </row>
    <row r="561" spans="1:12">
      <c r="A561" t="s">
        <v>106</v>
      </c>
      <c r="B561" s="10">
        <v>45611</v>
      </c>
      <c r="C561" s="18">
        <f t="shared" si="8"/>
        <v>11</v>
      </c>
      <c r="D561" t="s">
        <v>135</v>
      </c>
      <c r="E561">
        <v>4872613</v>
      </c>
      <c r="F561" t="s">
        <v>88</v>
      </c>
      <c r="G561" t="s">
        <v>203</v>
      </c>
      <c r="H561" t="s">
        <v>245</v>
      </c>
      <c r="I561" s="4">
        <v>100638.28079999999</v>
      </c>
      <c r="J561" s="4">
        <v>201276.56159999999</v>
      </c>
      <c r="K561" s="4">
        <v>-8669.2151999999987</v>
      </c>
      <c r="L561" s="4">
        <v>2</v>
      </c>
    </row>
    <row r="562" spans="1:12">
      <c r="A562" t="s">
        <v>106</v>
      </c>
      <c r="B562" s="10">
        <v>45611</v>
      </c>
      <c r="C562" s="18">
        <f t="shared" si="8"/>
        <v>11</v>
      </c>
      <c r="D562" t="s">
        <v>135</v>
      </c>
      <c r="E562">
        <v>4872613</v>
      </c>
      <c r="F562" t="s">
        <v>88</v>
      </c>
      <c r="G562" t="s">
        <v>203</v>
      </c>
      <c r="H562" t="s">
        <v>242</v>
      </c>
      <c r="I562" s="4">
        <v>100638.28079999999</v>
      </c>
      <c r="J562" s="4">
        <v>201276.56159999999</v>
      </c>
      <c r="K562" s="4">
        <v>-8669.2151999999987</v>
      </c>
      <c r="L562" s="4">
        <v>2</v>
      </c>
    </row>
    <row r="563" spans="1:12">
      <c r="A563" t="s">
        <v>106</v>
      </c>
      <c r="B563" s="10">
        <v>45611</v>
      </c>
      <c r="C563" s="18">
        <f t="shared" si="8"/>
        <v>11</v>
      </c>
      <c r="D563" t="s">
        <v>135</v>
      </c>
      <c r="E563">
        <v>4872613</v>
      </c>
      <c r="F563" t="s">
        <v>88</v>
      </c>
      <c r="G563" t="s">
        <v>203</v>
      </c>
      <c r="H563" t="s">
        <v>240</v>
      </c>
      <c r="I563" s="4">
        <v>100638.28079999999</v>
      </c>
      <c r="J563" s="4">
        <v>201276.56159999999</v>
      </c>
      <c r="K563" s="4">
        <v>-8669.2151999999987</v>
      </c>
      <c r="L563" s="4">
        <v>2</v>
      </c>
    </row>
    <row r="564" spans="1:12">
      <c r="A564" t="s">
        <v>106</v>
      </c>
      <c r="B564" s="10">
        <v>45611</v>
      </c>
      <c r="C564" s="18">
        <f t="shared" si="8"/>
        <v>11</v>
      </c>
      <c r="D564" t="s">
        <v>135</v>
      </c>
      <c r="E564">
        <v>4872613</v>
      </c>
      <c r="F564" t="s">
        <v>88</v>
      </c>
      <c r="G564" t="s">
        <v>203</v>
      </c>
      <c r="H564" t="s">
        <v>238</v>
      </c>
      <c r="I564" s="4">
        <v>95606.36675999999</v>
      </c>
      <c r="J564" s="4">
        <v>191212.73351999998</v>
      </c>
      <c r="K564" s="4">
        <v>-8669.2151999999987</v>
      </c>
      <c r="L564" s="4">
        <v>2</v>
      </c>
    </row>
    <row r="565" spans="1:12">
      <c r="A565" t="s">
        <v>106</v>
      </c>
      <c r="B565" s="10">
        <v>45611</v>
      </c>
      <c r="C565" s="18">
        <f t="shared" si="8"/>
        <v>11</v>
      </c>
      <c r="D565" t="s">
        <v>135</v>
      </c>
      <c r="E565">
        <v>4872613</v>
      </c>
      <c r="F565" t="s">
        <v>88</v>
      </c>
      <c r="G565" t="s">
        <v>203</v>
      </c>
      <c r="H565" t="s">
        <v>236</v>
      </c>
      <c r="I565" s="4">
        <v>100638.28079999999</v>
      </c>
      <c r="J565" s="4">
        <v>201276.56159999999</v>
      </c>
      <c r="K565" s="4">
        <v>-8669.2151999999987</v>
      </c>
      <c r="L565" s="4">
        <v>2</v>
      </c>
    </row>
    <row r="566" spans="1:12">
      <c r="A566" t="s">
        <v>106</v>
      </c>
      <c r="B566" s="10">
        <v>45611</v>
      </c>
      <c r="C566" s="18">
        <f t="shared" si="8"/>
        <v>11</v>
      </c>
      <c r="D566" t="s">
        <v>135</v>
      </c>
      <c r="E566">
        <v>4872613</v>
      </c>
      <c r="F566" t="s">
        <v>88</v>
      </c>
      <c r="G566" t="s">
        <v>203</v>
      </c>
      <c r="H566" t="s">
        <v>232</v>
      </c>
      <c r="I566" s="4">
        <v>100638.28079999999</v>
      </c>
      <c r="J566" s="4">
        <v>201276.56159999999</v>
      </c>
      <c r="K566" s="4">
        <v>-8669.2151999999987</v>
      </c>
      <c r="L566" s="4">
        <v>2</v>
      </c>
    </row>
    <row r="567" spans="1:12">
      <c r="A567" t="s">
        <v>106</v>
      </c>
      <c r="B567" s="10">
        <v>45611</v>
      </c>
      <c r="C567" s="18">
        <f t="shared" si="8"/>
        <v>11</v>
      </c>
      <c r="D567" t="s">
        <v>135</v>
      </c>
      <c r="E567">
        <v>4872613</v>
      </c>
      <c r="F567" t="s">
        <v>88</v>
      </c>
      <c r="G567" t="s">
        <v>203</v>
      </c>
      <c r="H567" t="s">
        <v>230</v>
      </c>
      <c r="I567" s="4">
        <v>100638.28079999999</v>
      </c>
      <c r="J567" s="4">
        <v>201276.56159999999</v>
      </c>
      <c r="K567" s="4">
        <v>-8669.2151999999987</v>
      </c>
      <c r="L567" s="4">
        <v>2</v>
      </c>
    </row>
    <row r="568" spans="1:12">
      <c r="A568" t="s">
        <v>106</v>
      </c>
      <c r="B568" s="10">
        <v>45611</v>
      </c>
      <c r="C568" s="18">
        <f t="shared" si="8"/>
        <v>11</v>
      </c>
      <c r="D568" t="s">
        <v>135</v>
      </c>
      <c r="E568">
        <v>4872613</v>
      </c>
      <c r="F568" t="s">
        <v>88</v>
      </c>
      <c r="G568" t="s">
        <v>203</v>
      </c>
      <c r="H568" t="s">
        <v>228</v>
      </c>
      <c r="I568" s="4">
        <v>100638.28079999999</v>
      </c>
      <c r="J568" s="4">
        <v>201276.56159999999</v>
      </c>
      <c r="K568" s="4">
        <v>-8669.2151999999987</v>
      </c>
      <c r="L568" s="4">
        <v>2</v>
      </c>
    </row>
    <row r="569" spans="1:12">
      <c r="A569" t="s">
        <v>106</v>
      </c>
      <c r="B569" s="10">
        <v>45611</v>
      </c>
      <c r="C569" s="18">
        <f t="shared" si="8"/>
        <v>11</v>
      </c>
      <c r="D569" t="s">
        <v>135</v>
      </c>
      <c r="E569">
        <v>4872613</v>
      </c>
      <c r="F569" t="s">
        <v>88</v>
      </c>
      <c r="G569" t="s">
        <v>203</v>
      </c>
      <c r="H569" t="s">
        <v>225</v>
      </c>
      <c r="I569" s="4">
        <v>100638.28079999999</v>
      </c>
      <c r="J569" s="4">
        <v>201276.56159999999</v>
      </c>
      <c r="K569" s="4">
        <v>-8669.2151999999987</v>
      </c>
      <c r="L569" s="4">
        <v>2</v>
      </c>
    </row>
    <row r="570" spans="1:12">
      <c r="A570" t="s">
        <v>106</v>
      </c>
      <c r="B570" s="10">
        <v>45611</v>
      </c>
      <c r="C570" s="18">
        <f t="shared" si="8"/>
        <v>11</v>
      </c>
      <c r="D570" t="s">
        <v>135</v>
      </c>
      <c r="E570">
        <v>4872613</v>
      </c>
      <c r="F570" t="s">
        <v>88</v>
      </c>
      <c r="G570" t="s">
        <v>203</v>
      </c>
      <c r="H570" t="s">
        <v>224</v>
      </c>
      <c r="I570" s="4">
        <v>100638.28079999999</v>
      </c>
      <c r="J570" s="4">
        <v>201276.56159999999</v>
      </c>
      <c r="K570" s="4">
        <v>-8669.2151999999987</v>
      </c>
      <c r="L570" s="4">
        <v>2</v>
      </c>
    </row>
    <row r="571" spans="1:12">
      <c r="A571" t="s">
        <v>106</v>
      </c>
      <c r="B571" s="10">
        <v>45611</v>
      </c>
      <c r="C571" s="18">
        <f t="shared" si="8"/>
        <v>11</v>
      </c>
      <c r="D571" t="s">
        <v>135</v>
      </c>
      <c r="E571">
        <v>4872613</v>
      </c>
      <c r="F571" t="s">
        <v>88</v>
      </c>
      <c r="G571" t="s">
        <v>203</v>
      </c>
      <c r="H571" t="s">
        <v>223</v>
      </c>
      <c r="I571" s="4">
        <v>100638.28079999999</v>
      </c>
      <c r="J571" s="4">
        <v>201276.56159999999</v>
      </c>
      <c r="K571" s="4">
        <v>-8669.2151999999987</v>
      </c>
      <c r="L571" s="4">
        <v>2</v>
      </c>
    </row>
    <row r="572" spans="1:12">
      <c r="A572" t="s">
        <v>106</v>
      </c>
      <c r="B572" s="10">
        <v>45611</v>
      </c>
      <c r="C572" s="18">
        <f t="shared" si="8"/>
        <v>11</v>
      </c>
      <c r="D572" t="s">
        <v>135</v>
      </c>
      <c r="E572">
        <v>4872613</v>
      </c>
      <c r="F572" t="s">
        <v>88</v>
      </c>
      <c r="G572" t="s">
        <v>203</v>
      </c>
      <c r="H572" t="s">
        <v>241</v>
      </c>
      <c r="I572" s="4">
        <v>125766.4408</v>
      </c>
      <c r="J572" s="4">
        <v>251532.88159999999</v>
      </c>
      <c r="K572" s="4">
        <v>-11307.672</v>
      </c>
      <c r="L572" s="4">
        <v>2</v>
      </c>
    </row>
    <row r="573" spans="1:12">
      <c r="A573" t="s">
        <v>106</v>
      </c>
      <c r="B573" s="10">
        <v>45611</v>
      </c>
      <c r="C573" s="18">
        <f t="shared" si="8"/>
        <v>11</v>
      </c>
      <c r="D573" t="s">
        <v>135</v>
      </c>
      <c r="E573">
        <v>4872613</v>
      </c>
      <c r="F573" t="s">
        <v>88</v>
      </c>
      <c r="G573" t="s">
        <v>203</v>
      </c>
      <c r="H573" t="s">
        <v>237</v>
      </c>
      <c r="I573" s="4">
        <v>125766.4408</v>
      </c>
      <c r="J573" s="4">
        <v>251532.88159999999</v>
      </c>
      <c r="K573" s="4">
        <v>-11307.672</v>
      </c>
      <c r="L573" s="4">
        <v>2</v>
      </c>
    </row>
    <row r="574" spans="1:12">
      <c r="A574" t="s">
        <v>106</v>
      </c>
      <c r="B574" s="10">
        <v>45611</v>
      </c>
      <c r="C574" s="18">
        <f t="shared" si="8"/>
        <v>11</v>
      </c>
      <c r="D574" t="s">
        <v>135</v>
      </c>
      <c r="E574">
        <v>4872613</v>
      </c>
      <c r="F574" t="s">
        <v>88</v>
      </c>
      <c r="G574" t="s">
        <v>203</v>
      </c>
      <c r="H574" t="s">
        <v>231</v>
      </c>
      <c r="I574" s="4">
        <v>125766.4408</v>
      </c>
      <c r="J574" s="4">
        <v>251532.88159999999</v>
      </c>
      <c r="K574" s="4">
        <v>-11307.672</v>
      </c>
      <c r="L574" s="4">
        <v>2</v>
      </c>
    </row>
    <row r="575" spans="1:12">
      <c r="A575" t="s">
        <v>106</v>
      </c>
      <c r="B575" s="10">
        <v>45611</v>
      </c>
      <c r="C575" s="18">
        <f t="shared" si="8"/>
        <v>11</v>
      </c>
      <c r="D575" t="s">
        <v>135</v>
      </c>
      <c r="E575">
        <v>4872613</v>
      </c>
      <c r="F575" t="s">
        <v>88</v>
      </c>
      <c r="G575" t="s">
        <v>203</v>
      </c>
      <c r="H575" t="s">
        <v>229</v>
      </c>
      <c r="I575" s="4">
        <v>125766.4408</v>
      </c>
      <c r="J575" s="4">
        <v>251532.88159999999</v>
      </c>
      <c r="K575" s="4">
        <v>-11307.672</v>
      </c>
      <c r="L575" s="4">
        <v>2</v>
      </c>
    </row>
    <row r="576" spans="1:12">
      <c r="A576" t="s">
        <v>106</v>
      </c>
      <c r="B576" s="10">
        <v>45611</v>
      </c>
      <c r="C576" s="18">
        <f t="shared" si="8"/>
        <v>11</v>
      </c>
      <c r="D576" t="s">
        <v>135</v>
      </c>
      <c r="E576">
        <v>4878846</v>
      </c>
      <c r="F576" t="s">
        <v>89</v>
      </c>
      <c r="G576" t="s">
        <v>204</v>
      </c>
      <c r="H576" t="s">
        <v>216</v>
      </c>
      <c r="I576" s="4">
        <v>113202.36079999999</v>
      </c>
      <c r="J576" s="4">
        <v>1584833.0511999999</v>
      </c>
      <c r="K576" s="4">
        <v>-79153.703999999998</v>
      </c>
      <c r="L576" s="4">
        <v>14</v>
      </c>
    </row>
    <row r="577" spans="1:12">
      <c r="A577" t="s">
        <v>106</v>
      </c>
      <c r="B577" s="10">
        <v>45611</v>
      </c>
      <c r="C577" s="18">
        <f t="shared" si="8"/>
        <v>11</v>
      </c>
      <c r="D577" t="s">
        <v>135</v>
      </c>
      <c r="E577">
        <v>4872397</v>
      </c>
      <c r="F577" t="s">
        <v>90</v>
      </c>
      <c r="G577" t="s">
        <v>204</v>
      </c>
      <c r="H577" t="s">
        <v>216</v>
      </c>
      <c r="I577" s="4">
        <v>113202.36079999999</v>
      </c>
      <c r="J577" s="4">
        <v>452809.44319999998</v>
      </c>
      <c r="K577" s="4">
        <v>-22615.344000000001</v>
      </c>
      <c r="L577" s="4">
        <v>4</v>
      </c>
    </row>
    <row r="578" spans="1:12">
      <c r="A578" t="s">
        <v>106</v>
      </c>
      <c r="B578" s="10">
        <v>45612</v>
      </c>
      <c r="C578" s="18">
        <f t="shared" ref="C578:C641" si="9">MONTH(B578)</f>
        <v>11</v>
      </c>
      <c r="D578" t="s">
        <v>135</v>
      </c>
      <c r="E578">
        <v>8213369</v>
      </c>
      <c r="F578" t="s">
        <v>87</v>
      </c>
      <c r="G578" t="s">
        <v>203</v>
      </c>
      <c r="H578" t="s">
        <v>238</v>
      </c>
      <c r="I578" s="4">
        <v>95606.36675999999</v>
      </c>
      <c r="J578" s="4">
        <v>382425.46703999996</v>
      </c>
      <c r="K578" s="4">
        <v>-17338.430399999997</v>
      </c>
      <c r="L578" s="4">
        <v>4</v>
      </c>
    </row>
    <row r="579" spans="1:12">
      <c r="A579" t="s">
        <v>106</v>
      </c>
      <c r="B579" s="10">
        <v>45612</v>
      </c>
      <c r="C579" s="18">
        <f t="shared" si="9"/>
        <v>11</v>
      </c>
      <c r="D579" t="s">
        <v>135</v>
      </c>
      <c r="E579">
        <v>8213369</v>
      </c>
      <c r="F579" t="s">
        <v>87</v>
      </c>
      <c r="G579" t="s">
        <v>203</v>
      </c>
      <c r="H579" t="s">
        <v>228</v>
      </c>
      <c r="I579" s="4">
        <v>100638.28079999999</v>
      </c>
      <c r="J579" s="4">
        <v>402553.12319999997</v>
      </c>
      <c r="K579" s="4">
        <v>-17338.430399999997</v>
      </c>
      <c r="L579" s="4">
        <v>4</v>
      </c>
    </row>
    <row r="580" spans="1:12">
      <c r="A580" t="s">
        <v>106</v>
      </c>
      <c r="B580" s="10">
        <v>45612</v>
      </c>
      <c r="C580" s="18">
        <f t="shared" si="9"/>
        <v>11</v>
      </c>
      <c r="D580" t="s">
        <v>135</v>
      </c>
      <c r="E580">
        <v>8213369</v>
      </c>
      <c r="F580" t="s">
        <v>87</v>
      </c>
      <c r="G580" t="s">
        <v>203</v>
      </c>
      <c r="H580" t="s">
        <v>224</v>
      </c>
      <c r="I580" s="4">
        <v>100638.28079999999</v>
      </c>
      <c r="J580" s="4">
        <v>1006382.808</v>
      </c>
      <c r="K580" s="4">
        <v>-43346.076000000001</v>
      </c>
      <c r="L580" s="4">
        <v>10</v>
      </c>
    </row>
    <row r="581" spans="1:12">
      <c r="A581" t="s">
        <v>106</v>
      </c>
      <c r="B581" s="10">
        <v>45612</v>
      </c>
      <c r="C581" s="18">
        <f t="shared" si="9"/>
        <v>11</v>
      </c>
      <c r="D581" t="s">
        <v>135</v>
      </c>
      <c r="E581">
        <v>8213369</v>
      </c>
      <c r="F581" t="s">
        <v>87</v>
      </c>
      <c r="G581" t="s">
        <v>203</v>
      </c>
      <c r="H581" t="s">
        <v>229</v>
      </c>
      <c r="I581" s="4">
        <v>125766.4408</v>
      </c>
      <c r="J581" s="4">
        <v>1257664.4080000001</v>
      </c>
      <c r="K581" s="4">
        <v>-56538.36</v>
      </c>
      <c r="L581" s="4">
        <v>10</v>
      </c>
    </row>
    <row r="582" spans="1:12">
      <c r="A582" t="s">
        <v>106</v>
      </c>
      <c r="B582" s="10">
        <v>45612</v>
      </c>
      <c r="C582" s="18">
        <f t="shared" si="9"/>
        <v>11</v>
      </c>
      <c r="D582" t="s">
        <v>135</v>
      </c>
      <c r="E582">
        <v>4872948</v>
      </c>
      <c r="F582" t="s">
        <v>88</v>
      </c>
      <c r="G582" t="s">
        <v>203</v>
      </c>
      <c r="H582" t="s">
        <v>224</v>
      </c>
      <c r="I582" s="4">
        <v>100638.28079999999</v>
      </c>
      <c r="J582" s="4">
        <v>603829.68479999993</v>
      </c>
      <c r="K582" s="4">
        <v>-26007.645599999996</v>
      </c>
      <c r="L582" s="4">
        <v>6</v>
      </c>
    </row>
    <row r="583" spans="1:12">
      <c r="A583" t="s">
        <v>106</v>
      </c>
      <c r="B583" s="10">
        <v>45612</v>
      </c>
      <c r="C583" s="18">
        <f t="shared" si="9"/>
        <v>11</v>
      </c>
      <c r="D583" t="s">
        <v>135</v>
      </c>
      <c r="E583">
        <v>4872948</v>
      </c>
      <c r="F583" t="s">
        <v>88</v>
      </c>
      <c r="G583" t="s">
        <v>203</v>
      </c>
      <c r="H583" t="s">
        <v>223</v>
      </c>
      <c r="I583" s="4">
        <v>100638.28079999999</v>
      </c>
      <c r="J583" s="4">
        <v>603829.68479999993</v>
      </c>
      <c r="K583" s="4">
        <v>-26007.645599999996</v>
      </c>
      <c r="L583" s="4">
        <v>6</v>
      </c>
    </row>
    <row r="584" spans="1:12">
      <c r="A584" t="s">
        <v>106</v>
      </c>
      <c r="B584" s="10">
        <v>45612</v>
      </c>
      <c r="C584" s="18">
        <f t="shared" si="9"/>
        <v>11</v>
      </c>
      <c r="D584" t="s">
        <v>135</v>
      </c>
      <c r="E584">
        <v>4872397</v>
      </c>
      <c r="F584" t="s">
        <v>90</v>
      </c>
      <c r="G584" t="s">
        <v>203</v>
      </c>
      <c r="H584" t="s">
        <v>238</v>
      </c>
      <c r="I584" s="4">
        <v>95606.36675999999</v>
      </c>
      <c r="J584" s="4">
        <v>191212.73351999998</v>
      </c>
      <c r="K584" s="4">
        <v>-8669.2151999999987</v>
      </c>
      <c r="L584" s="4">
        <v>2</v>
      </c>
    </row>
    <row r="585" spans="1:12">
      <c r="A585" t="s">
        <v>106</v>
      </c>
      <c r="B585" s="10">
        <v>45612</v>
      </c>
      <c r="C585" s="18">
        <f t="shared" si="9"/>
        <v>11</v>
      </c>
      <c r="D585" t="s">
        <v>135</v>
      </c>
      <c r="E585">
        <v>4872397</v>
      </c>
      <c r="F585" t="s">
        <v>90</v>
      </c>
      <c r="G585" t="s">
        <v>203</v>
      </c>
      <c r="H585" t="s">
        <v>230</v>
      </c>
      <c r="I585" s="4">
        <v>100638.28079999999</v>
      </c>
      <c r="J585" s="4">
        <v>201276.56159999999</v>
      </c>
      <c r="K585" s="4">
        <v>-8669.2151999999987</v>
      </c>
      <c r="L585" s="4">
        <v>2</v>
      </c>
    </row>
    <row r="586" spans="1:12">
      <c r="A586" t="s">
        <v>106</v>
      </c>
      <c r="B586" s="10">
        <v>45612</v>
      </c>
      <c r="C586" s="18">
        <f t="shared" si="9"/>
        <v>11</v>
      </c>
      <c r="D586" t="s">
        <v>135</v>
      </c>
      <c r="E586">
        <v>4872397</v>
      </c>
      <c r="F586" t="s">
        <v>90</v>
      </c>
      <c r="G586" t="s">
        <v>203</v>
      </c>
      <c r="H586" t="s">
        <v>223</v>
      </c>
      <c r="I586" s="4">
        <v>100638.28079999999</v>
      </c>
      <c r="J586" s="4">
        <v>201276.56159999999</v>
      </c>
      <c r="K586" s="4">
        <v>-8669.2151999999987</v>
      </c>
      <c r="L586" s="4">
        <v>2</v>
      </c>
    </row>
    <row r="587" spans="1:12">
      <c r="A587" t="s">
        <v>106</v>
      </c>
      <c r="B587" s="10">
        <v>45612</v>
      </c>
      <c r="C587" s="18">
        <f t="shared" si="9"/>
        <v>11</v>
      </c>
      <c r="D587" t="s">
        <v>135</v>
      </c>
      <c r="E587">
        <v>4872397</v>
      </c>
      <c r="F587" t="s">
        <v>90</v>
      </c>
      <c r="G587" t="s">
        <v>203</v>
      </c>
      <c r="H587" t="s">
        <v>241</v>
      </c>
      <c r="I587" s="4">
        <v>125766.4408</v>
      </c>
      <c r="J587" s="4">
        <v>251532.88159999999</v>
      </c>
      <c r="K587" s="4">
        <v>-11307.672</v>
      </c>
      <c r="L587" s="4">
        <v>2</v>
      </c>
    </row>
    <row r="588" spans="1:12">
      <c r="A588" t="s">
        <v>106</v>
      </c>
      <c r="B588" s="10">
        <v>45612</v>
      </c>
      <c r="C588" s="18">
        <f t="shared" si="9"/>
        <v>11</v>
      </c>
      <c r="D588" t="s">
        <v>135</v>
      </c>
      <c r="E588">
        <v>4873753</v>
      </c>
      <c r="F588" t="s">
        <v>88</v>
      </c>
      <c r="G588" t="s">
        <v>203</v>
      </c>
      <c r="H588" t="s">
        <v>232</v>
      </c>
      <c r="I588" s="4">
        <v>100638.28079999999</v>
      </c>
      <c r="J588" s="4">
        <v>1207659.3695999999</v>
      </c>
      <c r="K588" s="4">
        <v>-52015.291199999992</v>
      </c>
      <c r="L588" s="4">
        <v>12</v>
      </c>
    </row>
    <row r="589" spans="1:12">
      <c r="A589" t="s">
        <v>106</v>
      </c>
      <c r="B589" s="10">
        <v>45612</v>
      </c>
      <c r="C589" s="18">
        <f t="shared" si="9"/>
        <v>11</v>
      </c>
      <c r="D589" t="s">
        <v>135</v>
      </c>
      <c r="E589">
        <v>4873753</v>
      </c>
      <c r="F589" t="s">
        <v>88</v>
      </c>
      <c r="G589" t="s">
        <v>203</v>
      </c>
      <c r="H589" t="s">
        <v>230</v>
      </c>
      <c r="I589" s="4">
        <v>100638.28079999999</v>
      </c>
      <c r="J589" s="4">
        <v>1207659.3695999999</v>
      </c>
      <c r="K589" s="4">
        <v>-52015.291199999992</v>
      </c>
      <c r="L589" s="4">
        <v>12</v>
      </c>
    </row>
    <row r="590" spans="1:12">
      <c r="A590" t="s">
        <v>106</v>
      </c>
      <c r="B590" s="10">
        <v>45612</v>
      </c>
      <c r="C590" s="18">
        <f t="shared" si="9"/>
        <v>11</v>
      </c>
      <c r="D590" t="s">
        <v>135</v>
      </c>
      <c r="E590">
        <v>4873753</v>
      </c>
      <c r="F590" t="s">
        <v>88</v>
      </c>
      <c r="G590" t="s">
        <v>203</v>
      </c>
      <c r="H590" t="s">
        <v>231</v>
      </c>
      <c r="I590" s="4">
        <v>125766.4408</v>
      </c>
      <c r="J590" s="4">
        <v>754598.64480000001</v>
      </c>
      <c r="K590" s="4">
        <v>-33923.016000000003</v>
      </c>
      <c r="L590" s="4">
        <v>6</v>
      </c>
    </row>
    <row r="591" spans="1:12">
      <c r="A591" t="s">
        <v>106</v>
      </c>
      <c r="B591" s="10">
        <v>45612</v>
      </c>
      <c r="C591" s="18">
        <f t="shared" si="9"/>
        <v>11</v>
      </c>
      <c r="D591" t="s">
        <v>135</v>
      </c>
      <c r="E591">
        <v>4873753</v>
      </c>
      <c r="F591" t="s">
        <v>88</v>
      </c>
      <c r="G591" t="s">
        <v>203</v>
      </c>
      <c r="H591" t="s">
        <v>229</v>
      </c>
      <c r="I591" s="4">
        <v>125766.4408</v>
      </c>
      <c r="J591" s="4">
        <v>754598.64480000001</v>
      </c>
      <c r="K591" s="4">
        <v>-33923.016000000003</v>
      </c>
      <c r="L591" s="4">
        <v>6</v>
      </c>
    </row>
    <row r="592" spans="1:12">
      <c r="A592" t="s">
        <v>106</v>
      </c>
      <c r="B592" s="10">
        <v>45613</v>
      </c>
      <c r="C592" s="18">
        <f t="shared" si="9"/>
        <v>11</v>
      </c>
      <c r="D592" t="s">
        <v>135</v>
      </c>
      <c r="E592">
        <v>4872949</v>
      </c>
      <c r="F592" t="s">
        <v>89</v>
      </c>
      <c r="G592" t="s">
        <v>203</v>
      </c>
      <c r="H592" t="s">
        <v>242</v>
      </c>
      <c r="I592" s="4">
        <v>100638.28079999999</v>
      </c>
      <c r="J592" s="4">
        <v>201276.56159999999</v>
      </c>
      <c r="K592" s="4">
        <v>-8669.2151999999987</v>
      </c>
      <c r="L592" s="4">
        <v>2</v>
      </c>
    </row>
    <row r="593" spans="1:12">
      <c r="A593" t="s">
        <v>106</v>
      </c>
      <c r="B593" s="10">
        <v>45613</v>
      </c>
      <c r="C593" s="18">
        <f t="shared" si="9"/>
        <v>11</v>
      </c>
      <c r="D593" t="s">
        <v>135</v>
      </c>
      <c r="E593">
        <v>4872949</v>
      </c>
      <c r="F593" t="s">
        <v>89</v>
      </c>
      <c r="G593" t="s">
        <v>203</v>
      </c>
      <c r="H593" t="s">
        <v>224</v>
      </c>
      <c r="I593" s="4">
        <v>100638.28079999999</v>
      </c>
      <c r="J593" s="4">
        <v>201276.56159999999</v>
      </c>
      <c r="K593" s="4">
        <v>-8669.2151999999987</v>
      </c>
      <c r="L593" s="4">
        <v>2</v>
      </c>
    </row>
    <row r="594" spans="1:12">
      <c r="A594" t="s">
        <v>106</v>
      </c>
      <c r="B594" s="10">
        <v>45613</v>
      </c>
      <c r="C594" s="18">
        <f t="shared" si="9"/>
        <v>11</v>
      </c>
      <c r="D594" t="s">
        <v>135</v>
      </c>
      <c r="E594">
        <v>4872949</v>
      </c>
      <c r="F594" t="s">
        <v>89</v>
      </c>
      <c r="G594" t="s">
        <v>203</v>
      </c>
      <c r="H594" t="s">
        <v>223</v>
      </c>
      <c r="I594" s="4">
        <v>100638.28079999999</v>
      </c>
      <c r="J594" s="4">
        <v>201276.56159999999</v>
      </c>
      <c r="K594" s="4">
        <v>-8669.2151999999987</v>
      </c>
      <c r="L594" s="4">
        <v>2</v>
      </c>
    </row>
    <row r="595" spans="1:12">
      <c r="A595" t="s">
        <v>106</v>
      </c>
      <c r="B595" s="10">
        <v>45613</v>
      </c>
      <c r="C595" s="18">
        <f t="shared" si="9"/>
        <v>11</v>
      </c>
      <c r="D595" t="s">
        <v>135</v>
      </c>
      <c r="E595">
        <v>4872949</v>
      </c>
      <c r="F595" t="s">
        <v>89</v>
      </c>
      <c r="G595" t="s">
        <v>203</v>
      </c>
      <c r="H595" t="s">
        <v>237</v>
      </c>
      <c r="I595" s="4">
        <v>125766.4408</v>
      </c>
      <c r="J595" s="4">
        <v>251532.88159999999</v>
      </c>
      <c r="K595" s="4">
        <v>-11307.672</v>
      </c>
      <c r="L595" s="4">
        <v>2</v>
      </c>
    </row>
    <row r="596" spans="1:12">
      <c r="A596" t="s">
        <v>106</v>
      </c>
      <c r="B596" s="10">
        <v>45613</v>
      </c>
      <c r="C596" s="18">
        <f t="shared" si="9"/>
        <v>11</v>
      </c>
      <c r="D596" t="s">
        <v>135</v>
      </c>
      <c r="E596">
        <v>4872949</v>
      </c>
      <c r="F596" t="s">
        <v>89</v>
      </c>
      <c r="G596" t="s">
        <v>203</v>
      </c>
      <c r="H596" t="s">
        <v>235</v>
      </c>
      <c r="I596" s="4">
        <v>125766.4408</v>
      </c>
      <c r="J596" s="4">
        <v>251532.88159999999</v>
      </c>
      <c r="K596" s="4">
        <v>-11307.672</v>
      </c>
      <c r="L596" s="4">
        <v>2</v>
      </c>
    </row>
    <row r="597" spans="1:12">
      <c r="A597" t="s">
        <v>106</v>
      </c>
      <c r="B597" s="10">
        <v>45613</v>
      </c>
      <c r="C597" s="18">
        <f t="shared" si="9"/>
        <v>11</v>
      </c>
      <c r="D597" t="s">
        <v>135</v>
      </c>
      <c r="E597">
        <v>4872844</v>
      </c>
      <c r="F597" t="s">
        <v>88</v>
      </c>
      <c r="G597" t="s">
        <v>203</v>
      </c>
      <c r="H597" t="s">
        <v>237</v>
      </c>
      <c r="I597" s="4">
        <v>125766.4408</v>
      </c>
      <c r="J597" s="4">
        <v>251532.88159999999</v>
      </c>
      <c r="K597" s="4">
        <v>-11307.672</v>
      </c>
      <c r="L597" s="4">
        <v>2</v>
      </c>
    </row>
    <row r="598" spans="1:12">
      <c r="A598" t="s">
        <v>106</v>
      </c>
      <c r="B598" s="10">
        <v>45613</v>
      </c>
      <c r="C598" s="18">
        <f t="shared" si="9"/>
        <v>11</v>
      </c>
      <c r="D598" t="s">
        <v>135</v>
      </c>
      <c r="E598">
        <v>4872844</v>
      </c>
      <c r="F598" t="s">
        <v>88</v>
      </c>
      <c r="G598" t="s">
        <v>203</v>
      </c>
      <c r="H598" t="s">
        <v>235</v>
      </c>
      <c r="I598" s="4">
        <v>125766.4408</v>
      </c>
      <c r="J598" s="4">
        <v>251532.88159999999</v>
      </c>
      <c r="K598" s="4">
        <v>-11307.672</v>
      </c>
      <c r="L598" s="4">
        <v>2</v>
      </c>
    </row>
    <row r="599" spans="1:12">
      <c r="A599" t="s">
        <v>106</v>
      </c>
      <c r="B599" s="10">
        <v>45613</v>
      </c>
      <c r="C599" s="18">
        <f t="shared" si="9"/>
        <v>11</v>
      </c>
      <c r="D599" t="s">
        <v>135</v>
      </c>
      <c r="E599">
        <v>4872844</v>
      </c>
      <c r="F599" t="s">
        <v>88</v>
      </c>
      <c r="G599" t="s">
        <v>203</v>
      </c>
      <c r="H599" t="s">
        <v>231</v>
      </c>
      <c r="I599" s="4">
        <v>125766.4408</v>
      </c>
      <c r="J599" s="4">
        <v>251532.88159999999</v>
      </c>
      <c r="K599" s="4">
        <v>-11307.672</v>
      </c>
      <c r="L599" s="4">
        <v>2</v>
      </c>
    </row>
    <row r="600" spans="1:12">
      <c r="A600" t="s">
        <v>106</v>
      </c>
      <c r="B600" s="10">
        <v>45613</v>
      </c>
      <c r="C600" s="18">
        <f t="shared" si="9"/>
        <v>11</v>
      </c>
      <c r="D600" t="s">
        <v>135</v>
      </c>
      <c r="E600">
        <v>4873291</v>
      </c>
      <c r="F600" t="s">
        <v>89</v>
      </c>
      <c r="G600" t="s">
        <v>203</v>
      </c>
      <c r="H600" t="s">
        <v>236</v>
      </c>
      <c r="I600" s="4">
        <v>100638.28079999999</v>
      </c>
      <c r="J600" s="4">
        <v>603829.68479999993</v>
      </c>
      <c r="K600" s="4">
        <v>-26007.645599999996</v>
      </c>
      <c r="L600" s="4">
        <v>6</v>
      </c>
    </row>
    <row r="601" spans="1:12">
      <c r="A601" t="s">
        <v>106</v>
      </c>
      <c r="B601" s="10">
        <v>45613</v>
      </c>
      <c r="C601" s="18">
        <f t="shared" si="9"/>
        <v>11</v>
      </c>
      <c r="D601" t="s">
        <v>135</v>
      </c>
      <c r="E601">
        <v>4873291</v>
      </c>
      <c r="F601" t="s">
        <v>89</v>
      </c>
      <c r="G601" t="s">
        <v>203</v>
      </c>
      <c r="H601" t="s">
        <v>232</v>
      </c>
      <c r="I601" s="4">
        <v>100638.28079999999</v>
      </c>
      <c r="J601" s="4">
        <v>603829.68479999993</v>
      </c>
      <c r="K601" s="4">
        <v>-26007.645599999996</v>
      </c>
      <c r="L601" s="4">
        <v>6</v>
      </c>
    </row>
    <row r="602" spans="1:12">
      <c r="A602" t="s">
        <v>106</v>
      </c>
      <c r="B602" s="10">
        <v>45613</v>
      </c>
      <c r="C602" s="18">
        <f t="shared" si="9"/>
        <v>11</v>
      </c>
      <c r="D602" t="s">
        <v>135</v>
      </c>
      <c r="E602">
        <v>4873291</v>
      </c>
      <c r="F602" t="s">
        <v>89</v>
      </c>
      <c r="G602" t="s">
        <v>203</v>
      </c>
      <c r="H602" t="s">
        <v>225</v>
      </c>
      <c r="I602" s="4">
        <v>100638.28079999999</v>
      </c>
      <c r="J602" s="4">
        <v>603829.68479999993</v>
      </c>
      <c r="K602" s="4">
        <v>-26007.645599999996</v>
      </c>
      <c r="L602" s="4">
        <v>6</v>
      </c>
    </row>
    <row r="603" spans="1:12">
      <c r="A603" t="s">
        <v>106</v>
      </c>
      <c r="B603" s="10">
        <v>45613</v>
      </c>
      <c r="C603" s="18">
        <f t="shared" si="9"/>
        <v>11</v>
      </c>
      <c r="D603" t="s">
        <v>135</v>
      </c>
      <c r="E603">
        <v>4873291</v>
      </c>
      <c r="F603" t="s">
        <v>89</v>
      </c>
      <c r="G603" t="s">
        <v>203</v>
      </c>
      <c r="H603" t="s">
        <v>224</v>
      </c>
      <c r="I603" s="4">
        <v>100638.28079999999</v>
      </c>
      <c r="J603" s="4">
        <v>603829.68479999993</v>
      </c>
      <c r="K603" s="4">
        <v>-26007.645599999996</v>
      </c>
      <c r="L603" s="4">
        <v>6</v>
      </c>
    </row>
    <row r="604" spans="1:12">
      <c r="A604" t="s">
        <v>106</v>
      </c>
      <c r="B604" s="10">
        <v>45613</v>
      </c>
      <c r="C604" s="18">
        <f t="shared" si="9"/>
        <v>11</v>
      </c>
      <c r="D604" t="s">
        <v>135</v>
      </c>
      <c r="E604">
        <v>4873291</v>
      </c>
      <c r="F604" t="s">
        <v>89</v>
      </c>
      <c r="G604" t="s">
        <v>203</v>
      </c>
      <c r="H604" t="s">
        <v>223</v>
      </c>
      <c r="I604" s="4">
        <v>100638.28079999999</v>
      </c>
      <c r="J604" s="4">
        <v>603829.68479999993</v>
      </c>
      <c r="K604" s="4">
        <v>-26007.645599999996</v>
      </c>
      <c r="L604" s="4">
        <v>6</v>
      </c>
    </row>
    <row r="605" spans="1:12">
      <c r="A605" t="s">
        <v>106</v>
      </c>
      <c r="B605" s="10">
        <v>45613</v>
      </c>
      <c r="C605" s="18">
        <f t="shared" si="9"/>
        <v>11</v>
      </c>
      <c r="D605" t="s">
        <v>135</v>
      </c>
      <c r="E605">
        <v>4873291</v>
      </c>
      <c r="F605" t="s">
        <v>89</v>
      </c>
      <c r="G605" t="s">
        <v>203</v>
      </c>
      <c r="H605" t="s">
        <v>237</v>
      </c>
      <c r="I605" s="4">
        <v>125766.4408</v>
      </c>
      <c r="J605" s="4">
        <v>377299.3224</v>
      </c>
      <c r="K605" s="4">
        <v>-16961.508000000002</v>
      </c>
      <c r="L605" s="4">
        <v>3</v>
      </c>
    </row>
    <row r="606" spans="1:12">
      <c r="A606" t="s">
        <v>106</v>
      </c>
      <c r="B606" s="10">
        <v>45613</v>
      </c>
      <c r="C606" s="18">
        <f t="shared" si="9"/>
        <v>11</v>
      </c>
      <c r="D606" t="s">
        <v>135</v>
      </c>
      <c r="E606">
        <v>4873291</v>
      </c>
      <c r="F606" t="s">
        <v>89</v>
      </c>
      <c r="G606" t="s">
        <v>203</v>
      </c>
      <c r="H606" t="s">
        <v>235</v>
      </c>
      <c r="I606" s="4">
        <v>125766.4408</v>
      </c>
      <c r="J606" s="4">
        <v>377299.3224</v>
      </c>
      <c r="K606" s="4">
        <v>-16961.508000000002</v>
      </c>
      <c r="L606" s="4">
        <v>3</v>
      </c>
    </row>
    <row r="607" spans="1:12">
      <c r="A607" t="s">
        <v>106</v>
      </c>
      <c r="B607" s="10">
        <v>45613</v>
      </c>
      <c r="C607" s="18">
        <f t="shared" si="9"/>
        <v>11</v>
      </c>
      <c r="D607" t="s">
        <v>135</v>
      </c>
      <c r="E607">
        <v>4873291</v>
      </c>
      <c r="F607" t="s">
        <v>89</v>
      </c>
      <c r="G607" t="s">
        <v>203</v>
      </c>
      <c r="H607" t="s">
        <v>229</v>
      </c>
      <c r="I607" s="4">
        <v>125766.4408</v>
      </c>
      <c r="J607" s="4">
        <v>503065.76319999999</v>
      </c>
      <c r="K607" s="4">
        <v>-22615.344000000001</v>
      </c>
      <c r="L607" s="4">
        <v>4</v>
      </c>
    </row>
    <row r="608" spans="1:12">
      <c r="A608" t="s">
        <v>106</v>
      </c>
      <c r="B608" s="10">
        <v>45613</v>
      </c>
      <c r="C608" s="18">
        <f t="shared" si="9"/>
        <v>11</v>
      </c>
      <c r="D608" t="s">
        <v>135</v>
      </c>
      <c r="E608">
        <v>4872947</v>
      </c>
      <c r="F608" t="s">
        <v>88</v>
      </c>
      <c r="G608" t="s">
        <v>203</v>
      </c>
      <c r="H608" t="s">
        <v>242</v>
      </c>
      <c r="I608" s="4">
        <v>100638.28079999999</v>
      </c>
      <c r="J608" s="4">
        <v>402553.12319999997</v>
      </c>
      <c r="K608" s="4">
        <v>-17338.430399999997</v>
      </c>
      <c r="L608" s="4">
        <v>4</v>
      </c>
    </row>
    <row r="609" spans="1:12">
      <c r="A609" t="s">
        <v>106</v>
      </c>
      <c r="B609" s="10">
        <v>45613</v>
      </c>
      <c r="C609" s="18">
        <f t="shared" si="9"/>
        <v>11</v>
      </c>
      <c r="D609" t="s">
        <v>135</v>
      </c>
      <c r="E609">
        <v>4872947</v>
      </c>
      <c r="F609" t="s">
        <v>88</v>
      </c>
      <c r="G609" t="s">
        <v>203</v>
      </c>
      <c r="H609" t="s">
        <v>232</v>
      </c>
      <c r="I609" s="4">
        <v>100638.28079999999</v>
      </c>
      <c r="J609" s="4">
        <v>402553.12319999997</v>
      </c>
      <c r="K609" s="4">
        <v>-17338.430399999997</v>
      </c>
      <c r="L609" s="4">
        <v>4</v>
      </c>
    </row>
    <row r="610" spans="1:12">
      <c r="A610" t="s">
        <v>106</v>
      </c>
      <c r="B610" s="10">
        <v>45613</v>
      </c>
      <c r="C610" s="18">
        <f t="shared" si="9"/>
        <v>11</v>
      </c>
      <c r="D610" t="s">
        <v>135</v>
      </c>
      <c r="E610">
        <v>4872947</v>
      </c>
      <c r="F610" t="s">
        <v>88</v>
      </c>
      <c r="G610" t="s">
        <v>203</v>
      </c>
      <c r="H610" t="s">
        <v>225</v>
      </c>
      <c r="I610" s="4">
        <v>100638.28079999999</v>
      </c>
      <c r="J610" s="4">
        <v>402553.12319999997</v>
      </c>
      <c r="K610" s="4">
        <v>-17338.430399999997</v>
      </c>
      <c r="L610" s="4">
        <v>4</v>
      </c>
    </row>
    <row r="611" spans="1:12">
      <c r="A611" t="s">
        <v>106</v>
      </c>
      <c r="B611" s="10">
        <v>45613</v>
      </c>
      <c r="C611" s="18">
        <f t="shared" si="9"/>
        <v>11</v>
      </c>
      <c r="D611" t="s">
        <v>135</v>
      </c>
      <c r="E611">
        <v>4872947</v>
      </c>
      <c r="F611" t="s">
        <v>88</v>
      </c>
      <c r="G611" t="s">
        <v>203</v>
      </c>
      <c r="H611" t="s">
        <v>223</v>
      </c>
      <c r="I611" s="4">
        <v>100638.28079999999</v>
      </c>
      <c r="J611" s="4">
        <v>402553.12319999997</v>
      </c>
      <c r="K611" s="4">
        <v>-17338.430399999997</v>
      </c>
      <c r="L611" s="4">
        <v>4</v>
      </c>
    </row>
    <row r="612" spans="1:12">
      <c r="A612" t="s">
        <v>106</v>
      </c>
      <c r="B612" s="10">
        <v>45613</v>
      </c>
      <c r="C612" s="18">
        <f t="shared" si="9"/>
        <v>11</v>
      </c>
      <c r="D612" t="s">
        <v>135</v>
      </c>
      <c r="E612">
        <v>4872947</v>
      </c>
      <c r="F612" t="s">
        <v>88</v>
      </c>
      <c r="G612" t="s">
        <v>203</v>
      </c>
      <c r="H612" t="s">
        <v>235</v>
      </c>
      <c r="I612" s="4">
        <v>125766.4408</v>
      </c>
      <c r="J612" s="4">
        <v>251532.88159999999</v>
      </c>
      <c r="K612" s="4">
        <v>-11307.672</v>
      </c>
      <c r="L612" s="4">
        <v>2</v>
      </c>
    </row>
    <row r="613" spans="1:12">
      <c r="A613" t="s">
        <v>106</v>
      </c>
      <c r="B613" s="10">
        <v>45613</v>
      </c>
      <c r="C613" s="18">
        <f t="shared" si="9"/>
        <v>11</v>
      </c>
      <c r="D613" t="s">
        <v>135</v>
      </c>
      <c r="E613">
        <v>4872947</v>
      </c>
      <c r="F613" t="s">
        <v>88</v>
      </c>
      <c r="G613" t="s">
        <v>203</v>
      </c>
      <c r="H613" t="s">
        <v>231</v>
      </c>
      <c r="I613" s="4">
        <v>125766.4408</v>
      </c>
      <c r="J613" s="4">
        <v>251532.88159999999</v>
      </c>
      <c r="K613" s="4">
        <v>-11307.672</v>
      </c>
      <c r="L613" s="4">
        <v>2</v>
      </c>
    </row>
    <row r="614" spans="1:12">
      <c r="A614" t="s">
        <v>106</v>
      </c>
      <c r="B614" s="10">
        <v>45615</v>
      </c>
      <c r="C614" s="18">
        <f t="shared" si="9"/>
        <v>11</v>
      </c>
      <c r="D614" t="s">
        <v>135</v>
      </c>
      <c r="E614">
        <v>4876331</v>
      </c>
      <c r="F614" t="s">
        <v>89</v>
      </c>
      <c r="G614" t="s">
        <v>203</v>
      </c>
      <c r="H614" t="s">
        <v>233</v>
      </c>
      <c r="I614" s="4">
        <v>120735.78316800001</v>
      </c>
      <c r="J614" s="4">
        <v>-241471.56633600002</v>
      </c>
      <c r="L614" s="4">
        <v>-2</v>
      </c>
    </row>
    <row r="615" spans="1:12">
      <c r="A615" t="s">
        <v>106</v>
      </c>
      <c r="B615" s="10">
        <v>45615</v>
      </c>
      <c r="C615" s="18">
        <f t="shared" si="9"/>
        <v>11</v>
      </c>
      <c r="D615" t="s">
        <v>135</v>
      </c>
      <c r="E615">
        <v>4878797</v>
      </c>
      <c r="F615" t="s">
        <v>88</v>
      </c>
      <c r="G615" t="s">
        <v>203</v>
      </c>
      <c r="H615" t="s">
        <v>230</v>
      </c>
      <c r="I615" s="4">
        <v>100638.28079999999</v>
      </c>
      <c r="J615" s="4">
        <v>201276.56159999999</v>
      </c>
      <c r="K615" s="4">
        <v>-8669.2151999999987</v>
      </c>
      <c r="L615" s="4">
        <v>2</v>
      </c>
    </row>
    <row r="616" spans="1:12">
      <c r="A616" t="s">
        <v>106</v>
      </c>
      <c r="B616" s="10">
        <v>45615</v>
      </c>
      <c r="C616" s="18">
        <f t="shared" si="9"/>
        <v>11</v>
      </c>
      <c r="D616" t="s">
        <v>135</v>
      </c>
      <c r="E616">
        <v>6986794</v>
      </c>
      <c r="F616" t="s">
        <v>87</v>
      </c>
      <c r="G616" t="s">
        <v>203</v>
      </c>
      <c r="H616" t="s">
        <v>224</v>
      </c>
      <c r="I616" s="4">
        <v>100638.28079999999</v>
      </c>
      <c r="J616" s="4">
        <v>201276.56159999999</v>
      </c>
      <c r="K616" s="4">
        <v>-8669.2151999999987</v>
      </c>
      <c r="L616" s="4">
        <v>2</v>
      </c>
    </row>
    <row r="617" spans="1:12">
      <c r="A617" t="s">
        <v>106</v>
      </c>
      <c r="B617" s="10">
        <v>45615</v>
      </c>
      <c r="C617" s="18">
        <f t="shared" si="9"/>
        <v>11</v>
      </c>
      <c r="D617" t="s">
        <v>135</v>
      </c>
      <c r="E617">
        <v>6986794</v>
      </c>
      <c r="F617" t="s">
        <v>87</v>
      </c>
      <c r="G617" t="s">
        <v>203</v>
      </c>
      <c r="H617" t="s">
        <v>223</v>
      </c>
      <c r="I617" s="4">
        <v>100638.28079999999</v>
      </c>
      <c r="J617" s="4">
        <v>201276.56159999999</v>
      </c>
      <c r="K617" s="4">
        <v>-8669.2151999999987</v>
      </c>
      <c r="L617" s="4">
        <v>2</v>
      </c>
    </row>
    <row r="618" spans="1:12">
      <c r="A618" t="s">
        <v>106</v>
      </c>
      <c r="B618" s="10">
        <v>45615</v>
      </c>
      <c r="C618" s="18">
        <f t="shared" si="9"/>
        <v>11</v>
      </c>
      <c r="D618" t="s">
        <v>135</v>
      </c>
      <c r="E618">
        <v>4873753</v>
      </c>
      <c r="F618" t="s">
        <v>88</v>
      </c>
      <c r="G618" t="s">
        <v>203</v>
      </c>
      <c r="H618" t="s">
        <v>245</v>
      </c>
      <c r="I618" s="4">
        <v>100638.28079999999</v>
      </c>
      <c r="J618" s="4">
        <v>805106.24639999995</v>
      </c>
      <c r="K618" s="4">
        <v>-34676.860799999995</v>
      </c>
      <c r="L618" s="4">
        <v>8</v>
      </c>
    </row>
    <row r="619" spans="1:12">
      <c r="A619" t="s">
        <v>106</v>
      </c>
      <c r="B619" s="10">
        <v>45615</v>
      </c>
      <c r="C619" s="18">
        <f t="shared" si="9"/>
        <v>11</v>
      </c>
      <c r="D619" t="s">
        <v>135</v>
      </c>
      <c r="E619">
        <v>4873753</v>
      </c>
      <c r="F619" t="s">
        <v>88</v>
      </c>
      <c r="G619" t="s">
        <v>203</v>
      </c>
      <c r="H619" t="s">
        <v>242</v>
      </c>
      <c r="I619" s="4">
        <v>100638.28079999999</v>
      </c>
      <c r="J619" s="4">
        <v>1006382.808</v>
      </c>
      <c r="K619" s="4">
        <v>-43346.076000000001</v>
      </c>
      <c r="L619" s="4">
        <v>10</v>
      </c>
    </row>
    <row r="620" spans="1:12">
      <c r="A620" t="s">
        <v>106</v>
      </c>
      <c r="B620" s="10">
        <v>45615</v>
      </c>
      <c r="C620" s="18">
        <f t="shared" si="9"/>
        <v>11</v>
      </c>
      <c r="D620" t="s">
        <v>135</v>
      </c>
      <c r="E620">
        <v>4873753</v>
      </c>
      <c r="F620" t="s">
        <v>88</v>
      </c>
      <c r="G620" t="s">
        <v>203</v>
      </c>
      <c r="H620" t="s">
        <v>240</v>
      </c>
      <c r="I620" s="4">
        <v>100638.28079999999</v>
      </c>
      <c r="J620" s="4">
        <v>1006382.808</v>
      </c>
      <c r="K620" s="4">
        <v>-43346.076000000001</v>
      </c>
      <c r="L620" s="4">
        <v>10</v>
      </c>
    </row>
    <row r="621" spans="1:12">
      <c r="A621" t="s">
        <v>106</v>
      </c>
      <c r="B621" s="10">
        <v>45615</v>
      </c>
      <c r="C621" s="18">
        <f t="shared" si="9"/>
        <v>11</v>
      </c>
      <c r="D621" t="s">
        <v>135</v>
      </c>
      <c r="E621">
        <v>4873753</v>
      </c>
      <c r="F621" t="s">
        <v>88</v>
      </c>
      <c r="G621" t="s">
        <v>203</v>
      </c>
      <c r="H621" t="s">
        <v>236</v>
      </c>
      <c r="I621" s="4">
        <v>100638.28079999999</v>
      </c>
      <c r="J621" s="4">
        <v>1006382.808</v>
      </c>
      <c r="K621" s="4">
        <v>-43346.076000000001</v>
      </c>
      <c r="L621" s="4">
        <v>10</v>
      </c>
    </row>
    <row r="622" spans="1:12">
      <c r="A622" t="s">
        <v>106</v>
      </c>
      <c r="B622" s="10">
        <v>45615</v>
      </c>
      <c r="C622" s="18">
        <f t="shared" si="9"/>
        <v>11</v>
      </c>
      <c r="D622" t="s">
        <v>135</v>
      </c>
      <c r="E622">
        <v>4873753</v>
      </c>
      <c r="F622" t="s">
        <v>88</v>
      </c>
      <c r="G622" t="s">
        <v>203</v>
      </c>
      <c r="H622" t="s">
        <v>232</v>
      </c>
      <c r="I622" s="4">
        <v>100638.28079999999</v>
      </c>
      <c r="J622" s="4">
        <v>1006382.808</v>
      </c>
      <c r="K622" s="4">
        <v>-43346.076000000001</v>
      </c>
      <c r="L622" s="4">
        <v>10</v>
      </c>
    </row>
    <row r="623" spans="1:12">
      <c r="A623" t="s">
        <v>106</v>
      </c>
      <c r="B623" s="10">
        <v>45615</v>
      </c>
      <c r="C623" s="18">
        <f t="shared" si="9"/>
        <v>11</v>
      </c>
      <c r="D623" t="s">
        <v>135</v>
      </c>
      <c r="E623">
        <v>4873753</v>
      </c>
      <c r="F623" t="s">
        <v>88</v>
      </c>
      <c r="G623" t="s">
        <v>203</v>
      </c>
      <c r="H623" t="s">
        <v>228</v>
      </c>
      <c r="I623" s="4">
        <v>100638.28079999999</v>
      </c>
      <c r="J623" s="4">
        <v>1006382.808</v>
      </c>
      <c r="K623" s="4">
        <v>-43346.076000000001</v>
      </c>
      <c r="L623" s="4">
        <v>10</v>
      </c>
    </row>
    <row r="624" spans="1:12">
      <c r="A624" t="s">
        <v>106</v>
      </c>
      <c r="B624" s="10">
        <v>45615</v>
      </c>
      <c r="C624" s="18">
        <f t="shared" si="9"/>
        <v>11</v>
      </c>
      <c r="D624" t="s">
        <v>135</v>
      </c>
      <c r="E624">
        <v>4873753</v>
      </c>
      <c r="F624" t="s">
        <v>88</v>
      </c>
      <c r="G624" t="s">
        <v>203</v>
      </c>
      <c r="H624" t="s">
        <v>224</v>
      </c>
      <c r="I624" s="4">
        <v>100638.28079999999</v>
      </c>
      <c r="J624" s="4">
        <v>1006382.808</v>
      </c>
      <c r="K624" s="4">
        <v>-43346.076000000001</v>
      </c>
      <c r="L624" s="4">
        <v>10</v>
      </c>
    </row>
    <row r="625" spans="1:12">
      <c r="A625" t="s">
        <v>106</v>
      </c>
      <c r="B625" s="10">
        <v>45615</v>
      </c>
      <c r="C625" s="18">
        <f t="shared" si="9"/>
        <v>11</v>
      </c>
      <c r="D625" t="s">
        <v>135</v>
      </c>
      <c r="E625">
        <v>4873753</v>
      </c>
      <c r="F625" t="s">
        <v>88</v>
      </c>
      <c r="G625" t="s">
        <v>203</v>
      </c>
      <c r="H625" t="s">
        <v>223</v>
      </c>
      <c r="I625" s="4">
        <v>100638.28079999999</v>
      </c>
      <c r="J625" s="4">
        <v>1006382.808</v>
      </c>
      <c r="K625" s="4">
        <v>-43346.076000000001</v>
      </c>
      <c r="L625" s="4">
        <v>10</v>
      </c>
    </row>
    <row r="626" spans="1:12">
      <c r="A626" t="s">
        <v>106</v>
      </c>
      <c r="B626" s="10">
        <v>45615</v>
      </c>
      <c r="C626" s="18">
        <f t="shared" si="9"/>
        <v>11</v>
      </c>
      <c r="D626" t="s">
        <v>135</v>
      </c>
      <c r="E626">
        <v>8128038</v>
      </c>
      <c r="F626" t="s">
        <v>87</v>
      </c>
      <c r="G626" t="s">
        <v>203</v>
      </c>
      <c r="H626" t="s">
        <v>225</v>
      </c>
      <c r="I626" s="4">
        <v>100638.28079999999</v>
      </c>
      <c r="J626" s="4">
        <v>1006382.808</v>
      </c>
      <c r="K626" s="4">
        <v>-43346.076000000001</v>
      </c>
      <c r="L626" s="4">
        <v>10</v>
      </c>
    </row>
    <row r="627" spans="1:12">
      <c r="A627" t="s">
        <v>106</v>
      </c>
      <c r="B627" s="10">
        <v>45617</v>
      </c>
      <c r="C627" s="18">
        <f t="shared" si="9"/>
        <v>11</v>
      </c>
      <c r="D627" t="s">
        <v>135</v>
      </c>
      <c r="E627">
        <v>4878797</v>
      </c>
      <c r="F627" t="s">
        <v>88</v>
      </c>
      <c r="G627" t="s">
        <v>204</v>
      </c>
      <c r="H627" t="s">
        <v>212</v>
      </c>
      <c r="I627" s="4">
        <v>62946.040799999995</v>
      </c>
      <c r="J627" s="4">
        <v>377676.24479999999</v>
      </c>
      <c r="K627" s="4">
        <v>-9423.06</v>
      </c>
      <c r="L627" s="4">
        <v>6</v>
      </c>
    </row>
    <row r="628" spans="1:12">
      <c r="A628" t="s">
        <v>106</v>
      </c>
      <c r="B628" s="10">
        <v>45617</v>
      </c>
      <c r="C628" s="18">
        <f t="shared" si="9"/>
        <v>11</v>
      </c>
      <c r="D628" t="s">
        <v>135</v>
      </c>
      <c r="E628">
        <v>4872836</v>
      </c>
      <c r="F628" t="s">
        <v>88</v>
      </c>
      <c r="G628" t="s">
        <v>203</v>
      </c>
      <c r="H628" t="s">
        <v>242</v>
      </c>
      <c r="I628" s="4">
        <v>100638.28079999999</v>
      </c>
      <c r="J628" s="4">
        <v>4025531.2319999998</v>
      </c>
      <c r="K628" s="4">
        <v>-173384.304</v>
      </c>
      <c r="L628" s="4">
        <v>40</v>
      </c>
    </row>
    <row r="629" spans="1:12">
      <c r="A629" t="s">
        <v>106</v>
      </c>
      <c r="B629" s="10">
        <v>45617</v>
      </c>
      <c r="C629" s="18">
        <f t="shared" si="9"/>
        <v>11</v>
      </c>
      <c r="D629" t="s">
        <v>135</v>
      </c>
      <c r="E629">
        <v>4872836</v>
      </c>
      <c r="F629" t="s">
        <v>88</v>
      </c>
      <c r="G629" t="s">
        <v>203</v>
      </c>
      <c r="H629" t="s">
        <v>236</v>
      </c>
      <c r="I629" s="4">
        <v>100638.28079999999</v>
      </c>
      <c r="J629" s="4">
        <v>4025531.2319999998</v>
      </c>
      <c r="K629" s="4">
        <v>-173384.304</v>
      </c>
      <c r="L629" s="4">
        <v>40</v>
      </c>
    </row>
    <row r="630" spans="1:12">
      <c r="A630" t="s">
        <v>106</v>
      </c>
      <c r="B630" s="10">
        <v>45617</v>
      </c>
      <c r="C630" s="18">
        <f t="shared" si="9"/>
        <v>11</v>
      </c>
      <c r="D630" t="s">
        <v>135</v>
      </c>
      <c r="E630">
        <v>4872836</v>
      </c>
      <c r="F630" t="s">
        <v>88</v>
      </c>
      <c r="G630" t="s">
        <v>203</v>
      </c>
      <c r="H630" t="s">
        <v>241</v>
      </c>
      <c r="I630" s="4">
        <v>125766.4408</v>
      </c>
      <c r="J630" s="4">
        <v>1886496.612</v>
      </c>
      <c r="K630" s="4">
        <v>-84807.54</v>
      </c>
      <c r="L630" s="4">
        <v>15</v>
      </c>
    </row>
    <row r="631" spans="1:12">
      <c r="A631" t="s">
        <v>106</v>
      </c>
      <c r="B631" s="10">
        <v>45617</v>
      </c>
      <c r="C631" s="18">
        <f t="shared" si="9"/>
        <v>11</v>
      </c>
      <c r="D631" t="s">
        <v>135</v>
      </c>
      <c r="E631">
        <v>4872836</v>
      </c>
      <c r="F631" t="s">
        <v>88</v>
      </c>
      <c r="G631" t="s">
        <v>203</v>
      </c>
      <c r="H631" t="s">
        <v>235</v>
      </c>
      <c r="I631" s="4">
        <v>125766.4408</v>
      </c>
      <c r="J631" s="4">
        <v>1886496.612</v>
      </c>
      <c r="K631" s="4">
        <v>-84807.54</v>
      </c>
      <c r="L631" s="4">
        <v>15</v>
      </c>
    </row>
    <row r="632" spans="1:12">
      <c r="A632" t="s">
        <v>106</v>
      </c>
      <c r="B632" s="10">
        <v>45617</v>
      </c>
      <c r="C632" s="18">
        <f t="shared" si="9"/>
        <v>11</v>
      </c>
      <c r="D632" t="s">
        <v>135</v>
      </c>
      <c r="E632">
        <v>4875762</v>
      </c>
      <c r="F632" t="s">
        <v>88</v>
      </c>
      <c r="G632" t="s">
        <v>203</v>
      </c>
      <c r="H632" t="s">
        <v>230</v>
      </c>
      <c r="I632" s="4">
        <v>100638.28079999999</v>
      </c>
      <c r="J632" s="4">
        <v>1006382.808</v>
      </c>
      <c r="K632" s="4">
        <v>-43346.076000000001</v>
      </c>
      <c r="L632" s="4">
        <v>10</v>
      </c>
    </row>
    <row r="633" spans="1:12">
      <c r="A633" t="s">
        <v>106</v>
      </c>
      <c r="B633" s="10">
        <v>45619</v>
      </c>
      <c r="C633" s="18">
        <f t="shared" si="9"/>
        <v>11</v>
      </c>
      <c r="D633" t="s">
        <v>135</v>
      </c>
      <c r="E633">
        <v>8211427</v>
      </c>
      <c r="F633" t="s">
        <v>87</v>
      </c>
      <c r="G633" t="s">
        <v>203</v>
      </c>
      <c r="H633" t="s">
        <v>241</v>
      </c>
      <c r="I633" s="4">
        <v>125766.4408</v>
      </c>
      <c r="J633" s="4">
        <v>125766.4408</v>
      </c>
      <c r="K633" s="4">
        <v>-5653.8360000000002</v>
      </c>
      <c r="L633" s="4">
        <v>1</v>
      </c>
    </row>
    <row r="634" spans="1:12">
      <c r="A634" t="s">
        <v>106</v>
      </c>
      <c r="B634" s="10">
        <v>45619</v>
      </c>
      <c r="C634" s="18">
        <f t="shared" si="9"/>
        <v>11</v>
      </c>
      <c r="D634" t="s">
        <v>135</v>
      </c>
      <c r="E634">
        <v>8211427</v>
      </c>
      <c r="F634" t="s">
        <v>87</v>
      </c>
      <c r="G634" t="s">
        <v>203</v>
      </c>
      <c r="H634" t="s">
        <v>231</v>
      </c>
      <c r="I634" s="4">
        <v>125766.4408</v>
      </c>
      <c r="J634" s="4">
        <v>125766.4408</v>
      </c>
      <c r="K634" s="4">
        <v>-5653.8360000000002</v>
      </c>
      <c r="L634" s="4">
        <v>1</v>
      </c>
    </row>
    <row r="635" spans="1:12">
      <c r="A635" t="s">
        <v>106</v>
      </c>
      <c r="B635" s="10">
        <v>45619</v>
      </c>
      <c r="C635" s="18">
        <f t="shared" si="9"/>
        <v>11</v>
      </c>
      <c r="D635" t="s">
        <v>135</v>
      </c>
      <c r="E635">
        <v>8232957</v>
      </c>
      <c r="F635" t="s">
        <v>87</v>
      </c>
      <c r="G635" t="s">
        <v>203</v>
      </c>
      <c r="H635" t="s">
        <v>242</v>
      </c>
      <c r="I635" s="4">
        <v>100638.28079999999</v>
      </c>
      <c r="J635" s="4">
        <v>201276.56159999999</v>
      </c>
      <c r="K635" s="4">
        <v>-8669.2151999999987</v>
      </c>
      <c r="L635" s="4">
        <v>2</v>
      </c>
    </row>
    <row r="636" spans="1:12">
      <c r="A636" t="s">
        <v>106</v>
      </c>
      <c r="B636" s="10">
        <v>45619</v>
      </c>
      <c r="C636" s="18">
        <f t="shared" si="9"/>
        <v>11</v>
      </c>
      <c r="D636" t="s">
        <v>135</v>
      </c>
      <c r="E636">
        <v>8232957</v>
      </c>
      <c r="F636" t="s">
        <v>87</v>
      </c>
      <c r="G636" t="s">
        <v>203</v>
      </c>
      <c r="H636" t="s">
        <v>238</v>
      </c>
      <c r="I636" s="4">
        <v>95606.36675999999</v>
      </c>
      <c r="J636" s="4">
        <v>191212.73351999998</v>
      </c>
      <c r="K636" s="4">
        <v>-8669.2151999999987</v>
      </c>
      <c r="L636" s="4">
        <v>2</v>
      </c>
    </row>
    <row r="637" spans="1:12">
      <c r="A637" t="s">
        <v>106</v>
      </c>
      <c r="B637" s="10">
        <v>45619</v>
      </c>
      <c r="C637" s="18">
        <f t="shared" si="9"/>
        <v>11</v>
      </c>
      <c r="D637" t="s">
        <v>135</v>
      </c>
      <c r="E637">
        <v>8232957</v>
      </c>
      <c r="F637" t="s">
        <v>87</v>
      </c>
      <c r="G637" t="s">
        <v>203</v>
      </c>
      <c r="H637" t="s">
        <v>232</v>
      </c>
      <c r="I637" s="4">
        <v>100638.28079999999</v>
      </c>
      <c r="J637" s="4">
        <v>201276.56159999999</v>
      </c>
      <c r="K637" s="4">
        <v>-8669.2151999999987</v>
      </c>
      <c r="L637" s="4">
        <v>2</v>
      </c>
    </row>
    <row r="638" spans="1:12">
      <c r="A638" t="s">
        <v>106</v>
      </c>
      <c r="B638" s="10">
        <v>45619</v>
      </c>
      <c r="C638" s="18">
        <f t="shared" si="9"/>
        <v>11</v>
      </c>
      <c r="D638" t="s">
        <v>135</v>
      </c>
      <c r="E638">
        <v>8232957</v>
      </c>
      <c r="F638" t="s">
        <v>87</v>
      </c>
      <c r="G638" t="s">
        <v>203</v>
      </c>
      <c r="H638" t="s">
        <v>230</v>
      </c>
      <c r="I638" s="4">
        <v>100638.28079999999</v>
      </c>
      <c r="J638" s="4">
        <v>201276.56159999999</v>
      </c>
      <c r="K638" s="4">
        <v>-8669.2151999999987</v>
      </c>
      <c r="L638" s="4">
        <v>2</v>
      </c>
    </row>
    <row r="639" spans="1:12">
      <c r="A639" t="s">
        <v>106</v>
      </c>
      <c r="B639" s="10">
        <v>45619</v>
      </c>
      <c r="C639" s="18">
        <f t="shared" si="9"/>
        <v>11</v>
      </c>
      <c r="D639" t="s">
        <v>135</v>
      </c>
      <c r="E639">
        <v>8232957</v>
      </c>
      <c r="F639" t="s">
        <v>87</v>
      </c>
      <c r="G639" t="s">
        <v>203</v>
      </c>
      <c r="H639" t="s">
        <v>223</v>
      </c>
      <c r="I639" s="4">
        <v>100638.28079999999</v>
      </c>
      <c r="J639" s="4">
        <v>201276.56159999999</v>
      </c>
      <c r="K639" s="4">
        <v>-8669.2151999999987</v>
      </c>
      <c r="L639" s="4">
        <v>2</v>
      </c>
    </row>
    <row r="640" spans="1:12">
      <c r="A640" t="s">
        <v>106</v>
      </c>
      <c r="B640" s="10">
        <v>45620</v>
      </c>
      <c r="C640" s="18">
        <f t="shared" si="9"/>
        <v>11</v>
      </c>
      <c r="D640" t="s">
        <v>135</v>
      </c>
      <c r="E640">
        <v>4872844</v>
      </c>
      <c r="F640" t="s">
        <v>88</v>
      </c>
      <c r="G640" t="s">
        <v>203</v>
      </c>
      <c r="H640" t="s">
        <v>236</v>
      </c>
      <c r="I640" s="4">
        <v>100638.28079999999</v>
      </c>
      <c r="J640" s="4">
        <v>201276.56159999999</v>
      </c>
      <c r="K640" s="4">
        <v>-8669.2151999999987</v>
      </c>
      <c r="L640" s="4">
        <v>2</v>
      </c>
    </row>
    <row r="641" spans="1:12">
      <c r="A641" t="s">
        <v>106</v>
      </c>
      <c r="B641" s="10">
        <v>45620</v>
      </c>
      <c r="C641" s="18">
        <f t="shared" si="9"/>
        <v>11</v>
      </c>
      <c r="D641" t="s">
        <v>135</v>
      </c>
      <c r="E641">
        <v>4872844</v>
      </c>
      <c r="F641" t="s">
        <v>88</v>
      </c>
      <c r="G641" t="s">
        <v>203</v>
      </c>
      <c r="H641" t="s">
        <v>232</v>
      </c>
      <c r="I641" s="4">
        <v>100638.28079999999</v>
      </c>
      <c r="J641" s="4">
        <v>201276.56159999999</v>
      </c>
      <c r="K641" s="4">
        <v>-8669.2151999999987</v>
      </c>
      <c r="L641" s="4">
        <v>2</v>
      </c>
    </row>
    <row r="642" spans="1:12">
      <c r="A642" t="s">
        <v>106</v>
      </c>
      <c r="B642" s="10">
        <v>45620</v>
      </c>
      <c r="C642" s="18">
        <f t="shared" ref="C642:C705" si="10">MONTH(B642)</f>
        <v>11</v>
      </c>
      <c r="D642" t="s">
        <v>135</v>
      </c>
      <c r="E642">
        <v>4872844</v>
      </c>
      <c r="F642" t="s">
        <v>88</v>
      </c>
      <c r="G642" t="s">
        <v>203</v>
      </c>
      <c r="H642" t="s">
        <v>225</v>
      </c>
      <c r="I642" s="4">
        <v>100638.28079999999</v>
      </c>
      <c r="J642" s="4">
        <v>201276.56159999999</v>
      </c>
      <c r="K642" s="4">
        <v>-8669.2151999999987</v>
      </c>
      <c r="L642" s="4">
        <v>2</v>
      </c>
    </row>
    <row r="643" spans="1:12">
      <c r="A643" t="s">
        <v>106</v>
      </c>
      <c r="B643" s="10">
        <v>45620</v>
      </c>
      <c r="C643" s="18">
        <f t="shared" si="10"/>
        <v>11</v>
      </c>
      <c r="D643" t="s">
        <v>135</v>
      </c>
      <c r="E643">
        <v>4872844</v>
      </c>
      <c r="F643" t="s">
        <v>88</v>
      </c>
      <c r="G643" t="s">
        <v>203</v>
      </c>
      <c r="H643" t="s">
        <v>224</v>
      </c>
      <c r="I643" s="4">
        <v>100638.28079999999</v>
      </c>
      <c r="J643" s="4">
        <v>201276.56159999999</v>
      </c>
      <c r="K643" s="4">
        <v>-8669.2151999999987</v>
      </c>
      <c r="L643" s="4">
        <v>2</v>
      </c>
    </row>
    <row r="644" spans="1:12">
      <c r="A644" t="s">
        <v>106</v>
      </c>
      <c r="B644" s="10">
        <v>45620</v>
      </c>
      <c r="C644" s="18">
        <f t="shared" si="10"/>
        <v>11</v>
      </c>
      <c r="D644" t="s">
        <v>135</v>
      </c>
      <c r="E644">
        <v>4872844</v>
      </c>
      <c r="F644" t="s">
        <v>88</v>
      </c>
      <c r="G644" t="s">
        <v>203</v>
      </c>
      <c r="H644" t="s">
        <v>223</v>
      </c>
      <c r="I644" s="4">
        <v>100638.28079999999</v>
      </c>
      <c r="J644" s="4">
        <v>201276.56159999999</v>
      </c>
      <c r="K644" s="4">
        <v>-8669.2151999999987</v>
      </c>
      <c r="L644" s="4">
        <v>2</v>
      </c>
    </row>
    <row r="645" spans="1:12">
      <c r="A645" t="s">
        <v>106</v>
      </c>
      <c r="B645" s="10">
        <v>45620</v>
      </c>
      <c r="C645" s="18">
        <f t="shared" si="10"/>
        <v>11</v>
      </c>
      <c r="D645" t="s">
        <v>135</v>
      </c>
      <c r="E645">
        <v>4872844</v>
      </c>
      <c r="F645" t="s">
        <v>88</v>
      </c>
      <c r="G645" t="s">
        <v>203</v>
      </c>
      <c r="H645" t="s">
        <v>237</v>
      </c>
      <c r="I645" s="4">
        <v>125766.4408</v>
      </c>
      <c r="J645" s="4">
        <v>251532.88159999999</v>
      </c>
      <c r="K645" s="4">
        <v>-11307.672</v>
      </c>
      <c r="L645" s="4">
        <v>2</v>
      </c>
    </row>
    <row r="646" spans="1:12">
      <c r="A646" t="s">
        <v>106</v>
      </c>
      <c r="B646" s="10">
        <v>45620</v>
      </c>
      <c r="C646" s="18">
        <f t="shared" si="10"/>
        <v>11</v>
      </c>
      <c r="D646" t="s">
        <v>135</v>
      </c>
      <c r="E646">
        <v>4872844</v>
      </c>
      <c r="F646" t="s">
        <v>88</v>
      </c>
      <c r="G646" t="s">
        <v>203</v>
      </c>
      <c r="H646" t="s">
        <v>235</v>
      </c>
      <c r="I646" s="4">
        <v>125766.4408</v>
      </c>
      <c r="J646" s="4">
        <v>251532.88159999999</v>
      </c>
      <c r="K646" s="4">
        <v>-11307.672</v>
      </c>
      <c r="L646" s="4">
        <v>2</v>
      </c>
    </row>
    <row r="647" spans="1:12">
      <c r="A647" t="s">
        <v>106</v>
      </c>
      <c r="B647" s="10">
        <v>45620</v>
      </c>
      <c r="C647" s="18">
        <f t="shared" si="10"/>
        <v>11</v>
      </c>
      <c r="D647" t="s">
        <v>135</v>
      </c>
      <c r="E647">
        <v>4872844</v>
      </c>
      <c r="F647" t="s">
        <v>88</v>
      </c>
      <c r="G647" t="s">
        <v>203</v>
      </c>
      <c r="H647" t="s">
        <v>231</v>
      </c>
      <c r="I647" s="4">
        <v>125766.4408</v>
      </c>
      <c r="J647" s="4">
        <v>377299.3224</v>
      </c>
      <c r="K647" s="4">
        <v>-16961.508000000002</v>
      </c>
      <c r="L647" s="4">
        <v>3</v>
      </c>
    </row>
    <row r="648" spans="1:12">
      <c r="A648" t="s">
        <v>106</v>
      </c>
      <c r="B648" s="10">
        <v>45621</v>
      </c>
      <c r="C648" s="18">
        <f t="shared" si="10"/>
        <v>11</v>
      </c>
      <c r="D648" t="s">
        <v>135</v>
      </c>
      <c r="E648">
        <v>6080798</v>
      </c>
      <c r="F648" t="s">
        <v>88</v>
      </c>
      <c r="G648" t="s">
        <v>204</v>
      </c>
      <c r="H648" t="s">
        <v>217</v>
      </c>
      <c r="I648" s="4">
        <v>78022.936799999996</v>
      </c>
      <c r="J648" s="4">
        <v>1092321.1151999999</v>
      </c>
      <c r="K648" s="4">
        <v>-50130.679200000006</v>
      </c>
      <c r="L648" s="4">
        <v>14</v>
      </c>
    </row>
    <row r="649" spans="1:12">
      <c r="A649" t="s">
        <v>106</v>
      </c>
      <c r="B649" s="10">
        <v>45621</v>
      </c>
      <c r="C649" s="18">
        <f t="shared" si="10"/>
        <v>11</v>
      </c>
      <c r="D649" t="s">
        <v>135</v>
      </c>
      <c r="E649">
        <v>6080798</v>
      </c>
      <c r="F649" t="s">
        <v>88</v>
      </c>
      <c r="G649" t="s">
        <v>204</v>
      </c>
      <c r="H649" t="s">
        <v>213</v>
      </c>
      <c r="I649" s="4">
        <v>119484.4008</v>
      </c>
      <c r="J649" s="4">
        <v>2270203.6151999999</v>
      </c>
      <c r="K649" s="4">
        <v>-101454.946</v>
      </c>
      <c r="L649" s="4">
        <v>19</v>
      </c>
    </row>
    <row r="650" spans="1:12">
      <c r="A650" t="s">
        <v>106</v>
      </c>
      <c r="B650" s="10">
        <v>45623</v>
      </c>
      <c r="C650" s="18">
        <f t="shared" si="10"/>
        <v>11</v>
      </c>
      <c r="D650" t="s">
        <v>135</v>
      </c>
      <c r="E650">
        <v>6080798</v>
      </c>
      <c r="F650" t="s">
        <v>88</v>
      </c>
      <c r="G650" t="s">
        <v>204</v>
      </c>
      <c r="H650" t="s">
        <v>215</v>
      </c>
      <c r="I650" s="4">
        <v>75510.12079999999</v>
      </c>
      <c r="J650" s="4">
        <v>755101.20799999987</v>
      </c>
      <c r="K650" s="4">
        <v>-37692.239999999998</v>
      </c>
      <c r="L650" s="4">
        <v>10</v>
      </c>
    </row>
    <row r="651" spans="1:12">
      <c r="A651" t="s">
        <v>106</v>
      </c>
      <c r="B651" s="10">
        <v>45625</v>
      </c>
      <c r="C651" s="18">
        <f t="shared" si="10"/>
        <v>11</v>
      </c>
      <c r="D651" t="s">
        <v>135</v>
      </c>
      <c r="E651">
        <v>4878582</v>
      </c>
      <c r="F651" t="s">
        <v>90</v>
      </c>
      <c r="G651" t="s">
        <v>203</v>
      </c>
      <c r="H651" t="s">
        <v>232</v>
      </c>
      <c r="I651" s="4">
        <v>100638.28079999999</v>
      </c>
      <c r="J651" s="4">
        <v>201276.56159999999</v>
      </c>
      <c r="K651" s="4">
        <v>-8669.2151999999987</v>
      </c>
      <c r="L651" s="4">
        <v>2</v>
      </c>
    </row>
    <row r="652" spans="1:12">
      <c r="A652" t="s">
        <v>106</v>
      </c>
      <c r="B652" s="10">
        <v>45625</v>
      </c>
      <c r="C652" s="18">
        <f t="shared" si="10"/>
        <v>11</v>
      </c>
      <c r="D652" t="s">
        <v>135</v>
      </c>
      <c r="E652">
        <v>4878582</v>
      </c>
      <c r="F652" t="s">
        <v>90</v>
      </c>
      <c r="G652" t="s">
        <v>203</v>
      </c>
      <c r="H652" t="s">
        <v>228</v>
      </c>
      <c r="I652" s="4">
        <v>100638.28079999999</v>
      </c>
      <c r="J652" s="4">
        <v>603829.68479999993</v>
      </c>
      <c r="K652" s="4">
        <v>-26007.645599999996</v>
      </c>
      <c r="L652" s="4">
        <v>6</v>
      </c>
    </row>
    <row r="653" spans="1:12">
      <c r="A653" t="s">
        <v>106</v>
      </c>
      <c r="B653" s="10">
        <v>45625</v>
      </c>
      <c r="C653" s="18">
        <f t="shared" si="10"/>
        <v>11</v>
      </c>
      <c r="D653" t="s">
        <v>135</v>
      </c>
      <c r="E653">
        <v>4878582</v>
      </c>
      <c r="F653" t="s">
        <v>90</v>
      </c>
      <c r="G653" t="s">
        <v>203</v>
      </c>
      <c r="H653" t="s">
        <v>225</v>
      </c>
      <c r="I653" s="4">
        <v>100638.28079999999</v>
      </c>
      <c r="J653" s="4">
        <v>201276.56159999999</v>
      </c>
      <c r="K653" s="4">
        <v>-8669.2151999999987</v>
      </c>
      <c r="L653" s="4">
        <v>2</v>
      </c>
    </row>
    <row r="654" spans="1:12">
      <c r="A654" t="s">
        <v>106</v>
      </c>
      <c r="B654" s="10">
        <v>45625</v>
      </c>
      <c r="C654" s="18">
        <f t="shared" si="10"/>
        <v>11</v>
      </c>
      <c r="D654" t="s">
        <v>135</v>
      </c>
      <c r="E654">
        <v>4878582</v>
      </c>
      <c r="F654" t="s">
        <v>90</v>
      </c>
      <c r="G654" t="s">
        <v>203</v>
      </c>
      <c r="H654" t="s">
        <v>223</v>
      </c>
      <c r="I654" s="4">
        <v>100638.28079999999</v>
      </c>
      <c r="J654" s="4">
        <v>201276.56159999999</v>
      </c>
      <c r="K654" s="4">
        <v>-8669.2151999999987</v>
      </c>
      <c r="L654" s="4">
        <v>2</v>
      </c>
    </row>
    <row r="655" spans="1:12">
      <c r="A655" t="s">
        <v>106</v>
      </c>
      <c r="B655" s="10">
        <v>45626</v>
      </c>
      <c r="C655" s="18">
        <f t="shared" si="10"/>
        <v>11</v>
      </c>
      <c r="D655" t="s">
        <v>135</v>
      </c>
      <c r="E655">
        <v>4878723</v>
      </c>
      <c r="F655" t="s">
        <v>90</v>
      </c>
      <c r="G655" t="s">
        <v>203</v>
      </c>
      <c r="H655" t="s">
        <v>240</v>
      </c>
      <c r="I655" s="4">
        <v>100638.28079999999</v>
      </c>
      <c r="J655" s="4">
        <v>603829.68479999993</v>
      </c>
      <c r="K655" s="4">
        <v>-26007.645599999996</v>
      </c>
      <c r="L655" s="4">
        <v>6</v>
      </c>
    </row>
    <row r="656" spans="1:12">
      <c r="A656" t="s">
        <v>106</v>
      </c>
      <c r="B656" s="10">
        <v>45626</v>
      </c>
      <c r="C656" s="18">
        <f t="shared" si="10"/>
        <v>11</v>
      </c>
      <c r="D656" t="s">
        <v>135</v>
      </c>
      <c r="E656">
        <v>4878723</v>
      </c>
      <c r="F656" t="s">
        <v>90</v>
      </c>
      <c r="G656" t="s">
        <v>203</v>
      </c>
      <c r="H656" t="s">
        <v>238</v>
      </c>
      <c r="I656" s="4">
        <v>95606.36675999999</v>
      </c>
      <c r="J656" s="4">
        <v>573638.20055999991</v>
      </c>
      <c r="K656" s="4">
        <v>-26007.645599999996</v>
      </c>
      <c r="L656" s="4">
        <v>6</v>
      </c>
    </row>
    <row r="657" spans="1:12">
      <c r="A657" t="s">
        <v>106</v>
      </c>
      <c r="B657" s="10">
        <v>45626</v>
      </c>
      <c r="C657" s="18">
        <f t="shared" si="10"/>
        <v>11</v>
      </c>
      <c r="D657" t="s">
        <v>135</v>
      </c>
      <c r="E657">
        <v>4878723</v>
      </c>
      <c r="F657" t="s">
        <v>90</v>
      </c>
      <c r="G657" t="s">
        <v>203</v>
      </c>
      <c r="H657" t="s">
        <v>232</v>
      </c>
      <c r="I657" s="4">
        <v>100638.28079999999</v>
      </c>
      <c r="J657" s="4">
        <v>603829.68479999993</v>
      </c>
      <c r="K657" s="4">
        <v>-26007.645599999996</v>
      </c>
      <c r="L657" s="4">
        <v>6</v>
      </c>
    </row>
    <row r="658" spans="1:12">
      <c r="A658" t="s">
        <v>106</v>
      </c>
      <c r="B658" s="10">
        <v>45626</v>
      </c>
      <c r="C658" s="18">
        <f t="shared" si="10"/>
        <v>11</v>
      </c>
      <c r="D658" t="s">
        <v>135</v>
      </c>
      <c r="E658">
        <v>4878723</v>
      </c>
      <c r="F658" t="s">
        <v>90</v>
      </c>
      <c r="G658" t="s">
        <v>203</v>
      </c>
      <c r="H658" t="s">
        <v>241</v>
      </c>
      <c r="I658" s="4">
        <v>125766.4408</v>
      </c>
      <c r="J658" s="4">
        <v>251532.88159999999</v>
      </c>
      <c r="K658" s="4">
        <v>-11307.672</v>
      </c>
      <c r="L658" s="4">
        <v>2</v>
      </c>
    </row>
    <row r="659" spans="1:12">
      <c r="A659" t="s">
        <v>106</v>
      </c>
      <c r="B659" s="10">
        <v>45626</v>
      </c>
      <c r="C659" s="18">
        <f t="shared" si="10"/>
        <v>11</v>
      </c>
      <c r="D659" t="s">
        <v>135</v>
      </c>
      <c r="E659">
        <v>7045357</v>
      </c>
      <c r="F659" t="s">
        <v>89</v>
      </c>
      <c r="G659" t="s">
        <v>203</v>
      </c>
      <c r="H659" t="s">
        <v>236</v>
      </c>
      <c r="I659" s="4">
        <v>100638.28079999999</v>
      </c>
      <c r="J659" s="4">
        <v>201276.56159999999</v>
      </c>
      <c r="K659" s="4">
        <v>-8669.2151999999987</v>
      </c>
      <c r="L659" s="4">
        <v>2</v>
      </c>
    </row>
    <row r="660" spans="1:12">
      <c r="A660" t="s">
        <v>106</v>
      </c>
      <c r="B660" s="10">
        <v>45626</v>
      </c>
      <c r="C660" s="18">
        <f t="shared" si="10"/>
        <v>11</v>
      </c>
      <c r="D660" t="s">
        <v>135</v>
      </c>
      <c r="E660">
        <v>7045357</v>
      </c>
      <c r="F660" t="s">
        <v>89</v>
      </c>
      <c r="G660" t="s">
        <v>203</v>
      </c>
      <c r="H660" t="s">
        <v>232</v>
      </c>
      <c r="I660" s="4">
        <v>100638.28079999999</v>
      </c>
      <c r="J660" s="4">
        <v>201276.56159999999</v>
      </c>
      <c r="K660" s="4">
        <v>-8669.2151999999987</v>
      </c>
      <c r="L660" s="4">
        <v>2</v>
      </c>
    </row>
    <row r="661" spans="1:12">
      <c r="A661" t="s">
        <v>106</v>
      </c>
      <c r="B661" s="10">
        <v>45626</v>
      </c>
      <c r="C661" s="18">
        <f t="shared" si="10"/>
        <v>11</v>
      </c>
      <c r="D661" t="s">
        <v>135</v>
      </c>
      <c r="E661">
        <v>7045357</v>
      </c>
      <c r="F661" t="s">
        <v>89</v>
      </c>
      <c r="G661" t="s">
        <v>203</v>
      </c>
      <c r="H661" t="s">
        <v>223</v>
      </c>
      <c r="I661" s="4">
        <v>100638.28079999999</v>
      </c>
      <c r="J661" s="4">
        <v>201276.56159999999</v>
      </c>
      <c r="K661" s="4">
        <v>-8669.2151999999987</v>
      </c>
      <c r="L661" s="4">
        <v>2</v>
      </c>
    </row>
    <row r="662" spans="1:12">
      <c r="A662" t="s">
        <v>106</v>
      </c>
      <c r="B662" s="10">
        <v>45626</v>
      </c>
      <c r="C662" s="18">
        <f t="shared" si="10"/>
        <v>11</v>
      </c>
      <c r="D662" t="s">
        <v>135</v>
      </c>
      <c r="E662">
        <v>4876667</v>
      </c>
      <c r="F662" t="s">
        <v>90</v>
      </c>
      <c r="G662" t="s">
        <v>203</v>
      </c>
      <c r="H662" t="s">
        <v>232</v>
      </c>
      <c r="I662" s="4">
        <v>100638.28079999999</v>
      </c>
      <c r="J662" s="4">
        <v>201276.56159999999</v>
      </c>
      <c r="K662" s="4">
        <v>-8669.2151999999987</v>
      </c>
      <c r="L662" s="4">
        <v>2</v>
      </c>
    </row>
    <row r="663" spans="1:12">
      <c r="A663" t="s">
        <v>106</v>
      </c>
      <c r="B663" s="10">
        <v>45626</v>
      </c>
      <c r="C663" s="18">
        <f t="shared" si="10"/>
        <v>11</v>
      </c>
      <c r="D663" t="s">
        <v>135</v>
      </c>
      <c r="E663">
        <v>4876667</v>
      </c>
      <c r="F663" t="s">
        <v>90</v>
      </c>
      <c r="G663" t="s">
        <v>203</v>
      </c>
      <c r="H663" t="s">
        <v>228</v>
      </c>
      <c r="I663" s="4">
        <v>100638.28079999999</v>
      </c>
      <c r="J663" s="4">
        <v>201276.56159999999</v>
      </c>
      <c r="K663" s="4">
        <v>-8669.2151999999987</v>
      </c>
      <c r="L663" s="4">
        <v>2</v>
      </c>
    </row>
    <row r="664" spans="1:12">
      <c r="A664" t="s">
        <v>106</v>
      </c>
      <c r="B664" s="10">
        <v>45626</v>
      </c>
      <c r="C664" s="18">
        <f t="shared" si="10"/>
        <v>11</v>
      </c>
      <c r="D664" t="s">
        <v>135</v>
      </c>
      <c r="E664">
        <v>4876667</v>
      </c>
      <c r="F664" t="s">
        <v>90</v>
      </c>
      <c r="G664" t="s">
        <v>203</v>
      </c>
      <c r="H664" t="s">
        <v>223</v>
      </c>
      <c r="I664" s="4">
        <v>100638.28079999999</v>
      </c>
      <c r="J664" s="4">
        <v>201276.56159999999</v>
      </c>
      <c r="K664" s="4">
        <v>-8669.2151999999987</v>
      </c>
      <c r="L664" s="4">
        <v>2</v>
      </c>
    </row>
    <row r="665" spans="1:12">
      <c r="A665" t="s">
        <v>105</v>
      </c>
      <c r="B665" s="10">
        <v>45568</v>
      </c>
      <c r="C665" s="18">
        <f t="shared" si="10"/>
        <v>10</v>
      </c>
      <c r="D665" t="s">
        <v>129</v>
      </c>
      <c r="E665">
        <v>4873979</v>
      </c>
      <c r="F665" t="s">
        <v>8</v>
      </c>
      <c r="G665" t="s">
        <v>203</v>
      </c>
      <c r="H665" t="s">
        <v>234</v>
      </c>
      <c r="I665" s="4">
        <v>100638.28079999999</v>
      </c>
      <c r="J665" s="4">
        <v>201276.56159999999</v>
      </c>
      <c r="L665" s="4">
        <v>2</v>
      </c>
    </row>
    <row r="666" spans="1:12">
      <c r="A666" t="s">
        <v>105</v>
      </c>
      <c r="B666" s="10">
        <v>45568</v>
      </c>
      <c r="C666" s="18">
        <f t="shared" si="10"/>
        <v>10</v>
      </c>
      <c r="D666" t="s">
        <v>129</v>
      </c>
      <c r="E666">
        <v>4873979</v>
      </c>
      <c r="F666" t="s">
        <v>8</v>
      </c>
      <c r="G666" t="s">
        <v>203</v>
      </c>
      <c r="H666" t="s">
        <v>224</v>
      </c>
      <c r="I666" s="4">
        <v>100638.28079999999</v>
      </c>
      <c r="J666" s="4">
        <v>201276.56159999999</v>
      </c>
      <c r="L666" s="4">
        <v>2</v>
      </c>
    </row>
    <row r="667" spans="1:12">
      <c r="A667" t="s">
        <v>105</v>
      </c>
      <c r="B667" s="10">
        <v>45568</v>
      </c>
      <c r="C667" s="18">
        <f t="shared" si="10"/>
        <v>10</v>
      </c>
      <c r="D667" t="s">
        <v>129</v>
      </c>
      <c r="E667">
        <v>4873979</v>
      </c>
      <c r="F667" t="s">
        <v>8</v>
      </c>
      <c r="G667" t="s">
        <v>203</v>
      </c>
      <c r="H667" t="s">
        <v>223</v>
      </c>
      <c r="I667" s="4">
        <v>100638.28079999999</v>
      </c>
      <c r="J667" s="4">
        <v>201276.56159999999</v>
      </c>
      <c r="L667" s="4">
        <v>2</v>
      </c>
    </row>
    <row r="668" spans="1:12">
      <c r="A668" t="s">
        <v>105</v>
      </c>
      <c r="B668" s="10">
        <v>45568</v>
      </c>
      <c r="C668" s="18">
        <f t="shared" si="10"/>
        <v>10</v>
      </c>
      <c r="D668" t="s">
        <v>186</v>
      </c>
      <c r="E668">
        <v>6080604</v>
      </c>
      <c r="F668" t="s">
        <v>8</v>
      </c>
      <c r="G668" t="s">
        <v>202</v>
      </c>
      <c r="H668" t="s">
        <v>261</v>
      </c>
      <c r="I668" s="4">
        <v>41587.104800000001</v>
      </c>
      <c r="J668" s="4">
        <v>415871.04800000001</v>
      </c>
      <c r="L668" s="4">
        <v>10</v>
      </c>
    </row>
    <row r="669" spans="1:12">
      <c r="A669" t="s">
        <v>105</v>
      </c>
      <c r="B669" s="10">
        <v>45572</v>
      </c>
      <c r="C669" s="18">
        <f t="shared" si="10"/>
        <v>10</v>
      </c>
      <c r="D669" t="s">
        <v>129</v>
      </c>
      <c r="E669">
        <v>4873979</v>
      </c>
      <c r="F669" t="s">
        <v>8</v>
      </c>
      <c r="G669" t="s">
        <v>203</v>
      </c>
      <c r="H669" t="s">
        <v>238</v>
      </c>
      <c r="I669" s="4">
        <v>95606.36675999999</v>
      </c>
      <c r="J669" s="4">
        <v>191212.73351999998</v>
      </c>
      <c r="L669" s="4">
        <v>2</v>
      </c>
    </row>
    <row r="670" spans="1:12">
      <c r="A670" t="s">
        <v>105</v>
      </c>
      <c r="B670" s="10">
        <v>45572</v>
      </c>
      <c r="C670" s="18">
        <f t="shared" si="10"/>
        <v>10</v>
      </c>
      <c r="D670" t="s">
        <v>129</v>
      </c>
      <c r="E670">
        <v>4873979</v>
      </c>
      <c r="F670" t="s">
        <v>8</v>
      </c>
      <c r="G670" t="s">
        <v>203</v>
      </c>
      <c r="H670" t="s">
        <v>234</v>
      </c>
      <c r="I670" s="4">
        <v>100638.28079999999</v>
      </c>
      <c r="J670" s="4">
        <v>201276.56159999999</v>
      </c>
      <c r="L670" s="4">
        <v>2</v>
      </c>
    </row>
    <row r="671" spans="1:12">
      <c r="A671" t="s">
        <v>105</v>
      </c>
      <c r="B671" s="10">
        <v>45572</v>
      </c>
      <c r="C671" s="18">
        <f t="shared" si="10"/>
        <v>10</v>
      </c>
      <c r="D671" t="s">
        <v>129</v>
      </c>
      <c r="E671">
        <v>4875298</v>
      </c>
      <c r="F671" t="s">
        <v>8</v>
      </c>
      <c r="G671" t="s">
        <v>203</v>
      </c>
      <c r="H671" t="s">
        <v>232</v>
      </c>
      <c r="I671" s="4">
        <v>100638.28079999999</v>
      </c>
      <c r="J671" s="4">
        <v>201276.56159999999</v>
      </c>
      <c r="L671" s="4">
        <v>2</v>
      </c>
    </row>
    <row r="672" spans="1:12">
      <c r="A672" t="s">
        <v>105</v>
      </c>
      <c r="B672" s="10">
        <v>45572</v>
      </c>
      <c r="C672" s="18">
        <f t="shared" si="10"/>
        <v>10</v>
      </c>
      <c r="D672" t="s">
        <v>129</v>
      </c>
      <c r="E672">
        <v>4875298</v>
      </c>
      <c r="F672" t="s">
        <v>8</v>
      </c>
      <c r="G672" t="s">
        <v>203</v>
      </c>
      <c r="H672" t="s">
        <v>228</v>
      </c>
      <c r="I672" s="4">
        <v>100638.28079999999</v>
      </c>
      <c r="J672" s="4">
        <v>201276.56159999999</v>
      </c>
      <c r="L672" s="4">
        <v>2</v>
      </c>
    </row>
    <row r="673" spans="1:12">
      <c r="A673" t="s">
        <v>105</v>
      </c>
      <c r="B673" s="10">
        <v>45573</v>
      </c>
      <c r="C673" s="18">
        <f t="shared" si="10"/>
        <v>10</v>
      </c>
      <c r="D673" t="s">
        <v>123</v>
      </c>
      <c r="E673">
        <v>4876122</v>
      </c>
      <c r="F673" t="s">
        <v>8</v>
      </c>
      <c r="G673" t="s">
        <v>204</v>
      </c>
      <c r="H673" t="s">
        <v>221</v>
      </c>
      <c r="I673" s="4">
        <v>25253.800799999997</v>
      </c>
      <c r="J673" s="4">
        <v>126269.00399999999</v>
      </c>
      <c r="L673" s="4">
        <v>5</v>
      </c>
    </row>
    <row r="674" spans="1:12">
      <c r="A674" t="s">
        <v>105</v>
      </c>
      <c r="B674" s="10">
        <v>45573</v>
      </c>
      <c r="C674" s="18">
        <f t="shared" si="10"/>
        <v>10</v>
      </c>
      <c r="D674" t="s">
        <v>123</v>
      </c>
      <c r="E674">
        <v>4876122</v>
      </c>
      <c r="F674" t="s">
        <v>8</v>
      </c>
      <c r="G674" t="s">
        <v>204</v>
      </c>
      <c r="H674" t="s">
        <v>220</v>
      </c>
      <c r="I674" s="4">
        <v>37817.880799999999</v>
      </c>
      <c r="J674" s="4">
        <v>189089.40399999998</v>
      </c>
      <c r="L674" s="4">
        <v>5</v>
      </c>
    </row>
    <row r="675" spans="1:12">
      <c r="A675" t="s">
        <v>105</v>
      </c>
      <c r="B675" s="10">
        <v>45577</v>
      </c>
      <c r="C675" s="18">
        <f t="shared" si="10"/>
        <v>10</v>
      </c>
      <c r="D675" t="s">
        <v>132</v>
      </c>
      <c r="E675">
        <v>4878731</v>
      </c>
      <c r="F675" t="s">
        <v>8</v>
      </c>
      <c r="G675" t="s">
        <v>203</v>
      </c>
      <c r="H675" t="s">
        <v>237</v>
      </c>
      <c r="I675" s="4">
        <v>125766.4408</v>
      </c>
      <c r="J675" s="4">
        <v>125766.4408</v>
      </c>
      <c r="L675" s="4">
        <v>1</v>
      </c>
    </row>
    <row r="676" spans="1:12">
      <c r="A676" t="s">
        <v>105</v>
      </c>
      <c r="B676" s="10">
        <v>45577</v>
      </c>
      <c r="C676" s="18">
        <f t="shared" si="10"/>
        <v>10</v>
      </c>
      <c r="D676" t="s">
        <v>132</v>
      </c>
      <c r="E676">
        <v>4878731</v>
      </c>
      <c r="F676" t="s">
        <v>8</v>
      </c>
      <c r="G676" t="s">
        <v>203</v>
      </c>
      <c r="H676" t="s">
        <v>231</v>
      </c>
      <c r="I676" s="4">
        <v>125766.4408</v>
      </c>
      <c r="J676" s="4">
        <v>125766.4408</v>
      </c>
      <c r="L676" s="4">
        <v>1</v>
      </c>
    </row>
    <row r="677" spans="1:12">
      <c r="A677" t="s">
        <v>105</v>
      </c>
      <c r="B677" s="10">
        <v>45577</v>
      </c>
      <c r="C677" s="18">
        <f t="shared" si="10"/>
        <v>10</v>
      </c>
      <c r="D677" t="s">
        <v>132</v>
      </c>
      <c r="E677">
        <v>4878731</v>
      </c>
      <c r="F677" t="s">
        <v>8</v>
      </c>
      <c r="G677" t="s">
        <v>203</v>
      </c>
      <c r="H677" t="s">
        <v>229</v>
      </c>
      <c r="I677" s="4">
        <v>125766.4408</v>
      </c>
      <c r="J677" s="4">
        <v>125766.4408</v>
      </c>
      <c r="L677" s="4">
        <v>1</v>
      </c>
    </row>
    <row r="678" spans="1:12">
      <c r="A678" t="s">
        <v>105</v>
      </c>
      <c r="B678" s="10">
        <v>45577</v>
      </c>
      <c r="C678" s="18">
        <f t="shared" si="10"/>
        <v>10</v>
      </c>
      <c r="D678" t="s">
        <v>186</v>
      </c>
      <c r="E678">
        <v>6080604</v>
      </c>
      <c r="F678" t="s">
        <v>8</v>
      </c>
      <c r="G678" t="s">
        <v>206</v>
      </c>
      <c r="H678" t="s">
        <v>249</v>
      </c>
      <c r="I678" s="4">
        <v>17715.352800000001</v>
      </c>
      <c r="J678" s="4">
        <v>885767.64</v>
      </c>
      <c r="L678" s="4">
        <v>50</v>
      </c>
    </row>
    <row r="679" spans="1:12">
      <c r="A679" t="s">
        <v>105</v>
      </c>
      <c r="B679" s="10">
        <v>45577</v>
      </c>
      <c r="C679" s="18">
        <f t="shared" si="10"/>
        <v>10</v>
      </c>
      <c r="D679" t="s">
        <v>186</v>
      </c>
      <c r="E679">
        <v>6080604</v>
      </c>
      <c r="F679" t="s">
        <v>8</v>
      </c>
      <c r="G679" t="s">
        <v>206</v>
      </c>
      <c r="H679" t="s">
        <v>209</v>
      </c>
      <c r="I679" s="4">
        <v>17715.352800000001</v>
      </c>
      <c r="J679" s="4">
        <v>885767.64</v>
      </c>
      <c r="L679" s="4">
        <v>50</v>
      </c>
    </row>
    <row r="680" spans="1:12">
      <c r="A680" t="s">
        <v>105</v>
      </c>
      <c r="B680" s="10">
        <v>45586</v>
      </c>
      <c r="C680" s="18">
        <f t="shared" si="10"/>
        <v>10</v>
      </c>
      <c r="D680" t="s">
        <v>132</v>
      </c>
      <c r="E680">
        <v>4878731</v>
      </c>
      <c r="F680" t="s">
        <v>8</v>
      </c>
      <c r="G680" t="s">
        <v>203</v>
      </c>
      <c r="H680" t="s">
        <v>242</v>
      </c>
      <c r="I680" s="4">
        <v>100638.28079999999</v>
      </c>
      <c r="J680" s="4">
        <v>201276.56159999999</v>
      </c>
      <c r="L680" s="4">
        <v>2</v>
      </c>
    </row>
    <row r="681" spans="1:12">
      <c r="A681" t="s">
        <v>105</v>
      </c>
      <c r="B681" s="10">
        <v>45586</v>
      </c>
      <c r="C681" s="18">
        <f t="shared" si="10"/>
        <v>10</v>
      </c>
      <c r="D681" t="s">
        <v>132</v>
      </c>
      <c r="E681">
        <v>4878731</v>
      </c>
      <c r="F681" t="s">
        <v>8</v>
      </c>
      <c r="G681" t="s">
        <v>203</v>
      </c>
      <c r="H681" t="s">
        <v>240</v>
      </c>
      <c r="I681" s="4">
        <v>100638.28079999999</v>
      </c>
      <c r="J681" s="4">
        <v>201276.56159999999</v>
      </c>
      <c r="L681" s="4">
        <v>2</v>
      </c>
    </row>
    <row r="682" spans="1:12">
      <c r="A682" t="s">
        <v>105</v>
      </c>
      <c r="B682" s="10">
        <v>45586</v>
      </c>
      <c r="C682" s="18">
        <f t="shared" si="10"/>
        <v>10</v>
      </c>
      <c r="D682" t="s">
        <v>132</v>
      </c>
      <c r="E682">
        <v>4878731</v>
      </c>
      <c r="F682" t="s">
        <v>8</v>
      </c>
      <c r="G682" t="s">
        <v>203</v>
      </c>
      <c r="H682" t="s">
        <v>238</v>
      </c>
      <c r="I682" s="4">
        <v>95606.36675999999</v>
      </c>
      <c r="J682" s="4">
        <v>191212.73351999998</v>
      </c>
      <c r="L682" s="4">
        <v>2</v>
      </c>
    </row>
    <row r="683" spans="1:12">
      <c r="A683" t="s">
        <v>105</v>
      </c>
      <c r="B683" s="10">
        <v>45586</v>
      </c>
      <c r="C683" s="18">
        <f t="shared" si="10"/>
        <v>10</v>
      </c>
      <c r="D683" t="s">
        <v>132</v>
      </c>
      <c r="E683">
        <v>4878731</v>
      </c>
      <c r="F683" t="s">
        <v>8</v>
      </c>
      <c r="G683" t="s">
        <v>203</v>
      </c>
      <c r="H683" t="s">
        <v>227</v>
      </c>
      <c r="I683" s="4">
        <v>100638.28079999999</v>
      </c>
      <c r="J683" s="4">
        <v>201276.56159999999</v>
      </c>
      <c r="L683" s="4">
        <v>2</v>
      </c>
    </row>
    <row r="684" spans="1:12">
      <c r="A684" t="s">
        <v>105</v>
      </c>
      <c r="B684" s="10">
        <v>45586</v>
      </c>
      <c r="C684" s="18">
        <f t="shared" si="10"/>
        <v>10</v>
      </c>
      <c r="D684" t="s">
        <v>132</v>
      </c>
      <c r="E684">
        <v>4878731</v>
      </c>
      <c r="F684" t="s">
        <v>8</v>
      </c>
      <c r="G684" t="s">
        <v>203</v>
      </c>
      <c r="H684" t="s">
        <v>224</v>
      </c>
      <c r="I684" s="4">
        <v>100638.28079999999</v>
      </c>
      <c r="J684" s="4">
        <v>201276.56159999999</v>
      </c>
      <c r="L684" s="4">
        <v>2</v>
      </c>
    </row>
    <row r="685" spans="1:12">
      <c r="A685" t="s">
        <v>105</v>
      </c>
      <c r="B685" s="10">
        <v>45586</v>
      </c>
      <c r="C685" s="18">
        <f t="shared" si="10"/>
        <v>10</v>
      </c>
      <c r="D685" t="s">
        <v>132</v>
      </c>
      <c r="E685">
        <v>4878731</v>
      </c>
      <c r="F685" t="s">
        <v>8</v>
      </c>
      <c r="G685" t="s">
        <v>203</v>
      </c>
      <c r="H685" t="s">
        <v>241</v>
      </c>
      <c r="I685" s="4">
        <v>125766.4408</v>
      </c>
      <c r="J685" s="4">
        <v>125766.4408</v>
      </c>
      <c r="L685" s="4">
        <v>1</v>
      </c>
    </row>
    <row r="686" spans="1:12">
      <c r="A686" t="s">
        <v>105</v>
      </c>
      <c r="B686" s="10">
        <v>45586</v>
      </c>
      <c r="C686" s="18">
        <f t="shared" si="10"/>
        <v>10</v>
      </c>
      <c r="D686" t="s">
        <v>132</v>
      </c>
      <c r="E686">
        <v>4878731</v>
      </c>
      <c r="F686" t="s">
        <v>8</v>
      </c>
      <c r="G686" t="s">
        <v>203</v>
      </c>
      <c r="H686" t="s">
        <v>233</v>
      </c>
      <c r="I686" s="4">
        <v>120735.78316800001</v>
      </c>
      <c r="J686" s="4">
        <v>241471.56633600002</v>
      </c>
      <c r="L686" s="4">
        <v>2</v>
      </c>
    </row>
    <row r="687" spans="1:12">
      <c r="A687" t="s">
        <v>105</v>
      </c>
      <c r="B687" s="10">
        <v>45586</v>
      </c>
      <c r="C687" s="18">
        <f t="shared" si="10"/>
        <v>10</v>
      </c>
      <c r="D687" t="s">
        <v>132</v>
      </c>
      <c r="E687">
        <v>4878731</v>
      </c>
      <c r="F687" t="s">
        <v>8</v>
      </c>
      <c r="G687" t="s">
        <v>203</v>
      </c>
      <c r="H687" t="s">
        <v>231</v>
      </c>
      <c r="I687" s="4">
        <v>125766.4408</v>
      </c>
      <c r="J687" s="4">
        <v>125766.4408</v>
      </c>
      <c r="L687" s="4">
        <v>1</v>
      </c>
    </row>
    <row r="688" spans="1:12">
      <c r="A688" t="s">
        <v>105</v>
      </c>
      <c r="B688" s="10">
        <v>45586</v>
      </c>
      <c r="C688" s="18">
        <f t="shared" si="10"/>
        <v>10</v>
      </c>
      <c r="D688" t="s">
        <v>129</v>
      </c>
      <c r="E688">
        <v>4878181</v>
      </c>
      <c r="F688" t="s">
        <v>8</v>
      </c>
      <c r="G688" t="s">
        <v>203</v>
      </c>
      <c r="H688" t="s">
        <v>232</v>
      </c>
      <c r="I688" s="4">
        <v>100638.28079999999</v>
      </c>
      <c r="J688" s="4">
        <v>201276.56159999999</v>
      </c>
      <c r="L688" s="4">
        <v>2</v>
      </c>
    </row>
    <row r="689" spans="1:12">
      <c r="A689" t="s">
        <v>105</v>
      </c>
      <c r="B689" s="10">
        <v>45586</v>
      </c>
      <c r="C689" s="18">
        <f t="shared" si="10"/>
        <v>10</v>
      </c>
      <c r="D689" t="s">
        <v>129</v>
      </c>
      <c r="E689">
        <v>4878181</v>
      </c>
      <c r="F689" t="s">
        <v>8</v>
      </c>
      <c r="G689" t="s">
        <v>203</v>
      </c>
      <c r="H689" t="s">
        <v>230</v>
      </c>
      <c r="I689" s="4">
        <v>100638.28079999999</v>
      </c>
      <c r="J689" s="4">
        <v>201276.56159999999</v>
      </c>
      <c r="L689" s="4">
        <v>2</v>
      </c>
    </row>
    <row r="690" spans="1:12">
      <c r="A690" t="s">
        <v>105</v>
      </c>
      <c r="B690" s="10">
        <v>45586</v>
      </c>
      <c r="C690" s="18">
        <f t="shared" si="10"/>
        <v>10</v>
      </c>
      <c r="D690" t="s">
        <v>129</v>
      </c>
      <c r="E690">
        <v>4878181</v>
      </c>
      <c r="F690" t="s">
        <v>8</v>
      </c>
      <c r="G690" t="s">
        <v>203</v>
      </c>
      <c r="H690" t="s">
        <v>228</v>
      </c>
      <c r="I690" s="4">
        <v>100638.28079999999</v>
      </c>
      <c r="J690" s="4">
        <v>201276.56159999999</v>
      </c>
      <c r="L690" s="4">
        <v>2</v>
      </c>
    </row>
    <row r="691" spans="1:12">
      <c r="A691" t="s">
        <v>105</v>
      </c>
      <c r="B691" s="10">
        <v>45586</v>
      </c>
      <c r="C691" s="18">
        <f t="shared" si="10"/>
        <v>10</v>
      </c>
      <c r="D691" t="s">
        <v>129</v>
      </c>
      <c r="E691">
        <v>4878181</v>
      </c>
      <c r="F691" t="s">
        <v>8</v>
      </c>
      <c r="G691" t="s">
        <v>203</v>
      </c>
      <c r="H691" t="s">
        <v>241</v>
      </c>
      <c r="I691" s="4">
        <v>125766.4408</v>
      </c>
      <c r="J691" s="4">
        <v>125766.4408</v>
      </c>
      <c r="L691" s="4">
        <v>1</v>
      </c>
    </row>
    <row r="692" spans="1:12">
      <c r="A692" t="s">
        <v>105</v>
      </c>
      <c r="B692" s="10">
        <v>45586</v>
      </c>
      <c r="C692" s="18">
        <f t="shared" si="10"/>
        <v>10</v>
      </c>
      <c r="D692" t="s">
        <v>129</v>
      </c>
      <c r="E692">
        <v>4878181</v>
      </c>
      <c r="F692" t="s">
        <v>8</v>
      </c>
      <c r="G692" t="s">
        <v>203</v>
      </c>
      <c r="H692" t="s">
        <v>233</v>
      </c>
      <c r="I692" s="4">
        <v>120735.78316800001</v>
      </c>
      <c r="J692" s="4">
        <v>120735.78316800001</v>
      </c>
      <c r="L692" s="4">
        <v>1</v>
      </c>
    </row>
    <row r="693" spans="1:12">
      <c r="A693" t="s">
        <v>105</v>
      </c>
      <c r="B693" s="10">
        <v>45586</v>
      </c>
      <c r="C693" s="18">
        <f t="shared" si="10"/>
        <v>10</v>
      </c>
      <c r="D693" t="s">
        <v>129</v>
      </c>
      <c r="E693">
        <v>4878181</v>
      </c>
      <c r="F693" t="s">
        <v>8</v>
      </c>
      <c r="G693" t="s">
        <v>203</v>
      </c>
      <c r="H693" t="s">
        <v>231</v>
      </c>
      <c r="I693" s="4">
        <v>125766.4408</v>
      </c>
      <c r="J693" s="4">
        <v>125766.4408</v>
      </c>
      <c r="L693" s="4">
        <v>1</v>
      </c>
    </row>
    <row r="694" spans="1:12">
      <c r="A694" t="s">
        <v>105</v>
      </c>
      <c r="B694" s="10">
        <v>45586</v>
      </c>
      <c r="C694" s="18">
        <f t="shared" si="10"/>
        <v>10</v>
      </c>
      <c r="D694" t="s">
        <v>129</v>
      </c>
      <c r="E694">
        <v>4873979</v>
      </c>
      <c r="F694" t="s">
        <v>8</v>
      </c>
      <c r="G694" t="s">
        <v>203</v>
      </c>
      <c r="H694" t="s">
        <v>241</v>
      </c>
      <c r="I694" s="4">
        <v>125766.4408</v>
      </c>
      <c r="J694" s="4">
        <v>125766.4408</v>
      </c>
      <c r="L694" s="4">
        <v>1</v>
      </c>
    </row>
    <row r="695" spans="1:12">
      <c r="A695" t="s">
        <v>105</v>
      </c>
      <c r="B695" s="10">
        <v>45586</v>
      </c>
      <c r="C695" s="18">
        <f t="shared" si="10"/>
        <v>10</v>
      </c>
      <c r="D695" t="s">
        <v>129</v>
      </c>
      <c r="E695">
        <v>4873979</v>
      </c>
      <c r="F695" t="s">
        <v>8</v>
      </c>
      <c r="G695" t="s">
        <v>203</v>
      </c>
      <c r="H695" t="s">
        <v>235</v>
      </c>
      <c r="I695" s="4">
        <v>125766.4408</v>
      </c>
      <c r="J695" s="4">
        <v>125766.4408</v>
      </c>
      <c r="L695" s="4">
        <v>1</v>
      </c>
    </row>
    <row r="696" spans="1:12">
      <c r="A696" t="s">
        <v>105</v>
      </c>
      <c r="B696" s="10">
        <v>45586</v>
      </c>
      <c r="C696" s="18">
        <f t="shared" si="10"/>
        <v>10</v>
      </c>
      <c r="D696" t="s">
        <v>129</v>
      </c>
      <c r="E696">
        <v>4873979</v>
      </c>
      <c r="F696" t="s">
        <v>8</v>
      </c>
      <c r="G696" t="s">
        <v>203</v>
      </c>
      <c r="H696" t="s">
        <v>231</v>
      </c>
      <c r="I696" s="4">
        <v>125766.4408</v>
      </c>
      <c r="J696" s="4">
        <v>125766.4408</v>
      </c>
      <c r="L696" s="4">
        <v>1</v>
      </c>
    </row>
    <row r="697" spans="1:12">
      <c r="A697" t="s">
        <v>105</v>
      </c>
      <c r="B697" s="10">
        <v>45586</v>
      </c>
      <c r="C697" s="18">
        <f t="shared" si="10"/>
        <v>10</v>
      </c>
      <c r="D697" t="s">
        <v>186</v>
      </c>
      <c r="E697">
        <v>6080604</v>
      </c>
      <c r="F697" t="s">
        <v>8</v>
      </c>
      <c r="G697" t="s">
        <v>202</v>
      </c>
      <c r="H697" t="s">
        <v>258</v>
      </c>
      <c r="I697" s="4">
        <v>37817.880799999999</v>
      </c>
      <c r="J697" s="4">
        <v>756357.61599999992</v>
      </c>
      <c r="L697" s="4">
        <v>20</v>
      </c>
    </row>
    <row r="698" spans="1:12">
      <c r="A698" t="s">
        <v>105</v>
      </c>
      <c r="B698" s="10">
        <v>45595</v>
      </c>
      <c r="C698" s="18">
        <f t="shared" si="10"/>
        <v>10</v>
      </c>
      <c r="D698" t="s">
        <v>186</v>
      </c>
      <c r="E698">
        <v>6080604</v>
      </c>
      <c r="F698" t="s">
        <v>8</v>
      </c>
      <c r="G698" t="s">
        <v>202</v>
      </c>
      <c r="H698" t="s">
        <v>257</v>
      </c>
      <c r="I698" s="4">
        <v>56664.000799999994</v>
      </c>
      <c r="J698" s="4">
        <v>396648.00559999997</v>
      </c>
      <c r="L698" s="4">
        <v>7</v>
      </c>
    </row>
    <row r="699" spans="1:12">
      <c r="A699" t="s">
        <v>105</v>
      </c>
      <c r="B699" s="10">
        <v>45568</v>
      </c>
      <c r="C699" s="18">
        <f t="shared" si="10"/>
        <v>10</v>
      </c>
      <c r="D699" t="s">
        <v>113</v>
      </c>
      <c r="E699">
        <v>4878755</v>
      </c>
      <c r="F699" t="s">
        <v>8</v>
      </c>
      <c r="G699" t="s">
        <v>203</v>
      </c>
      <c r="H699" t="s">
        <v>234</v>
      </c>
      <c r="I699" s="4">
        <v>100638.28079999999</v>
      </c>
      <c r="J699" s="4">
        <v>201276.56159999999</v>
      </c>
      <c r="L699" s="4">
        <v>2</v>
      </c>
    </row>
    <row r="700" spans="1:12">
      <c r="A700" t="s">
        <v>105</v>
      </c>
      <c r="B700" s="10">
        <v>45568</v>
      </c>
      <c r="C700" s="18">
        <f t="shared" si="10"/>
        <v>10</v>
      </c>
      <c r="D700" t="s">
        <v>113</v>
      </c>
      <c r="E700">
        <v>4878755</v>
      </c>
      <c r="F700" t="s">
        <v>8</v>
      </c>
      <c r="G700" t="s">
        <v>203</v>
      </c>
      <c r="H700" t="s">
        <v>228</v>
      </c>
      <c r="I700" s="4">
        <v>100638.28079999999</v>
      </c>
      <c r="J700" s="4">
        <v>201276.56159999999</v>
      </c>
      <c r="L700" s="4">
        <v>2</v>
      </c>
    </row>
    <row r="701" spans="1:12">
      <c r="A701" t="s">
        <v>105</v>
      </c>
      <c r="B701" s="10">
        <v>45568</v>
      </c>
      <c r="C701" s="18">
        <f t="shared" si="10"/>
        <v>10</v>
      </c>
      <c r="D701" t="s">
        <v>113</v>
      </c>
      <c r="E701">
        <v>4878755</v>
      </c>
      <c r="F701" t="s">
        <v>8</v>
      </c>
      <c r="G701" t="s">
        <v>203</v>
      </c>
      <c r="H701" t="s">
        <v>223</v>
      </c>
      <c r="I701" s="4">
        <v>100638.28079999999</v>
      </c>
      <c r="J701" s="4">
        <v>201276.56159999999</v>
      </c>
      <c r="L701" s="4">
        <v>2</v>
      </c>
    </row>
    <row r="702" spans="1:12">
      <c r="A702" t="s">
        <v>105</v>
      </c>
      <c r="B702" s="10">
        <v>45568</v>
      </c>
      <c r="C702" s="18">
        <f t="shared" si="10"/>
        <v>10</v>
      </c>
      <c r="D702" t="s">
        <v>110</v>
      </c>
      <c r="E702">
        <v>4878163</v>
      </c>
      <c r="F702" t="s">
        <v>8</v>
      </c>
      <c r="G702" t="s">
        <v>203</v>
      </c>
      <c r="H702" t="s">
        <v>234</v>
      </c>
      <c r="I702" s="4">
        <v>100638.28079999999</v>
      </c>
      <c r="J702" s="4">
        <v>1006382.808</v>
      </c>
      <c r="L702" s="4">
        <v>10</v>
      </c>
    </row>
    <row r="703" spans="1:12">
      <c r="A703" t="s">
        <v>105</v>
      </c>
      <c r="B703" s="10">
        <v>45568</v>
      </c>
      <c r="C703" s="18">
        <f t="shared" si="10"/>
        <v>10</v>
      </c>
      <c r="D703" t="s">
        <v>110</v>
      </c>
      <c r="E703">
        <v>4878163</v>
      </c>
      <c r="F703" t="s">
        <v>8</v>
      </c>
      <c r="G703" t="s">
        <v>203</v>
      </c>
      <c r="H703" t="s">
        <v>232</v>
      </c>
      <c r="I703" s="4">
        <v>100638.28079999999</v>
      </c>
      <c r="J703" s="4">
        <v>1006382.808</v>
      </c>
      <c r="L703" s="4">
        <v>10</v>
      </c>
    </row>
    <row r="704" spans="1:12">
      <c r="A704" t="s">
        <v>105</v>
      </c>
      <c r="B704" s="10">
        <v>45568</v>
      </c>
      <c r="C704" s="18">
        <f t="shared" si="10"/>
        <v>10</v>
      </c>
      <c r="D704" t="s">
        <v>110</v>
      </c>
      <c r="E704">
        <v>4878163</v>
      </c>
      <c r="F704" t="s">
        <v>8</v>
      </c>
      <c r="G704" t="s">
        <v>203</v>
      </c>
      <c r="H704" t="s">
        <v>228</v>
      </c>
      <c r="I704" s="4">
        <v>100638.28079999999</v>
      </c>
      <c r="J704" s="4">
        <v>1006382.808</v>
      </c>
      <c r="L704" s="4">
        <v>10</v>
      </c>
    </row>
    <row r="705" spans="1:12">
      <c r="A705" t="s">
        <v>105</v>
      </c>
      <c r="B705" s="10">
        <v>45568</v>
      </c>
      <c r="C705" s="18">
        <f t="shared" si="10"/>
        <v>10</v>
      </c>
      <c r="D705" t="s">
        <v>110</v>
      </c>
      <c r="E705">
        <v>4878163</v>
      </c>
      <c r="F705" t="s">
        <v>8</v>
      </c>
      <c r="G705" t="s">
        <v>203</v>
      </c>
      <c r="H705" t="s">
        <v>223</v>
      </c>
      <c r="I705" s="4">
        <v>100638.28079999999</v>
      </c>
      <c r="J705" s="4">
        <v>1006382.808</v>
      </c>
      <c r="L705" s="4">
        <v>10</v>
      </c>
    </row>
    <row r="706" spans="1:12">
      <c r="A706" t="s">
        <v>105</v>
      </c>
      <c r="B706" s="10">
        <v>45568</v>
      </c>
      <c r="C706" s="18">
        <f t="shared" ref="C706:C769" si="11">MONTH(B706)</f>
        <v>10</v>
      </c>
      <c r="D706" t="s">
        <v>110</v>
      </c>
      <c r="E706">
        <v>4878173</v>
      </c>
      <c r="F706" t="s">
        <v>8</v>
      </c>
      <c r="G706" t="s">
        <v>203</v>
      </c>
      <c r="H706" t="s">
        <v>234</v>
      </c>
      <c r="I706" s="4">
        <v>100638.28079999999</v>
      </c>
      <c r="J706" s="4">
        <v>201276.56159999999</v>
      </c>
      <c r="L706" s="4">
        <v>2</v>
      </c>
    </row>
    <row r="707" spans="1:12">
      <c r="A707" t="s">
        <v>105</v>
      </c>
      <c r="B707" s="10">
        <v>45568</v>
      </c>
      <c r="C707" s="18">
        <f t="shared" si="11"/>
        <v>10</v>
      </c>
      <c r="D707" t="s">
        <v>110</v>
      </c>
      <c r="E707">
        <v>4878173</v>
      </c>
      <c r="F707" t="s">
        <v>8</v>
      </c>
      <c r="G707" t="s">
        <v>203</v>
      </c>
      <c r="H707" t="s">
        <v>232</v>
      </c>
      <c r="I707" s="4">
        <v>100638.28079999999</v>
      </c>
      <c r="J707" s="4">
        <v>201276.56159999999</v>
      </c>
      <c r="L707" s="4">
        <v>2</v>
      </c>
    </row>
    <row r="708" spans="1:12">
      <c r="A708" t="s">
        <v>105</v>
      </c>
      <c r="B708" s="10">
        <v>45568</v>
      </c>
      <c r="C708" s="18">
        <f t="shared" si="11"/>
        <v>10</v>
      </c>
      <c r="D708" t="s">
        <v>110</v>
      </c>
      <c r="E708">
        <v>4878173</v>
      </c>
      <c r="F708" t="s">
        <v>8</v>
      </c>
      <c r="G708" t="s">
        <v>203</v>
      </c>
      <c r="H708" t="s">
        <v>228</v>
      </c>
      <c r="I708" s="4">
        <v>100638.28079999999</v>
      </c>
      <c r="J708" s="4">
        <v>201276.56159999999</v>
      </c>
      <c r="L708" s="4">
        <v>2</v>
      </c>
    </row>
    <row r="709" spans="1:12">
      <c r="A709" t="s">
        <v>105</v>
      </c>
      <c r="B709" s="10">
        <v>45568</v>
      </c>
      <c r="C709" s="18">
        <f t="shared" si="11"/>
        <v>10</v>
      </c>
      <c r="D709" t="s">
        <v>116</v>
      </c>
      <c r="E709">
        <v>4878458</v>
      </c>
      <c r="F709" t="s">
        <v>8</v>
      </c>
      <c r="G709" t="s">
        <v>203</v>
      </c>
      <c r="H709" t="s">
        <v>228</v>
      </c>
      <c r="I709" s="4">
        <v>100638.28079999999</v>
      </c>
      <c r="J709" s="4">
        <v>201276.56159999999</v>
      </c>
      <c r="L709" s="4">
        <v>2</v>
      </c>
    </row>
    <row r="710" spans="1:12">
      <c r="A710" t="s">
        <v>105</v>
      </c>
      <c r="B710" s="10">
        <v>45568</v>
      </c>
      <c r="C710" s="18">
        <f t="shared" si="11"/>
        <v>10</v>
      </c>
      <c r="D710" t="s">
        <v>116</v>
      </c>
      <c r="E710">
        <v>4878458</v>
      </c>
      <c r="F710" t="s">
        <v>8</v>
      </c>
      <c r="G710" t="s">
        <v>203</v>
      </c>
      <c r="H710" t="s">
        <v>223</v>
      </c>
      <c r="I710" s="4">
        <v>100638.28079999999</v>
      </c>
      <c r="J710" s="4">
        <v>201276.56159999999</v>
      </c>
      <c r="L710" s="4">
        <v>2</v>
      </c>
    </row>
    <row r="711" spans="1:12">
      <c r="A711" t="s">
        <v>105</v>
      </c>
      <c r="B711" s="10">
        <v>45568</v>
      </c>
      <c r="C711" s="18">
        <f t="shared" si="11"/>
        <v>10</v>
      </c>
      <c r="D711" t="s">
        <v>118</v>
      </c>
      <c r="E711">
        <v>4878834</v>
      </c>
      <c r="F711" t="s">
        <v>8</v>
      </c>
      <c r="G711" t="s">
        <v>203</v>
      </c>
      <c r="H711" t="s">
        <v>228</v>
      </c>
      <c r="I711" s="4">
        <v>100638.28079999999</v>
      </c>
      <c r="J711" s="4">
        <v>201276.56159999999</v>
      </c>
      <c r="L711" s="4">
        <v>2</v>
      </c>
    </row>
    <row r="712" spans="1:12">
      <c r="A712" t="s">
        <v>105</v>
      </c>
      <c r="B712" s="10">
        <v>45568</v>
      </c>
      <c r="C712" s="18">
        <f t="shared" si="11"/>
        <v>10</v>
      </c>
      <c r="D712" t="s">
        <v>118</v>
      </c>
      <c r="E712">
        <v>4878834</v>
      </c>
      <c r="F712" t="s">
        <v>8</v>
      </c>
      <c r="G712" t="s">
        <v>203</v>
      </c>
      <c r="H712" t="s">
        <v>223</v>
      </c>
      <c r="I712" s="4">
        <v>100638.28079999999</v>
      </c>
      <c r="J712" s="4">
        <v>201276.56159999999</v>
      </c>
      <c r="L712" s="4">
        <v>2</v>
      </c>
    </row>
    <row r="713" spans="1:12">
      <c r="A713" t="s">
        <v>105</v>
      </c>
      <c r="B713" s="10">
        <v>45569</v>
      </c>
      <c r="C713" s="18">
        <f t="shared" si="11"/>
        <v>10</v>
      </c>
      <c r="D713" t="s">
        <v>118</v>
      </c>
      <c r="E713">
        <v>4877627</v>
      </c>
      <c r="F713" t="s">
        <v>8</v>
      </c>
      <c r="G713" t="s">
        <v>203</v>
      </c>
      <c r="H713" t="s">
        <v>234</v>
      </c>
      <c r="I713" s="4">
        <v>100638.28079999999</v>
      </c>
      <c r="J713" s="4">
        <v>1006382.808</v>
      </c>
      <c r="L713" s="4">
        <v>10</v>
      </c>
    </row>
    <row r="714" spans="1:12">
      <c r="A714" t="s">
        <v>105</v>
      </c>
      <c r="B714" s="10">
        <v>45569</v>
      </c>
      <c r="C714" s="18">
        <f t="shared" si="11"/>
        <v>10</v>
      </c>
      <c r="D714" t="s">
        <v>118</v>
      </c>
      <c r="E714">
        <v>4877627</v>
      </c>
      <c r="F714" t="s">
        <v>8</v>
      </c>
      <c r="G714" t="s">
        <v>203</v>
      </c>
      <c r="H714" t="s">
        <v>232</v>
      </c>
      <c r="I714" s="4">
        <v>100638.28079999999</v>
      </c>
      <c r="J714" s="4">
        <v>603829.68479999993</v>
      </c>
      <c r="L714" s="4">
        <v>6</v>
      </c>
    </row>
    <row r="715" spans="1:12">
      <c r="A715" t="s">
        <v>105</v>
      </c>
      <c r="B715" s="10">
        <v>45569</v>
      </c>
      <c r="C715" s="18">
        <f t="shared" si="11"/>
        <v>10</v>
      </c>
      <c r="D715" t="s">
        <v>118</v>
      </c>
      <c r="E715">
        <v>4877627</v>
      </c>
      <c r="F715" t="s">
        <v>8</v>
      </c>
      <c r="G715" t="s">
        <v>203</v>
      </c>
      <c r="H715" t="s">
        <v>228</v>
      </c>
      <c r="I715" s="4">
        <v>100638.28079999999</v>
      </c>
      <c r="J715" s="4">
        <v>603829.68479999993</v>
      </c>
      <c r="L715" s="4">
        <v>6</v>
      </c>
    </row>
    <row r="716" spans="1:12">
      <c r="A716" t="s">
        <v>105</v>
      </c>
      <c r="B716" s="10">
        <v>45569</v>
      </c>
      <c r="C716" s="18">
        <f t="shared" si="11"/>
        <v>10</v>
      </c>
      <c r="D716" t="s">
        <v>118</v>
      </c>
      <c r="E716">
        <v>4877627</v>
      </c>
      <c r="F716" t="s">
        <v>8</v>
      </c>
      <c r="G716" t="s">
        <v>203</v>
      </c>
      <c r="H716" t="s">
        <v>223</v>
      </c>
      <c r="I716" s="4">
        <v>100638.28079999999</v>
      </c>
      <c r="J716" s="4">
        <v>1006382.808</v>
      </c>
      <c r="L716" s="4">
        <v>10</v>
      </c>
    </row>
    <row r="717" spans="1:12">
      <c r="A717" t="s">
        <v>105</v>
      </c>
      <c r="B717" s="10">
        <v>45569</v>
      </c>
      <c r="C717" s="18">
        <f t="shared" si="11"/>
        <v>10</v>
      </c>
      <c r="D717" t="s">
        <v>118</v>
      </c>
      <c r="E717">
        <v>4877628</v>
      </c>
      <c r="F717" t="s">
        <v>8</v>
      </c>
      <c r="G717" t="s">
        <v>203</v>
      </c>
      <c r="H717" t="s">
        <v>234</v>
      </c>
      <c r="I717" s="4">
        <v>100638.28079999999</v>
      </c>
      <c r="J717" s="4">
        <v>201276.56159999999</v>
      </c>
      <c r="L717" s="4">
        <v>2</v>
      </c>
    </row>
    <row r="718" spans="1:12">
      <c r="A718" t="s">
        <v>105</v>
      </c>
      <c r="B718" s="10">
        <v>45569</v>
      </c>
      <c r="C718" s="18">
        <f t="shared" si="11"/>
        <v>10</v>
      </c>
      <c r="D718" t="s">
        <v>118</v>
      </c>
      <c r="E718">
        <v>4877628</v>
      </c>
      <c r="F718" t="s">
        <v>8</v>
      </c>
      <c r="G718" t="s">
        <v>203</v>
      </c>
      <c r="H718" t="s">
        <v>232</v>
      </c>
      <c r="I718" s="4">
        <v>100638.28079999999</v>
      </c>
      <c r="J718" s="4">
        <v>201276.56159999999</v>
      </c>
      <c r="L718" s="4">
        <v>2</v>
      </c>
    </row>
    <row r="719" spans="1:12">
      <c r="A719" t="s">
        <v>105</v>
      </c>
      <c r="B719" s="10">
        <v>45569</v>
      </c>
      <c r="C719" s="18">
        <f t="shared" si="11"/>
        <v>10</v>
      </c>
      <c r="D719" t="s">
        <v>118</v>
      </c>
      <c r="E719">
        <v>4877628</v>
      </c>
      <c r="F719" t="s">
        <v>8</v>
      </c>
      <c r="G719" t="s">
        <v>203</v>
      </c>
      <c r="H719" t="s">
        <v>223</v>
      </c>
      <c r="I719" s="4">
        <v>100638.28079999999</v>
      </c>
      <c r="J719" s="4">
        <v>201276.56159999999</v>
      </c>
      <c r="L719" s="4">
        <v>2</v>
      </c>
    </row>
    <row r="720" spans="1:12">
      <c r="A720" t="s">
        <v>105</v>
      </c>
      <c r="B720" s="10">
        <v>45570</v>
      </c>
      <c r="C720" s="18">
        <f t="shared" si="11"/>
        <v>10</v>
      </c>
      <c r="D720" t="s">
        <v>111</v>
      </c>
      <c r="E720">
        <v>4878259</v>
      </c>
      <c r="F720" t="s">
        <v>8</v>
      </c>
      <c r="G720" t="s">
        <v>203</v>
      </c>
      <c r="H720" t="s">
        <v>238</v>
      </c>
      <c r="I720" s="4">
        <v>95606.36675999999</v>
      </c>
      <c r="J720" s="4">
        <v>191212.73351999998</v>
      </c>
      <c r="L720" s="4">
        <v>2</v>
      </c>
    </row>
    <row r="721" spans="1:12">
      <c r="A721" t="s">
        <v>105</v>
      </c>
      <c r="B721" s="10">
        <v>45570</v>
      </c>
      <c r="C721" s="18">
        <f t="shared" si="11"/>
        <v>10</v>
      </c>
      <c r="D721" t="s">
        <v>111</v>
      </c>
      <c r="E721">
        <v>4878259</v>
      </c>
      <c r="F721" t="s">
        <v>8</v>
      </c>
      <c r="G721" t="s">
        <v>203</v>
      </c>
      <c r="H721" t="s">
        <v>234</v>
      </c>
      <c r="I721" s="4">
        <v>100638.28079999999</v>
      </c>
      <c r="J721" s="4">
        <v>201276.56159999999</v>
      </c>
      <c r="L721" s="4">
        <v>2</v>
      </c>
    </row>
    <row r="722" spans="1:12">
      <c r="A722" t="s">
        <v>105</v>
      </c>
      <c r="B722" s="10">
        <v>45570</v>
      </c>
      <c r="C722" s="18">
        <f t="shared" si="11"/>
        <v>10</v>
      </c>
      <c r="D722" t="s">
        <v>111</v>
      </c>
      <c r="E722">
        <v>4878259</v>
      </c>
      <c r="F722" t="s">
        <v>8</v>
      </c>
      <c r="G722" t="s">
        <v>203</v>
      </c>
      <c r="H722" t="s">
        <v>228</v>
      </c>
      <c r="I722" s="4">
        <v>100638.28079999999</v>
      </c>
      <c r="J722" s="4">
        <v>201276.56159999999</v>
      </c>
      <c r="L722" s="4">
        <v>2</v>
      </c>
    </row>
    <row r="723" spans="1:12">
      <c r="A723" t="s">
        <v>105</v>
      </c>
      <c r="B723" s="10">
        <v>45570</v>
      </c>
      <c r="C723" s="18">
        <f t="shared" si="11"/>
        <v>10</v>
      </c>
      <c r="D723" t="s">
        <v>111</v>
      </c>
      <c r="E723">
        <v>4878259</v>
      </c>
      <c r="F723" t="s">
        <v>8</v>
      </c>
      <c r="G723" t="s">
        <v>203</v>
      </c>
      <c r="H723" t="s">
        <v>223</v>
      </c>
      <c r="I723" s="4">
        <v>100638.28079999999</v>
      </c>
      <c r="J723" s="4">
        <v>201276.56159999999</v>
      </c>
      <c r="L723" s="4">
        <v>2</v>
      </c>
    </row>
    <row r="724" spans="1:12">
      <c r="A724" t="s">
        <v>105</v>
      </c>
      <c r="B724" s="10">
        <v>45571</v>
      </c>
      <c r="C724" s="18">
        <f t="shared" si="11"/>
        <v>10</v>
      </c>
      <c r="D724" t="s">
        <v>116</v>
      </c>
      <c r="E724">
        <v>4878456</v>
      </c>
      <c r="F724" t="s">
        <v>8</v>
      </c>
      <c r="G724" t="s">
        <v>203</v>
      </c>
      <c r="H724" t="s">
        <v>223</v>
      </c>
      <c r="I724" s="4">
        <v>100638.28079999999</v>
      </c>
      <c r="J724" s="4">
        <v>201276.56159999999</v>
      </c>
      <c r="L724" s="4">
        <v>2</v>
      </c>
    </row>
    <row r="725" spans="1:12">
      <c r="A725" t="s">
        <v>105</v>
      </c>
      <c r="B725" s="10">
        <v>45572</v>
      </c>
      <c r="C725" s="18">
        <f t="shared" si="11"/>
        <v>10</v>
      </c>
      <c r="D725" t="s">
        <v>116</v>
      </c>
      <c r="E725">
        <v>4878427</v>
      </c>
      <c r="F725" t="s">
        <v>8</v>
      </c>
      <c r="G725" t="s">
        <v>203</v>
      </c>
      <c r="H725" t="s">
        <v>228</v>
      </c>
      <c r="I725" s="4">
        <v>100638.28079999999</v>
      </c>
      <c r="J725" s="4">
        <v>1006382.808</v>
      </c>
      <c r="L725" s="4">
        <v>10</v>
      </c>
    </row>
    <row r="726" spans="1:12">
      <c r="A726" t="s">
        <v>105</v>
      </c>
      <c r="B726" s="10">
        <v>45572</v>
      </c>
      <c r="C726" s="18">
        <f t="shared" si="11"/>
        <v>10</v>
      </c>
      <c r="D726" t="s">
        <v>116</v>
      </c>
      <c r="E726">
        <v>4878427</v>
      </c>
      <c r="F726" t="s">
        <v>8</v>
      </c>
      <c r="G726" t="s">
        <v>203</v>
      </c>
      <c r="H726" t="s">
        <v>223</v>
      </c>
      <c r="I726" s="4">
        <v>100638.28079999999</v>
      </c>
      <c r="J726" s="4">
        <v>1006382.808</v>
      </c>
      <c r="L726" s="4">
        <v>10</v>
      </c>
    </row>
    <row r="727" spans="1:12">
      <c r="A727" t="s">
        <v>105</v>
      </c>
      <c r="B727" s="10">
        <v>45573</v>
      </c>
      <c r="C727" s="18">
        <f t="shared" si="11"/>
        <v>10</v>
      </c>
      <c r="D727" t="s">
        <v>116</v>
      </c>
      <c r="E727">
        <v>4878458</v>
      </c>
      <c r="F727" t="s">
        <v>8</v>
      </c>
      <c r="G727" t="s">
        <v>203</v>
      </c>
      <c r="H727" t="s">
        <v>244</v>
      </c>
      <c r="I727" s="4">
        <v>125766.4408</v>
      </c>
      <c r="J727" s="4">
        <v>251532.88159999999</v>
      </c>
      <c r="L727" s="4">
        <v>2</v>
      </c>
    </row>
    <row r="728" spans="1:12">
      <c r="A728" t="s">
        <v>105</v>
      </c>
      <c r="B728" s="10">
        <v>45574</v>
      </c>
      <c r="C728" s="18">
        <f t="shared" si="11"/>
        <v>10</v>
      </c>
      <c r="D728" t="s">
        <v>125</v>
      </c>
      <c r="E728">
        <v>4877224</v>
      </c>
      <c r="F728" t="s">
        <v>8</v>
      </c>
      <c r="G728" t="s">
        <v>203</v>
      </c>
      <c r="H728" t="s">
        <v>238</v>
      </c>
      <c r="I728" s="4">
        <v>95606.36675999999</v>
      </c>
      <c r="J728" s="4">
        <v>191212.73351999998</v>
      </c>
      <c r="L728" s="4">
        <v>2</v>
      </c>
    </row>
    <row r="729" spans="1:12">
      <c r="A729" t="s">
        <v>105</v>
      </c>
      <c r="B729" s="10">
        <v>45574</v>
      </c>
      <c r="C729" s="18">
        <f t="shared" si="11"/>
        <v>10</v>
      </c>
      <c r="D729" t="s">
        <v>125</v>
      </c>
      <c r="E729">
        <v>4877224</v>
      </c>
      <c r="F729" t="s">
        <v>8</v>
      </c>
      <c r="G729" t="s">
        <v>203</v>
      </c>
      <c r="H729" t="s">
        <v>234</v>
      </c>
      <c r="I729" s="4">
        <v>100638.28079999999</v>
      </c>
      <c r="J729" s="4">
        <v>201276.56159999999</v>
      </c>
      <c r="L729" s="4">
        <v>2</v>
      </c>
    </row>
    <row r="730" spans="1:12">
      <c r="A730" t="s">
        <v>105</v>
      </c>
      <c r="B730" s="10">
        <v>45574</v>
      </c>
      <c r="C730" s="18">
        <f t="shared" si="11"/>
        <v>10</v>
      </c>
      <c r="D730" t="s">
        <v>125</v>
      </c>
      <c r="E730">
        <v>4877224</v>
      </c>
      <c r="F730" t="s">
        <v>8</v>
      </c>
      <c r="G730" t="s">
        <v>203</v>
      </c>
      <c r="H730" t="s">
        <v>228</v>
      </c>
      <c r="I730" s="4">
        <v>100638.28079999999</v>
      </c>
      <c r="J730" s="4">
        <v>201276.56159999999</v>
      </c>
      <c r="L730" s="4">
        <v>2</v>
      </c>
    </row>
    <row r="731" spans="1:12">
      <c r="A731" t="s">
        <v>105</v>
      </c>
      <c r="B731" s="10">
        <v>45574</v>
      </c>
      <c r="C731" s="18">
        <f t="shared" si="11"/>
        <v>10</v>
      </c>
      <c r="D731" t="s">
        <v>125</v>
      </c>
      <c r="E731">
        <v>4877224</v>
      </c>
      <c r="F731" t="s">
        <v>8</v>
      </c>
      <c r="G731" t="s">
        <v>203</v>
      </c>
      <c r="H731" t="s">
        <v>223</v>
      </c>
      <c r="I731" s="4">
        <v>100638.28079999999</v>
      </c>
      <c r="J731" s="4">
        <v>201276.56159999999</v>
      </c>
      <c r="L731" s="4">
        <v>2</v>
      </c>
    </row>
    <row r="732" spans="1:12">
      <c r="A732" t="s">
        <v>105</v>
      </c>
      <c r="B732" s="10">
        <v>45574</v>
      </c>
      <c r="C732" s="18">
        <f t="shared" si="11"/>
        <v>10</v>
      </c>
      <c r="D732" t="s">
        <v>116</v>
      </c>
      <c r="E732">
        <v>4878424</v>
      </c>
      <c r="F732" t="s">
        <v>8</v>
      </c>
      <c r="G732" t="s">
        <v>203</v>
      </c>
      <c r="H732" t="s">
        <v>238</v>
      </c>
      <c r="I732" s="4">
        <v>95606.36675999999</v>
      </c>
      <c r="J732" s="4">
        <v>191212.73351999998</v>
      </c>
      <c r="L732" s="4">
        <v>2</v>
      </c>
    </row>
    <row r="733" spans="1:12">
      <c r="A733" t="s">
        <v>105</v>
      </c>
      <c r="B733" s="10">
        <v>45574</v>
      </c>
      <c r="C733" s="18">
        <f t="shared" si="11"/>
        <v>10</v>
      </c>
      <c r="D733" t="s">
        <v>116</v>
      </c>
      <c r="E733">
        <v>4878424</v>
      </c>
      <c r="F733" t="s">
        <v>8</v>
      </c>
      <c r="G733" t="s">
        <v>203</v>
      </c>
      <c r="H733" t="s">
        <v>228</v>
      </c>
      <c r="I733" s="4">
        <v>100638.28079999999</v>
      </c>
      <c r="J733" s="4">
        <v>201276.56159999999</v>
      </c>
      <c r="L733" s="4">
        <v>2</v>
      </c>
    </row>
    <row r="734" spans="1:12">
      <c r="A734" t="s">
        <v>105</v>
      </c>
      <c r="B734" s="10">
        <v>45574</v>
      </c>
      <c r="C734" s="18">
        <f t="shared" si="11"/>
        <v>10</v>
      </c>
      <c r="D734" t="s">
        <v>116</v>
      </c>
      <c r="E734">
        <v>4878424</v>
      </c>
      <c r="F734" t="s">
        <v>8</v>
      </c>
      <c r="G734" t="s">
        <v>203</v>
      </c>
      <c r="H734" t="s">
        <v>223</v>
      </c>
      <c r="I734" s="4">
        <v>100638.28079999999</v>
      </c>
      <c r="J734" s="4">
        <v>201276.56159999999</v>
      </c>
      <c r="L734" s="4">
        <v>2</v>
      </c>
    </row>
    <row r="735" spans="1:12">
      <c r="A735" t="s">
        <v>105</v>
      </c>
      <c r="B735" s="10">
        <v>45574</v>
      </c>
      <c r="C735" s="18">
        <f t="shared" si="11"/>
        <v>10</v>
      </c>
      <c r="D735" t="s">
        <v>116</v>
      </c>
      <c r="E735">
        <v>4878477</v>
      </c>
      <c r="F735" t="s">
        <v>8</v>
      </c>
      <c r="G735" t="s">
        <v>203</v>
      </c>
      <c r="H735" t="s">
        <v>238</v>
      </c>
      <c r="I735" s="4">
        <v>95606.36675999999</v>
      </c>
      <c r="J735" s="4">
        <v>191212.73351999998</v>
      </c>
      <c r="L735" s="4">
        <v>2</v>
      </c>
    </row>
    <row r="736" spans="1:12">
      <c r="A736" t="s">
        <v>105</v>
      </c>
      <c r="B736" s="10">
        <v>45574</v>
      </c>
      <c r="C736" s="18">
        <f t="shared" si="11"/>
        <v>10</v>
      </c>
      <c r="D736" t="s">
        <v>116</v>
      </c>
      <c r="E736">
        <v>4878477</v>
      </c>
      <c r="F736" t="s">
        <v>8</v>
      </c>
      <c r="G736" t="s">
        <v>203</v>
      </c>
      <c r="H736" t="s">
        <v>223</v>
      </c>
      <c r="I736" s="4">
        <v>100638.28079999999</v>
      </c>
      <c r="J736" s="4">
        <v>201276.56159999999</v>
      </c>
      <c r="L736" s="4">
        <v>2</v>
      </c>
    </row>
    <row r="737" spans="1:12">
      <c r="A737" t="s">
        <v>105</v>
      </c>
      <c r="B737" s="10">
        <v>45574</v>
      </c>
      <c r="C737" s="18">
        <f t="shared" si="11"/>
        <v>10</v>
      </c>
      <c r="D737" t="s">
        <v>116</v>
      </c>
      <c r="E737">
        <v>4878477</v>
      </c>
      <c r="F737" t="s">
        <v>8</v>
      </c>
      <c r="G737" t="s">
        <v>203</v>
      </c>
      <c r="H737" t="s">
        <v>244</v>
      </c>
      <c r="I737" s="4">
        <v>125766.4408</v>
      </c>
      <c r="J737" s="4">
        <v>251532.88159999999</v>
      </c>
      <c r="L737" s="4">
        <v>2</v>
      </c>
    </row>
    <row r="738" spans="1:12">
      <c r="A738" t="s">
        <v>105</v>
      </c>
      <c r="B738" s="10">
        <v>45575</v>
      </c>
      <c r="C738" s="18">
        <f t="shared" si="11"/>
        <v>10</v>
      </c>
      <c r="D738" t="s">
        <v>112</v>
      </c>
      <c r="E738">
        <v>4877603</v>
      </c>
      <c r="F738" t="s">
        <v>8</v>
      </c>
      <c r="G738" t="s">
        <v>203</v>
      </c>
      <c r="H738" t="s">
        <v>238</v>
      </c>
      <c r="I738" s="4">
        <v>95606.36675999999</v>
      </c>
      <c r="J738" s="4">
        <v>191212.73351999998</v>
      </c>
      <c r="L738" s="4">
        <v>2</v>
      </c>
    </row>
    <row r="739" spans="1:12">
      <c r="A739" t="s">
        <v>105</v>
      </c>
      <c r="B739" s="10">
        <v>45575</v>
      </c>
      <c r="C739" s="18">
        <f t="shared" si="11"/>
        <v>10</v>
      </c>
      <c r="D739" t="s">
        <v>112</v>
      </c>
      <c r="E739">
        <v>4877603</v>
      </c>
      <c r="F739" t="s">
        <v>8</v>
      </c>
      <c r="G739" t="s">
        <v>203</v>
      </c>
      <c r="H739" t="s">
        <v>223</v>
      </c>
      <c r="I739" s="4">
        <v>100638.28079999999</v>
      </c>
      <c r="J739" s="4">
        <v>201276.56159999999</v>
      </c>
      <c r="L739" s="4">
        <v>2</v>
      </c>
    </row>
    <row r="740" spans="1:12">
      <c r="A740" t="s">
        <v>105</v>
      </c>
      <c r="B740" s="10">
        <v>45575</v>
      </c>
      <c r="C740" s="18">
        <f t="shared" si="11"/>
        <v>10</v>
      </c>
      <c r="D740" t="s">
        <v>112</v>
      </c>
      <c r="E740">
        <v>4877603</v>
      </c>
      <c r="F740" t="s">
        <v>8</v>
      </c>
      <c r="G740" t="s">
        <v>203</v>
      </c>
      <c r="H740" t="s">
        <v>244</v>
      </c>
      <c r="I740" s="4">
        <v>125766.4408</v>
      </c>
      <c r="J740" s="4">
        <v>251532.88159999999</v>
      </c>
      <c r="L740" s="4">
        <v>2</v>
      </c>
    </row>
    <row r="741" spans="1:12">
      <c r="A741" t="s">
        <v>105</v>
      </c>
      <c r="B741" s="10">
        <v>45578</v>
      </c>
      <c r="C741" s="18">
        <f t="shared" si="11"/>
        <v>10</v>
      </c>
      <c r="D741" t="s">
        <v>110</v>
      </c>
      <c r="E741">
        <v>4878153</v>
      </c>
      <c r="F741" t="s">
        <v>8</v>
      </c>
      <c r="G741" t="s">
        <v>203</v>
      </c>
      <c r="H741" t="s">
        <v>223</v>
      </c>
      <c r="I741" s="4">
        <v>100638.28079999999</v>
      </c>
      <c r="J741" s="4">
        <v>402553.12319999997</v>
      </c>
      <c r="L741" s="4">
        <v>4</v>
      </c>
    </row>
    <row r="742" spans="1:12">
      <c r="A742" t="s">
        <v>105</v>
      </c>
      <c r="B742" s="10">
        <v>45578</v>
      </c>
      <c r="C742" s="18">
        <f t="shared" si="11"/>
        <v>10</v>
      </c>
      <c r="D742" t="s">
        <v>114</v>
      </c>
      <c r="E742">
        <v>4878077</v>
      </c>
      <c r="F742" t="s">
        <v>8</v>
      </c>
      <c r="G742" t="s">
        <v>203</v>
      </c>
      <c r="H742" t="s">
        <v>238</v>
      </c>
      <c r="I742" s="4">
        <v>95606.36675999999</v>
      </c>
      <c r="J742" s="4">
        <v>191212.73351999998</v>
      </c>
      <c r="L742" s="4">
        <v>2</v>
      </c>
    </row>
    <row r="743" spans="1:12">
      <c r="A743" t="s">
        <v>105</v>
      </c>
      <c r="B743" s="10">
        <v>45578</v>
      </c>
      <c r="C743" s="18">
        <f t="shared" si="11"/>
        <v>10</v>
      </c>
      <c r="D743" t="s">
        <v>126</v>
      </c>
      <c r="E743">
        <v>6444288</v>
      </c>
      <c r="F743" t="s">
        <v>8</v>
      </c>
      <c r="G743" t="s">
        <v>203</v>
      </c>
      <c r="H743" t="s">
        <v>238</v>
      </c>
      <c r="I743" s="4">
        <v>95606.36675999999</v>
      </c>
      <c r="J743" s="4">
        <v>191212.73351999998</v>
      </c>
      <c r="K743" s="4">
        <v>-6038.296848</v>
      </c>
      <c r="L743" s="4">
        <v>2</v>
      </c>
    </row>
    <row r="744" spans="1:12">
      <c r="A744" t="s">
        <v>105</v>
      </c>
      <c r="B744" s="10">
        <v>45578</v>
      </c>
      <c r="C744" s="18">
        <f t="shared" si="11"/>
        <v>10</v>
      </c>
      <c r="D744" t="s">
        <v>126</v>
      </c>
      <c r="E744">
        <v>6444288</v>
      </c>
      <c r="F744" t="s">
        <v>8</v>
      </c>
      <c r="G744" t="s">
        <v>203</v>
      </c>
      <c r="H744" t="s">
        <v>234</v>
      </c>
      <c r="I744" s="4">
        <v>100638.28079999999</v>
      </c>
      <c r="J744" s="4">
        <v>201276.56159999999</v>
      </c>
      <c r="K744" s="4">
        <v>-6038.296848</v>
      </c>
      <c r="L744" s="4">
        <v>2</v>
      </c>
    </row>
    <row r="745" spans="1:12">
      <c r="A745" t="s">
        <v>105</v>
      </c>
      <c r="B745" s="10">
        <v>45578</v>
      </c>
      <c r="C745" s="18">
        <f t="shared" si="11"/>
        <v>10</v>
      </c>
      <c r="D745" t="s">
        <v>126</v>
      </c>
      <c r="E745">
        <v>6444288</v>
      </c>
      <c r="F745" t="s">
        <v>8</v>
      </c>
      <c r="G745" t="s">
        <v>203</v>
      </c>
      <c r="H745" t="s">
        <v>223</v>
      </c>
      <c r="I745" s="4">
        <v>100638.28079999999</v>
      </c>
      <c r="J745" s="4">
        <v>201276.56159999999</v>
      </c>
      <c r="K745" s="4">
        <v>-6038.296848</v>
      </c>
      <c r="L745" s="4">
        <v>2</v>
      </c>
    </row>
    <row r="746" spans="1:12">
      <c r="A746" t="s">
        <v>105</v>
      </c>
      <c r="B746" s="10">
        <v>45578</v>
      </c>
      <c r="C746" s="18">
        <f t="shared" si="11"/>
        <v>10</v>
      </c>
      <c r="D746" t="s">
        <v>126</v>
      </c>
      <c r="E746">
        <v>6444288</v>
      </c>
      <c r="F746" t="s">
        <v>8</v>
      </c>
      <c r="G746" t="s">
        <v>203</v>
      </c>
      <c r="H746" t="s">
        <v>244</v>
      </c>
      <c r="I746" s="4">
        <v>125766.4408</v>
      </c>
      <c r="J746" s="4">
        <v>125766.4408</v>
      </c>
      <c r="K746" s="4">
        <v>-3772.9932240000003</v>
      </c>
      <c r="L746" s="4">
        <v>1</v>
      </c>
    </row>
    <row r="747" spans="1:12">
      <c r="A747" t="s">
        <v>105</v>
      </c>
      <c r="B747" s="10">
        <v>45578</v>
      </c>
      <c r="C747" s="18">
        <f t="shared" si="11"/>
        <v>10</v>
      </c>
      <c r="D747" t="s">
        <v>126</v>
      </c>
      <c r="E747">
        <v>6701745</v>
      </c>
      <c r="F747" t="s">
        <v>8</v>
      </c>
      <c r="G747" t="s">
        <v>203</v>
      </c>
      <c r="H747" t="s">
        <v>238</v>
      </c>
      <c r="I747" s="4">
        <v>95606.36675999999</v>
      </c>
      <c r="J747" s="4">
        <v>191212.73351999998</v>
      </c>
      <c r="K747" s="4">
        <v>-6038.296848</v>
      </c>
      <c r="L747" s="4">
        <v>2</v>
      </c>
    </row>
    <row r="748" spans="1:12">
      <c r="A748" t="s">
        <v>105</v>
      </c>
      <c r="B748" s="10">
        <v>45578</v>
      </c>
      <c r="C748" s="18">
        <f t="shared" si="11"/>
        <v>10</v>
      </c>
      <c r="D748" t="s">
        <v>126</v>
      </c>
      <c r="E748">
        <v>6701745</v>
      </c>
      <c r="F748" t="s">
        <v>8</v>
      </c>
      <c r="G748" t="s">
        <v>203</v>
      </c>
      <c r="H748" t="s">
        <v>234</v>
      </c>
      <c r="I748" s="4">
        <v>100638.28079999999</v>
      </c>
      <c r="J748" s="4">
        <v>201276.56159999999</v>
      </c>
      <c r="K748" s="4">
        <v>-6038.296848</v>
      </c>
      <c r="L748" s="4">
        <v>2</v>
      </c>
    </row>
    <row r="749" spans="1:12">
      <c r="A749" t="s">
        <v>105</v>
      </c>
      <c r="B749" s="10">
        <v>45578</v>
      </c>
      <c r="C749" s="18">
        <f t="shared" si="11"/>
        <v>10</v>
      </c>
      <c r="D749" t="s">
        <v>126</v>
      </c>
      <c r="E749">
        <v>6701745</v>
      </c>
      <c r="F749" t="s">
        <v>8</v>
      </c>
      <c r="G749" t="s">
        <v>203</v>
      </c>
      <c r="H749" t="s">
        <v>244</v>
      </c>
      <c r="I749" s="4">
        <v>125766.4408</v>
      </c>
      <c r="J749" s="4">
        <v>125766.4408</v>
      </c>
      <c r="K749" s="4">
        <v>-3772.9932240000003</v>
      </c>
      <c r="L749" s="4">
        <v>1</v>
      </c>
    </row>
    <row r="750" spans="1:12">
      <c r="A750" t="s">
        <v>105</v>
      </c>
      <c r="B750" s="10">
        <v>45584</v>
      </c>
      <c r="C750" s="18">
        <f t="shared" si="11"/>
        <v>10</v>
      </c>
      <c r="D750" t="s">
        <v>111</v>
      </c>
      <c r="E750">
        <v>4878265</v>
      </c>
      <c r="F750" t="s">
        <v>8</v>
      </c>
      <c r="G750" t="s">
        <v>203</v>
      </c>
      <c r="H750" t="s">
        <v>238</v>
      </c>
      <c r="I750" s="4">
        <v>95606.36675999999</v>
      </c>
      <c r="J750" s="4">
        <v>191212.73351999998</v>
      </c>
      <c r="L750" s="4">
        <v>2</v>
      </c>
    </row>
    <row r="751" spans="1:12">
      <c r="A751" t="s">
        <v>105</v>
      </c>
      <c r="B751" s="10">
        <v>45584</v>
      </c>
      <c r="C751" s="18">
        <f t="shared" si="11"/>
        <v>10</v>
      </c>
      <c r="D751" t="s">
        <v>111</v>
      </c>
      <c r="E751">
        <v>4878265</v>
      </c>
      <c r="F751" t="s">
        <v>8</v>
      </c>
      <c r="G751" t="s">
        <v>203</v>
      </c>
      <c r="H751" t="s">
        <v>234</v>
      </c>
      <c r="I751" s="4">
        <v>100638.28079999999</v>
      </c>
      <c r="J751" s="4">
        <v>201276.56159999999</v>
      </c>
      <c r="L751" s="4">
        <v>2</v>
      </c>
    </row>
    <row r="752" spans="1:12">
      <c r="A752" t="s">
        <v>105</v>
      </c>
      <c r="B752" s="10">
        <v>45584</v>
      </c>
      <c r="C752" s="18">
        <f t="shared" si="11"/>
        <v>10</v>
      </c>
      <c r="D752" t="s">
        <v>111</v>
      </c>
      <c r="E752">
        <v>4878265</v>
      </c>
      <c r="F752" t="s">
        <v>8</v>
      </c>
      <c r="G752" t="s">
        <v>203</v>
      </c>
      <c r="H752" t="s">
        <v>223</v>
      </c>
      <c r="I752" s="4">
        <v>100638.28079999999</v>
      </c>
      <c r="J752" s="4">
        <v>201276.56159999999</v>
      </c>
      <c r="L752" s="4">
        <v>2</v>
      </c>
    </row>
    <row r="753" spans="1:12">
      <c r="A753" t="s">
        <v>105</v>
      </c>
      <c r="B753" s="10">
        <v>45584</v>
      </c>
      <c r="C753" s="18">
        <f t="shared" si="11"/>
        <v>10</v>
      </c>
      <c r="D753" t="s">
        <v>111</v>
      </c>
      <c r="E753">
        <v>4878265</v>
      </c>
      <c r="F753" t="s">
        <v>8</v>
      </c>
      <c r="G753" t="s">
        <v>203</v>
      </c>
      <c r="H753" t="s">
        <v>244</v>
      </c>
      <c r="I753" s="4">
        <v>125766.4408</v>
      </c>
      <c r="J753" s="4">
        <v>251532.88159999999</v>
      </c>
      <c r="L753" s="4">
        <v>2</v>
      </c>
    </row>
    <row r="754" spans="1:12">
      <c r="A754" t="s">
        <v>105</v>
      </c>
      <c r="B754" s="10">
        <v>45584</v>
      </c>
      <c r="C754" s="18">
        <f t="shared" si="11"/>
        <v>10</v>
      </c>
      <c r="D754" t="s">
        <v>116</v>
      </c>
      <c r="E754">
        <v>4878432</v>
      </c>
      <c r="F754" t="s">
        <v>8</v>
      </c>
      <c r="G754" t="s">
        <v>203</v>
      </c>
      <c r="H754" t="s">
        <v>238</v>
      </c>
      <c r="I754" s="4">
        <v>95606.36675999999</v>
      </c>
      <c r="J754" s="4">
        <v>191212.73351999998</v>
      </c>
      <c r="L754" s="4">
        <v>2</v>
      </c>
    </row>
    <row r="755" spans="1:12">
      <c r="A755" t="s">
        <v>105</v>
      </c>
      <c r="B755" s="10">
        <v>45586</v>
      </c>
      <c r="C755" s="18">
        <f t="shared" si="11"/>
        <v>10</v>
      </c>
      <c r="D755" t="s">
        <v>111</v>
      </c>
      <c r="E755">
        <v>4878610</v>
      </c>
      <c r="F755" t="s">
        <v>8</v>
      </c>
      <c r="G755" t="s">
        <v>203</v>
      </c>
      <c r="H755" t="s">
        <v>240</v>
      </c>
      <c r="I755" s="4">
        <v>100638.28079999999</v>
      </c>
      <c r="J755" s="4">
        <v>1006382.808</v>
      </c>
      <c r="L755" s="4">
        <v>10</v>
      </c>
    </row>
    <row r="756" spans="1:12">
      <c r="A756" t="s">
        <v>105</v>
      </c>
      <c r="B756" s="10">
        <v>45586</v>
      </c>
      <c r="C756" s="18">
        <f t="shared" si="11"/>
        <v>10</v>
      </c>
      <c r="D756" t="s">
        <v>111</v>
      </c>
      <c r="E756">
        <v>4878610</v>
      </c>
      <c r="F756" t="s">
        <v>8</v>
      </c>
      <c r="G756" t="s">
        <v>203</v>
      </c>
      <c r="H756" t="s">
        <v>238</v>
      </c>
      <c r="I756" s="4">
        <v>95606.36675999999</v>
      </c>
      <c r="J756" s="4">
        <v>956063.66759999993</v>
      </c>
      <c r="L756" s="4">
        <v>10</v>
      </c>
    </row>
    <row r="757" spans="1:12">
      <c r="A757" t="s">
        <v>105</v>
      </c>
      <c r="B757" s="10">
        <v>45586</v>
      </c>
      <c r="C757" s="18">
        <f t="shared" si="11"/>
        <v>10</v>
      </c>
      <c r="D757" t="s">
        <v>111</v>
      </c>
      <c r="E757">
        <v>4878610</v>
      </c>
      <c r="F757" t="s">
        <v>8</v>
      </c>
      <c r="G757" t="s">
        <v>203</v>
      </c>
      <c r="H757" t="s">
        <v>234</v>
      </c>
      <c r="I757" s="4">
        <v>100638.28079999999</v>
      </c>
      <c r="J757" s="4">
        <v>1006382.808</v>
      </c>
      <c r="L757" s="4">
        <v>10</v>
      </c>
    </row>
    <row r="758" spans="1:12">
      <c r="A758" t="s">
        <v>105</v>
      </c>
      <c r="B758" s="10">
        <v>45586</v>
      </c>
      <c r="C758" s="18">
        <f t="shared" si="11"/>
        <v>10</v>
      </c>
      <c r="D758" t="s">
        <v>111</v>
      </c>
      <c r="E758">
        <v>4878610</v>
      </c>
      <c r="F758" t="s">
        <v>8</v>
      </c>
      <c r="G758" t="s">
        <v>203</v>
      </c>
      <c r="H758" t="s">
        <v>232</v>
      </c>
      <c r="I758" s="4">
        <v>100638.28079999999</v>
      </c>
      <c r="J758" s="4">
        <v>1006382.808</v>
      </c>
      <c r="L758" s="4">
        <v>10</v>
      </c>
    </row>
    <row r="759" spans="1:12">
      <c r="A759" t="s">
        <v>105</v>
      </c>
      <c r="B759" s="10">
        <v>45586</v>
      </c>
      <c r="C759" s="18">
        <f t="shared" si="11"/>
        <v>10</v>
      </c>
      <c r="D759" t="s">
        <v>111</v>
      </c>
      <c r="E759">
        <v>4878610</v>
      </c>
      <c r="F759" t="s">
        <v>8</v>
      </c>
      <c r="G759" t="s">
        <v>203</v>
      </c>
      <c r="H759" t="s">
        <v>230</v>
      </c>
      <c r="I759" s="4">
        <v>100638.28079999999</v>
      </c>
      <c r="J759" s="4">
        <v>1006382.808</v>
      </c>
      <c r="L759" s="4">
        <v>10</v>
      </c>
    </row>
    <row r="760" spans="1:12">
      <c r="A760" t="s">
        <v>105</v>
      </c>
      <c r="B760" s="10">
        <v>45586</v>
      </c>
      <c r="C760" s="18">
        <f t="shared" si="11"/>
        <v>10</v>
      </c>
      <c r="D760" t="s">
        <v>111</v>
      </c>
      <c r="E760">
        <v>4878259</v>
      </c>
      <c r="F760" t="s">
        <v>8</v>
      </c>
      <c r="G760" t="s">
        <v>206</v>
      </c>
      <c r="H760" t="s">
        <v>209</v>
      </c>
      <c r="I760" s="4">
        <v>17715.352800000001</v>
      </c>
      <c r="J760" s="4">
        <v>354307.05599999998</v>
      </c>
      <c r="L760" s="4">
        <v>20</v>
      </c>
    </row>
    <row r="761" spans="1:12">
      <c r="A761" t="s">
        <v>105</v>
      </c>
      <c r="B761" s="10">
        <v>45586</v>
      </c>
      <c r="C761" s="18">
        <f t="shared" si="11"/>
        <v>10</v>
      </c>
      <c r="D761" t="s">
        <v>110</v>
      </c>
      <c r="E761">
        <v>4878163</v>
      </c>
      <c r="F761" t="s">
        <v>8</v>
      </c>
      <c r="G761" t="s">
        <v>203</v>
      </c>
      <c r="H761" t="s">
        <v>232</v>
      </c>
      <c r="I761" s="4">
        <v>100638.28079999999</v>
      </c>
      <c r="J761" s="4">
        <v>1006382.808</v>
      </c>
      <c r="L761" s="4">
        <v>10</v>
      </c>
    </row>
    <row r="762" spans="1:12">
      <c r="A762" t="s">
        <v>105</v>
      </c>
      <c r="B762" s="10">
        <v>45586</v>
      </c>
      <c r="C762" s="18">
        <f t="shared" si="11"/>
        <v>10</v>
      </c>
      <c r="D762" t="s">
        <v>109</v>
      </c>
      <c r="E762">
        <v>4878203</v>
      </c>
      <c r="F762" t="s">
        <v>8</v>
      </c>
      <c r="G762" t="s">
        <v>203</v>
      </c>
      <c r="H762" t="s">
        <v>234</v>
      </c>
      <c r="I762" s="4">
        <v>100638.28079999999</v>
      </c>
      <c r="J762" s="4">
        <v>1006382.808</v>
      </c>
      <c r="K762" s="4">
        <v>-40255.312320000005</v>
      </c>
      <c r="L762" s="4">
        <v>10</v>
      </c>
    </row>
    <row r="763" spans="1:12">
      <c r="A763" t="s">
        <v>105</v>
      </c>
      <c r="B763" s="10">
        <v>45586</v>
      </c>
      <c r="C763" s="18">
        <f t="shared" si="11"/>
        <v>10</v>
      </c>
      <c r="D763" t="s">
        <v>126</v>
      </c>
      <c r="E763">
        <v>6444288</v>
      </c>
      <c r="F763" t="s">
        <v>8</v>
      </c>
      <c r="G763" t="s">
        <v>203</v>
      </c>
      <c r="H763" t="s">
        <v>234</v>
      </c>
      <c r="I763" s="4">
        <v>100638.28079999999</v>
      </c>
      <c r="J763" s="4">
        <v>201276.56159999999</v>
      </c>
      <c r="K763" s="4">
        <v>-6038.296848</v>
      </c>
      <c r="L763" s="4">
        <v>2</v>
      </c>
    </row>
    <row r="764" spans="1:12">
      <c r="A764" t="s">
        <v>105</v>
      </c>
      <c r="B764" s="10">
        <v>45586</v>
      </c>
      <c r="C764" s="18">
        <f t="shared" si="11"/>
        <v>10</v>
      </c>
      <c r="D764" t="s">
        <v>126</v>
      </c>
      <c r="E764">
        <v>6444288</v>
      </c>
      <c r="F764" t="s">
        <v>8</v>
      </c>
      <c r="G764" t="s">
        <v>203</v>
      </c>
      <c r="H764" t="s">
        <v>223</v>
      </c>
      <c r="I764" s="4">
        <v>100638.28079999999</v>
      </c>
      <c r="J764" s="4">
        <v>201276.56159999999</v>
      </c>
      <c r="K764" s="4">
        <v>-6038.296848</v>
      </c>
      <c r="L764" s="4">
        <v>2</v>
      </c>
    </row>
    <row r="765" spans="1:12">
      <c r="A765" t="s">
        <v>105</v>
      </c>
      <c r="B765" s="10">
        <v>45586</v>
      </c>
      <c r="C765" s="18">
        <f t="shared" si="11"/>
        <v>10</v>
      </c>
      <c r="D765" t="s">
        <v>126</v>
      </c>
      <c r="E765">
        <v>6444288</v>
      </c>
      <c r="F765" t="s">
        <v>8</v>
      </c>
      <c r="G765" t="s">
        <v>203</v>
      </c>
      <c r="H765" t="s">
        <v>244</v>
      </c>
      <c r="I765" s="4">
        <v>125766.4408</v>
      </c>
      <c r="J765" s="4">
        <v>251532.88159999999</v>
      </c>
      <c r="K765" s="4">
        <v>-7545.9864480000006</v>
      </c>
      <c r="L765" s="4">
        <v>2</v>
      </c>
    </row>
    <row r="766" spans="1:12">
      <c r="A766" t="s">
        <v>105</v>
      </c>
      <c r="B766" s="10">
        <v>45588</v>
      </c>
      <c r="C766" s="18">
        <f t="shared" si="11"/>
        <v>10</v>
      </c>
      <c r="D766" t="s">
        <v>112</v>
      </c>
      <c r="E766">
        <v>4877617</v>
      </c>
      <c r="F766" t="s">
        <v>8</v>
      </c>
      <c r="G766" t="s">
        <v>203</v>
      </c>
      <c r="H766" t="s">
        <v>234</v>
      </c>
      <c r="I766" s="4">
        <v>100638.28079999999</v>
      </c>
      <c r="J766" s="4">
        <v>603829.68479999993</v>
      </c>
      <c r="L766" s="4">
        <v>6</v>
      </c>
    </row>
    <row r="767" spans="1:12">
      <c r="A767" t="s">
        <v>105</v>
      </c>
      <c r="B767" s="10">
        <v>45588</v>
      </c>
      <c r="C767" s="18">
        <f t="shared" si="11"/>
        <v>10</v>
      </c>
      <c r="D767" t="s">
        <v>112</v>
      </c>
      <c r="E767">
        <v>4877617</v>
      </c>
      <c r="F767" t="s">
        <v>8</v>
      </c>
      <c r="G767" t="s">
        <v>203</v>
      </c>
      <c r="H767" t="s">
        <v>230</v>
      </c>
      <c r="I767" s="4">
        <v>100638.28079999999</v>
      </c>
      <c r="J767" s="4">
        <v>402553.12319999997</v>
      </c>
      <c r="L767" s="4">
        <v>4</v>
      </c>
    </row>
    <row r="768" spans="1:12">
      <c r="A768" t="s">
        <v>105</v>
      </c>
      <c r="B768" s="10">
        <v>45588</v>
      </c>
      <c r="C768" s="18">
        <f t="shared" si="11"/>
        <v>10</v>
      </c>
      <c r="D768" t="s">
        <v>112</v>
      </c>
      <c r="E768">
        <v>4877617</v>
      </c>
      <c r="F768" t="s">
        <v>8</v>
      </c>
      <c r="G768" t="s">
        <v>203</v>
      </c>
      <c r="H768" t="s">
        <v>228</v>
      </c>
      <c r="I768" s="4">
        <v>100638.28079999999</v>
      </c>
      <c r="J768" s="4">
        <v>402553.12319999997</v>
      </c>
      <c r="L768" s="4">
        <v>4</v>
      </c>
    </row>
    <row r="769" spans="1:12">
      <c r="A769" t="s">
        <v>105</v>
      </c>
      <c r="B769" s="10">
        <v>45589</v>
      </c>
      <c r="C769" s="18">
        <f t="shared" si="11"/>
        <v>10</v>
      </c>
      <c r="D769" t="s">
        <v>127</v>
      </c>
      <c r="E769">
        <v>4877862</v>
      </c>
      <c r="F769" t="s">
        <v>8</v>
      </c>
      <c r="G769" t="s">
        <v>203</v>
      </c>
      <c r="H769" t="s">
        <v>228</v>
      </c>
      <c r="I769" s="4">
        <v>100638.28079999999</v>
      </c>
      <c r="J769" s="4">
        <v>201276.56159999999</v>
      </c>
      <c r="L769" s="4">
        <v>2</v>
      </c>
    </row>
    <row r="770" spans="1:12">
      <c r="A770" t="s">
        <v>105</v>
      </c>
      <c r="B770" s="10">
        <v>45589</v>
      </c>
      <c r="C770" s="18">
        <f t="shared" ref="C770:C833" si="12">MONTH(B770)</f>
        <v>10</v>
      </c>
      <c r="D770" t="s">
        <v>127</v>
      </c>
      <c r="E770">
        <v>4877779</v>
      </c>
      <c r="F770" t="s">
        <v>8</v>
      </c>
      <c r="G770" t="s">
        <v>202</v>
      </c>
      <c r="H770" t="s">
        <v>255</v>
      </c>
      <c r="I770" s="4">
        <v>72489.71596799999</v>
      </c>
      <c r="J770" s="4">
        <v>362448.57983999996</v>
      </c>
      <c r="L770" s="4">
        <v>5</v>
      </c>
    </row>
    <row r="771" spans="1:12">
      <c r="A771" t="s">
        <v>105</v>
      </c>
      <c r="B771" s="10">
        <v>45589</v>
      </c>
      <c r="C771" s="18">
        <f t="shared" si="12"/>
        <v>10</v>
      </c>
      <c r="D771" t="s">
        <v>127</v>
      </c>
      <c r="E771">
        <v>4877779</v>
      </c>
      <c r="F771" t="s">
        <v>8</v>
      </c>
      <c r="G771" t="s">
        <v>202</v>
      </c>
      <c r="H771" t="s">
        <v>254</v>
      </c>
      <c r="I771" s="4">
        <v>37817.880799999999</v>
      </c>
      <c r="J771" s="4">
        <v>189089.40399999998</v>
      </c>
      <c r="L771" s="4">
        <v>5</v>
      </c>
    </row>
    <row r="772" spans="1:12">
      <c r="A772" t="s">
        <v>105</v>
      </c>
      <c r="B772" s="10">
        <v>45590</v>
      </c>
      <c r="C772" s="18">
        <f t="shared" si="12"/>
        <v>10</v>
      </c>
      <c r="D772" t="s">
        <v>110</v>
      </c>
      <c r="E772">
        <v>4878173</v>
      </c>
      <c r="F772" t="s">
        <v>8</v>
      </c>
      <c r="G772" t="s">
        <v>203</v>
      </c>
      <c r="H772" t="s">
        <v>240</v>
      </c>
      <c r="I772" s="4">
        <v>100638.28079999999</v>
      </c>
      <c r="J772" s="4">
        <v>201276.56159999999</v>
      </c>
      <c r="L772" s="4">
        <v>2</v>
      </c>
    </row>
    <row r="773" spans="1:12">
      <c r="A773" t="s">
        <v>105</v>
      </c>
      <c r="B773" s="10">
        <v>45590</v>
      </c>
      <c r="C773" s="18">
        <f t="shared" si="12"/>
        <v>10</v>
      </c>
      <c r="D773" t="s">
        <v>110</v>
      </c>
      <c r="E773">
        <v>4878173</v>
      </c>
      <c r="F773" t="s">
        <v>8</v>
      </c>
      <c r="G773" t="s">
        <v>203</v>
      </c>
      <c r="H773" t="s">
        <v>228</v>
      </c>
      <c r="I773" s="4">
        <v>100638.28079999999</v>
      </c>
      <c r="J773" s="4">
        <v>201276.56159999999</v>
      </c>
      <c r="L773" s="4">
        <v>2</v>
      </c>
    </row>
    <row r="774" spans="1:12">
      <c r="A774" t="s">
        <v>105</v>
      </c>
      <c r="B774" s="10">
        <v>45590</v>
      </c>
      <c r="C774" s="18">
        <f t="shared" si="12"/>
        <v>10</v>
      </c>
      <c r="D774" t="s">
        <v>110</v>
      </c>
      <c r="E774">
        <v>4878173</v>
      </c>
      <c r="F774" t="s">
        <v>8</v>
      </c>
      <c r="G774" t="s">
        <v>203</v>
      </c>
      <c r="H774" t="s">
        <v>244</v>
      </c>
      <c r="I774" s="4">
        <v>125766.4408</v>
      </c>
      <c r="J774" s="4">
        <v>251532.88159999999</v>
      </c>
      <c r="L774" s="4">
        <v>2</v>
      </c>
    </row>
    <row r="775" spans="1:12">
      <c r="A775" t="s">
        <v>105</v>
      </c>
      <c r="B775" s="10">
        <v>45596</v>
      </c>
      <c r="C775" s="18">
        <f t="shared" si="12"/>
        <v>10</v>
      </c>
      <c r="D775" t="s">
        <v>111</v>
      </c>
      <c r="E775">
        <v>4878254</v>
      </c>
      <c r="F775" t="s">
        <v>8</v>
      </c>
      <c r="G775" t="s">
        <v>203</v>
      </c>
      <c r="H775" t="s">
        <v>232</v>
      </c>
      <c r="I775" s="4">
        <v>100638.28079999999</v>
      </c>
      <c r="J775" s="4">
        <v>201276.56159999999</v>
      </c>
      <c r="L775" s="4">
        <v>2</v>
      </c>
    </row>
    <row r="776" spans="1:12">
      <c r="A776" t="s">
        <v>105</v>
      </c>
      <c r="B776" s="10">
        <v>45596</v>
      </c>
      <c r="C776" s="18">
        <f t="shared" si="12"/>
        <v>10</v>
      </c>
      <c r="D776" t="s">
        <v>111</v>
      </c>
      <c r="E776">
        <v>4878254</v>
      </c>
      <c r="F776" t="s">
        <v>8</v>
      </c>
      <c r="G776" t="s">
        <v>203</v>
      </c>
      <c r="H776" t="s">
        <v>228</v>
      </c>
      <c r="I776" s="4">
        <v>100638.28079999999</v>
      </c>
      <c r="J776" s="4">
        <v>201276.56159999999</v>
      </c>
      <c r="L776" s="4">
        <v>2</v>
      </c>
    </row>
    <row r="777" spans="1:12">
      <c r="A777" t="s">
        <v>107</v>
      </c>
      <c r="B777" s="10">
        <v>45568</v>
      </c>
      <c r="C777" s="18">
        <f t="shared" si="12"/>
        <v>10</v>
      </c>
      <c r="D777" t="s">
        <v>154</v>
      </c>
      <c r="E777">
        <v>4878664</v>
      </c>
      <c r="F777" t="s">
        <v>8</v>
      </c>
      <c r="G777" t="s">
        <v>203</v>
      </c>
      <c r="H777" t="s">
        <v>232</v>
      </c>
      <c r="I777" s="4">
        <v>100638.28079999999</v>
      </c>
      <c r="J777" s="4">
        <v>201276.56159999999</v>
      </c>
      <c r="L777" s="4">
        <v>2</v>
      </c>
    </row>
    <row r="778" spans="1:12">
      <c r="A778" t="s">
        <v>107</v>
      </c>
      <c r="B778" s="10">
        <v>45568</v>
      </c>
      <c r="C778" s="18">
        <f t="shared" si="12"/>
        <v>10</v>
      </c>
      <c r="D778" t="s">
        <v>154</v>
      </c>
      <c r="E778">
        <v>4878664</v>
      </c>
      <c r="F778" t="s">
        <v>8</v>
      </c>
      <c r="G778" t="s">
        <v>203</v>
      </c>
      <c r="H778" t="s">
        <v>223</v>
      </c>
      <c r="I778" s="4">
        <v>100638.28079999999</v>
      </c>
      <c r="J778" s="4">
        <v>201276.56159999999</v>
      </c>
      <c r="L778" s="4">
        <v>2</v>
      </c>
    </row>
    <row r="779" spans="1:12">
      <c r="A779" t="s">
        <v>107</v>
      </c>
      <c r="B779" s="10">
        <v>45569</v>
      </c>
      <c r="C779" s="18">
        <f t="shared" si="12"/>
        <v>10</v>
      </c>
      <c r="D779" t="s">
        <v>162</v>
      </c>
      <c r="E779">
        <v>4878665</v>
      </c>
      <c r="F779" t="s">
        <v>8</v>
      </c>
      <c r="G779" t="s">
        <v>203</v>
      </c>
      <c r="H779" t="s">
        <v>223</v>
      </c>
      <c r="I779" s="4">
        <v>100638.28079999999</v>
      </c>
      <c r="J779" s="4">
        <v>603829.68479999993</v>
      </c>
      <c r="L779" s="4">
        <v>6</v>
      </c>
    </row>
    <row r="780" spans="1:12">
      <c r="A780" t="s">
        <v>107</v>
      </c>
      <c r="B780" s="10">
        <v>45569</v>
      </c>
      <c r="C780" s="18">
        <f t="shared" si="12"/>
        <v>10</v>
      </c>
      <c r="D780" t="s">
        <v>162</v>
      </c>
      <c r="E780">
        <v>4874459</v>
      </c>
      <c r="F780" t="s">
        <v>8</v>
      </c>
      <c r="G780" t="s">
        <v>203</v>
      </c>
      <c r="H780" t="s">
        <v>223</v>
      </c>
      <c r="I780" s="4">
        <v>100638.28079999999</v>
      </c>
      <c r="J780" s="4">
        <v>603829.68479999993</v>
      </c>
      <c r="L780" s="4">
        <v>6</v>
      </c>
    </row>
    <row r="781" spans="1:12">
      <c r="A781" t="s">
        <v>107</v>
      </c>
      <c r="B781" s="10">
        <v>45578</v>
      </c>
      <c r="C781" s="18">
        <f t="shared" si="12"/>
        <v>10</v>
      </c>
      <c r="D781" t="s">
        <v>163</v>
      </c>
      <c r="E781">
        <v>4874231</v>
      </c>
      <c r="F781" t="s">
        <v>8</v>
      </c>
      <c r="G781" t="s">
        <v>203</v>
      </c>
      <c r="H781" t="s">
        <v>241</v>
      </c>
      <c r="I781" s="4">
        <v>125766.4408</v>
      </c>
      <c r="J781" s="4">
        <v>251532.88159999999</v>
      </c>
      <c r="L781" s="4">
        <v>2</v>
      </c>
    </row>
    <row r="782" spans="1:12">
      <c r="A782" t="s">
        <v>107</v>
      </c>
      <c r="B782" s="10">
        <v>45578</v>
      </c>
      <c r="C782" s="18">
        <f t="shared" si="12"/>
        <v>10</v>
      </c>
      <c r="D782" t="s">
        <v>163</v>
      </c>
      <c r="E782">
        <v>4874231</v>
      </c>
      <c r="F782" t="s">
        <v>8</v>
      </c>
      <c r="G782" t="s">
        <v>203</v>
      </c>
      <c r="H782" t="s">
        <v>237</v>
      </c>
      <c r="I782" s="4">
        <v>125766.4408</v>
      </c>
      <c r="J782" s="4">
        <v>251532.88159999999</v>
      </c>
      <c r="L782" s="4">
        <v>2</v>
      </c>
    </row>
    <row r="783" spans="1:12">
      <c r="A783" t="s">
        <v>107</v>
      </c>
      <c r="B783" s="10">
        <v>45578</v>
      </c>
      <c r="C783" s="18">
        <f t="shared" si="12"/>
        <v>10</v>
      </c>
      <c r="D783" t="s">
        <v>163</v>
      </c>
      <c r="E783">
        <v>4874231</v>
      </c>
      <c r="F783" t="s">
        <v>8</v>
      </c>
      <c r="G783" t="s">
        <v>203</v>
      </c>
      <c r="H783" t="s">
        <v>233</v>
      </c>
      <c r="I783" s="4">
        <v>120735.78316800001</v>
      </c>
      <c r="J783" s="4">
        <v>241471.56633600002</v>
      </c>
      <c r="L783" s="4">
        <v>2</v>
      </c>
    </row>
    <row r="784" spans="1:12">
      <c r="A784" t="s">
        <v>107</v>
      </c>
      <c r="B784" s="10">
        <v>45579</v>
      </c>
      <c r="C784" s="18">
        <f t="shared" si="12"/>
        <v>10</v>
      </c>
      <c r="D784" t="s">
        <v>140</v>
      </c>
      <c r="E784">
        <v>4876992</v>
      </c>
      <c r="F784" t="s">
        <v>8</v>
      </c>
      <c r="G784" t="s">
        <v>203</v>
      </c>
      <c r="H784" t="s">
        <v>241</v>
      </c>
      <c r="I784" s="4">
        <v>125766.4408</v>
      </c>
      <c r="J784" s="4">
        <v>377299.3224</v>
      </c>
      <c r="L784" s="4">
        <v>3</v>
      </c>
    </row>
    <row r="785" spans="1:12">
      <c r="A785" t="s">
        <v>107</v>
      </c>
      <c r="B785" s="10">
        <v>45579</v>
      </c>
      <c r="C785" s="18">
        <f t="shared" si="12"/>
        <v>10</v>
      </c>
      <c r="D785" t="s">
        <v>140</v>
      </c>
      <c r="E785">
        <v>4876992</v>
      </c>
      <c r="F785" t="s">
        <v>8</v>
      </c>
      <c r="G785" t="s">
        <v>203</v>
      </c>
      <c r="H785" t="s">
        <v>237</v>
      </c>
      <c r="I785" s="4">
        <v>125766.4408</v>
      </c>
      <c r="J785" s="4">
        <v>377299.3224</v>
      </c>
      <c r="L785" s="4">
        <v>3</v>
      </c>
    </row>
    <row r="786" spans="1:12">
      <c r="A786" t="s">
        <v>107</v>
      </c>
      <c r="B786" s="10">
        <v>45579</v>
      </c>
      <c r="C786" s="18">
        <f t="shared" si="12"/>
        <v>10</v>
      </c>
      <c r="D786" t="s">
        <v>140</v>
      </c>
      <c r="E786">
        <v>4876992</v>
      </c>
      <c r="F786" t="s">
        <v>8</v>
      </c>
      <c r="G786" t="s">
        <v>203</v>
      </c>
      <c r="H786" t="s">
        <v>233</v>
      </c>
      <c r="I786" s="4">
        <v>120735.78316800001</v>
      </c>
      <c r="J786" s="4">
        <v>362207.34950400004</v>
      </c>
      <c r="L786" s="4">
        <v>3</v>
      </c>
    </row>
    <row r="787" spans="1:12">
      <c r="A787" t="s">
        <v>107</v>
      </c>
      <c r="B787" s="10">
        <v>45580</v>
      </c>
      <c r="C787" s="18">
        <f t="shared" si="12"/>
        <v>10</v>
      </c>
      <c r="D787" t="s">
        <v>151</v>
      </c>
      <c r="E787">
        <v>4876098</v>
      </c>
      <c r="F787" t="s">
        <v>8</v>
      </c>
      <c r="G787" t="s">
        <v>204</v>
      </c>
      <c r="H787" t="s">
        <v>212</v>
      </c>
      <c r="I787" s="4">
        <v>62946.040799999995</v>
      </c>
      <c r="J787" s="4">
        <v>3147302.0399999996</v>
      </c>
      <c r="L787" s="4">
        <v>50</v>
      </c>
    </row>
    <row r="788" spans="1:12">
      <c r="A788" t="s">
        <v>107</v>
      </c>
      <c r="B788" s="10">
        <v>45585</v>
      </c>
      <c r="C788" s="18">
        <f t="shared" si="12"/>
        <v>10</v>
      </c>
      <c r="D788" t="s">
        <v>162</v>
      </c>
      <c r="E788">
        <v>4878188</v>
      </c>
      <c r="F788" t="s">
        <v>8</v>
      </c>
      <c r="G788" t="s">
        <v>203</v>
      </c>
      <c r="H788" t="s">
        <v>240</v>
      </c>
      <c r="I788" s="4">
        <v>100638.28079999999</v>
      </c>
      <c r="J788" s="4">
        <v>603829.68479999993</v>
      </c>
      <c r="K788" s="4">
        <v>-26007.645599999996</v>
      </c>
      <c r="L788" s="4">
        <v>6</v>
      </c>
    </row>
    <row r="789" spans="1:12">
      <c r="A789" t="s">
        <v>107</v>
      </c>
      <c r="B789" s="10">
        <v>45585</v>
      </c>
      <c r="C789" s="18">
        <f t="shared" si="12"/>
        <v>10</v>
      </c>
      <c r="D789" t="s">
        <v>162</v>
      </c>
      <c r="E789">
        <v>4878188</v>
      </c>
      <c r="F789" t="s">
        <v>8</v>
      </c>
      <c r="G789" t="s">
        <v>203</v>
      </c>
      <c r="H789" t="s">
        <v>238</v>
      </c>
      <c r="I789" s="4">
        <v>95606.36675999999</v>
      </c>
      <c r="J789" s="4">
        <v>382425.46703999996</v>
      </c>
      <c r="K789" s="4">
        <v>-17338.430399999997</v>
      </c>
      <c r="L789" s="4">
        <v>4</v>
      </c>
    </row>
    <row r="790" spans="1:12">
      <c r="A790" t="s">
        <v>107</v>
      </c>
      <c r="B790" s="10">
        <v>45585</v>
      </c>
      <c r="C790" s="18">
        <f t="shared" si="12"/>
        <v>10</v>
      </c>
      <c r="D790" t="s">
        <v>162</v>
      </c>
      <c r="E790">
        <v>4878188</v>
      </c>
      <c r="F790" t="s">
        <v>8</v>
      </c>
      <c r="G790" t="s">
        <v>203</v>
      </c>
      <c r="H790" t="s">
        <v>232</v>
      </c>
      <c r="I790" s="4">
        <v>100638.28079999999</v>
      </c>
      <c r="J790" s="4">
        <v>402553.12319999997</v>
      </c>
      <c r="K790" s="4">
        <v>-17338.430399999997</v>
      </c>
      <c r="L790" s="4">
        <v>4</v>
      </c>
    </row>
    <row r="791" spans="1:12">
      <c r="A791" t="s">
        <v>107</v>
      </c>
      <c r="B791" s="10">
        <v>45585</v>
      </c>
      <c r="C791" s="18">
        <f t="shared" si="12"/>
        <v>10</v>
      </c>
      <c r="D791" t="s">
        <v>162</v>
      </c>
      <c r="E791">
        <v>4878188</v>
      </c>
      <c r="F791" t="s">
        <v>8</v>
      </c>
      <c r="G791" t="s">
        <v>203</v>
      </c>
      <c r="H791" t="s">
        <v>231</v>
      </c>
      <c r="I791" s="4">
        <v>125766.4408</v>
      </c>
      <c r="J791" s="4">
        <v>628832.20400000003</v>
      </c>
      <c r="K791" s="4">
        <v>-28269.18</v>
      </c>
      <c r="L791" s="4">
        <v>5</v>
      </c>
    </row>
    <row r="792" spans="1:12">
      <c r="A792" t="s">
        <v>107</v>
      </c>
      <c r="B792" s="10">
        <v>45585</v>
      </c>
      <c r="C792" s="18">
        <f t="shared" si="12"/>
        <v>10</v>
      </c>
      <c r="D792" t="s">
        <v>162</v>
      </c>
      <c r="E792">
        <v>4874459</v>
      </c>
      <c r="F792" t="s">
        <v>8</v>
      </c>
      <c r="G792" t="s">
        <v>203</v>
      </c>
      <c r="H792" t="s">
        <v>238</v>
      </c>
      <c r="I792" s="4">
        <v>95606.36675999999</v>
      </c>
      <c r="J792" s="4">
        <v>191212.73351999998</v>
      </c>
      <c r="L792" s="4">
        <v>2</v>
      </c>
    </row>
    <row r="793" spans="1:12">
      <c r="A793" t="s">
        <v>107</v>
      </c>
      <c r="B793" s="10">
        <v>45585</v>
      </c>
      <c r="C793" s="18">
        <f t="shared" si="12"/>
        <v>10</v>
      </c>
      <c r="D793" t="s">
        <v>162</v>
      </c>
      <c r="E793">
        <v>4874459</v>
      </c>
      <c r="F793" t="s">
        <v>8</v>
      </c>
      <c r="G793" t="s">
        <v>203</v>
      </c>
      <c r="H793" t="s">
        <v>232</v>
      </c>
      <c r="I793" s="4">
        <v>100638.28079999999</v>
      </c>
      <c r="J793" s="4">
        <v>201276.56159999999</v>
      </c>
      <c r="L793" s="4">
        <v>2</v>
      </c>
    </row>
    <row r="794" spans="1:12">
      <c r="A794" t="s">
        <v>107</v>
      </c>
      <c r="B794" s="10">
        <v>45585</v>
      </c>
      <c r="C794" s="18">
        <f t="shared" si="12"/>
        <v>10</v>
      </c>
      <c r="D794" t="s">
        <v>162</v>
      </c>
      <c r="E794">
        <v>4874459</v>
      </c>
      <c r="F794" t="s">
        <v>8</v>
      </c>
      <c r="G794" t="s">
        <v>203</v>
      </c>
      <c r="H794" t="s">
        <v>241</v>
      </c>
      <c r="I794" s="4">
        <v>125766.4408</v>
      </c>
      <c r="J794" s="4">
        <v>503065.76319999999</v>
      </c>
      <c r="L794" s="4">
        <v>4</v>
      </c>
    </row>
    <row r="795" spans="1:12">
      <c r="A795" t="s">
        <v>107</v>
      </c>
      <c r="B795" s="10">
        <v>45585</v>
      </c>
      <c r="C795" s="18">
        <f t="shared" si="12"/>
        <v>10</v>
      </c>
      <c r="D795" t="s">
        <v>162</v>
      </c>
      <c r="E795">
        <v>4874459</v>
      </c>
      <c r="F795" t="s">
        <v>8</v>
      </c>
      <c r="G795" t="s">
        <v>203</v>
      </c>
      <c r="H795" t="s">
        <v>237</v>
      </c>
      <c r="I795" s="4">
        <v>125766.4408</v>
      </c>
      <c r="J795" s="4">
        <v>503065.76319999999</v>
      </c>
      <c r="L795" s="4">
        <v>4</v>
      </c>
    </row>
    <row r="796" spans="1:12">
      <c r="A796" t="s">
        <v>107</v>
      </c>
      <c r="B796" s="10">
        <v>45585</v>
      </c>
      <c r="C796" s="18">
        <f t="shared" si="12"/>
        <v>10</v>
      </c>
      <c r="D796" t="s">
        <v>162</v>
      </c>
      <c r="E796">
        <v>4874459</v>
      </c>
      <c r="F796" t="s">
        <v>8</v>
      </c>
      <c r="G796" t="s">
        <v>203</v>
      </c>
      <c r="H796" t="s">
        <v>231</v>
      </c>
      <c r="I796" s="4">
        <v>125766.4408</v>
      </c>
      <c r="J796" s="4">
        <v>1131897.9672000001</v>
      </c>
      <c r="L796" s="4">
        <v>9</v>
      </c>
    </row>
    <row r="797" spans="1:12">
      <c r="A797" t="s">
        <v>107</v>
      </c>
      <c r="B797" s="10">
        <v>45585</v>
      </c>
      <c r="C797" s="18">
        <f t="shared" si="12"/>
        <v>10</v>
      </c>
      <c r="D797" t="s">
        <v>167</v>
      </c>
      <c r="E797">
        <v>4875363</v>
      </c>
      <c r="F797" t="s">
        <v>8</v>
      </c>
      <c r="G797" t="s">
        <v>203</v>
      </c>
      <c r="H797" t="s">
        <v>240</v>
      </c>
      <c r="I797" s="4">
        <v>100638.28079999999</v>
      </c>
      <c r="J797" s="4">
        <v>402553.12319999997</v>
      </c>
      <c r="L797" s="4">
        <v>4</v>
      </c>
    </row>
    <row r="798" spans="1:12">
      <c r="A798" t="s">
        <v>107</v>
      </c>
      <c r="B798" s="10">
        <v>45585</v>
      </c>
      <c r="C798" s="18">
        <f t="shared" si="12"/>
        <v>10</v>
      </c>
      <c r="D798" t="s">
        <v>167</v>
      </c>
      <c r="E798">
        <v>4875363</v>
      </c>
      <c r="F798" t="s">
        <v>8</v>
      </c>
      <c r="G798" t="s">
        <v>203</v>
      </c>
      <c r="H798" t="s">
        <v>238</v>
      </c>
      <c r="I798" s="4">
        <v>95606.36675999999</v>
      </c>
      <c r="J798" s="4">
        <v>382425.46703999996</v>
      </c>
      <c r="L798" s="4">
        <v>4</v>
      </c>
    </row>
    <row r="799" spans="1:12">
      <c r="A799" t="s">
        <v>107</v>
      </c>
      <c r="B799" s="10">
        <v>45585</v>
      </c>
      <c r="C799" s="18">
        <f t="shared" si="12"/>
        <v>10</v>
      </c>
      <c r="D799" t="s">
        <v>167</v>
      </c>
      <c r="E799">
        <v>4875363</v>
      </c>
      <c r="F799" t="s">
        <v>8</v>
      </c>
      <c r="G799" t="s">
        <v>203</v>
      </c>
      <c r="H799" t="s">
        <v>232</v>
      </c>
      <c r="I799" s="4">
        <v>100638.28079999999</v>
      </c>
      <c r="J799" s="4">
        <v>402553.12319999997</v>
      </c>
      <c r="L799" s="4">
        <v>4</v>
      </c>
    </row>
    <row r="800" spans="1:12">
      <c r="A800" t="s">
        <v>107</v>
      </c>
      <c r="B800" s="10">
        <v>45585</v>
      </c>
      <c r="C800" s="18">
        <f t="shared" si="12"/>
        <v>10</v>
      </c>
      <c r="D800" t="s">
        <v>167</v>
      </c>
      <c r="E800">
        <v>4875363</v>
      </c>
      <c r="F800" t="s">
        <v>8</v>
      </c>
      <c r="G800" t="s">
        <v>203</v>
      </c>
      <c r="H800" t="s">
        <v>230</v>
      </c>
      <c r="I800" s="4">
        <v>100638.28079999999</v>
      </c>
      <c r="J800" s="4">
        <v>1006382.808</v>
      </c>
      <c r="L800" s="4">
        <v>10</v>
      </c>
    </row>
    <row r="801" spans="1:12">
      <c r="A801" t="s">
        <v>107</v>
      </c>
      <c r="B801" s="10">
        <v>45585</v>
      </c>
      <c r="C801" s="18">
        <f t="shared" si="12"/>
        <v>10</v>
      </c>
      <c r="D801" t="s">
        <v>167</v>
      </c>
      <c r="E801">
        <v>4875363</v>
      </c>
      <c r="F801" t="s">
        <v>8</v>
      </c>
      <c r="G801" t="s">
        <v>203</v>
      </c>
      <c r="H801" t="s">
        <v>237</v>
      </c>
      <c r="I801" s="4">
        <v>125766.4408</v>
      </c>
      <c r="J801" s="4">
        <v>754598.64480000001</v>
      </c>
      <c r="L801" s="4">
        <v>6</v>
      </c>
    </row>
    <row r="802" spans="1:12">
      <c r="A802" t="s">
        <v>107</v>
      </c>
      <c r="B802" s="10">
        <v>45585</v>
      </c>
      <c r="C802" s="18">
        <f t="shared" si="12"/>
        <v>10</v>
      </c>
      <c r="D802" t="s">
        <v>167</v>
      </c>
      <c r="E802">
        <v>4875363</v>
      </c>
      <c r="F802" t="s">
        <v>8</v>
      </c>
      <c r="G802" t="s">
        <v>203</v>
      </c>
      <c r="H802" t="s">
        <v>231</v>
      </c>
      <c r="I802" s="4">
        <v>125766.4408</v>
      </c>
      <c r="J802" s="4">
        <v>754598.64480000001</v>
      </c>
      <c r="L802" s="4">
        <v>6</v>
      </c>
    </row>
    <row r="803" spans="1:12">
      <c r="A803" t="s">
        <v>107</v>
      </c>
      <c r="B803" s="10">
        <v>45587</v>
      </c>
      <c r="C803" s="18">
        <f t="shared" si="12"/>
        <v>10</v>
      </c>
      <c r="D803" t="s">
        <v>187</v>
      </c>
      <c r="E803">
        <v>4876600</v>
      </c>
      <c r="F803" t="s">
        <v>8</v>
      </c>
      <c r="G803" t="s">
        <v>203</v>
      </c>
      <c r="H803" t="s">
        <v>241</v>
      </c>
      <c r="I803" s="4">
        <v>125766.4408</v>
      </c>
      <c r="J803" s="4">
        <v>754598.64480000001</v>
      </c>
      <c r="L803" s="4">
        <v>6</v>
      </c>
    </row>
    <row r="804" spans="1:12">
      <c r="A804" t="s">
        <v>107</v>
      </c>
      <c r="B804" s="10">
        <v>45589</v>
      </c>
      <c r="C804" s="18">
        <f t="shared" si="12"/>
        <v>10</v>
      </c>
      <c r="D804" t="s">
        <v>154</v>
      </c>
      <c r="E804">
        <v>6080195</v>
      </c>
      <c r="F804" t="s">
        <v>8</v>
      </c>
      <c r="G804" t="s">
        <v>203</v>
      </c>
      <c r="H804" t="s">
        <v>236</v>
      </c>
      <c r="I804" s="4">
        <v>100638.28079999999</v>
      </c>
      <c r="J804" s="4">
        <v>402553.12319999997</v>
      </c>
      <c r="L804" s="4">
        <v>4</v>
      </c>
    </row>
    <row r="805" spans="1:12">
      <c r="A805" t="s">
        <v>107</v>
      </c>
      <c r="B805" s="10">
        <v>45589</v>
      </c>
      <c r="C805" s="18">
        <f t="shared" si="12"/>
        <v>10</v>
      </c>
      <c r="D805" t="s">
        <v>154</v>
      </c>
      <c r="E805">
        <v>6080195</v>
      </c>
      <c r="F805" t="s">
        <v>8</v>
      </c>
      <c r="G805" t="s">
        <v>203</v>
      </c>
      <c r="H805" t="s">
        <v>224</v>
      </c>
      <c r="I805" s="4">
        <v>100638.28079999999</v>
      </c>
      <c r="J805" s="4">
        <v>402553.12319999997</v>
      </c>
      <c r="L805" s="4">
        <v>4</v>
      </c>
    </row>
    <row r="806" spans="1:12">
      <c r="A806" t="s">
        <v>107</v>
      </c>
      <c r="B806" s="10">
        <v>45589</v>
      </c>
      <c r="C806" s="18">
        <f t="shared" si="12"/>
        <v>10</v>
      </c>
      <c r="D806" t="s">
        <v>154</v>
      </c>
      <c r="E806">
        <v>6080195</v>
      </c>
      <c r="F806" t="s">
        <v>8</v>
      </c>
      <c r="G806" t="s">
        <v>203</v>
      </c>
      <c r="H806" t="s">
        <v>223</v>
      </c>
      <c r="I806" s="4">
        <v>100638.28079999999</v>
      </c>
      <c r="J806" s="4">
        <v>402553.12319999997</v>
      </c>
      <c r="L806" s="4">
        <v>4</v>
      </c>
    </row>
    <row r="807" spans="1:12">
      <c r="A807" t="s">
        <v>107</v>
      </c>
      <c r="B807" s="10">
        <v>45589</v>
      </c>
      <c r="C807" s="18">
        <f t="shared" si="12"/>
        <v>10</v>
      </c>
      <c r="D807" t="s">
        <v>154</v>
      </c>
      <c r="E807">
        <v>6080195</v>
      </c>
      <c r="F807" t="s">
        <v>8</v>
      </c>
      <c r="G807" t="s">
        <v>203</v>
      </c>
      <c r="H807" t="s">
        <v>222</v>
      </c>
      <c r="I807" s="4">
        <v>100638.28079999999</v>
      </c>
      <c r="J807" s="4">
        <v>402553.12319999997</v>
      </c>
      <c r="L807" s="4">
        <v>4</v>
      </c>
    </row>
    <row r="808" spans="1:12">
      <c r="A808" t="s">
        <v>107</v>
      </c>
      <c r="B808" s="10">
        <v>45592</v>
      </c>
      <c r="C808" s="18">
        <f t="shared" si="12"/>
        <v>10</v>
      </c>
      <c r="D808" t="s">
        <v>187</v>
      </c>
      <c r="E808">
        <v>4876600</v>
      </c>
      <c r="F808" t="s">
        <v>8</v>
      </c>
      <c r="G808" t="s">
        <v>203</v>
      </c>
      <c r="H808" t="s">
        <v>240</v>
      </c>
      <c r="I808" s="4">
        <v>100638.28079999999</v>
      </c>
      <c r="J808" s="4">
        <v>2012765.6159999999</v>
      </c>
      <c r="L808" s="4">
        <v>20</v>
      </c>
    </row>
    <row r="809" spans="1:12">
      <c r="A809" t="s">
        <v>107</v>
      </c>
      <c r="B809" s="10">
        <v>45592</v>
      </c>
      <c r="C809" s="18">
        <f t="shared" si="12"/>
        <v>10</v>
      </c>
      <c r="D809" t="s">
        <v>187</v>
      </c>
      <c r="E809">
        <v>4876600</v>
      </c>
      <c r="F809" t="s">
        <v>8</v>
      </c>
      <c r="G809" t="s">
        <v>203</v>
      </c>
      <c r="H809" t="s">
        <v>238</v>
      </c>
      <c r="I809" s="4">
        <v>95606.36675999999</v>
      </c>
      <c r="J809" s="4">
        <v>1912127.3351999999</v>
      </c>
      <c r="L809" s="4">
        <v>20</v>
      </c>
    </row>
    <row r="810" spans="1:12">
      <c r="A810" t="s">
        <v>107</v>
      </c>
      <c r="B810" s="10">
        <v>45592</v>
      </c>
      <c r="C810" s="18">
        <f t="shared" si="12"/>
        <v>10</v>
      </c>
      <c r="D810" t="s">
        <v>187</v>
      </c>
      <c r="E810">
        <v>4876600</v>
      </c>
      <c r="F810" t="s">
        <v>8</v>
      </c>
      <c r="G810" t="s">
        <v>203</v>
      </c>
      <c r="H810" t="s">
        <v>234</v>
      </c>
      <c r="I810" s="4">
        <v>100638.28079999999</v>
      </c>
      <c r="J810" s="4">
        <v>1006382.808</v>
      </c>
      <c r="L810" s="4">
        <v>10</v>
      </c>
    </row>
    <row r="811" spans="1:12">
      <c r="A811" t="s">
        <v>107</v>
      </c>
      <c r="B811" s="10">
        <v>45592</v>
      </c>
      <c r="C811" s="18">
        <f t="shared" si="12"/>
        <v>10</v>
      </c>
      <c r="D811" t="s">
        <v>187</v>
      </c>
      <c r="E811">
        <v>4876600</v>
      </c>
      <c r="F811" t="s">
        <v>8</v>
      </c>
      <c r="G811" t="s">
        <v>203</v>
      </c>
      <c r="H811" t="s">
        <v>232</v>
      </c>
      <c r="I811" s="4">
        <v>100638.28079999999</v>
      </c>
      <c r="J811" s="4">
        <v>1006382.808</v>
      </c>
      <c r="L811" s="4">
        <v>10</v>
      </c>
    </row>
    <row r="812" spans="1:12">
      <c r="A812" t="s">
        <v>107</v>
      </c>
      <c r="B812" s="10">
        <v>45592</v>
      </c>
      <c r="C812" s="18">
        <f t="shared" si="12"/>
        <v>10</v>
      </c>
      <c r="D812" t="s">
        <v>187</v>
      </c>
      <c r="E812">
        <v>4876600</v>
      </c>
      <c r="F812" t="s">
        <v>8</v>
      </c>
      <c r="G812" t="s">
        <v>203</v>
      </c>
      <c r="H812" t="s">
        <v>230</v>
      </c>
      <c r="I812" s="4">
        <v>100638.28079999999</v>
      </c>
      <c r="J812" s="4">
        <v>3019148.4239999996</v>
      </c>
      <c r="L812" s="4">
        <v>30</v>
      </c>
    </row>
    <row r="813" spans="1:12">
      <c r="A813" t="s">
        <v>107</v>
      </c>
      <c r="B813" s="10">
        <v>45592</v>
      </c>
      <c r="C813" s="18">
        <f t="shared" si="12"/>
        <v>10</v>
      </c>
      <c r="D813" t="s">
        <v>187</v>
      </c>
      <c r="E813">
        <v>4876600</v>
      </c>
      <c r="F813" t="s">
        <v>8</v>
      </c>
      <c r="G813" t="s">
        <v>203</v>
      </c>
      <c r="H813" t="s">
        <v>241</v>
      </c>
      <c r="I813" s="4">
        <v>125766.4408</v>
      </c>
      <c r="J813" s="4">
        <v>1634963.7304</v>
      </c>
      <c r="L813" s="4">
        <v>13</v>
      </c>
    </row>
    <row r="814" spans="1:12">
      <c r="A814" t="s">
        <v>107</v>
      </c>
      <c r="B814" s="10">
        <v>45592</v>
      </c>
      <c r="C814" s="18">
        <f t="shared" si="12"/>
        <v>10</v>
      </c>
      <c r="D814" t="s">
        <v>187</v>
      </c>
      <c r="E814">
        <v>4876600</v>
      </c>
      <c r="F814" t="s">
        <v>8</v>
      </c>
      <c r="G814" t="s">
        <v>203</v>
      </c>
      <c r="H814" t="s">
        <v>239</v>
      </c>
      <c r="I814" s="4">
        <v>125766.4408</v>
      </c>
      <c r="J814" s="4">
        <v>1886496.612</v>
      </c>
      <c r="L814" s="4">
        <v>15</v>
      </c>
    </row>
    <row r="815" spans="1:12">
      <c r="A815" t="s">
        <v>107</v>
      </c>
      <c r="B815" s="10">
        <v>45592</v>
      </c>
      <c r="C815" s="18">
        <f t="shared" si="12"/>
        <v>10</v>
      </c>
      <c r="D815" t="s">
        <v>187</v>
      </c>
      <c r="E815">
        <v>4876600</v>
      </c>
      <c r="F815" t="s">
        <v>8</v>
      </c>
      <c r="G815" t="s">
        <v>203</v>
      </c>
      <c r="H815" t="s">
        <v>237</v>
      </c>
      <c r="I815" s="4">
        <v>125766.4408</v>
      </c>
      <c r="J815" s="4">
        <v>1886496.612</v>
      </c>
      <c r="L815" s="4">
        <v>15</v>
      </c>
    </row>
    <row r="816" spans="1:12">
      <c r="A816" t="s">
        <v>107</v>
      </c>
      <c r="B816" s="10">
        <v>45592</v>
      </c>
      <c r="C816" s="18">
        <f t="shared" si="12"/>
        <v>10</v>
      </c>
      <c r="D816" t="s">
        <v>187</v>
      </c>
      <c r="E816">
        <v>4876600</v>
      </c>
      <c r="F816" t="s">
        <v>8</v>
      </c>
      <c r="G816" t="s">
        <v>203</v>
      </c>
      <c r="H816" t="s">
        <v>229</v>
      </c>
      <c r="I816" s="4">
        <v>125766.4408</v>
      </c>
      <c r="J816" s="4">
        <v>1257664.4080000001</v>
      </c>
      <c r="L816" s="4">
        <v>10</v>
      </c>
    </row>
    <row r="817" spans="1:12">
      <c r="A817" t="s">
        <v>107</v>
      </c>
      <c r="B817" s="10">
        <v>45592</v>
      </c>
      <c r="C817" s="18">
        <f t="shared" si="12"/>
        <v>10</v>
      </c>
      <c r="D817" t="s">
        <v>190</v>
      </c>
      <c r="E817">
        <v>4879096</v>
      </c>
      <c r="F817" t="s">
        <v>8</v>
      </c>
      <c r="G817" t="s">
        <v>203</v>
      </c>
      <c r="H817" t="s">
        <v>241</v>
      </c>
      <c r="I817" s="4">
        <v>125766.4408</v>
      </c>
      <c r="J817" s="4">
        <v>1257664.4080000001</v>
      </c>
      <c r="L817" s="4">
        <v>10</v>
      </c>
    </row>
    <row r="818" spans="1:12">
      <c r="A818" t="s">
        <v>107</v>
      </c>
      <c r="B818" s="10">
        <v>45592</v>
      </c>
      <c r="C818" s="18">
        <f t="shared" si="12"/>
        <v>10</v>
      </c>
      <c r="D818" t="s">
        <v>190</v>
      </c>
      <c r="E818">
        <v>4879096</v>
      </c>
      <c r="F818" t="s">
        <v>8</v>
      </c>
      <c r="G818" t="s">
        <v>203</v>
      </c>
      <c r="H818" t="s">
        <v>239</v>
      </c>
      <c r="I818" s="4">
        <v>125766.4408</v>
      </c>
      <c r="J818" s="4">
        <v>1257664.4080000001</v>
      </c>
      <c r="L818" s="4">
        <v>10</v>
      </c>
    </row>
    <row r="819" spans="1:12">
      <c r="A819" t="s">
        <v>107</v>
      </c>
      <c r="B819" s="10">
        <v>45592</v>
      </c>
      <c r="C819" s="18">
        <f t="shared" si="12"/>
        <v>10</v>
      </c>
      <c r="D819" t="s">
        <v>190</v>
      </c>
      <c r="E819">
        <v>4879096</v>
      </c>
      <c r="F819" t="s">
        <v>8</v>
      </c>
      <c r="G819" t="s">
        <v>203</v>
      </c>
      <c r="H819" t="s">
        <v>237</v>
      </c>
      <c r="I819" s="4">
        <v>125766.4408</v>
      </c>
      <c r="J819" s="4">
        <v>1257664.4080000001</v>
      </c>
      <c r="L819" s="4">
        <v>10</v>
      </c>
    </row>
    <row r="820" spans="1:12">
      <c r="A820" t="s">
        <v>107</v>
      </c>
      <c r="B820" s="10">
        <v>45593</v>
      </c>
      <c r="C820" s="18">
        <f t="shared" si="12"/>
        <v>10</v>
      </c>
      <c r="D820" t="s">
        <v>140</v>
      </c>
      <c r="E820">
        <v>4877412</v>
      </c>
      <c r="F820" t="s">
        <v>8</v>
      </c>
      <c r="G820" t="s">
        <v>203</v>
      </c>
      <c r="H820" t="s">
        <v>232</v>
      </c>
      <c r="I820" s="4">
        <v>100638.28079999999</v>
      </c>
      <c r="J820" s="4">
        <v>1006382.808</v>
      </c>
      <c r="L820" s="4">
        <v>10</v>
      </c>
    </row>
    <row r="821" spans="1:12">
      <c r="A821" t="s">
        <v>107</v>
      </c>
      <c r="B821" s="10">
        <v>45593</v>
      </c>
      <c r="C821" s="18">
        <f t="shared" si="12"/>
        <v>10</v>
      </c>
      <c r="D821" t="s">
        <v>140</v>
      </c>
      <c r="E821">
        <v>4877412</v>
      </c>
      <c r="F821" t="s">
        <v>8</v>
      </c>
      <c r="G821" t="s">
        <v>203</v>
      </c>
      <c r="H821" t="s">
        <v>228</v>
      </c>
      <c r="I821" s="4">
        <v>100638.28079999999</v>
      </c>
      <c r="J821" s="4">
        <v>1006382.808</v>
      </c>
      <c r="L821" s="4">
        <v>10</v>
      </c>
    </row>
    <row r="822" spans="1:12">
      <c r="A822" t="s">
        <v>107</v>
      </c>
      <c r="B822" s="10">
        <v>45593</v>
      </c>
      <c r="C822" s="18">
        <f t="shared" si="12"/>
        <v>10</v>
      </c>
      <c r="D822" t="s">
        <v>140</v>
      </c>
      <c r="E822">
        <v>4877412</v>
      </c>
      <c r="F822" t="s">
        <v>8</v>
      </c>
      <c r="G822" t="s">
        <v>203</v>
      </c>
      <c r="H822" t="s">
        <v>223</v>
      </c>
      <c r="I822" s="4">
        <v>100638.28079999999</v>
      </c>
      <c r="J822" s="4">
        <v>1006382.808</v>
      </c>
      <c r="L822" s="4">
        <v>10</v>
      </c>
    </row>
    <row r="823" spans="1:12">
      <c r="A823" t="s">
        <v>107</v>
      </c>
      <c r="B823" s="10">
        <v>45593</v>
      </c>
      <c r="C823" s="18">
        <f t="shared" si="12"/>
        <v>10</v>
      </c>
      <c r="D823" t="s">
        <v>140</v>
      </c>
      <c r="E823">
        <v>4877412</v>
      </c>
      <c r="F823" t="s">
        <v>8</v>
      </c>
      <c r="G823" t="s">
        <v>203</v>
      </c>
      <c r="H823" t="s">
        <v>222</v>
      </c>
      <c r="I823" s="4">
        <v>100638.28079999999</v>
      </c>
      <c r="J823" s="4">
        <v>603829.68479999993</v>
      </c>
      <c r="L823" s="4">
        <v>6</v>
      </c>
    </row>
    <row r="824" spans="1:12">
      <c r="A824" t="s">
        <v>107</v>
      </c>
      <c r="B824" s="10">
        <v>45593</v>
      </c>
      <c r="C824" s="18">
        <f t="shared" si="12"/>
        <v>10</v>
      </c>
      <c r="D824" t="s">
        <v>140</v>
      </c>
      <c r="E824">
        <v>4877412</v>
      </c>
      <c r="F824" t="s">
        <v>8</v>
      </c>
      <c r="G824" t="s">
        <v>203</v>
      </c>
      <c r="H824" t="s">
        <v>229</v>
      </c>
      <c r="I824" s="4">
        <v>125766.4408</v>
      </c>
      <c r="J824" s="4">
        <v>1886496.612</v>
      </c>
      <c r="L824" s="4">
        <v>15</v>
      </c>
    </row>
    <row r="825" spans="1:12">
      <c r="A825" t="s">
        <v>107</v>
      </c>
      <c r="B825" s="10">
        <v>45595</v>
      </c>
      <c r="C825" s="18">
        <f t="shared" si="12"/>
        <v>10</v>
      </c>
      <c r="D825" t="s">
        <v>190</v>
      </c>
      <c r="E825">
        <v>4876760</v>
      </c>
      <c r="F825" t="s">
        <v>8</v>
      </c>
      <c r="G825" t="s">
        <v>203</v>
      </c>
      <c r="H825" t="s">
        <v>228</v>
      </c>
      <c r="I825" s="4">
        <v>100638.28079999999</v>
      </c>
      <c r="J825" s="4">
        <v>1006382.808</v>
      </c>
      <c r="L825" s="4">
        <v>10</v>
      </c>
    </row>
    <row r="826" spans="1:12">
      <c r="A826" t="s">
        <v>107</v>
      </c>
      <c r="B826" s="10">
        <v>45595</v>
      </c>
      <c r="C826" s="18">
        <f t="shared" si="12"/>
        <v>10</v>
      </c>
      <c r="D826" t="s">
        <v>190</v>
      </c>
      <c r="E826">
        <v>4876760</v>
      </c>
      <c r="F826" t="s">
        <v>8</v>
      </c>
      <c r="G826" t="s">
        <v>203</v>
      </c>
      <c r="H826" t="s">
        <v>224</v>
      </c>
      <c r="I826" s="4">
        <v>100638.28079999999</v>
      </c>
      <c r="J826" s="4">
        <v>1006382.808</v>
      </c>
      <c r="L826" s="4">
        <v>10</v>
      </c>
    </row>
    <row r="827" spans="1:12">
      <c r="A827" t="s">
        <v>107</v>
      </c>
      <c r="B827" s="10">
        <v>45595</v>
      </c>
      <c r="C827" s="18">
        <f t="shared" si="12"/>
        <v>10</v>
      </c>
      <c r="D827" t="s">
        <v>190</v>
      </c>
      <c r="E827">
        <v>4876760</v>
      </c>
      <c r="F827" t="s">
        <v>8</v>
      </c>
      <c r="G827" t="s">
        <v>203</v>
      </c>
      <c r="H827" t="s">
        <v>223</v>
      </c>
      <c r="I827" s="4">
        <v>100638.28079999999</v>
      </c>
      <c r="J827" s="4">
        <v>603829.68479999993</v>
      </c>
      <c r="L827" s="4">
        <v>6</v>
      </c>
    </row>
    <row r="828" spans="1:12">
      <c r="A828" t="s">
        <v>107</v>
      </c>
      <c r="B828" s="10">
        <v>45595</v>
      </c>
      <c r="C828" s="18">
        <f t="shared" si="12"/>
        <v>10</v>
      </c>
      <c r="D828" t="s">
        <v>190</v>
      </c>
      <c r="E828">
        <v>4876760</v>
      </c>
      <c r="F828" t="s">
        <v>8</v>
      </c>
      <c r="G828" t="s">
        <v>203</v>
      </c>
      <c r="H828" t="s">
        <v>229</v>
      </c>
      <c r="I828" s="4">
        <v>125766.4408</v>
      </c>
      <c r="J828" s="4">
        <v>251532.88159999999</v>
      </c>
      <c r="L828" s="4">
        <v>2</v>
      </c>
    </row>
    <row r="829" spans="1:12">
      <c r="A829" t="s">
        <v>107</v>
      </c>
      <c r="B829" s="10">
        <v>45595</v>
      </c>
      <c r="C829" s="18">
        <f t="shared" si="12"/>
        <v>10</v>
      </c>
      <c r="D829" t="s">
        <v>190</v>
      </c>
      <c r="E829">
        <v>4878657</v>
      </c>
      <c r="F829" t="s">
        <v>8</v>
      </c>
      <c r="G829" t="s">
        <v>203</v>
      </c>
      <c r="H829" t="s">
        <v>236</v>
      </c>
      <c r="I829" s="4">
        <v>100638.28079999999</v>
      </c>
      <c r="J829" s="4">
        <v>402553.12319999997</v>
      </c>
      <c r="K829" s="4">
        <v>-17338.430399999997</v>
      </c>
      <c r="L829" s="4">
        <v>4</v>
      </c>
    </row>
    <row r="830" spans="1:12">
      <c r="A830" t="s">
        <v>107</v>
      </c>
      <c r="B830" s="10">
        <v>45595</v>
      </c>
      <c r="C830" s="18">
        <f t="shared" si="12"/>
        <v>10</v>
      </c>
      <c r="D830" t="s">
        <v>190</v>
      </c>
      <c r="E830">
        <v>4878657</v>
      </c>
      <c r="F830" t="s">
        <v>8</v>
      </c>
      <c r="G830" t="s">
        <v>203</v>
      </c>
      <c r="H830" t="s">
        <v>234</v>
      </c>
      <c r="I830" s="4">
        <v>100638.28079999999</v>
      </c>
      <c r="J830" s="4">
        <v>402553.12319999997</v>
      </c>
      <c r="K830" s="4">
        <v>-17338.430399999997</v>
      </c>
      <c r="L830" s="4">
        <v>4</v>
      </c>
    </row>
    <row r="831" spans="1:12">
      <c r="A831" t="s">
        <v>107</v>
      </c>
      <c r="B831" s="10">
        <v>45595</v>
      </c>
      <c r="C831" s="18">
        <f t="shared" si="12"/>
        <v>10</v>
      </c>
      <c r="D831" t="s">
        <v>190</v>
      </c>
      <c r="E831">
        <v>4878657</v>
      </c>
      <c r="F831" t="s">
        <v>8</v>
      </c>
      <c r="G831" t="s">
        <v>203</v>
      </c>
      <c r="H831" t="s">
        <v>228</v>
      </c>
      <c r="I831" s="4">
        <v>100638.28079999999</v>
      </c>
      <c r="J831" s="4">
        <v>402553.12319999997</v>
      </c>
      <c r="K831" s="4">
        <v>-17338.430399999997</v>
      </c>
      <c r="L831" s="4">
        <v>4</v>
      </c>
    </row>
    <row r="832" spans="1:12">
      <c r="A832" t="s">
        <v>107</v>
      </c>
      <c r="B832" s="10">
        <v>45595</v>
      </c>
      <c r="C832" s="18">
        <f t="shared" si="12"/>
        <v>10</v>
      </c>
      <c r="D832" t="s">
        <v>190</v>
      </c>
      <c r="E832">
        <v>4878657</v>
      </c>
      <c r="F832" t="s">
        <v>8</v>
      </c>
      <c r="G832" t="s">
        <v>203</v>
      </c>
      <c r="H832" t="s">
        <v>224</v>
      </c>
      <c r="I832" s="4">
        <v>100638.28079999999</v>
      </c>
      <c r="J832" s="4">
        <v>402553.12319999997</v>
      </c>
      <c r="K832" s="4">
        <v>-17338.430399999997</v>
      </c>
      <c r="L832" s="4">
        <v>4</v>
      </c>
    </row>
    <row r="833" spans="1:12">
      <c r="A833" t="s">
        <v>107</v>
      </c>
      <c r="B833" s="10">
        <v>45596</v>
      </c>
      <c r="C833" s="18">
        <f t="shared" si="12"/>
        <v>10</v>
      </c>
      <c r="D833" t="s">
        <v>140</v>
      </c>
      <c r="E833">
        <v>4877412</v>
      </c>
      <c r="F833" t="s">
        <v>8</v>
      </c>
      <c r="G833" t="s">
        <v>203</v>
      </c>
      <c r="H833" t="s">
        <v>229</v>
      </c>
      <c r="I833" s="4">
        <v>125766.4408</v>
      </c>
      <c r="J833" s="4">
        <v>-628832.20400000003</v>
      </c>
      <c r="L833" s="4">
        <v>-5</v>
      </c>
    </row>
    <row r="834" spans="1:12">
      <c r="A834" t="s">
        <v>86</v>
      </c>
      <c r="B834" s="10">
        <v>45567</v>
      </c>
      <c r="C834" s="18">
        <f t="shared" ref="C834:C897" si="13">MONTH(B834)</f>
        <v>10</v>
      </c>
      <c r="D834" t="s">
        <v>136</v>
      </c>
      <c r="E834">
        <v>7241308</v>
      </c>
      <c r="F834" t="s">
        <v>87</v>
      </c>
      <c r="G834" t="s">
        <v>203</v>
      </c>
      <c r="H834" t="s">
        <v>242</v>
      </c>
      <c r="I834" s="4">
        <v>100638.28079999999</v>
      </c>
      <c r="J834" s="4">
        <v>402553.12319999997</v>
      </c>
      <c r="K834" s="4">
        <v>-17338.430399999997</v>
      </c>
      <c r="L834" s="4">
        <v>4</v>
      </c>
    </row>
    <row r="835" spans="1:12">
      <c r="A835" t="s">
        <v>86</v>
      </c>
      <c r="B835" s="10">
        <v>45567</v>
      </c>
      <c r="C835" s="18">
        <f t="shared" si="13"/>
        <v>10</v>
      </c>
      <c r="D835" t="s">
        <v>136</v>
      </c>
      <c r="E835">
        <v>7241308</v>
      </c>
      <c r="F835" t="s">
        <v>87</v>
      </c>
      <c r="G835" t="s">
        <v>203</v>
      </c>
      <c r="H835" t="s">
        <v>238</v>
      </c>
      <c r="I835" s="4">
        <v>95606.36675999999</v>
      </c>
      <c r="J835" s="4">
        <v>191212.73351999998</v>
      </c>
      <c r="K835" s="4">
        <v>-8669.2151999999987</v>
      </c>
      <c r="L835" s="4">
        <v>2</v>
      </c>
    </row>
    <row r="836" spans="1:12">
      <c r="A836" t="s">
        <v>86</v>
      </c>
      <c r="B836" s="10">
        <v>45567</v>
      </c>
      <c r="C836" s="18">
        <f t="shared" si="13"/>
        <v>10</v>
      </c>
      <c r="D836" t="s">
        <v>136</v>
      </c>
      <c r="E836">
        <v>7241308</v>
      </c>
      <c r="F836" t="s">
        <v>87</v>
      </c>
      <c r="G836" t="s">
        <v>203</v>
      </c>
      <c r="H836" t="s">
        <v>232</v>
      </c>
      <c r="I836" s="4">
        <v>100638.28079999999</v>
      </c>
      <c r="J836" s="4">
        <v>402553.12319999997</v>
      </c>
      <c r="K836" s="4">
        <v>-17338.430399999997</v>
      </c>
      <c r="L836" s="4">
        <v>4</v>
      </c>
    </row>
    <row r="837" spans="1:12">
      <c r="A837" t="s">
        <v>86</v>
      </c>
      <c r="B837" s="10">
        <v>45567</v>
      </c>
      <c r="C837" s="18">
        <f t="shared" si="13"/>
        <v>10</v>
      </c>
      <c r="D837" t="s">
        <v>136</v>
      </c>
      <c r="E837">
        <v>7241308</v>
      </c>
      <c r="F837" t="s">
        <v>87</v>
      </c>
      <c r="G837" t="s">
        <v>203</v>
      </c>
      <c r="H837" t="s">
        <v>241</v>
      </c>
      <c r="I837" s="4">
        <v>125766.4408</v>
      </c>
      <c r="J837" s="4">
        <v>754598.64480000001</v>
      </c>
      <c r="K837" s="4">
        <v>-33923.016000000003</v>
      </c>
      <c r="L837" s="4">
        <v>6</v>
      </c>
    </row>
    <row r="838" spans="1:12">
      <c r="A838" t="s">
        <v>86</v>
      </c>
      <c r="B838" s="10">
        <v>45567</v>
      </c>
      <c r="C838" s="18">
        <f t="shared" si="13"/>
        <v>10</v>
      </c>
      <c r="D838" t="s">
        <v>136</v>
      </c>
      <c r="E838">
        <v>7241308</v>
      </c>
      <c r="F838" t="s">
        <v>87</v>
      </c>
      <c r="G838" t="s">
        <v>203</v>
      </c>
      <c r="H838" t="s">
        <v>237</v>
      </c>
      <c r="I838" s="4">
        <v>125766.4408</v>
      </c>
      <c r="J838" s="4">
        <v>754598.64480000001</v>
      </c>
      <c r="K838" s="4">
        <v>-33923.016000000003</v>
      </c>
      <c r="L838" s="4">
        <v>6</v>
      </c>
    </row>
    <row r="839" spans="1:12">
      <c r="A839" t="s">
        <v>86</v>
      </c>
      <c r="B839" s="10">
        <v>45567</v>
      </c>
      <c r="C839" s="18">
        <f t="shared" si="13"/>
        <v>10</v>
      </c>
      <c r="D839" t="s">
        <v>136</v>
      </c>
      <c r="E839">
        <v>7241308</v>
      </c>
      <c r="F839" t="s">
        <v>87</v>
      </c>
      <c r="G839" t="s">
        <v>203</v>
      </c>
      <c r="H839" t="s">
        <v>231</v>
      </c>
      <c r="I839" s="4">
        <v>125766.4408</v>
      </c>
      <c r="J839" s="4">
        <v>754598.64480000001</v>
      </c>
      <c r="K839" s="4">
        <v>-33923.016000000003</v>
      </c>
      <c r="L839" s="4">
        <v>6</v>
      </c>
    </row>
    <row r="840" spans="1:12">
      <c r="A840" t="s">
        <v>86</v>
      </c>
      <c r="B840" s="10">
        <v>45567</v>
      </c>
      <c r="C840" s="18">
        <f t="shared" si="13"/>
        <v>10</v>
      </c>
      <c r="D840" t="s">
        <v>136</v>
      </c>
      <c r="E840">
        <v>7241308</v>
      </c>
      <c r="F840" t="s">
        <v>87</v>
      </c>
      <c r="G840" t="s">
        <v>203</v>
      </c>
      <c r="H840" t="s">
        <v>229</v>
      </c>
      <c r="I840" s="4">
        <v>125766.4408</v>
      </c>
      <c r="J840" s="4">
        <v>1257664.4080000001</v>
      </c>
      <c r="K840" s="4">
        <v>-56538.36</v>
      </c>
      <c r="L840" s="4">
        <v>10</v>
      </c>
    </row>
    <row r="841" spans="1:12">
      <c r="A841" t="s">
        <v>86</v>
      </c>
      <c r="B841" s="10">
        <v>45570</v>
      </c>
      <c r="C841" s="18">
        <f t="shared" si="13"/>
        <v>10</v>
      </c>
      <c r="D841" t="s">
        <v>136</v>
      </c>
      <c r="E841">
        <v>7244683</v>
      </c>
      <c r="F841" t="s">
        <v>87</v>
      </c>
      <c r="G841" t="s">
        <v>203</v>
      </c>
      <c r="H841" t="s">
        <v>242</v>
      </c>
      <c r="I841" s="4">
        <v>100638.28079999999</v>
      </c>
      <c r="J841" s="4">
        <v>402553.12319999997</v>
      </c>
      <c r="K841" s="4">
        <v>-17338.430399999997</v>
      </c>
      <c r="L841" s="4">
        <v>4</v>
      </c>
    </row>
    <row r="842" spans="1:12">
      <c r="A842" t="s">
        <v>86</v>
      </c>
      <c r="B842" s="10">
        <v>45570</v>
      </c>
      <c r="C842" s="18">
        <f t="shared" si="13"/>
        <v>10</v>
      </c>
      <c r="D842" t="s">
        <v>136</v>
      </c>
      <c r="E842">
        <v>7244683</v>
      </c>
      <c r="F842" t="s">
        <v>87</v>
      </c>
      <c r="G842" t="s">
        <v>203</v>
      </c>
      <c r="H842" t="s">
        <v>240</v>
      </c>
      <c r="I842" s="4">
        <v>100638.28079999999</v>
      </c>
      <c r="J842" s="4">
        <v>402553.12319999997</v>
      </c>
      <c r="K842" s="4">
        <v>-17338.430399999997</v>
      </c>
      <c r="L842" s="4">
        <v>4</v>
      </c>
    </row>
    <row r="843" spans="1:12">
      <c r="A843" t="s">
        <v>86</v>
      </c>
      <c r="B843" s="10">
        <v>45570</v>
      </c>
      <c r="C843" s="18">
        <f t="shared" si="13"/>
        <v>10</v>
      </c>
      <c r="D843" t="s">
        <v>136</v>
      </c>
      <c r="E843">
        <v>7244683</v>
      </c>
      <c r="F843" t="s">
        <v>87</v>
      </c>
      <c r="G843" t="s">
        <v>203</v>
      </c>
      <c r="H843" t="s">
        <v>238</v>
      </c>
      <c r="I843" s="4">
        <v>95606.36675999999</v>
      </c>
      <c r="J843" s="4">
        <v>382425.46703999996</v>
      </c>
      <c r="K843" s="4">
        <v>-17338.430399999997</v>
      </c>
      <c r="L843" s="4">
        <v>4</v>
      </c>
    </row>
    <row r="844" spans="1:12">
      <c r="A844" t="s">
        <v>86</v>
      </c>
      <c r="B844" s="10">
        <v>45570</v>
      </c>
      <c r="C844" s="18">
        <f t="shared" si="13"/>
        <v>10</v>
      </c>
      <c r="D844" t="s">
        <v>136</v>
      </c>
      <c r="E844">
        <v>7244683</v>
      </c>
      <c r="F844" t="s">
        <v>87</v>
      </c>
      <c r="G844" t="s">
        <v>203</v>
      </c>
      <c r="H844" t="s">
        <v>232</v>
      </c>
      <c r="I844" s="4">
        <v>100638.28079999999</v>
      </c>
      <c r="J844" s="4">
        <v>402553.12319999997</v>
      </c>
      <c r="K844" s="4">
        <v>-17338.430399999997</v>
      </c>
      <c r="L844" s="4">
        <v>4</v>
      </c>
    </row>
    <row r="845" spans="1:12">
      <c r="A845" t="s">
        <v>86</v>
      </c>
      <c r="B845" s="10">
        <v>45571</v>
      </c>
      <c r="C845" s="18">
        <f t="shared" si="13"/>
        <v>10</v>
      </c>
      <c r="D845" t="s">
        <v>136</v>
      </c>
      <c r="E845">
        <v>7241129</v>
      </c>
      <c r="F845" t="s">
        <v>87</v>
      </c>
      <c r="G845" t="s">
        <v>202</v>
      </c>
      <c r="H845" t="s">
        <v>261</v>
      </c>
      <c r="I845" s="4">
        <v>41587.104800000001</v>
      </c>
      <c r="J845" s="4">
        <v>4158710.48</v>
      </c>
      <c r="K845" s="4">
        <v>-124384.39200000001</v>
      </c>
      <c r="L845" s="4">
        <v>100</v>
      </c>
    </row>
    <row r="846" spans="1:12">
      <c r="A846" t="s">
        <v>86</v>
      </c>
      <c r="B846" s="10">
        <v>45571</v>
      </c>
      <c r="C846" s="18">
        <f t="shared" si="13"/>
        <v>10</v>
      </c>
      <c r="D846" t="s">
        <v>136</v>
      </c>
      <c r="E846">
        <v>7241129</v>
      </c>
      <c r="F846" t="s">
        <v>87</v>
      </c>
      <c r="G846" t="s">
        <v>202</v>
      </c>
      <c r="H846" t="s">
        <v>260</v>
      </c>
      <c r="I846" s="4">
        <v>41587.104800000001</v>
      </c>
      <c r="J846" s="4">
        <v>4158710.48</v>
      </c>
      <c r="K846" s="4">
        <v>-124384.39200000001</v>
      </c>
      <c r="L846" s="4">
        <v>100</v>
      </c>
    </row>
    <row r="847" spans="1:12">
      <c r="A847" t="s">
        <v>86</v>
      </c>
      <c r="B847" s="10">
        <v>45571</v>
      </c>
      <c r="C847" s="18">
        <f t="shared" si="13"/>
        <v>10</v>
      </c>
      <c r="D847" t="s">
        <v>136</v>
      </c>
      <c r="E847">
        <v>7241129</v>
      </c>
      <c r="F847" t="s">
        <v>87</v>
      </c>
      <c r="G847" t="s">
        <v>202</v>
      </c>
      <c r="H847" t="s">
        <v>258</v>
      </c>
      <c r="I847" s="4">
        <v>37817.880799999999</v>
      </c>
      <c r="J847" s="4">
        <v>3781788.08</v>
      </c>
      <c r="K847" s="4">
        <v>-113076.72</v>
      </c>
      <c r="L847" s="4">
        <v>100</v>
      </c>
    </row>
    <row r="848" spans="1:12">
      <c r="A848" t="s">
        <v>86</v>
      </c>
      <c r="B848" s="10">
        <v>45572</v>
      </c>
      <c r="C848" s="18">
        <f t="shared" si="13"/>
        <v>10</v>
      </c>
      <c r="D848" t="s">
        <v>136</v>
      </c>
      <c r="E848">
        <v>7242470</v>
      </c>
      <c r="F848" t="s">
        <v>87</v>
      </c>
      <c r="G848" t="s">
        <v>203</v>
      </c>
      <c r="H848" t="s">
        <v>238</v>
      </c>
      <c r="I848" s="4">
        <v>95606.36675999999</v>
      </c>
      <c r="J848" s="4">
        <v>956063.66759999993</v>
      </c>
      <c r="K848" s="4">
        <v>-43346.076000000001</v>
      </c>
      <c r="L848" s="4">
        <v>10</v>
      </c>
    </row>
    <row r="849" spans="1:12">
      <c r="A849" t="s">
        <v>86</v>
      </c>
      <c r="B849" s="10">
        <v>45572</v>
      </c>
      <c r="C849" s="18">
        <f t="shared" si="13"/>
        <v>10</v>
      </c>
      <c r="D849" t="s">
        <v>136</v>
      </c>
      <c r="E849">
        <v>7242470</v>
      </c>
      <c r="F849" t="s">
        <v>87</v>
      </c>
      <c r="G849" t="s">
        <v>203</v>
      </c>
      <c r="H849" t="s">
        <v>232</v>
      </c>
      <c r="I849" s="4">
        <v>100638.28079999999</v>
      </c>
      <c r="J849" s="4">
        <v>1006382.808</v>
      </c>
      <c r="K849" s="4">
        <v>-43346.076000000001</v>
      </c>
      <c r="L849" s="4">
        <v>10</v>
      </c>
    </row>
    <row r="850" spans="1:12">
      <c r="A850" t="s">
        <v>86</v>
      </c>
      <c r="B850" s="10">
        <v>45572</v>
      </c>
      <c r="C850" s="18">
        <f t="shared" si="13"/>
        <v>10</v>
      </c>
      <c r="D850" t="s">
        <v>136</v>
      </c>
      <c r="E850">
        <v>7242470</v>
      </c>
      <c r="F850" t="s">
        <v>87</v>
      </c>
      <c r="G850" t="s">
        <v>203</v>
      </c>
      <c r="H850" t="s">
        <v>230</v>
      </c>
      <c r="I850" s="4">
        <v>100638.28079999999</v>
      </c>
      <c r="J850" s="4">
        <v>1006382.808</v>
      </c>
      <c r="K850" s="4">
        <v>-43346.076000000001</v>
      </c>
      <c r="L850" s="4">
        <v>10</v>
      </c>
    </row>
    <row r="851" spans="1:12">
      <c r="A851" t="s">
        <v>86</v>
      </c>
      <c r="B851" s="10">
        <v>45572</v>
      </c>
      <c r="C851" s="18">
        <f t="shared" si="13"/>
        <v>10</v>
      </c>
      <c r="D851" t="s">
        <v>136</v>
      </c>
      <c r="E851">
        <v>7242470</v>
      </c>
      <c r="F851" t="s">
        <v>87</v>
      </c>
      <c r="G851" t="s">
        <v>203</v>
      </c>
      <c r="H851" t="s">
        <v>231</v>
      </c>
      <c r="I851" s="4">
        <v>125766.4408</v>
      </c>
      <c r="J851" s="4">
        <v>1257664.4080000001</v>
      </c>
      <c r="K851" s="4">
        <v>-56538.36</v>
      </c>
      <c r="L851" s="4">
        <v>10</v>
      </c>
    </row>
    <row r="852" spans="1:12">
      <c r="A852" t="s">
        <v>86</v>
      </c>
      <c r="B852" s="10">
        <v>45572</v>
      </c>
      <c r="C852" s="18">
        <f t="shared" si="13"/>
        <v>10</v>
      </c>
      <c r="D852" t="s">
        <v>136</v>
      </c>
      <c r="E852">
        <v>7242470</v>
      </c>
      <c r="F852" t="s">
        <v>87</v>
      </c>
      <c r="G852" t="s">
        <v>203</v>
      </c>
      <c r="H852" t="s">
        <v>229</v>
      </c>
      <c r="I852" s="4">
        <v>125766.4408</v>
      </c>
      <c r="J852" s="4">
        <v>1257664.4080000001</v>
      </c>
      <c r="K852" s="4">
        <v>-56538.36</v>
      </c>
      <c r="L852" s="4">
        <v>10</v>
      </c>
    </row>
    <row r="853" spans="1:12">
      <c r="A853" t="s">
        <v>86</v>
      </c>
      <c r="B853" s="10">
        <v>45573</v>
      </c>
      <c r="C853" s="18">
        <f t="shared" si="13"/>
        <v>10</v>
      </c>
      <c r="D853" t="s">
        <v>136</v>
      </c>
      <c r="E853">
        <v>7787121</v>
      </c>
      <c r="F853" t="s">
        <v>87</v>
      </c>
      <c r="G853" t="s">
        <v>203</v>
      </c>
      <c r="H853" t="s">
        <v>230</v>
      </c>
      <c r="I853" s="4">
        <v>100638.28079999999</v>
      </c>
      <c r="J853" s="4">
        <v>603829.68479999993</v>
      </c>
      <c r="L853" s="4">
        <v>6</v>
      </c>
    </row>
    <row r="854" spans="1:12">
      <c r="A854" t="s">
        <v>86</v>
      </c>
      <c r="B854" s="10">
        <v>45573</v>
      </c>
      <c r="C854" s="18">
        <f t="shared" si="13"/>
        <v>10</v>
      </c>
      <c r="D854" t="s">
        <v>136</v>
      </c>
      <c r="E854">
        <v>7787121</v>
      </c>
      <c r="F854" t="s">
        <v>87</v>
      </c>
      <c r="G854" t="s">
        <v>203</v>
      </c>
      <c r="H854" t="s">
        <v>237</v>
      </c>
      <c r="I854" s="4">
        <v>125766.4408</v>
      </c>
      <c r="J854" s="4">
        <v>628832.20400000003</v>
      </c>
      <c r="L854" s="4">
        <v>5</v>
      </c>
    </row>
    <row r="855" spans="1:12">
      <c r="A855" t="s">
        <v>86</v>
      </c>
      <c r="B855" s="10">
        <v>45573</v>
      </c>
      <c r="C855" s="18">
        <f t="shared" si="13"/>
        <v>10</v>
      </c>
      <c r="D855" t="s">
        <v>136</v>
      </c>
      <c r="E855">
        <v>7787121</v>
      </c>
      <c r="F855" t="s">
        <v>87</v>
      </c>
      <c r="G855" t="s">
        <v>203</v>
      </c>
      <c r="H855" t="s">
        <v>231</v>
      </c>
      <c r="I855" s="4">
        <v>125766.4408</v>
      </c>
      <c r="J855" s="4">
        <v>503065.76319999999</v>
      </c>
      <c r="L855" s="4">
        <v>4</v>
      </c>
    </row>
    <row r="856" spans="1:12">
      <c r="A856" t="s">
        <v>86</v>
      </c>
      <c r="B856" s="10">
        <v>45574</v>
      </c>
      <c r="C856" s="18">
        <f t="shared" si="13"/>
        <v>10</v>
      </c>
      <c r="D856" t="s">
        <v>136</v>
      </c>
      <c r="E856">
        <v>7242257</v>
      </c>
      <c r="F856" t="s">
        <v>87</v>
      </c>
      <c r="G856" t="s">
        <v>203</v>
      </c>
      <c r="H856" t="s">
        <v>242</v>
      </c>
      <c r="I856" s="4">
        <v>100638.28079999999</v>
      </c>
      <c r="J856" s="4">
        <v>2012765.6159999999</v>
      </c>
      <c r="L856" s="4">
        <v>20</v>
      </c>
    </row>
    <row r="857" spans="1:12">
      <c r="A857" t="s">
        <v>86</v>
      </c>
      <c r="B857" s="10">
        <v>45574</v>
      </c>
      <c r="C857" s="18">
        <f t="shared" si="13"/>
        <v>10</v>
      </c>
      <c r="D857" t="s">
        <v>136</v>
      </c>
      <c r="E857">
        <v>7242257</v>
      </c>
      <c r="F857" t="s">
        <v>87</v>
      </c>
      <c r="G857" t="s">
        <v>203</v>
      </c>
      <c r="H857" t="s">
        <v>238</v>
      </c>
      <c r="I857" s="4">
        <v>95606.36675999999</v>
      </c>
      <c r="J857" s="4">
        <v>1912127.3351999999</v>
      </c>
      <c r="L857" s="4">
        <v>20</v>
      </c>
    </row>
    <row r="858" spans="1:12">
      <c r="A858" t="s">
        <v>86</v>
      </c>
      <c r="B858" s="10">
        <v>45574</v>
      </c>
      <c r="C858" s="18">
        <f t="shared" si="13"/>
        <v>10</v>
      </c>
      <c r="D858" t="s">
        <v>136</v>
      </c>
      <c r="E858">
        <v>7242257</v>
      </c>
      <c r="F858" t="s">
        <v>87</v>
      </c>
      <c r="G858" t="s">
        <v>203</v>
      </c>
      <c r="H858" t="s">
        <v>241</v>
      </c>
      <c r="I858" s="4">
        <v>125766.4408</v>
      </c>
      <c r="J858" s="4">
        <v>1760730.1712</v>
      </c>
      <c r="L858" s="4">
        <v>14</v>
      </c>
    </row>
    <row r="859" spans="1:12">
      <c r="A859" t="s">
        <v>86</v>
      </c>
      <c r="B859" s="10">
        <v>45574</v>
      </c>
      <c r="C859" s="18">
        <f t="shared" si="13"/>
        <v>10</v>
      </c>
      <c r="D859" t="s">
        <v>136</v>
      </c>
      <c r="E859">
        <v>7242257</v>
      </c>
      <c r="F859" t="s">
        <v>87</v>
      </c>
      <c r="G859" t="s">
        <v>203</v>
      </c>
      <c r="H859" t="s">
        <v>237</v>
      </c>
      <c r="I859" s="4">
        <v>125766.4408</v>
      </c>
      <c r="J859" s="4">
        <v>1634963.7304</v>
      </c>
      <c r="L859" s="4">
        <v>13</v>
      </c>
    </row>
    <row r="860" spans="1:12">
      <c r="A860" t="s">
        <v>86</v>
      </c>
      <c r="B860" s="10">
        <v>45575</v>
      </c>
      <c r="C860" s="18">
        <f t="shared" si="13"/>
        <v>10</v>
      </c>
      <c r="D860" t="s">
        <v>136</v>
      </c>
      <c r="E860">
        <v>7242261</v>
      </c>
      <c r="F860" t="s">
        <v>87</v>
      </c>
      <c r="G860" t="s">
        <v>203</v>
      </c>
      <c r="H860" t="s">
        <v>232</v>
      </c>
      <c r="I860" s="4">
        <v>100638.28079999999</v>
      </c>
      <c r="J860" s="4">
        <v>402553.12319999997</v>
      </c>
      <c r="K860" s="4">
        <v>-17338.430399999997</v>
      </c>
      <c r="L860" s="4">
        <v>4</v>
      </c>
    </row>
    <row r="861" spans="1:12">
      <c r="A861" t="s">
        <v>86</v>
      </c>
      <c r="B861" s="10">
        <v>45575</v>
      </c>
      <c r="C861" s="18">
        <f t="shared" si="13"/>
        <v>10</v>
      </c>
      <c r="D861" t="s">
        <v>136</v>
      </c>
      <c r="E861">
        <v>7242261</v>
      </c>
      <c r="F861" t="s">
        <v>87</v>
      </c>
      <c r="G861" t="s">
        <v>203</v>
      </c>
      <c r="H861" t="s">
        <v>230</v>
      </c>
      <c r="I861" s="4">
        <v>100638.28079999999</v>
      </c>
      <c r="J861" s="4">
        <v>603829.68479999993</v>
      </c>
      <c r="K861" s="4">
        <v>-26007.645599999996</v>
      </c>
      <c r="L861" s="4">
        <v>6</v>
      </c>
    </row>
    <row r="862" spans="1:12">
      <c r="A862" t="s">
        <v>86</v>
      </c>
      <c r="B862" s="10">
        <v>45580</v>
      </c>
      <c r="C862" s="18">
        <f t="shared" si="13"/>
        <v>10</v>
      </c>
      <c r="D862" t="s">
        <v>136</v>
      </c>
      <c r="E862">
        <v>7241308</v>
      </c>
      <c r="F862" t="s">
        <v>87</v>
      </c>
      <c r="G862" t="s">
        <v>203</v>
      </c>
      <c r="H862" t="s">
        <v>242</v>
      </c>
      <c r="I862" s="4">
        <v>100638.28079999999</v>
      </c>
      <c r="J862" s="4">
        <v>603829.68479999993</v>
      </c>
      <c r="K862" s="4">
        <v>-26007.645599999996</v>
      </c>
      <c r="L862" s="4">
        <v>6</v>
      </c>
    </row>
    <row r="863" spans="1:12">
      <c r="A863" t="s">
        <v>86</v>
      </c>
      <c r="B863" s="10">
        <v>45580</v>
      </c>
      <c r="C863" s="18">
        <f t="shared" si="13"/>
        <v>10</v>
      </c>
      <c r="D863" t="s">
        <v>136</v>
      </c>
      <c r="E863">
        <v>7241308</v>
      </c>
      <c r="F863" t="s">
        <v>87</v>
      </c>
      <c r="G863" t="s">
        <v>203</v>
      </c>
      <c r="H863" t="s">
        <v>240</v>
      </c>
      <c r="I863" s="4">
        <v>100638.28079999999</v>
      </c>
      <c r="J863" s="4">
        <v>402553.12319999997</v>
      </c>
      <c r="K863" s="4">
        <v>-17338.430399999997</v>
      </c>
      <c r="L863" s="4">
        <v>4</v>
      </c>
    </row>
    <row r="864" spans="1:12">
      <c r="A864" t="s">
        <v>86</v>
      </c>
      <c r="B864" s="10">
        <v>45580</v>
      </c>
      <c r="C864" s="18">
        <f t="shared" si="13"/>
        <v>10</v>
      </c>
      <c r="D864" t="s">
        <v>136</v>
      </c>
      <c r="E864">
        <v>7241439</v>
      </c>
      <c r="F864" t="s">
        <v>88</v>
      </c>
      <c r="G864" t="s">
        <v>203</v>
      </c>
      <c r="H864" t="s">
        <v>242</v>
      </c>
      <c r="I864" s="4">
        <v>100638.28079999999</v>
      </c>
      <c r="J864" s="4">
        <v>1006382.808</v>
      </c>
      <c r="K864" s="4">
        <v>-34676.860799999995</v>
      </c>
      <c r="L864" s="4">
        <v>10</v>
      </c>
    </row>
    <row r="865" spans="1:12">
      <c r="A865" t="s">
        <v>86</v>
      </c>
      <c r="B865" s="10">
        <v>45580</v>
      </c>
      <c r="C865" s="18">
        <f t="shared" si="13"/>
        <v>10</v>
      </c>
      <c r="D865" t="s">
        <v>136</v>
      </c>
      <c r="E865">
        <v>7241439</v>
      </c>
      <c r="F865" t="s">
        <v>88</v>
      </c>
      <c r="G865" t="s">
        <v>203</v>
      </c>
      <c r="H865" t="s">
        <v>240</v>
      </c>
      <c r="I865" s="4">
        <v>100638.28079999999</v>
      </c>
      <c r="J865" s="4">
        <v>1006382.808</v>
      </c>
      <c r="K865" s="4">
        <v>-34676.860799999995</v>
      </c>
      <c r="L865" s="4">
        <v>10</v>
      </c>
    </row>
    <row r="866" spans="1:12">
      <c r="A866" t="s">
        <v>86</v>
      </c>
      <c r="B866" s="10">
        <v>45580</v>
      </c>
      <c r="C866" s="18">
        <f t="shared" si="13"/>
        <v>10</v>
      </c>
      <c r="D866" t="s">
        <v>136</v>
      </c>
      <c r="E866">
        <v>7241439</v>
      </c>
      <c r="F866" t="s">
        <v>88</v>
      </c>
      <c r="G866" t="s">
        <v>203</v>
      </c>
      <c r="H866" t="s">
        <v>238</v>
      </c>
      <c r="I866" s="4">
        <v>95606.36675999999</v>
      </c>
      <c r="J866" s="4">
        <v>956063.66759999993</v>
      </c>
      <c r="K866" s="4">
        <v>-34676.860799999995</v>
      </c>
      <c r="L866" s="4">
        <v>10</v>
      </c>
    </row>
    <row r="867" spans="1:12">
      <c r="A867" t="s">
        <v>86</v>
      </c>
      <c r="B867" s="10">
        <v>45580</v>
      </c>
      <c r="C867" s="18">
        <f t="shared" si="13"/>
        <v>10</v>
      </c>
      <c r="D867" t="s">
        <v>136</v>
      </c>
      <c r="E867">
        <v>7241439</v>
      </c>
      <c r="F867" t="s">
        <v>88</v>
      </c>
      <c r="G867" t="s">
        <v>203</v>
      </c>
      <c r="H867" t="s">
        <v>235</v>
      </c>
      <c r="I867" s="4">
        <v>125766.4408</v>
      </c>
      <c r="J867" s="4">
        <v>503065.76319999999</v>
      </c>
      <c r="K867" s="4">
        <v>-18092.2752</v>
      </c>
      <c r="L867" s="4">
        <v>4</v>
      </c>
    </row>
    <row r="868" spans="1:12">
      <c r="A868" t="s">
        <v>86</v>
      </c>
      <c r="B868" s="10">
        <v>45580</v>
      </c>
      <c r="C868" s="18">
        <f t="shared" si="13"/>
        <v>10</v>
      </c>
      <c r="D868" t="s">
        <v>136</v>
      </c>
      <c r="E868">
        <v>7241439</v>
      </c>
      <c r="F868" t="s">
        <v>88</v>
      </c>
      <c r="G868" t="s">
        <v>203</v>
      </c>
      <c r="H868" t="s">
        <v>231</v>
      </c>
      <c r="I868" s="4">
        <v>125766.4408</v>
      </c>
      <c r="J868" s="4">
        <v>503065.76319999999</v>
      </c>
      <c r="K868" s="4">
        <v>-22615.344000000001</v>
      </c>
      <c r="L868" s="4">
        <v>4</v>
      </c>
    </row>
    <row r="869" spans="1:12">
      <c r="A869" t="s">
        <v>86</v>
      </c>
      <c r="B869" s="10">
        <v>45580</v>
      </c>
      <c r="C869" s="18">
        <f t="shared" si="13"/>
        <v>10</v>
      </c>
      <c r="D869" t="s">
        <v>136</v>
      </c>
      <c r="E869">
        <v>7241439</v>
      </c>
      <c r="F869" t="s">
        <v>88</v>
      </c>
      <c r="G869" t="s">
        <v>203</v>
      </c>
      <c r="H869" t="s">
        <v>229</v>
      </c>
      <c r="I869" s="4">
        <v>125766.4408</v>
      </c>
      <c r="J869" s="4">
        <v>503065.76319999999</v>
      </c>
      <c r="K869" s="4">
        <v>-18092.2752</v>
      </c>
      <c r="L869" s="4">
        <v>4</v>
      </c>
    </row>
    <row r="870" spans="1:12">
      <c r="A870" t="s">
        <v>86</v>
      </c>
      <c r="B870" s="10">
        <v>45581</v>
      </c>
      <c r="C870" s="18">
        <f t="shared" si="13"/>
        <v>10</v>
      </c>
      <c r="D870" t="s">
        <v>136</v>
      </c>
      <c r="E870">
        <v>7242266</v>
      </c>
      <c r="F870" t="s">
        <v>87</v>
      </c>
      <c r="G870" t="s">
        <v>203</v>
      </c>
      <c r="H870" t="s">
        <v>241</v>
      </c>
      <c r="I870" s="4">
        <v>125766.4408</v>
      </c>
      <c r="J870" s="4">
        <v>-125766.4408</v>
      </c>
      <c r="L870" s="4">
        <v>-1</v>
      </c>
    </row>
    <row r="871" spans="1:12">
      <c r="A871" t="s">
        <v>86</v>
      </c>
      <c r="B871" s="10">
        <v>45581</v>
      </c>
      <c r="C871" s="18">
        <f t="shared" si="13"/>
        <v>10</v>
      </c>
      <c r="D871" t="s">
        <v>136</v>
      </c>
      <c r="E871">
        <v>7242266</v>
      </c>
      <c r="F871" t="s">
        <v>87</v>
      </c>
      <c r="G871" t="s">
        <v>203</v>
      </c>
      <c r="H871" t="s">
        <v>237</v>
      </c>
      <c r="I871" s="4">
        <v>125766.4408</v>
      </c>
      <c r="J871" s="4">
        <v>-125766.4408</v>
      </c>
      <c r="L871" s="4">
        <v>-1</v>
      </c>
    </row>
    <row r="872" spans="1:12">
      <c r="A872" t="s">
        <v>86</v>
      </c>
      <c r="B872" s="10">
        <v>45583</v>
      </c>
      <c r="C872" s="18">
        <f t="shared" si="13"/>
        <v>10</v>
      </c>
      <c r="D872" t="s">
        <v>136</v>
      </c>
      <c r="E872">
        <v>7241308</v>
      </c>
      <c r="F872" t="s">
        <v>87</v>
      </c>
      <c r="G872" t="s">
        <v>203</v>
      </c>
      <c r="H872" t="s">
        <v>237</v>
      </c>
      <c r="I872" s="4">
        <v>125766.4408</v>
      </c>
      <c r="J872" s="4">
        <v>1006131.5264</v>
      </c>
      <c r="K872" s="4">
        <v>-45230.688000000002</v>
      </c>
      <c r="L872" s="4">
        <v>8</v>
      </c>
    </row>
    <row r="873" spans="1:12">
      <c r="A873" t="s">
        <v>86</v>
      </c>
      <c r="B873" s="10">
        <v>45583</v>
      </c>
      <c r="C873" s="18">
        <f t="shared" si="13"/>
        <v>10</v>
      </c>
      <c r="D873" t="s">
        <v>136</v>
      </c>
      <c r="E873">
        <v>7241308</v>
      </c>
      <c r="F873" t="s">
        <v>87</v>
      </c>
      <c r="G873" t="s">
        <v>203</v>
      </c>
      <c r="H873" t="s">
        <v>235</v>
      </c>
      <c r="I873" s="4">
        <v>125766.4408</v>
      </c>
      <c r="J873" s="4">
        <v>754598.64480000001</v>
      </c>
      <c r="K873" s="4">
        <v>-33923.016000000003</v>
      </c>
      <c r="L873" s="4">
        <v>6</v>
      </c>
    </row>
    <row r="874" spans="1:12">
      <c r="A874" t="s">
        <v>86</v>
      </c>
      <c r="B874" s="10">
        <v>45583</v>
      </c>
      <c r="C874" s="18">
        <f t="shared" si="13"/>
        <v>10</v>
      </c>
      <c r="D874" t="s">
        <v>136</v>
      </c>
      <c r="E874">
        <v>7241308</v>
      </c>
      <c r="F874" t="s">
        <v>87</v>
      </c>
      <c r="G874" t="s">
        <v>203</v>
      </c>
      <c r="H874" t="s">
        <v>231</v>
      </c>
      <c r="I874" s="4">
        <v>125766.4408</v>
      </c>
      <c r="J874" s="4">
        <v>754598.64480000001</v>
      </c>
      <c r="K874" s="4">
        <v>-33923.016000000003</v>
      </c>
      <c r="L874" s="4">
        <v>6</v>
      </c>
    </row>
    <row r="875" spans="1:12">
      <c r="A875" t="s">
        <v>86</v>
      </c>
      <c r="B875" s="10">
        <v>45583</v>
      </c>
      <c r="C875" s="18">
        <f t="shared" si="13"/>
        <v>10</v>
      </c>
      <c r="D875" t="s">
        <v>136</v>
      </c>
      <c r="E875">
        <v>7241308</v>
      </c>
      <c r="F875" t="s">
        <v>87</v>
      </c>
      <c r="G875" t="s">
        <v>203</v>
      </c>
      <c r="H875" t="s">
        <v>229</v>
      </c>
      <c r="I875" s="4">
        <v>125766.4408</v>
      </c>
      <c r="J875" s="4">
        <v>754598.64480000001</v>
      </c>
      <c r="K875" s="4">
        <v>-33923.016000000003</v>
      </c>
      <c r="L875" s="4">
        <v>6</v>
      </c>
    </row>
    <row r="876" spans="1:12">
      <c r="A876" t="s">
        <v>86</v>
      </c>
      <c r="B876" s="10">
        <v>45583</v>
      </c>
      <c r="C876" s="18">
        <f t="shared" si="13"/>
        <v>10</v>
      </c>
      <c r="D876" t="s">
        <v>136</v>
      </c>
      <c r="E876">
        <v>7242669</v>
      </c>
      <c r="F876" t="s">
        <v>87</v>
      </c>
      <c r="G876" t="s">
        <v>203</v>
      </c>
      <c r="H876" t="s">
        <v>244</v>
      </c>
      <c r="I876" s="4">
        <v>125766.4408</v>
      </c>
      <c r="J876" s="4">
        <v>-251532.88159999999</v>
      </c>
      <c r="L876" s="4">
        <v>-2</v>
      </c>
    </row>
    <row r="877" spans="1:12">
      <c r="A877" t="s">
        <v>86</v>
      </c>
      <c r="B877" s="10">
        <v>45583</v>
      </c>
      <c r="C877" s="18">
        <f t="shared" si="13"/>
        <v>10</v>
      </c>
      <c r="D877" t="s">
        <v>136</v>
      </c>
      <c r="E877">
        <v>7242669</v>
      </c>
      <c r="F877" t="s">
        <v>87</v>
      </c>
      <c r="G877" t="s">
        <v>203</v>
      </c>
      <c r="H877" t="s">
        <v>239</v>
      </c>
      <c r="I877" s="4">
        <v>125766.4408</v>
      </c>
      <c r="J877" s="4">
        <v>-251532.88159999999</v>
      </c>
      <c r="L877" s="4">
        <v>-2</v>
      </c>
    </row>
    <row r="878" spans="1:12">
      <c r="A878" t="s">
        <v>86</v>
      </c>
      <c r="B878" s="10">
        <v>45583</v>
      </c>
      <c r="C878" s="18">
        <f t="shared" si="13"/>
        <v>10</v>
      </c>
      <c r="D878" t="s">
        <v>136</v>
      </c>
      <c r="E878">
        <v>7244683</v>
      </c>
      <c r="F878" t="s">
        <v>87</v>
      </c>
      <c r="G878" t="s">
        <v>203</v>
      </c>
      <c r="H878" t="s">
        <v>244</v>
      </c>
      <c r="I878" s="4">
        <v>125766.4408</v>
      </c>
      <c r="J878" s="4">
        <v>251532.88159999999</v>
      </c>
      <c r="K878" s="4">
        <v>-11307.672</v>
      </c>
      <c r="L878" s="4">
        <v>2</v>
      </c>
    </row>
    <row r="879" spans="1:12">
      <c r="A879" t="s">
        <v>86</v>
      </c>
      <c r="B879" s="10">
        <v>45583</v>
      </c>
      <c r="C879" s="18">
        <f t="shared" si="13"/>
        <v>10</v>
      </c>
      <c r="D879" t="s">
        <v>136</v>
      </c>
      <c r="E879">
        <v>7244683</v>
      </c>
      <c r="F879" t="s">
        <v>87</v>
      </c>
      <c r="G879" t="s">
        <v>203</v>
      </c>
      <c r="H879" t="s">
        <v>239</v>
      </c>
      <c r="I879" s="4">
        <v>125766.4408</v>
      </c>
      <c r="J879" s="4">
        <v>251532.88159999999</v>
      </c>
      <c r="K879" s="4">
        <v>-11307.672</v>
      </c>
      <c r="L879" s="4">
        <v>2</v>
      </c>
    </row>
    <row r="880" spans="1:12">
      <c r="A880" t="s">
        <v>86</v>
      </c>
      <c r="B880" s="10">
        <v>45583</v>
      </c>
      <c r="C880" s="18">
        <f t="shared" si="13"/>
        <v>10</v>
      </c>
      <c r="D880" t="s">
        <v>136</v>
      </c>
      <c r="E880">
        <v>7244683</v>
      </c>
      <c r="F880" t="s">
        <v>87</v>
      </c>
      <c r="G880" t="s">
        <v>203</v>
      </c>
      <c r="H880" t="s">
        <v>237</v>
      </c>
      <c r="I880" s="4">
        <v>125766.4408</v>
      </c>
      <c r="J880" s="4">
        <v>251532.88159999999</v>
      </c>
      <c r="K880" s="4">
        <v>-11307.672</v>
      </c>
      <c r="L880" s="4">
        <v>2</v>
      </c>
    </row>
    <row r="881" spans="1:12">
      <c r="A881" t="s">
        <v>86</v>
      </c>
      <c r="B881" s="10">
        <v>45583</v>
      </c>
      <c r="C881" s="18">
        <f t="shared" si="13"/>
        <v>10</v>
      </c>
      <c r="D881" t="s">
        <v>136</v>
      </c>
      <c r="E881">
        <v>7242501</v>
      </c>
      <c r="F881" t="s">
        <v>89</v>
      </c>
      <c r="G881" t="s">
        <v>203</v>
      </c>
      <c r="H881" t="s">
        <v>242</v>
      </c>
      <c r="I881" s="4">
        <v>100638.28079999999</v>
      </c>
      <c r="J881" s="4">
        <v>201276.56159999999</v>
      </c>
      <c r="K881" s="4">
        <v>-6935.3721600000008</v>
      </c>
      <c r="L881" s="4">
        <v>2</v>
      </c>
    </row>
    <row r="882" spans="1:12">
      <c r="A882" t="s">
        <v>86</v>
      </c>
      <c r="B882" s="10">
        <v>45583</v>
      </c>
      <c r="C882" s="18">
        <f t="shared" si="13"/>
        <v>10</v>
      </c>
      <c r="D882" t="s">
        <v>136</v>
      </c>
      <c r="E882">
        <v>7242501</v>
      </c>
      <c r="F882" t="s">
        <v>89</v>
      </c>
      <c r="G882" t="s">
        <v>203</v>
      </c>
      <c r="H882" t="s">
        <v>240</v>
      </c>
      <c r="I882" s="4">
        <v>100638.28079999999</v>
      </c>
      <c r="J882" s="4">
        <v>201276.56159999999</v>
      </c>
      <c r="K882" s="4">
        <v>-6935.3721600000008</v>
      </c>
      <c r="L882" s="4">
        <v>2</v>
      </c>
    </row>
    <row r="883" spans="1:12">
      <c r="A883" t="s">
        <v>86</v>
      </c>
      <c r="B883" s="10">
        <v>45583</v>
      </c>
      <c r="C883" s="18">
        <f t="shared" si="13"/>
        <v>10</v>
      </c>
      <c r="D883" t="s">
        <v>136</v>
      </c>
      <c r="E883">
        <v>7242501</v>
      </c>
      <c r="F883" t="s">
        <v>89</v>
      </c>
      <c r="G883" t="s">
        <v>203</v>
      </c>
      <c r="H883" t="s">
        <v>238</v>
      </c>
      <c r="I883" s="4">
        <v>95606.36675999999</v>
      </c>
      <c r="J883" s="4">
        <v>191212.73351999998</v>
      </c>
      <c r="K883" s="4">
        <v>-6935.3721600000008</v>
      </c>
      <c r="L883" s="4">
        <v>2</v>
      </c>
    </row>
    <row r="884" spans="1:12">
      <c r="A884" t="s">
        <v>86</v>
      </c>
      <c r="B884" s="10">
        <v>45583</v>
      </c>
      <c r="C884" s="18">
        <f t="shared" si="13"/>
        <v>10</v>
      </c>
      <c r="D884" t="s">
        <v>136</v>
      </c>
      <c r="E884">
        <v>7242501</v>
      </c>
      <c r="F884" t="s">
        <v>89</v>
      </c>
      <c r="G884" t="s">
        <v>203</v>
      </c>
      <c r="H884" t="s">
        <v>236</v>
      </c>
      <c r="I884" s="4">
        <v>100638.28079999999</v>
      </c>
      <c r="J884" s="4">
        <v>201276.56159999999</v>
      </c>
      <c r="K884" s="4">
        <v>-6935.3721600000008</v>
      </c>
      <c r="L884" s="4">
        <v>2</v>
      </c>
    </row>
    <row r="885" spans="1:12">
      <c r="A885" t="s">
        <v>86</v>
      </c>
      <c r="B885" s="10">
        <v>45583</v>
      </c>
      <c r="C885" s="18">
        <f t="shared" si="13"/>
        <v>10</v>
      </c>
      <c r="D885" t="s">
        <v>136</v>
      </c>
      <c r="E885">
        <v>7242501</v>
      </c>
      <c r="F885" t="s">
        <v>89</v>
      </c>
      <c r="G885" t="s">
        <v>203</v>
      </c>
      <c r="H885" t="s">
        <v>232</v>
      </c>
      <c r="I885" s="4">
        <v>100638.28079999999</v>
      </c>
      <c r="J885" s="4">
        <v>201276.56159999999</v>
      </c>
      <c r="K885" s="4">
        <v>-6935.3721600000008</v>
      </c>
      <c r="L885" s="4">
        <v>2</v>
      </c>
    </row>
    <row r="886" spans="1:12">
      <c r="A886" t="s">
        <v>86</v>
      </c>
      <c r="B886" s="10">
        <v>45583</v>
      </c>
      <c r="C886" s="18">
        <f t="shared" si="13"/>
        <v>10</v>
      </c>
      <c r="D886" t="s">
        <v>136</v>
      </c>
      <c r="E886">
        <v>7242501</v>
      </c>
      <c r="F886" t="s">
        <v>89</v>
      </c>
      <c r="G886" t="s">
        <v>203</v>
      </c>
      <c r="H886" t="s">
        <v>230</v>
      </c>
      <c r="I886" s="4">
        <v>100638.28079999999</v>
      </c>
      <c r="J886" s="4">
        <v>201276.56159999999</v>
      </c>
      <c r="K886" s="4">
        <v>-6935.3721600000008</v>
      </c>
      <c r="L886" s="4">
        <v>2</v>
      </c>
    </row>
    <row r="887" spans="1:12">
      <c r="A887" t="s">
        <v>86</v>
      </c>
      <c r="B887" s="10">
        <v>45583</v>
      </c>
      <c r="C887" s="18">
        <f t="shared" si="13"/>
        <v>10</v>
      </c>
      <c r="D887" t="s">
        <v>136</v>
      </c>
      <c r="E887">
        <v>7242501</v>
      </c>
      <c r="F887" t="s">
        <v>89</v>
      </c>
      <c r="G887" t="s">
        <v>203</v>
      </c>
      <c r="H887" t="s">
        <v>224</v>
      </c>
      <c r="I887" s="4">
        <v>100638.28079999999</v>
      </c>
      <c r="J887" s="4">
        <v>201276.56159999999</v>
      </c>
      <c r="K887" s="4">
        <v>-6935.3721600000008</v>
      </c>
      <c r="L887" s="4">
        <v>2</v>
      </c>
    </row>
    <row r="888" spans="1:12">
      <c r="A888" t="s">
        <v>86</v>
      </c>
      <c r="B888" s="10">
        <v>45584</v>
      </c>
      <c r="C888" s="18">
        <f t="shared" si="13"/>
        <v>10</v>
      </c>
      <c r="D888" t="s">
        <v>136</v>
      </c>
      <c r="E888">
        <v>7242261</v>
      </c>
      <c r="F888" t="s">
        <v>87</v>
      </c>
      <c r="G888" t="s">
        <v>203</v>
      </c>
      <c r="H888" t="s">
        <v>240</v>
      </c>
      <c r="I888" s="4">
        <v>100638.28079999999</v>
      </c>
      <c r="J888" s="4">
        <v>402553.12319999997</v>
      </c>
      <c r="K888" s="4">
        <v>-17338.430399999997</v>
      </c>
      <c r="L888" s="4">
        <v>4</v>
      </c>
    </row>
    <row r="889" spans="1:12">
      <c r="A889" t="s">
        <v>86</v>
      </c>
      <c r="B889" s="10">
        <v>45584</v>
      </c>
      <c r="C889" s="18">
        <f t="shared" si="13"/>
        <v>10</v>
      </c>
      <c r="D889" t="s">
        <v>136</v>
      </c>
      <c r="E889">
        <v>7242261</v>
      </c>
      <c r="F889" t="s">
        <v>87</v>
      </c>
      <c r="G889" t="s">
        <v>203</v>
      </c>
      <c r="H889" t="s">
        <v>232</v>
      </c>
      <c r="I889" s="4">
        <v>100638.28079999999</v>
      </c>
      <c r="J889" s="4">
        <v>402553.12319999997</v>
      </c>
      <c r="K889" s="4">
        <v>-17338.430399999997</v>
      </c>
      <c r="L889" s="4">
        <v>4</v>
      </c>
    </row>
    <row r="890" spans="1:12">
      <c r="A890" t="s">
        <v>86</v>
      </c>
      <c r="B890" s="10">
        <v>45584</v>
      </c>
      <c r="C890" s="18">
        <f t="shared" si="13"/>
        <v>10</v>
      </c>
      <c r="D890" t="s">
        <v>136</v>
      </c>
      <c r="E890">
        <v>7242261</v>
      </c>
      <c r="F890" t="s">
        <v>87</v>
      </c>
      <c r="G890" t="s">
        <v>203</v>
      </c>
      <c r="H890" t="s">
        <v>233</v>
      </c>
      <c r="I890" s="4">
        <v>120735.78316800001</v>
      </c>
      <c r="J890" s="4">
        <v>1207357.8316800001</v>
      </c>
      <c r="K890" s="4">
        <v>-56538.36</v>
      </c>
      <c r="L890" s="4">
        <v>10</v>
      </c>
    </row>
    <row r="891" spans="1:12">
      <c r="A891" t="s">
        <v>86</v>
      </c>
      <c r="B891" s="10">
        <v>45584</v>
      </c>
      <c r="C891" s="18">
        <f t="shared" si="13"/>
        <v>10</v>
      </c>
      <c r="D891" t="s">
        <v>136</v>
      </c>
      <c r="E891">
        <v>7907092</v>
      </c>
      <c r="F891" t="s">
        <v>87</v>
      </c>
      <c r="G891" t="s">
        <v>203</v>
      </c>
      <c r="H891" t="s">
        <v>237</v>
      </c>
      <c r="I891" s="4">
        <v>125766.4408</v>
      </c>
      <c r="J891" s="4">
        <v>1257664.4080000001</v>
      </c>
      <c r="K891" s="4">
        <v>-56538.36</v>
      </c>
      <c r="L891" s="4">
        <v>10</v>
      </c>
    </row>
    <row r="892" spans="1:12">
      <c r="A892" t="s">
        <v>86</v>
      </c>
      <c r="B892" s="10">
        <v>45584</v>
      </c>
      <c r="C892" s="18">
        <f t="shared" si="13"/>
        <v>10</v>
      </c>
      <c r="D892" t="s">
        <v>136</v>
      </c>
      <c r="E892">
        <v>7907092</v>
      </c>
      <c r="F892" t="s">
        <v>87</v>
      </c>
      <c r="G892" t="s">
        <v>203</v>
      </c>
      <c r="H892" t="s">
        <v>235</v>
      </c>
      <c r="I892" s="4">
        <v>125766.4408</v>
      </c>
      <c r="J892" s="4">
        <v>1257664.4080000001</v>
      </c>
      <c r="K892" s="4">
        <v>-56538.36</v>
      </c>
      <c r="L892" s="4">
        <v>10</v>
      </c>
    </row>
    <row r="893" spans="1:12">
      <c r="A893" t="s">
        <v>86</v>
      </c>
      <c r="B893" s="10">
        <v>45587</v>
      </c>
      <c r="C893" s="18">
        <f t="shared" si="13"/>
        <v>10</v>
      </c>
      <c r="D893" t="s">
        <v>136</v>
      </c>
      <c r="E893">
        <v>7787121</v>
      </c>
      <c r="F893" t="s">
        <v>87</v>
      </c>
      <c r="G893" t="s">
        <v>203</v>
      </c>
      <c r="H893" t="s">
        <v>242</v>
      </c>
      <c r="I893" s="4">
        <v>100638.28079999999</v>
      </c>
      <c r="J893" s="4">
        <v>201276.56159999999</v>
      </c>
      <c r="K893" s="4">
        <v>-8669.2151999999987</v>
      </c>
      <c r="L893" s="4">
        <v>2</v>
      </c>
    </row>
    <row r="894" spans="1:12">
      <c r="A894" t="s">
        <v>86</v>
      </c>
      <c r="B894" s="10">
        <v>45587</v>
      </c>
      <c r="C894" s="18">
        <f t="shared" si="13"/>
        <v>10</v>
      </c>
      <c r="D894" t="s">
        <v>136</v>
      </c>
      <c r="E894">
        <v>7787121</v>
      </c>
      <c r="F894" t="s">
        <v>87</v>
      </c>
      <c r="G894" t="s">
        <v>203</v>
      </c>
      <c r="H894" t="s">
        <v>240</v>
      </c>
      <c r="I894" s="4">
        <v>100638.28079999999</v>
      </c>
      <c r="J894" s="4">
        <v>201276.56159999999</v>
      </c>
      <c r="K894" s="4">
        <v>-8669.2151999999987</v>
      </c>
      <c r="L894" s="4">
        <v>2</v>
      </c>
    </row>
    <row r="895" spans="1:12">
      <c r="A895" t="s">
        <v>86</v>
      </c>
      <c r="B895" s="10">
        <v>45587</v>
      </c>
      <c r="C895" s="18">
        <f t="shared" si="13"/>
        <v>10</v>
      </c>
      <c r="D895" t="s">
        <v>136</v>
      </c>
      <c r="E895">
        <v>7787121</v>
      </c>
      <c r="F895" t="s">
        <v>87</v>
      </c>
      <c r="G895" t="s">
        <v>203</v>
      </c>
      <c r="H895" t="s">
        <v>238</v>
      </c>
      <c r="I895" s="4">
        <v>95606.36675999999</v>
      </c>
      <c r="J895" s="4">
        <v>191212.73351999998</v>
      </c>
      <c r="K895" s="4">
        <v>-8669.2151999999987</v>
      </c>
      <c r="L895" s="4">
        <v>2</v>
      </c>
    </row>
    <row r="896" spans="1:12">
      <c r="A896" t="s">
        <v>86</v>
      </c>
      <c r="B896" s="10">
        <v>45587</v>
      </c>
      <c r="C896" s="18">
        <f t="shared" si="13"/>
        <v>10</v>
      </c>
      <c r="D896" t="s">
        <v>136</v>
      </c>
      <c r="E896">
        <v>7787121</v>
      </c>
      <c r="F896" t="s">
        <v>87</v>
      </c>
      <c r="G896" t="s">
        <v>203</v>
      </c>
      <c r="H896" t="s">
        <v>236</v>
      </c>
      <c r="I896" s="4">
        <v>100638.28079999999</v>
      </c>
      <c r="J896" s="4">
        <v>201276.56159999999</v>
      </c>
      <c r="K896" s="4">
        <v>-8669.2151999999987</v>
      </c>
      <c r="L896" s="4">
        <v>2</v>
      </c>
    </row>
    <row r="897" spans="1:12">
      <c r="A897" t="s">
        <v>86</v>
      </c>
      <c r="B897" s="10">
        <v>45587</v>
      </c>
      <c r="C897" s="18">
        <f t="shared" si="13"/>
        <v>10</v>
      </c>
      <c r="D897" t="s">
        <v>136</v>
      </c>
      <c r="E897">
        <v>7787121</v>
      </c>
      <c r="F897" t="s">
        <v>87</v>
      </c>
      <c r="G897" t="s">
        <v>203</v>
      </c>
      <c r="H897" t="s">
        <v>230</v>
      </c>
      <c r="I897" s="4">
        <v>100638.28079999999</v>
      </c>
      <c r="J897" s="4">
        <v>201276.56159999999</v>
      </c>
      <c r="K897" s="4">
        <v>-8669.2151999999987</v>
      </c>
      <c r="L897" s="4">
        <v>2</v>
      </c>
    </row>
    <row r="898" spans="1:12">
      <c r="A898" t="s">
        <v>86</v>
      </c>
      <c r="B898" s="10">
        <v>45588</v>
      </c>
      <c r="C898" s="18">
        <f t="shared" ref="C898:C961" si="14">MONTH(B898)</f>
        <v>10</v>
      </c>
      <c r="D898" t="s">
        <v>136</v>
      </c>
      <c r="E898">
        <v>7242261</v>
      </c>
      <c r="F898" t="s">
        <v>87</v>
      </c>
      <c r="G898" t="s">
        <v>203</v>
      </c>
      <c r="H898" t="s">
        <v>240</v>
      </c>
      <c r="I898" s="4">
        <v>100638.28079999999</v>
      </c>
      <c r="J898" s="4">
        <v>402553.12319999997</v>
      </c>
      <c r="K898" s="4">
        <v>-17338.430399999997</v>
      </c>
      <c r="L898" s="4">
        <v>4</v>
      </c>
    </row>
    <row r="899" spans="1:12">
      <c r="A899" t="s">
        <v>86</v>
      </c>
      <c r="B899" s="10">
        <v>45588</v>
      </c>
      <c r="C899" s="18">
        <f t="shared" si="14"/>
        <v>10</v>
      </c>
      <c r="D899" t="s">
        <v>136</v>
      </c>
      <c r="E899">
        <v>7242261</v>
      </c>
      <c r="F899" t="s">
        <v>87</v>
      </c>
      <c r="G899" t="s">
        <v>203</v>
      </c>
      <c r="H899" t="s">
        <v>232</v>
      </c>
      <c r="I899" s="4">
        <v>100638.28079999999</v>
      </c>
      <c r="J899" s="4">
        <v>402553.12319999997</v>
      </c>
      <c r="K899" s="4">
        <v>-17338.430399999997</v>
      </c>
      <c r="L899" s="4">
        <v>4</v>
      </c>
    </row>
    <row r="900" spans="1:12">
      <c r="A900" t="s">
        <v>86</v>
      </c>
      <c r="B900" s="10">
        <v>45588</v>
      </c>
      <c r="C900" s="18">
        <f t="shared" si="14"/>
        <v>10</v>
      </c>
      <c r="D900" t="s">
        <v>136</v>
      </c>
      <c r="E900">
        <v>7242261</v>
      </c>
      <c r="F900" t="s">
        <v>87</v>
      </c>
      <c r="G900" t="s">
        <v>203</v>
      </c>
      <c r="H900" t="s">
        <v>230</v>
      </c>
      <c r="I900" s="4">
        <v>100638.28079999999</v>
      </c>
      <c r="J900" s="4">
        <v>201276.56159999999</v>
      </c>
      <c r="K900" s="4">
        <v>-8669.2151999999987</v>
      </c>
      <c r="L900" s="4">
        <v>2</v>
      </c>
    </row>
    <row r="901" spans="1:12">
      <c r="A901" t="s">
        <v>86</v>
      </c>
      <c r="B901" s="10">
        <v>45588</v>
      </c>
      <c r="C901" s="18">
        <f t="shared" si="14"/>
        <v>10</v>
      </c>
      <c r="D901" t="s">
        <v>136</v>
      </c>
      <c r="E901">
        <v>7242261</v>
      </c>
      <c r="F901" t="s">
        <v>87</v>
      </c>
      <c r="G901" t="s">
        <v>203</v>
      </c>
      <c r="H901" t="s">
        <v>241</v>
      </c>
      <c r="I901" s="4">
        <v>125766.4408</v>
      </c>
      <c r="J901" s="4">
        <v>628832.20400000003</v>
      </c>
      <c r="K901" s="4">
        <v>-28269.18</v>
      </c>
      <c r="L901" s="4">
        <v>5</v>
      </c>
    </row>
    <row r="902" spans="1:12">
      <c r="A902" t="s">
        <v>86</v>
      </c>
      <c r="B902" s="10">
        <v>45588</v>
      </c>
      <c r="C902" s="18">
        <f t="shared" si="14"/>
        <v>10</v>
      </c>
      <c r="D902" t="s">
        <v>136</v>
      </c>
      <c r="E902">
        <v>7242261</v>
      </c>
      <c r="F902" t="s">
        <v>87</v>
      </c>
      <c r="G902" t="s">
        <v>203</v>
      </c>
      <c r="H902" t="s">
        <v>237</v>
      </c>
      <c r="I902" s="4">
        <v>125766.4408</v>
      </c>
      <c r="J902" s="4">
        <v>628832.20400000003</v>
      </c>
      <c r="K902" s="4">
        <v>-28269.18</v>
      </c>
      <c r="L902" s="4">
        <v>5</v>
      </c>
    </row>
    <row r="903" spans="1:12">
      <c r="A903" t="s">
        <v>86</v>
      </c>
      <c r="B903" s="10">
        <v>45588</v>
      </c>
      <c r="C903" s="18">
        <f t="shared" si="14"/>
        <v>10</v>
      </c>
      <c r="D903" t="s">
        <v>136</v>
      </c>
      <c r="E903">
        <v>7242261</v>
      </c>
      <c r="F903" t="s">
        <v>87</v>
      </c>
      <c r="G903" t="s">
        <v>203</v>
      </c>
      <c r="H903" t="s">
        <v>231</v>
      </c>
      <c r="I903" s="4">
        <v>125766.4408</v>
      </c>
      <c r="J903" s="4">
        <v>628832.20400000003</v>
      </c>
      <c r="K903" s="4">
        <v>-28269.18</v>
      </c>
      <c r="L903" s="4">
        <v>5</v>
      </c>
    </row>
    <row r="904" spans="1:12">
      <c r="A904" t="s">
        <v>86</v>
      </c>
      <c r="B904" s="10">
        <v>45588</v>
      </c>
      <c r="C904" s="18">
        <f t="shared" si="14"/>
        <v>10</v>
      </c>
      <c r="D904" t="s">
        <v>136</v>
      </c>
      <c r="E904">
        <v>7787121</v>
      </c>
      <c r="F904" t="s">
        <v>87</v>
      </c>
      <c r="G904" t="s">
        <v>203</v>
      </c>
      <c r="H904" t="s">
        <v>237</v>
      </c>
      <c r="I904" s="4">
        <v>125766.4408</v>
      </c>
      <c r="J904" s="4">
        <v>628832.20400000003</v>
      </c>
      <c r="K904" s="4">
        <v>-28269.18</v>
      </c>
      <c r="L904" s="4">
        <v>5</v>
      </c>
    </row>
    <row r="905" spans="1:12">
      <c r="A905" t="s">
        <v>86</v>
      </c>
      <c r="B905" s="10">
        <v>45588</v>
      </c>
      <c r="C905" s="18">
        <f t="shared" si="14"/>
        <v>10</v>
      </c>
      <c r="D905" t="s">
        <v>136</v>
      </c>
      <c r="E905">
        <v>7787121</v>
      </c>
      <c r="F905" t="s">
        <v>87</v>
      </c>
      <c r="G905" t="s">
        <v>203</v>
      </c>
      <c r="H905" t="s">
        <v>231</v>
      </c>
      <c r="I905" s="4">
        <v>125766.4408</v>
      </c>
      <c r="J905" s="4">
        <v>628832.20400000003</v>
      </c>
      <c r="K905" s="4">
        <v>-28269.18</v>
      </c>
      <c r="L905" s="4">
        <v>5</v>
      </c>
    </row>
    <row r="906" spans="1:12">
      <c r="A906" t="s">
        <v>86</v>
      </c>
      <c r="B906" s="10">
        <v>45590</v>
      </c>
      <c r="C906" s="18">
        <f t="shared" si="14"/>
        <v>10</v>
      </c>
      <c r="D906" t="s">
        <v>136</v>
      </c>
      <c r="E906">
        <v>7241308</v>
      </c>
      <c r="F906" t="s">
        <v>87</v>
      </c>
      <c r="G906" t="s">
        <v>203</v>
      </c>
      <c r="H906" t="s">
        <v>231</v>
      </c>
      <c r="I906" s="4">
        <v>125766.4408</v>
      </c>
      <c r="J906" s="4">
        <v>-251532.88159999999</v>
      </c>
      <c r="K906" s="4">
        <v>11307.672</v>
      </c>
      <c r="L906" s="4">
        <v>-2</v>
      </c>
    </row>
    <row r="907" spans="1:12">
      <c r="A907" t="s">
        <v>86</v>
      </c>
      <c r="B907" s="10">
        <v>45591</v>
      </c>
      <c r="C907" s="18">
        <f t="shared" si="14"/>
        <v>10</v>
      </c>
      <c r="D907" t="s">
        <v>136</v>
      </c>
      <c r="E907">
        <v>7242743</v>
      </c>
      <c r="F907" t="s">
        <v>87</v>
      </c>
      <c r="G907" t="s">
        <v>203</v>
      </c>
      <c r="H907" t="s">
        <v>238</v>
      </c>
      <c r="I907" s="4">
        <v>95606.36675999999</v>
      </c>
      <c r="J907" s="4">
        <v>-95606.36675999999</v>
      </c>
      <c r="L907" s="4">
        <v>-1</v>
      </c>
    </row>
    <row r="908" spans="1:12">
      <c r="A908" t="s">
        <v>86</v>
      </c>
      <c r="B908" s="10">
        <v>45594</v>
      </c>
      <c r="C908" s="18">
        <f t="shared" si="14"/>
        <v>10</v>
      </c>
      <c r="D908" t="s">
        <v>136</v>
      </c>
      <c r="E908">
        <v>7241308</v>
      </c>
      <c r="F908" t="s">
        <v>87</v>
      </c>
      <c r="G908" t="s">
        <v>203</v>
      </c>
      <c r="H908" t="s">
        <v>241</v>
      </c>
      <c r="I908" s="4">
        <v>125766.4408</v>
      </c>
      <c r="J908" s="4">
        <v>1257664.4080000001</v>
      </c>
      <c r="K908" s="4">
        <v>-56538.36</v>
      </c>
      <c r="L908" s="4">
        <v>10</v>
      </c>
    </row>
    <row r="909" spans="1:12">
      <c r="A909" t="s">
        <v>86</v>
      </c>
      <c r="B909" s="10">
        <v>45595</v>
      </c>
      <c r="C909" s="18">
        <f t="shared" si="14"/>
        <v>10</v>
      </c>
      <c r="D909" t="s">
        <v>136</v>
      </c>
      <c r="E909">
        <v>7241129</v>
      </c>
      <c r="F909" t="s">
        <v>87</v>
      </c>
      <c r="G909" t="s">
        <v>202</v>
      </c>
      <c r="H909" t="s">
        <v>254</v>
      </c>
      <c r="I909" s="4">
        <v>37817.880799999999</v>
      </c>
      <c r="J909" s="4">
        <v>3781788.08</v>
      </c>
      <c r="K909" s="4">
        <v>-113076.72</v>
      </c>
      <c r="L909" s="4">
        <v>100</v>
      </c>
    </row>
    <row r="910" spans="1:12">
      <c r="A910" t="s">
        <v>86</v>
      </c>
      <c r="B910" s="10">
        <v>45596</v>
      </c>
      <c r="C910" s="18">
        <f t="shared" si="14"/>
        <v>10</v>
      </c>
      <c r="D910" t="s">
        <v>136</v>
      </c>
      <c r="E910">
        <v>7242720</v>
      </c>
      <c r="F910" t="s">
        <v>88</v>
      </c>
      <c r="G910" t="s">
        <v>203</v>
      </c>
      <c r="H910" t="s">
        <v>242</v>
      </c>
      <c r="I910" s="4">
        <v>100638.28079999999</v>
      </c>
      <c r="J910" s="4">
        <v>1006382.808</v>
      </c>
      <c r="K910" s="4">
        <v>-34676.860799999995</v>
      </c>
      <c r="L910" s="4">
        <v>10</v>
      </c>
    </row>
    <row r="911" spans="1:12">
      <c r="A911" t="s">
        <v>86</v>
      </c>
      <c r="B911" s="10">
        <v>45596</v>
      </c>
      <c r="C911" s="18">
        <f t="shared" si="14"/>
        <v>10</v>
      </c>
      <c r="D911" t="s">
        <v>136</v>
      </c>
      <c r="E911">
        <v>7242720</v>
      </c>
      <c r="F911" t="s">
        <v>88</v>
      </c>
      <c r="G911" t="s">
        <v>203</v>
      </c>
      <c r="H911" t="s">
        <v>232</v>
      </c>
      <c r="I911" s="4">
        <v>100638.28079999999</v>
      </c>
      <c r="J911" s="4">
        <v>1006382.808</v>
      </c>
      <c r="K911" s="4">
        <v>-34676.860799999995</v>
      </c>
      <c r="L911" s="4">
        <v>10</v>
      </c>
    </row>
    <row r="912" spans="1:12">
      <c r="A912" t="s">
        <v>86</v>
      </c>
      <c r="B912" s="10">
        <v>45596</v>
      </c>
      <c r="C912" s="18">
        <f t="shared" si="14"/>
        <v>10</v>
      </c>
      <c r="D912" t="s">
        <v>136</v>
      </c>
      <c r="E912">
        <v>7242720</v>
      </c>
      <c r="F912" t="s">
        <v>88</v>
      </c>
      <c r="G912" t="s">
        <v>203</v>
      </c>
      <c r="H912" t="s">
        <v>230</v>
      </c>
      <c r="I912" s="4">
        <v>100638.28079999999</v>
      </c>
      <c r="J912" s="4">
        <v>1006382.808</v>
      </c>
      <c r="K912" s="4">
        <v>-34676.860799999995</v>
      </c>
      <c r="L912" s="4">
        <v>10</v>
      </c>
    </row>
    <row r="913" spans="1:12">
      <c r="A913" t="s">
        <v>86</v>
      </c>
      <c r="B913" s="10">
        <v>45596</v>
      </c>
      <c r="C913" s="18">
        <f t="shared" si="14"/>
        <v>10</v>
      </c>
      <c r="D913" t="s">
        <v>136</v>
      </c>
      <c r="E913">
        <v>7242720</v>
      </c>
      <c r="F913" t="s">
        <v>88</v>
      </c>
      <c r="G913" t="s">
        <v>203</v>
      </c>
      <c r="H913" t="s">
        <v>223</v>
      </c>
      <c r="I913" s="4">
        <v>100638.28079999999</v>
      </c>
      <c r="J913" s="4">
        <v>1006382.808</v>
      </c>
      <c r="K913" s="4">
        <v>-34676.860799999995</v>
      </c>
      <c r="L913" s="4">
        <v>10</v>
      </c>
    </row>
    <row r="914" spans="1:12">
      <c r="A914" t="s">
        <v>86</v>
      </c>
      <c r="B914" s="10">
        <v>45596</v>
      </c>
      <c r="C914" s="18">
        <f t="shared" si="14"/>
        <v>10</v>
      </c>
      <c r="D914" t="s">
        <v>136</v>
      </c>
      <c r="E914">
        <v>7244683</v>
      </c>
      <c r="F914" t="s">
        <v>87</v>
      </c>
      <c r="G914" t="s">
        <v>203</v>
      </c>
      <c r="H914" t="s">
        <v>236</v>
      </c>
      <c r="I914" s="4">
        <v>100638.28079999999</v>
      </c>
      <c r="J914" s="4">
        <v>402553.12319999997</v>
      </c>
      <c r="K914" s="4">
        <v>-17338.430399999997</v>
      </c>
      <c r="L914" s="4">
        <v>4</v>
      </c>
    </row>
    <row r="915" spans="1:12">
      <c r="A915" t="s">
        <v>86</v>
      </c>
      <c r="B915" s="10">
        <v>45596</v>
      </c>
      <c r="C915" s="18">
        <f t="shared" si="14"/>
        <v>10</v>
      </c>
      <c r="D915" t="s">
        <v>136</v>
      </c>
      <c r="E915">
        <v>7244683</v>
      </c>
      <c r="F915" t="s">
        <v>87</v>
      </c>
      <c r="G915" t="s">
        <v>203</v>
      </c>
      <c r="H915" t="s">
        <v>241</v>
      </c>
      <c r="I915" s="4">
        <v>125766.4408</v>
      </c>
      <c r="J915" s="4">
        <v>628832.20400000003</v>
      </c>
      <c r="K915" s="4">
        <v>-28269.18</v>
      </c>
      <c r="L915" s="4">
        <v>5</v>
      </c>
    </row>
    <row r="916" spans="1:12">
      <c r="A916" t="s">
        <v>91</v>
      </c>
      <c r="B916" s="10">
        <v>45566</v>
      </c>
      <c r="C916" s="18">
        <f t="shared" si="14"/>
        <v>10</v>
      </c>
      <c r="D916" t="s">
        <v>148</v>
      </c>
      <c r="E916">
        <v>6080397</v>
      </c>
      <c r="F916" t="s">
        <v>88</v>
      </c>
      <c r="G916" t="s">
        <v>204</v>
      </c>
      <c r="H916" t="s">
        <v>217</v>
      </c>
      <c r="I916" s="4">
        <v>78022.936799999996</v>
      </c>
      <c r="J916" s="4">
        <v>-78022.936799999996</v>
      </c>
      <c r="K916" s="4">
        <v>3580.7627999999995</v>
      </c>
      <c r="L916" s="4">
        <v>-1</v>
      </c>
    </row>
    <row r="917" spans="1:12">
      <c r="A917" t="s">
        <v>91</v>
      </c>
      <c r="B917" s="10">
        <v>45567</v>
      </c>
      <c r="C917" s="18">
        <f t="shared" si="14"/>
        <v>10</v>
      </c>
      <c r="D917" t="s">
        <v>148</v>
      </c>
      <c r="E917">
        <v>6080537</v>
      </c>
      <c r="F917" t="s">
        <v>89</v>
      </c>
      <c r="G917" t="s">
        <v>203</v>
      </c>
      <c r="H917" t="s">
        <v>229</v>
      </c>
      <c r="I917" s="4">
        <v>125766.4408</v>
      </c>
      <c r="J917" s="4">
        <v>628832.20400000003</v>
      </c>
      <c r="L917" s="4">
        <v>5</v>
      </c>
    </row>
    <row r="918" spans="1:12">
      <c r="A918" t="s">
        <v>91</v>
      </c>
      <c r="B918" s="10">
        <v>45570</v>
      </c>
      <c r="C918" s="18">
        <f t="shared" si="14"/>
        <v>10</v>
      </c>
      <c r="D918" t="s">
        <v>148</v>
      </c>
      <c r="E918">
        <v>6536079</v>
      </c>
      <c r="F918" t="s">
        <v>88</v>
      </c>
      <c r="G918" t="s">
        <v>203</v>
      </c>
      <c r="H918" t="s">
        <v>230</v>
      </c>
      <c r="I918" s="4">
        <v>100638.28079999999</v>
      </c>
      <c r="J918" s="4">
        <v>1006382.808</v>
      </c>
      <c r="K918" s="4">
        <v>-43346.076000000001</v>
      </c>
      <c r="L918" s="4">
        <v>10</v>
      </c>
    </row>
    <row r="919" spans="1:12">
      <c r="A919" t="s">
        <v>91</v>
      </c>
      <c r="B919" s="10">
        <v>45570</v>
      </c>
      <c r="C919" s="18">
        <f t="shared" si="14"/>
        <v>10</v>
      </c>
      <c r="D919" t="s">
        <v>148</v>
      </c>
      <c r="E919">
        <v>6536079</v>
      </c>
      <c r="F919" t="s">
        <v>88</v>
      </c>
      <c r="G919" t="s">
        <v>203</v>
      </c>
      <c r="H919" t="s">
        <v>222</v>
      </c>
      <c r="I919" s="4">
        <v>100638.28079999999</v>
      </c>
      <c r="J919" s="4">
        <v>1006382.808</v>
      </c>
      <c r="K919" s="4">
        <v>-43346.076000000001</v>
      </c>
      <c r="L919" s="4">
        <v>10</v>
      </c>
    </row>
    <row r="920" spans="1:12">
      <c r="A920" t="s">
        <v>91</v>
      </c>
      <c r="B920" s="10">
        <v>45572</v>
      </c>
      <c r="C920" s="18">
        <f t="shared" si="14"/>
        <v>10</v>
      </c>
      <c r="D920" t="s">
        <v>148</v>
      </c>
      <c r="E920">
        <v>6080397</v>
      </c>
      <c r="F920" t="s">
        <v>88</v>
      </c>
      <c r="G920" t="s">
        <v>204</v>
      </c>
      <c r="H920" t="s">
        <v>219</v>
      </c>
      <c r="I920" s="4">
        <v>44099.9208</v>
      </c>
      <c r="J920" s="4">
        <v>176399.6832</v>
      </c>
      <c r="K920" s="4">
        <v>-7538.4479999999994</v>
      </c>
      <c r="L920" s="4">
        <v>4</v>
      </c>
    </row>
    <row r="921" spans="1:12">
      <c r="A921" t="s">
        <v>91</v>
      </c>
      <c r="B921" s="10">
        <v>45572</v>
      </c>
      <c r="C921" s="18">
        <f t="shared" si="14"/>
        <v>10</v>
      </c>
      <c r="D921" t="s">
        <v>148</v>
      </c>
      <c r="E921">
        <v>6080397</v>
      </c>
      <c r="F921" t="s">
        <v>88</v>
      </c>
      <c r="G921" t="s">
        <v>204</v>
      </c>
      <c r="H921" t="s">
        <v>221</v>
      </c>
      <c r="I921" s="4">
        <v>25253.800799999997</v>
      </c>
      <c r="J921" s="4">
        <v>25253.800799999997</v>
      </c>
      <c r="K921" s="4">
        <v>-1256.4080000000001</v>
      </c>
      <c r="L921" s="4">
        <v>1</v>
      </c>
    </row>
    <row r="922" spans="1:12">
      <c r="A922" t="s">
        <v>91</v>
      </c>
      <c r="B922" s="10">
        <v>45572</v>
      </c>
      <c r="C922" s="18">
        <f t="shared" si="14"/>
        <v>10</v>
      </c>
      <c r="D922" t="s">
        <v>148</v>
      </c>
      <c r="E922">
        <v>6080397</v>
      </c>
      <c r="F922" t="s">
        <v>88</v>
      </c>
      <c r="G922" t="s">
        <v>204</v>
      </c>
      <c r="H922" t="s">
        <v>220</v>
      </c>
      <c r="I922" s="4">
        <v>37817.880799999999</v>
      </c>
      <c r="J922" s="4">
        <v>37817.880799999999</v>
      </c>
      <c r="K922" s="4">
        <v>-1884.6119999999999</v>
      </c>
      <c r="L922" s="4">
        <v>1</v>
      </c>
    </row>
    <row r="923" spans="1:12">
      <c r="A923" t="s">
        <v>91</v>
      </c>
      <c r="B923" s="10">
        <v>45573</v>
      </c>
      <c r="C923" s="18">
        <f t="shared" si="14"/>
        <v>10</v>
      </c>
      <c r="D923" t="s">
        <v>148</v>
      </c>
      <c r="E923">
        <v>6474241</v>
      </c>
      <c r="F923" t="s">
        <v>88</v>
      </c>
      <c r="G923" t="s">
        <v>204</v>
      </c>
      <c r="H923" t="s">
        <v>212</v>
      </c>
      <c r="I923" s="4">
        <v>62946.040799999995</v>
      </c>
      <c r="J923" s="4">
        <v>3147302.0399999996</v>
      </c>
      <c r="K923" s="4">
        <v>-78525.5</v>
      </c>
      <c r="L923" s="4">
        <v>50</v>
      </c>
    </row>
    <row r="924" spans="1:12">
      <c r="A924" t="s">
        <v>91</v>
      </c>
      <c r="B924" s="10">
        <v>45589</v>
      </c>
      <c r="C924" s="18">
        <f t="shared" si="14"/>
        <v>10</v>
      </c>
      <c r="D924" t="s">
        <v>148</v>
      </c>
      <c r="E924">
        <v>6080431</v>
      </c>
      <c r="F924" t="s">
        <v>89</v>
      </c>
      <c r="G924" t="s">
        <v>203</v>
      </c>
      <c r="H924" t="s">
        <v>242</v>
      </c>
      <c r="I924" s="4">
        <v>100638.28079999999</v>
      </c>
      <c r="J924" s="4">
        <v>603829.68479999993</v>
      </c>
      <c r="K924" s="4">
        <v>-26007.645599999996</v>
      </c>
      <c r="L924" s="4">
        <v>6</v>
      </c>
    </row>
    <row r="925" spans="1:12">
      <c r="A925" t="s">
        <v>91</v>
      </c>
      <c r="B925" s="10">
        <v>45589</v>
      </c>
      <c r="C925" s="18">
        <f t="shared" si="14"/>
        <v>10</v>
      </c>
      <c r="D925" t="s">
        <v>148</v>
      </c>
      <c r="E925">
        <v>6080431</v>
      </c>
      <c r="F925" t="s">
        <v>89</v>
      </c>
      <c r="G925" t="s">
        <v>203</v>
      </c>
      <c r="H925" t="s">
        <v>240</v>
      </c>
      <c r="I925" s="4">
        <v>100638.28079999999</v>
      </c>
      <c r="J925" s="4">
        <v>603829.68479999993</v>
      </c>
      <c r="K925" s="4">
        <v>-26007.645599999996</v>
      </c>
      <c r="L925" s="4">
        <v>6</v>
      </c>
    </row>
    <row r="926" spans="1:12">
      <c r="A926" t="s">
        <v>91</v>
      </c>
      <c r="B926" s="10">
        <v>45589</v>
      </c>
      <c r="C926" s="18">
        <f t="shared" si="14"/>
        <v>10</v>
      </c>
      <c r="D926" t="s">
        <v>148</v>
      </c>
      <c r="E926">
        <v>6080431</v>
      </c>
      <c r="F926" t="s">
        <v>89</v>
      </c>
      <c r="G926" t="s">
        <v>203</v>
      </c>
      <c r="H926" t="s">
        <v>238</v>
      </c>
      <c r="I926" s="4">
        <v>95606.36675999999</v>
      </c>
      <c r="J926" s="4">
        <v>382425.46703999996</v>
      </c>
      <c r="K926" s="4">
        <v>-17338.430399999997</v>
      </c>
      <c r="L926" s="4">
        <v>4</v>
      </c>
    </row>
    <row r="927" spans="1:12">
      <c r="A927" t="s">
        <v>91</v>
      </c>
      <c r="B927" s="10">
        <v>45589</v>
      </c>
      <c r="C927" s="18">
        <f t="shared" si="14"/>
        <v>10</v>
      </c>
      <c r="D927" t="s">
        <v>148</v>
      </c>
      <c r="E927">
        <v>6080431</v>
      </c>
      <c r="F927" t="s">
        <v>89</v>
      </c>
      <c r="G927" t="s">
        <v>203</v>
      </c>
      <c r="H927" t="s">
        <v>236</v>
      </c>
      <c r="I927" s="4">
        <v>100638.28079999999</v>
      </c>
      <c r="J927" s="4">
        <v>603829.68479999993</v>
      </c>
      <c r="K927" s="4">
        <v>-26007.645599999996</v>
      </c>
      <c r="L927" s="4">
        <v>6</v>
      </c>
    </row>
    <row r="928" spans="1:12">
      <c r="A928" t="s">
        <v>91</v>
      </c>
      <c r="B928" s="10">
        <v>45589</v>
      </c>
      <c r="C928" s="18">
        <f t="shared" si="14"/>
        <v>10</v>
      </c>
      <c r="D928" t="s">
        <v>148</v>
      </c>
      <c r="E928">
        <v>6080431</v>
      </c>
      <c r="F928" t="s">
        <v>89</v>
      </c>
      <c r="G928" t="s">
        <v>203</v>
      </c>
      <c r="H928" t="s">
        <v>234</v>
      </c>
      <c r="I928" s="4">
        <v>100638.28079999999</v>
      </c>
      <c r="J928" s="4">
        <v>603829.68479999993</v>
      </c>
      <c r="K928" s="4">
        <v>-26007.645599999996</v>
      </c>
      <c r="L928" s="4">
        <v>6</v>
      </c>
    </row>
    <row r="929" spans="1:12">
      <c r="A929" t="s">
        <v>91</v>
      </c>
      <c r="B929" s="10">
        <v>45593</v>
      </c>
      <c r="C929" s="18">
        <f t="shared" si="14"/>
        <v>10</v>
      </c>
      <c r="D929" t="s">
        <v>148</v>
      </c>
      <c r="E929">
        <v>6536135</v>
      </c>
      <c r="F929" t="s">
        <v>89</v>
      </c>
      <c r="G929" t="s">
        <v>204</v>
      </c>
      <c r="H929" t="s">
        <v>214</v>
      </c>
      <c r="I929" s="4">
        <v>119484.4008</v>
      </c>
      <c r="J929" s="4">
        <v>358453.20240000001</v>
      </c>
      <c r="K929" s="4">
        <v>-16019.201999999999</v>
      </c>
      <c r="L929" s="4">
        <v>3</v>
      </c>
    </row>
    <row r="930" spans="1:12">
      <c r="A930" t="s">
        <v>91</v>
      </c>
      <c r="B930" s="10">
        <v>45596</v>
      </c>
      <c r="C930" s="18">
        <f t="shared" si="14"/>
        <v>10</v>
      </c>
      <c r="D930" t="s">
        <v>148</v>
      </c>
      <c r="E930">
        <v>6536135</v>
      </c>
      <c r="F930" t="s">
        <v>89</v>
      </c>
      <c r="G930" t="s">
        <v>204</v>
      </c>
      <c r="H930" t="s">
        <v>218</v>
      </c>
      <c r="I930" s="4">
        <v>71740.896800000002</v>
      </c>
      <c r="J930" s="4">
        <v>1219595.2456</v>
      </c>
      <c r="K930" s="4">
        <v>-60872.967599999996</v>
      </c>
      <c r="L930" s="4">
        <v>17</v>
      </c>
    </row>
    <row r="931" spans="1:12">
      <c r="A931" t="s">
        <v>92</v>
      </c>
      <c r="B931" s="10">
        <v>45567</v>
      </c>
      <c r="C931" s="18">
        <f t="shared" si="14"/>
        <v>10</v>
      </c>
      <c r="D931" t="s">
        <v>179</v>
      </c>
      <c r="E931">
        <v>6684690</v>
      </c>
      <c r="F931" t="s">
        <v>88</v>
      </c>
      <c r="G931" t="s">
        <v>203</v>
      </c>
      <c r="H931" t="s">
        <v>240</v>
      </c>
      <c r="I931" s="4">
        <v>100638.28079999999</v>
      </c>
      <c r="J931" s="4">
        <v>1006382.808</v>
      </c>
      <c r="K931" s="4">
        <v>-43346.076000000001</v>
      </c>
      <c r="L931" s="4">
        <v>10</v>
      </c>
    </row>
    <row r="932" spans="1:12">
      <c r="A932" t="s">
        <v>92</v>
      </c>
      <c r="B932" s="10">
        <v>45567</v>
      </c>
      <c r="C932" s="18">
        <f t="shared" si="14"/>
        <v>10</v>
      </c>
      <c r="D932" t="s">
        <v>179</v>
      </c>
      <c r="E932">
        <v>6684690</v>
      </c>
      <c r="F932" t="s">
        <v>88</v>
      </c>
      <c r="G932" t="s">
        <v>203</v>
      </c>
      <c r="H932" t="s">
        <v>241</v>
      </c>
      <c r="I932" s="4">
        <v>125766.4408</v>
      </c>
      <c r="J932" s="4">
        <v>1257664.4080000001</v>
      </c>
      <c r="K932" s="4">
        <v>-56538.36</v>
      </c>
      <c r="L932" s="4">
        <v>10</v>
      </c>
    </row>
    <row r="933" spans="1:12">
      <c r="A933" t="s">
        <v>92</v>
      </c>
      <c r="B933" s="10">
        <v>45567</v>
      </c>
      <c r="C933" s="18">
        <f t="shared" si="14"/>
        <v>10</v>
      </c>
      <c r="D933" t="s">
        <v>179</v>
      </c>
      <c r="E933">
        <v>6700754</v>
      </c>
      <c r="F933" t="s">
        <v>90</v>
      </c>
      <c r="G933" t="s">
        <v>203</v>
      </c>
      <c r="H933" t="s">
        <v>242</v>
      </c>
      <c r="I933" s="4">
        <v>100638.28079999999</v>
      </c>
      <c r="J933" s="4">
        <v>805106.24639999995</v>
      </c>
      <c r="K933" s="4">
        <v>-34676.860799999995</v>
      </c>
      <c r="L933" s="4">
        <v>8</v>
      </c>
    </row>
    <row r="934" spans="1:12">
      <c r="A934" t="s">
        <v>92</v>
      </c>
      <c r="B934" s="10">
        <v>45567</v>
      </c>
      <c r="C934" s="18">
        <f t="shared" si="14"/>
        <v>10</v>
      </c>
      <c r="D934" t="s">
        <v>179</v>
      </c>
      <c r="E934">
        <v>6700754</v>
      </c>
      <c r="F934" t="s">
        <v>90</v>
      </c>
      <c r="G934" t="s">
        <v>203</v>
      </c>
      <c r="H934" t="s">
        <v>241</v>
      </c>
      <c r="I934" s="4">
        <v>125766.4408</v>
      </c>
      <c r="J934" s="4">
        <v>1006131.5264</v>
      </c>
      <c r="K934" s="4">
        <v>-45230.688000000002</v>
      </c>
      <c r="L934" s="4">
        <v>8</v>
      </c>
    </row>
    <row r="935" spans="1:12">
      <c r="A935" t="s">
        <v>92</v>
      </c>
      <c r="B935" s="10">
        <v>45567</v>
      </c>
      <c r="C935" s="18">
        <f t="shared" si="14"/>
        <v>10</v>
      </c>
      <c r="D935" t="s">
        <v>179</v>
      </c>
      <c r="E935">
        <v>6682563</v>
      </c>
      <c r="F935" t="s">
        <v>88</v>
      </c>
      <c r="G935" t="s">
        <v>203</v>
      </c>
      <c r="H935" t="s">
        <v>242</v>
      </c>
      <c r="I935" s="4">
        <v>100638.28079999999</v>
      </c>
      <c r="J935" s="4">
        <v>603829.68479999993</v>
      </c>
      <c r="K935" s="4">
        <v>-26007.645599999996</v>
      </c>
      <c r="L935" s="4">
        <v>6</v>
      </c>
    </row>
    <row r="936" spans="1:12">
      <c r="A936" t="s">
        <v>92</v>
      </c>
      <c r="B936" s="10">
        <v>45567</v>
      </c>
      <c r="C936" s="18">
        <f t="shared" si="14"/>
        <v>10</v>
      </c>
      <c r="D936" t="s">
        <v>179</v>
      </c>
      <c r="E936">
        <v>6682563</v>
      </c>
      <c r="F936" t="s">
        <v>88</v>
      </c>
      <c r="G936" t="s">
        <v>203</v>
      </c>
      <c r="H936" t="s">
        <v>241</v>
      </c>
      <c r="I936" s="4">
        <v>125766.4408</v>
      </c>
      <c r="J936" s="4">
        <v>754598.64480000001</v>
      </c>
      <c r="K936" s="4">
        <v>-33923.016000000003</v>
      </c>
      <c r="L936" s="4">
        <v>6</v>
      </c>
    </row>
    <row r="937" spans="1:12">
      <c r="A937" t="s">
        <v>92</v>
      </c>
      <c r="B937" s="10">
        <v>45567</v>
      </c>
      <c r="C937" s="18">
        <f t="shared" si="14"/>
        <v>10</v>
      </c>
      <c r="D937" t="s">
        <v>179</v>
      </c>
      <c r="E937">
        <v>6682776</v>
      </c>
      <c r="F937" t="s">
        <v>87</v>
      </c>
      <c r="G937" t="s">
        <v>203</v>
      </c>
      <c r="H937" t="s">
        <v>242</v>
      </c>
      <c r="I937" s="4">
        <v>100638.28079999999</v>
      </c>
      <c r="J937" s="4">
        <v>1006382.808</v>
      </c>
      <c r="K937" s="4">
        <v>-43346.076000000001</v>
      </c>
      <c r="L937" s="4">
        <v>10</v>
      </c>
    </row>
    <row r="938" spans="1:12">
      <c r="A938" t="s">
        <v>92</v>
      </c>
      <c r="B938" s="10">
        <v>45570</v>
      </c>
      <c r="C938" s="18">
        <f t="shared" si="14"/>
        <v>10</v>
      </c>
      <c r="D938" t="s">
        <v>179</v>
      </c>
      <c r="E938">
        <v>6700798</v>
      </c>
      <c r="F938" t="s">
        <v>87</v>
      </c>
      <c r="G938" t="s">
        <v>203</v>
      </c>
      <c r="H938" t="s">
        <v>245</v>
      </c>
      <c r="I938" s="4">
        <v>100638.28079999999</v>
      </c>
      <c r="J938" s="4">
        <v>201276.56159999999</v>
      </c>
      <c r="K938" s="4">
        <v>-8669.2151999999987</v>
      </c>
      <c r="L938" s="4">
        <v>2</v>
      </c>
    </row>
    <row r="939" spans="1:12">
      <c r="A939" t="s">
        <v>92</v>
      </c>
      <c r="B939" s="10">
        <v>45570</v>
      </c>
      <c r="C939" s="18">
        <f t="shared" si="14"/>
        <v>10</v>
      </c>
      <c r="D939" t="s">
        <v>179</v>
      </c>
      <c r="E939">
        <v>6700798</v>
      </c>
      <c r="F939" t="s">
        <v>87</v>
      </c>
      <c r="G939" t="s">
        <v>203</v>
      </c>
      <c r="H939" t="s">
        <v>242</v>
      </c>
      <c r="I939" s="4">
        <v>100638.28079999999</v>
      </c>
      <c r="J939" s="4">
        <v>402553.12319999997</v>
      </c>
      <c r="K939" s="4">
        <v>-17338.430399999997</v>
      </c>
      <c r="L939" s="4">
        <v>4</v>
      </c>
    </row>
    <row r="940" spans="1:12">
      <c r="A940" t="s">
        <v>92</v>
      </c>
      <c r="B940" s="10">
        <v>45570</v>
      </c>
      <c r="C940" s="18">
        <f t="shared" si="14"/>
        <v>10</v>
      </c>
      <c r="D940" t="s">
        <v>179</v>
      </c>
      <c r="E940">
        <v>6700798</v>
      </c>
      <c r="F940" t="s">
        <v>87</v>
      </c>
      <c r="G940" t="s">
        <v>203</v>
      </c>
      <c r="H940" t="s">
        <v>228</v>
      </c>
      <c r="I940" s="4">
        <v>100638.28079999999</v>
      </c>
      <c r="J940" s="4">
        <v>3421701.5471999999</v>
      </c>
      <c r="K940" s="4">
        <v>-147376.65840000001</v>
      </c>
      <c r="L940" s="4">
        <v>34</v>
      </c>
    </row>
    <row r="941" spans="1:12">
      <c r="A941" t="s">
        <v>92</v>
      </c>
      <c r="B941" s="10">
        <v>45570</v>
      </c>
      <c r="C941" s="18">
        <f t="shared" si="14"/>
        <v>10</v>
      </c>
      <c r="D941" t="s">
        <v>179</v>
      </c>
      <c r="E941">
        <v>6700798</v>
      </c>
      <c r="F941" t="s">
        <v>87</v>
      </c>
      <c r="G941" t="s">
        <v>203</v>
      </c>
      <c r="H941" t="s">
        <v>224</v>
      </c>
      <c r="I941" s="4">
        <v>100638.28079999999</v>
      </c>
      <c r="J941" s="4">
        <v>2012765.6159999999</v>
      </c>
      <c r="K941" s="4">
        <v>-86692.152000000002</v>
      </c>
      <c r="L941" s="4">
        <v>20</v>
      </c>
    </row>
    <row r="942" spans="1:12">
      <c r="A942" t="s">
        <v>92</v>
      </c>
      <c r="B942" s="10">
        <v>45570</v>
      </c>
      <c r="C942" s="18">
        <f t="shared" si="14"/>
        <v>10</v>
      </c>
      <c r="D942" t="s">
        <v>179</v>
      </c>
      <c r="E942">
        <v>6700798</v>
      </c>
      <c r="F942" t="s">
        <v>87</v>
      </c>
      <c r="G942" t="s">
        <v>203</v>
      </c>
      <c r="H942" t="s">
        <v>223</v>
      </c>
      <c r="I942" s="4">
        <v>100638.28079999999</v>
      </c>
      <c r="J942" s="4">
        <v>2012765.6159999999</v>
      </c>
      <c r="K942" s="4">
        <v>-86692.152000000002</v>
      </c>
      <c r="L942" s="4">
        <v>20</v>
      </c>
    </row>
    <row r="943" spans="1:12">
      <c r="A943" t="s">
        <v>92</v>
      </c>
      <c r="B943" s="10">
        <v>45570</v>
      </c>
      <c r="C943" s="18">
        <f t="shared" si="14"/>
        <v>10</v>
      </c>
      <c r="D943" t="s">
        <v>179</v>
      </c>
      <c r="E943">
        <v>6700798</v>
      </c>
      <c r="F943" t="s">
        <v>87</v>
      </c>
      <c r="G943" t="s">
        <v>203</v>
      </c>
      <c r="H943" t="s">
        <v>222</v>
      </c>
      <c r="I943" s="4">
        <v>100638.28079999999</v>
      </c>
      <c r="J943" s="4">
        <v>1006382.808</v>
      </c>
      <c r="K943" s="4">
        <v>-43346.076000000001</v>
      </c>
      <c r="L943" s="4">
        <v>10</v>
      </c>
    </row>
    <row r="944" spans="1:12">
      <c r="A944" t="s">
        <v>92</v>
      </c>
      <c r="B944" s="10">
        <v>45570</v>
      </c>
      <c r="C944" s="18">
        <f t="shared" si="14"/>
        <v>10</v>
      </c>
      <c r="D944" t="s">
        <v>179</v>
      </c>
      <c r="E944">
        <v>6684266</v>
      </c>
      <c r="F944" t="s">
        <v>89</v>
      </c>
      <c r="G944" t="s">
        <v>203</v>
      </c>
      <c r="H944" t="s">
        <v>238</v>
      </c>
      <c r="I944" s="4">
        <v>95606.36675999999</v>
      </c>
      <c r="J944" s="4">
        <v>1912127.3351999999</v>
      </c>
      <c r="L944" s="4">
        <v>20</v>
      </c>
    </row>
    <row r="945" spans="1:12">
      <c r="A945" t="s">
        <v>92</v>
      </c>
      <c r="B945" s="10">
        <v>45570</v>
      </c>
      <c r="C945" s="18">
        <f t="shared" si="14"/>
        <v>10</v>
      </c>
      <c r="D945" t="s">
        <v>179</v>
      </c>
      <c r="E945">
        <v>6684266</v>
      </c>
      <c r="F945" t="s">
        <v>89</v>
      </c>
      <c r="G945" t="s">
        <v>203</v>
      </c>
      <c r="H945" t="s">
        <v>232</v>
      </c>
      <c r="I945" s="4">
        <v>100638.28079999999</v>
      </c>
      <c r="J945" s="4">
        <v>3824254.6703999997</v>
      </c>
      <c r="L945" s="4">
        <v>38</v>
      </c>
    </row>
    <row r="946" spans="1:12">
      <c r="A946" t="s">
        <v>92</v>
      </c>
      <c r="B946" s="10">
        <v>45570</v>
      </c>
      <c r="C946" s="18">
        <f t="shared" si="14"/>
        <v>10</v>
      </c>
      <c r="D946" t="s">
        <v>179</v>
      </c>
      <c r="E946">
        <v>6499774</v>
      </c>
      <c r="F946" t="s">
        <v>88</v>
      </c>
      <c r="G946" t="s">
        <v>203</v>
      </c>
      <c r="H946" t="s">
        <v>240</v>
      </c>
      <c r="I946" s="4">
        <v>100638.28079999999</v>
      </c>
      <c r="J946" s="4">
        <v>1006382.808</v>
      </c>
      <c r="K946" s="4">
        <v>-43346.076000000001</v>
      </c>
      <c r="L946" s="4">
        <v>10</v>
      </c>
    </row>
    <row r="947" spans="1:12">
      <c r="A947" t="s">
        <v>92</v>
      </c>
      <c r="B947" s="10">
        <v>45570</v>
      </c>
      <c r="C947" s="18">
        <f t="shared" si="14"/>
        <v>10</v>
      </c>
      <c r="D947" t="s">
        <v>179</v>
      </c>
      <c r="E947">
        <v>6499774</v>
      </c>
      <c r="F947" t="s">
        <v>88</v>
      </c>
      <c r="G947" t="s">
        <v>203</v>
      </c>
      <c r="H947" t="s">
        <v>231</v>
      </c>
      <c r="I947" s="4">
        <v>125766.4408</v>
      </c>
      <c r="J947" s="4">
        <v>1257664.4080000001</v>
      </c>
      <c r="K947" s="4">
        <v>-56538.36</v>
      </c>
      <c r="L947" s="4">
        <v>10</v>
      </c>
    </row>
    <row r="948" spans="1:12">
      <c r="A948" t="s">
        <v>92</v>
      </c>
      <c r="B948" s="10">
        <v>45570</v>
      </c>
      <c r="C948" s="18">
        <f t="shared" si="14"/>
        <v>10</v>
      </c>
      <c r="D948" t="s">
        <v>179</v>
      </c>
      <c r="E948">
        <v>6700781</v>
      </c>
      <c r="F948" t="s">
        <v>87</v>
      </c>
      <c r="G948" t="s">
        <v>203</v>
      </c>
      <c r="H948" t="s">
        <v>230</v>
      </c>
      <c r="I948" s="4">
        <v>100638.28079999999</v>
      </c>
      <c r="J948" s="4">
        <v>2012765.6159999999</v>
      </c>
      <c r="K948" s="4">
        <v>-86692.152000000002</v>
      </c>
      <c r="L948" s="4">
        <v>20</v>
      </c>
    </row>
    <row r="949" spans="1:12">
      <c r="A949" t="s">
        <v>92</v>
      </c>
      <c r="B949" s="10">
        <v>45570</v>
      </c>
      <c r="C949" s="18">
        <f t="shared" si="14"/>
        <v>10</v>
      </c>
      <c r="D949" t="s">
        <v>179</v>
      </c>
      <c r="E949">
        <v>6700781</v>
      </c>
      <c r="F949" t="s">
        <v>87</v>
      </c>
      <c r="G949" t="s">
        <v>203</v>
      </c>
      <c r="H949" t="s">
        <v>226</v>
      </c>
      <c r="I949" s="4">
        <v>100638.28079999999</v>
      </c>
      <c r="J949" s="4">
        <v>2012765.6159999999</v>
      </c>
      <c r="K949" s="4">
        <v>-86692.152000000002</v>
      </c>
      <c r="L949" s="4">
        <v>20</v>
      </c>
    </row>
    <row r="950" spans="1:12">
      <c r="A950" t="s">
        <v>92</v>
      </c>
      <c r="B950" s="10">
        <v>45570</v>
      </c>
      <c r="C950" s="18">
        <f t="shared" si="14"/>
        <v>10</v>
      </c>
      <c r="D950" t="s">
        <v>179</v>
      </c>
      <c r="E950">
        <v>6700781</v>
      </c>
      <c r="F950" t="s">
        <v>87</v>
      </c>
      <c r="G950" t="s">
        <v>203</v>
      </c>
      <c r="H950" t="s">
        <v>231</v>
      </c>
      <c r="I950" s="4">
        <v>125766.4408</v>
      </c>
      <c r="J950" s="4">
        <v>1131897.9672000001</v>
      </c>
      <c r="K950" s="4">
        <v>-50884.523999999998</v>
      </c>
      <c r="L950" s="4">
        <v>9</v>
      </c>
    </row>
    <row r="951" spans="1:12">
      <c r="A951" t="s">
        <v>92</v>
      </c>
      <c r="B951" s="10">
        <v>45570</v>
      </c>
      <c r="C951" s="18">
        <f t="shared" si="14"/>
        <v>10</v>
      </c>
      <c r="D951" t="s">
        <v>179</v>
      </c>
      <c r="E951">
        <v>6700781</v>
      </c>
      <c r="F951" t="s">
        <v>87</v>
      </c>
      <c r="G951" t="s">
        <v>203</v>
      </c>
      <c r="H951" t="s">
        <v>229</v>
      </c>
      <c r="I951" s="4">
        <v>125766.4408</v>
      </c>
      <c r="J951" s="4">
        <v>3018394.5792</v>
      </c>
      <c r="K951" s="4">
        <v>-135692.06400000001</v>
      </c>
      <c r="L951" s="4">
        <v>24</v>
      </c>
    </row>
    <row r="952" spans="1:12">
      <c r="A952" t="s">
        <v>92</v>
      </c>
      <c r="B952" s="10">
        <v>45571</v>
      </c>
      <c r="C952" s="18">
        <f t="shared" si="14"/>
        <v>10</v>
      </c>
      <c r="D952" t="s">
        <v>179</v>
      </c>
      <c r="E952">
        <v>6754589</v>
      </c>
      <c r="F952" t="s">
        <v>88</v>
      </c>
      <c r="G952" t="s">
        <v>204</v>
      </c>
      <c r="H952" t="s">
        <v>217</v>
      </c>
      <c r="I952" s="4">
        <v>78022.936799999996</v>
      </c>
      <c r="J952" s="4">
        <v>468137.62079999998</v>
      </c>
      <c r="K952" s="4">
        <v>-21484.576799999999</v>
      </c>
      <c r="L952" s="4">
        <v>6</v>
      </c>
    </row>
    <row r="953" spans="1:12">
      <c r="A953" t="s">
        <v>92</v>
      </c>
      <c r="B953" s="10">
        <v>45571</v>
      </c>
      <c r="C953" s="18">
        <f t="shared" si="14"/>
        <v>10</v>
      </c>
      <c r="D953" t="s">
        <v>179</v>
      </c>
      <c r="E953">
        <v>6700781</v>
      </c>
      <c r="F953" t="s">
        <v>87</v>
      </c>
      <c r="G953" t="s">
        <v>203</v>
      </c>
      <c r="H953" t="s">
        <v>222</v>
      </c>
      <c r="I953" s="4">
        <v>100638.28079999999</v>
      </c>
      <c r="J953" s="4">
        <v>402553.12319999997</v>
      </c>
      <c r="K953" s="4">
        <v>-17338.430399999997</v>
      </c>
      <c r="L953" s="4">
        <v>4</v>
      </c>
    </row>
    <row r="954" spans="1:12">
      <c r="A954" t="s">
        <v>92</v>
      </c>
      <c r="B954" s="10">
        <v>45572</v>
      </c>
      <c r="C954" s="18">
        <f t="shared" si="14"/>
        <v>10</v>
      </c>
      <c r="D954" t="s">
        <v>179</v>
      </c>
      <c r="E954">
        <v>6682776</v>
      </c>
      <c r="F954" t="s">
        <v>87</v>
      </c>
      <c r="G954" t="s">
        <v>203</v>
      </c>
      <c r="H954" t="s">
        <v>222</v>
      </c>
      <c r="I954" s="4">
        <v>100638.28079999999</v>
      </c>
      <c r="J954" s="4">
        <v>603829.68479999993</v>
      </c>
      <c r="K954" s="4">
        <v>-26007.645599999996</v>
      </c>
      <c r="L954" s="4">
        <v>6</v>
      </c>
    </row>
    <row r="955" spans="1:12">
      <c r="A955" t="s">
        <v>92</v>
      </c>
      <c r="B955" s="10">
        <v>45575</v>
      </c>
      <c r="C955" s="18">
        <f t="shared" si="14"/>
        <v>10</v>
      </c>
      <c r="D955" t="s">
        <v>179</v>
      </c>
      <c r="E955">
        <v>6700802</v>
      </c>
      <c r="F955" t="s">
        <v>87</v>
      </c>
      <c r="G955" t="s">
        <v>203</v>
      </c>
      <c r="H955" t="s">
        <v>234</v>
      </c>
      <c r="I955" s="4">
        <v>100638.28079999999</v>
      </c>
      <c r="J955" s="4">
        <v>2012765.6159999999</v>
      </c>
      <c r="K955" s="4">
        <v>-86692.152000000002</v>
      </c>
      <c r="L955" s="4">
        <v>20</v>
      </c>
    </row>
    <row r="956" spans="1:12">
      <c r="A956" t="s">
        <v>92</v>
      </c>
      <c r="B956" s="10">
        <v>45575</v>
      </c>
      <c r="C956" s="18">
        <f t="shared" si="14"/>
        <v>10</v>
      </c>
      <c r="D956" t="s">
        <v>179</v>
      </c>
      <c r="E956">
        <v>6700790</v>
      </c>
      <c r="F956" t="s">
        <v>89</v>
      </c>
      <c r="G956" t="s">
        <v>203</v>
      </c>
      <c r="H956" t="s">
        <v>244</v>
      </c>
      <c r="I956" s="4">
        <v>125766.4408</v>
      </c>
      <c r="J956" s="4">
        <v>1257664.4080000001</v>
      </c>
      <c r="K956" s="4">
        <v>-56538.36</v>
      </c>
      <c r="L956" s="4">
        <v>10</v>
      </c>
    </row>
    <row r="957" spans="1:12">
      <c r="A957" t="s">
        <v>92</v>
      </c>
      <c r="B957" s="10">
        <v>45575</v>
      </c>
      <c r="C957" s="18">
        <f t="shared" si="14"/>
        <v>10</v>
      </c>
      <c r="D957" t="s">
        <v>179</v>
      </c>
      <c r="E957">
        <v>6700790</v>
      </c>
      <c r="F957" t="s">
        <v>89</v>
      </c>
      <c r="G957" t="s">
        <v>203</v>
      </c>
      <c r="H957" t="s">
        <v>235</v>
      </c>
      <c r="I957" s="4">
        <v>125766.4408</v>
      </c>
      <c r="J957" s="4">
        <v>2138029.4936000002</v>
      </c>
      <c r="K957" s="4">
        <v>-96115.212</v>
      </c>
      <c r="L957" s="4">
        <v>17</v>
      </c>
    </row>
    <row r="958" spans="1:12">
      <c r="A958" t="s">
        <v>92</v>
      </c>
      <c r="B958" s="10">
        <v>45575</v>
      </c>
      <c r="C958" s="18">
        <f t="shared" si="14"/>
        <v>10</v>
      </c>
      <c r="D958" t="s">
        <v>179</v>
      </c>
      <c r="E958">
        <v>6700790</v>
      </c>
      <c r="F958" t="s">
        <v>89</v>
      </c>
      <c r="G958" t="s">
        <v>203</v>
      </c>
      <c r="H958" t="s">
        <v>229</v>
      </c>
      <c r="I958" s="4">
        <v>125766.4408</v>
      </c>
      <c r="J958" s="4">
        <v>2892628.1384000001</v>
      </c>
      <c r="K958" s="4">
        <v>-130038.22799999999</v>
      </c>
      <c r="L958" s="4">
        <v>23</v>
      </c>
    </row>
    <row r="959" spans="1:12">
      <c r="A959" t="s">
        <v>92</v>
      </c>
      <c r="B959" s="10">
        <v>45575</v>
      </c>
      <c r="C959" s="18">
        <f t="shared" si="14"/>
        <v>10</v>
      </c>
      <c r="D959" t="s">
        <v>179</v>
      </c>
      <c r="E959">
        <v>6500392</v>
      </c>
      <c r="F959" t="s">
        <v>87</v>
      </c>
      <c r="G959" t="s">
        <v>203</v>
      </c>
      <c r="H959" t="s">
        <v>243</v>
      </c>
      <c r="I959" s="4">
        <v>100638.28079999999</v>
      </c>
      <c r="J959" s="4">
        <v>402553.12319999997</v>
      </c>
      <c r="K959" s="4">
        <v>-17338.430399999997</v>
      </c>
      <c r="L959" s="4">
        <v>4</v>
      </c>
    </row>
    <row r="960" spans="1:12">
      <c r="A960" t="s">
        <v>92</v>
      </c>
      <c r="B960" s="10">
        <v>45575</v>
      </c>
      <c r="C960" s="18">
        <f t="shared" si="14"/>
        <v>10</v>
      </c>
      <c r="D960" t="s">
        <v>179</v>
      </c>
      <c r="E960">
        <v>6499707</v>
      </c>
      <c r="F960" t="s">
        <v>88</v>
      </c>
      <c r="G960" t="s">
        <v>203</v>
      </c>
      <c r="H960" t="s">
        <v>238</v>
      </c>
      <c r="I960" s="4">
        <v>95606.36675999999</v>
      </c>
      <c r="J960" s="4">
        <v>956063.66759999993</v>
      </c>
      <c r="K960" s="4">
        <v>-43346.076000000001</v>
      </c>
      <c r="L960" s="4">
        <v>10</v>
      </c>
    </row>
    <row r="961" spans="1:12">
      <c r="A961" t="s">
        <v>92</v>
      </c>
      <c r="B961" s="10">
        <v>45575</v>
      </c>
      <c r="C961" s="18">
        <f t="shared" si="14"/>
        <v>10</v>
      </c>
      <c r="D961" t="s">
        <v>179</v>
      </c>
      <c r="E961">
        <v>6700743</v>
      </c>
      <c r="F961" t="s">
        <v>87</v>
      </c>
      <c r="G961" t="s">
        <v>203</v>
      </c>
      <c r="H961" t="s">
        <v>243</v>
      </c>
      <c r="I961" s="4">
        <v>100638.28079999999</v>
      </c>
      <c r="J961" s="4">
        <v>603829.68479999993</v>
      </c>
      <c r="K961" s="4">
        <v>-26007.645599999996</v>
      </c>
      <c r="L961" s="4">
        <v>6</v>
      </c>
    </row>
    <row r="962" spans="1:12">
      <c r="A962" t="s">
        <v>92</v>
      </c>
      <c r="B962" s="10">
        <v>45575</v>
      </c>
      <c r="C962" s="18">
        <f t="shared" ref="C962:C1025" si="15">MONTH(B962)</f>
        <v>10</v>
      </c>
      <c r="D962" t="s">
        <v>179</v>
      </c>
      <c r="E962">
        <v>6700743</v>
      </c>
      <c r="F962" t="s">
        <v>87</v>
      </c>
      <c r="G962" t="s">
        <v>203</v>
      </c>
      <c r="H962" t="s">
        <v>244</v>
      </c>
      <c r="I962" s="4">
        <v>125766.4408</v>
      </c>
      <c r="J962" s="4">
        <v>754598.64480000001</v>
      </c>
      <c r="K962" s="4">
        <v>-33923.016000000003</v>
      </c>
      <c r="L962" s="4">
        <v>6</v>
      </c>
    </row>
    <row r="963" spans="1:12">
      <c r="A963" t="s">
        <v>92</v>
      </c>
      <c r="B963" s="10">
        <v>45582</v>
      </c>
      <c r="C963" s="18">
        <f t="shared" si="15"/>
        <v>10</v>
      </c>
      <c r="D963" t="s">
        <v>179</v>
      </c>
      <c r="E963">
        <v>6700655</v>
      </c>
      <c r="F963" t="s">
        <v>90</v>
      </c>
      <c r="G963" t="s">
        <v>203</v>
      </c>
      <c r="H963" t="s">
        <v>243</v>
      </c>
      <c r="I963" s="4">
        <v>100638.28079999999</v>
      </c>
      <c r="J963" s="4">
        <v>201276.56159999999</v>
      </c>
      <c r="K963" s="4">
        <v>-8669.2151999999987</v>
      </c>
      <c r="L963" s="4">
        <v>2</v>
      </c>
    </row>
    <row r="964" spans="1:12">
      <c r="A964" t="s">
        <v>92</v>
      </c>
      <c r="B964" s="10">
        <v>45584</v>
      </c>
      <c r="C964" s="18">
        <f t="shared" si="15"/>
        <v>10</v>
      </c>
      <c r="D964" t="s">
        <v>179</v>
      </c>
      <c r="E964">
        <v>6684690</v>
      </c>
      <c r="F964" t="s">
        <v>88</v>
      </c>
      <c r="G964" t="s">
        <v>203</v>
      </c>
      <c r="H964" t="s">
        <v>243</v>
      </c>
      <c r="I964" s="4">
        <v>100638.28079999999</v>
      </c>
      <c r="J964" s="4">
        <v>805106.24639999995</v>
      </c>
      <c r="K964" s="4">
        <v>-34676.860799999995</v>
      </c>
      <c r="L964" s="4">
        <v>8</v>
      </c>
    </row>
    <row r="965" spans="1:12">
      <c r="A965" t="s">
        <v>92</v>
      </c>
      <c r="B965" s="10">
        <v>45584</v>
      </c>
      <c r="C965" s="18">
        <f t="shared" si="15"/>
        <v>10</v>
      </c>
      <c r="D965" t="s">
        <v>179</v>
      </c>
      <c r="E965">
        <v>6684690</v>
      </c>
      <c r="F965" t="s">
        <v>88</v>
      </c>
      <c r="G965" t="s">
        <v>203</v>
      </c>
      <c r="H965" t="s">
        <v>232</v>
      </c>
      <c r="I965" s="4">
        <v>100638.28079999999</v>
      </c>
      <c r="J965" s="4">
        <v>201276.56159999999</v>
      </c>
      <c r="K965" s="4">
        <v>-8669.2151999999987</v>
      </c>
      <c r="L965" s="4">
        <v>2</v>
      </c>
    </row>
    <row r="966" spans="1:12">
      <c r="A966" t="s">
        <v>92</v>
      </c>
      <c r="B966" s="10">
        <v>45584</v>
      </c>
      <c r="C966" s="18">
        <f t="shared" si="15"/>
        <v>10</v>
      </c>
      <c r="D966" t="s">
        <v>179</v>
      </c>
      <c r="E966">
        <v>6684690</v>
      </c>
      <c r="F966" t="s">
        <v>88</v>
      </c>
      <c r="G966" t="s">
        <v>203</v>
      </c>
      <c r="H966" t="s">
        <v>233</v>
      </c>
      <c r="I966" s="4">
        <v>120735.78316800001</v>
      </c>
      <c r="J966" s="4">
        <v>603678.91584000003</v>
      </c>
      <c r="K966" s="4">
        <v>-28269.18</v>
      </c>
      <c r="L966" s="4">
        <v>5</v>
      </c>
    </row>
    <row r="967" spans="1:12">
      <c r="A967" t="s">
        <v>92</v>
      </c>
      <c r="B967" s="10">
        <v>45584</v>
      </c>
      <c r="C967" s="18">
        <f t="shared" si="15"/>
        <v>10</v>
      </c>
      <c r="D967" t="s">
        <v>179</v>
      </c>
      <c r="E967">
        <v>6684690</v>
      </c>
      <c r="F967" t="s">
        <v>88</v>
      </c>
      <c r="G967" t="s">
        <v>203</v>
      </c>
      <c r="H967" t="s">
        <v>231</v>
      </c>
      <c r="I967" s="4">
        <v>125766.4408</v>
      </c>
      <c r="J967" s="4">
        <v>628832.20400000003</v>
      </c>
      <c r="K967" s="4">
        <v>-28269.18</v>
      </c>
      <c r="L967" s="4">
        <v>5</v>
      </c>
    </row>
    <row r="968" spans="1:12">
      <c r="A968" t="s">
        <v>92</v>
      </c>
      <c r="B968" s="10">
        <v>45584</v>
      </c>
      <c r="C968" s="18">
        <f t="shared" si="15"/>
        <v>10</v>
      </c>
      <c r="D968" t="s">
        <v>179</v>
      </c>
      <c r="E968">
        <v>6499774</v>
      </c>
      <c r="F968" t="s">
        <v>88</v>
      </c>
      <c r="G968" t="s">
        <v>203</v>
      </c>
      <c r="H968" t="s">
        <v>238</v>
      </c>
      <c r="I968" s="4">
        <v>95606.36675999999</v>
      </c>
      <c r="J968" s="4">
        <v>956063.66759999993</v>
      </c>
      <c r="K968" s="4">
        <v>-43346.076000000001</v>
      </c>
      <c r="L968" s="4">
        <v>10</v>
      </c>
    </row>
    <row r="969" spans="1:12">
      <c r="A969" t="s">
        <v>92</v>
      </c>
      <c r="B969" s="10">
        <v>45584</v>
      </c>
      <c r="C969" s="18">
        <f t="shared" si="15"/>
        <v>10</v>
      </c>
      <c r="D969" t="s">
        <v>179</v>
      </c>
      <c r="E969">
        <v>6499774</v>
      </c>
      <c r="F969" t="s">
        <v>88</v>
      </c>
      <c r="G969" t="s">
        <v>203</v>
      </c>
      <c r="H969" t="s">
        <v>241</v>
      </c>
      <c r="I969" s="4">
        <v>125766.4408</v>
      </c>
      <c r="J969" s="4">
        <v>628832.20400000003</v>
      </c>
      <c r="K969" s="4">
        <v>-28269.18</v>
      </c>
      <c r="L969" s="4">
        <v>5</v>
      </c>
    </row>
    <row r="970" spans="1:12">
      <c r="A970" t="s">
        <v>92</v>
      </c>
      <c r="B970" s="10">
        <v>45584</v>
      </c>
      <c r="C970" s="18">
        <f t="shared" si="15"/>
        <v>10</v>
      </c>
      <c r="D970" t="s">
        <v>179</v>
      </c>
      <c r="E970">
        <v>6499774</v>
      </c>
      <c r="F970" t="s">
        <v>88</v>
      </c>
      <c r="G970" t="s">
        <v>203</v>
      </c>
      <c r="H970" t="s">
        <v>237</v>
      </c>
      <c r="I970" s="4">
        <v>125766.4408</v>
      </c>
      <c r="J970" s="4">
        <v>628832.20400000003</v>
      </c>
      <c r="K970" s="4">
        <v>-28269.18</v>
      </c>
      <c r="L970" s="4">
        <v>5</v>
      </c>
    </row>
    <row r="971" spans="1:12">
      <c r="A971" t="s">
        <v>92</v>
      </c>
      <c r="B971" s="10">
        <v>45584</v>
      </c>
      <c r="C971" s="18">
        <f t="shared" si="15"/>
        <v>10</v>
      </c>
      <c r="D971" t="s">
        <v>179</v>
      </c>
      <c r="E971">
        <v>6682776</v>
      </c>
      <c r="F971" t="s">
        <v>87</v>
      </c>
      <c r="G971" t="s">
        <v>203</v>
      </c>
      <c r="H971" t="s">
        <v>232</v>
      </c>
      <c r="I971" s="4">
        <v>100638.28079999999</v>
      </c>
      <c r="J971" s="4">
        <v>1006382.808</v>
      </c>
      <c r="K971" s="4">
        <v>-43346.076000000001</v>
      </c>
      <c r="L971" s="4">
        <v>10</v>
      </c>
    </row>
    <row r="972" spans="1:12">
      <c r="A972" t="s">
        <v>92</v>
      </c>
      <c r="B972" s="10">
        <v>45585</v>
      </c>
      <c r="C972" s="18">
        <f t="shared" si="15"/>
        <v>10</v>
      </c>
      <c r="D972" t="s">
        <v>179</v>
      </c>
      <c r="E972">
        <v>6700802</v>
      </c>
      <c r="F972" t="s">
        <v>87</v>
      </c>
      <c r="G972" t="s">
        <v>203</v>
      </c>
      <c r="H972" t="s">
        <v>232</v>
      </c>
      <c r="I972" s="4">
        <v>100638.28079999999</v>
      </c>
      <c r="J972" s="4">
        <v>805106.24639999995</v>
      </c>
      <c r="K972" s="4">
        <v>-34676.860799999995</v>
      </c>
      <c r="L972" s="4">
        <v>8</v>
      </c>
    </row>
    <row r="973" spans="1:12">
      <c r="A973" t="s">
        <v>92</v>
      </c>
      <c r="B973" s="10">
        <v>45585</v>
      </c>
      <c r="C973" s="18">
        <f t="shared" si="15"/>
        <v>10</v>
      </c>
      <c r="D973" t="s">
        <v>179</v>
      </c>
      <c r="E973">
        <v>6700802</v>
      </c>
      <c r="F973" t="s">
        <v>87</v>
      </c>
      <c r="G973" t="s">
        <v>203</v>
      </c>
      <c r="H973" t="s">
        <v>223</v>
      </c>
      <c r="I973" s="4">
        <v>100638.28079999999</v>
      </c>
      <c r="J973" s="4">
        <v>1006382.808</v>
      </c>
      <c r="K973" s="4">
        <v>-43346.076000000001</v>
      </c>
      <c r="L973" s="4">
        <v>10</v>
      </c>
    </row>
    <row r="974" spans="1:12">
      <c r="A974" t="s">
        <v>92</v>
      </c>
      <c r="B974" s="10">
        <v>45585</v>
      </c>
      <c r="C974" s="18">
        <f t="shared" si="15"/>
        <v>10</v>
      </c>
      <c r="D974" t="s">
        <v>179</v>
      </c>
      <c r="E974">
        <v>6682776</v>
      </c>
      <c r="F974" t="s">
        <v>87</v>
      </c>
      <c r="G974" t="s">
        <v>203</v>
      </c>
      <c r="H974" t="s">
        <v>224</v>
      </c>
      <c r="I974" s="4">
        <v>100638.28079999999</v>
      </c>
      <c r="J974" s="4">
        <v>1006382.808</v>
      </c>
      <c r="K974" s="4">
        <v>-43346.076000000001</v>
      </c>
      <c r="L974" s="4">
        <v>10</v>
      </c>
    </row>
    <row r="975" spans="1:12">
      <c r="A975" t="s">
        <v>92</v>
      </c>
      <c r="B975" s="10">
        <v>45588</v>
      </c>
      <c r="C975" s="18">
        <f t="shared" si="15"/>
        <v>10</v>
      </c>
      <c r="D975" t="s">
        <v>179</v>
      </c>
      <c r="E975">
        <v>6682776</v>
      </c>
      <c r="F975" t="s">
        <v>87</v>
      </c>
      <c r="G975" t="s">
        <v>203</v>
      </c>
      <c r="H975" t="s">
        <v>244</v>
      </c>
      <c r="I975" s="4">
        <v>125766.4408</v>
      </c>
      <c r="J975" s="4">
        <v>503065.76319999999</v>
      </c>
      <c r="K975" s="4">
        <v>-22615.344000000001</v>
      </c>
      <c r="L975" s="4">
        <v>4</v>
      </c>
    </row>
    <row r="976" spans="1:12">
      <c r="A976" t="s">
        <v>92</v>
      </c>
      <c r="B976" s="10">
        <v>45588</v>
      </c>
      <c r="C976" s="18">
        <f t="shared" si="15"/>
        <v>10</v>
      </c>
      <c r="D976" t="s">
        <v>179</v>
      </c>
      <c r="E976">
        <v>6682776</v>
      </c>
      <c r="F976" t="s">
        <v>87</v>
      </c>
      <c r="G976" t="s">
        <v>203</v>
      </c>
      <c r="H976" t="s">
        <v>229</v>
      </c>
      <c r="I976" s="4">
        <v>125766.4408</v>
      </c>
      <c r="J976" s="4">
        <v>628832.20400000003</v>
      </c>
      <c r="K976" s="4">
        <v>-28269.18</v>
      </c>
      <c r="L976" s="4">
        <v>5</v>
      </c>
    </row>
    <row r="977" spans="1:12">
      <c r="A977" t="s">
        <v>92</v>
      </c>
      <c r="B977" s="10">
        <v>45593</v>
      </c>
      <c r="C977" s="18">
        <f t="shared" si="15"/>
        <v>10</v>
      </c>
      <c r="D977" t="s">
        <v>179</v>
      </c>
      <c r="E977">
        <v>6700762</v>
      </c>
      <c r="F977" t="s">
        <v>88</v>
      </c>
      <c r="G977" t="s">
        <v>203</v>
      </c>
      <c r="H977" t="s">
        <v>240</v>
      </c>
      <c r="I977" s="4">
        <v>100638.28079999999</v>
      </c>
      <c r="J977" s="4">
        <v>1006382.808</v>
      </c>
      <c r="K977" s="4">
        <v>-43346.076000000001</v>
      </c>
      <c r="L977" s="4">
        <v>10</v>
      </c>
    </row>
    <row r="978" spans="1:12">
      <c r="A978" t="s">
        <v>92</v>
      </c>
      <c r="B978" s="10">
        <v>45595</v>
      </c>
      <c r="C978" s="18">
        <f t="shared" si="15"/>
        <v>10</v>
      </c>
      <c r="D978" t="s">
        <v>179</v>
      </c>
      <c r="E978">
        <v>6700790</v>
      </c>
      <c r="F978" t="s">
        <v>89</v>
      </c>
      <c r="G978" t="s">
        <v>203</v>
      </c>
      <c r="H978" t="s">
        <v>233</v>
      </c>
      <c r="I978" s="4">
        <v>120735.78316800001</v>
      </c>
      <c r="J978" s="4">
        <v>1207357.8316800001</v>
      </c>
      <c r="K978" s="4">
        <v>-56538.36</v>
      </c>
      <c r="L978" s="4">
        <v>10</v>
      </c>
    </row>
    <row r="979" spans="1:12">
      <c r="A979" t="s">
        <v>92</v>
      </c>
      <c r="B979" s="10">
        <v>45595</v>
      </c>
      <c r="C979" s="18">
        <f t="shared" si="15"/>
        <v>10</v>
      </c>
      <c r="D979" t="s">
        <v>179</v>
      </c>
      <c r="E979">
        <v>6700790</v>
      </c>
      <c r="F979" t="s">
        <v>89</v>
      </c>
      <c r="G979" t="s">
        <v>203</v>
      </c>
      <c r="H979" t="s">
        <v>231</v>
      </c>
      <c r="I979" s="4">
        <v>125766.4408</v>
      </c>
      <c r="J979" s="4">
        <v>1131897.9672000001</v>
      </c>
      <c r="K979" s="4">
        <v>-50884.523999999998</v>
      </c>
      <c r="L979" s="4">
        <v>9</v>
      </c>
    </row>
    <row r="980" spans="1:12">
      <c r="A980" t="s">
        <v>92</v>
      </c>
      <c r="B980" s="10">
        <v>45595</v>
      </c>
      <c r="C980" s="18">
        <f t="shared" si="15"/>
        <v>10</v>
      </c>
      <c r="D980" t="s">
        <v>179</v>
      </c>
      <c r="E980">
        <v>6682776</v>
      </c>
      <c r="F980" t="s">
        <v>87</v>
      </c>
      <c r="G980" t="s">
        <v>203</v>
      </c>
      <c r="H980" t="s">
        <v>242</v>
      </c>
      <c r="I980" s="4">
        <v>100638.28079999999</v>
      </c>
      <c r="J980" s="4">
        <v>1006382.808</v>
      </c>
      <c r="K980" s="4">
        <v>-43346.076000000001</v>
      </c>
      <c r="L980" s="4">
        <v>10</v>
      </c>
    </row>
    <row r="981" spans="1:12">
      <c r="A981" t="s">
        <v>92</v>
      </c>
      <c r="B981" s="10">
        <v>45595</v>
      </c>
      <c r="C981" s="18">
        <f t="shared" si="15"/>
        <v>10</v>
      </c>
      <c r="D981" t="s">
        <v>179</v>
      </c>
      <c r="E981">
        <v>6700743</v>
      </c>
      <c r="F981" t="s">
        <v>87</v>
      </c>
      <c r="G981" t="s">
        <v>203</v>
      </c>
      <c r="H981" t="s">
        <v>238</v>
      </c>
      <c r="I981" s="4">
        <v>95606.36675999999</v>
      </c>
      <c r="J981" s="4">
        <v>478031.83379999996</v>
      </c>
      <c r="K981" s="4">
        <v>-21673.038</v>
      </c>
      <c r="L981" s="4">
        <v>5</v>
      </c>
    </row>
    <row r="982" spans="1:12">
      <c r="A982" t="s">
        <v>92</v>
      </c>
      <c r="B982" s="10">
        <v>45595</v>
      </c>
      <c r="C982" s="18">
        <f t="shared" si="15"/>
        <v>10</v>
      </c>
      <c r="D982" t="s">
        <v>179</v>
      </c>
      <c r="E982">
        <v>6700743</v>
      </c>
      <c r="F982" t="s">
        <v>87</v>
      </c>
      <c r="G982" t="s">
        <v>203</v>
      </c>
      <c r="H982" t="s">
        <v>231</v>
      </c>
      <c r="I982" s="4">
        <v>125766.4408</v>
      </c>
      <c r="J982" s="4">
        <v>125766.4408</v>
      </c>
      <c r="K982" s="4">
        <v>-5653.8360000000002</v>
      </c>
      <c r="L982" s="4">
        <v>1</v>
      </c>
    </row>
    <row r="983" spans="1:12">
      <c r="A983" t="s">
        <v>92</v>
      </c>
      <c r="B983" s="10">
        <v>45595</v>
      </c>
      <c r="C983" s="18">
        <f t="shared" si="15"/>
        <v>10</v>
      </c>
      <c r="D983" t="s">
        <v>179</v>
      </c>
      <c r="E983">
        <v>6700743</v>
      </c>
      <c r="F983" t="s">
        <v>87</v>
      </c>
      <c r="G983" t="s">
        <v>203</v>
      </c>
      <c r="H983" t="s">
        <v>229</v>
      </c>
      <c r="I983" s="4">
        <v>125766.4408</v>
      </c>
      <c r="J983" s="4">
        <v>503065.76319999999</v>
      </c>
      <c r="K983" s="4">
        <v>-22615.344000000001</v>
      </c>
      <c r="L983" s="4">
        <v>4</v>
      </c>
    </row>
    <row r="984" spans="1:12">
      <c r="A984" t="s">
        <v>92</v>
      </c>
      <c r="B984" s="10">
        <v>45596</v>
      </c>
      <c r="C984" s="18">
        <f t="shared" si="15"/>
        <v>10</v>
      </c>
      <c r="D984" t="s">
        <v>179</v>
      </c>
      <c r="E984">
        <v>6700779</v>
      </c>
      <c r="F984" t="s">
        <v>90</v>
      </c>
      <c r="G984" t="s">
        <v>203</v>
      </c>
      <c r="H984" t="s">
        <v>238</v>
      </c>
      <c r="I984" s="4">
        <v>95606.36675999999</v>
      </c>
      <c r="J984" s="4">
        <v>382425.46703999996</v>
      </c>
      <c r="K984" s="4">
        <v>-17338.430399999997</v>
      </c>
      <c r="L984" s="4">
        <v>4</v>
      </c>
    </row>
    <row r="985" spans="1:12">
      <c r="A985" t="s">
        <v>92</v>
      </c>
      <c r="B985" s="10">
        <v>45596</v>
      </c>
      <c r="C985" s="18">
        <f t="shared" si="15"/>
        <v>10</v>
      </c>
      <c r="D985" t="s">
        <v>179</v>
      </c>
      <c r="E985">
        <v>6700779</v>
      </c>
      <c r="F985" t="s">
        <v>90</v>
      </c>
      <c r="G985" t="s">
        <v>203</v>
      </c>
      <c r="H985" t="s">
        <v>229</v>
      </c>
      <c r="I985" s="4">
        <v>125766.4408</v>
      </c>
      <c r="J985" s="4">
        <v>503065.76319999999</v>
      </c>
      <c r="K985" s="4">
        <v>-22615.344000000001</v>
      </c>
      <c r="L985" s="4">
        <v>4</v>
      </c>
    </row>
    <row r="986" spans="1:12">
      <c r="A986" t="s">
        <v>93</v>
      </c>
      <c r="B986" s="10">
        <v>45568</v>
      </c>
      <c r="C986" s="18">
        <f t="shared" si="15"/>
        <v>10</v>
      </c>
      <c r="D986" t="s">
        <v>184</v>
      </c>
      <c r="E986">
        <v>4876282</v>
      </c>
      <c r="F986" t="s">
        <v>89</v>
      </c>
      <c r="G986" t="s">
        <v>204</v>
      </c>
      <c r="H986" t="s">
        <v>214</v>
      </c>
      <c r="I986" s="4">
        <v>119484.4008</v>
      </c>
      <c r="J986" s="4">
        <v>836390.80560000008</v>
      </c>
      <c r="K986" s="4">
        <v>-41775.565999999999</v>
      </c>
      <c r="L986" s="4">
        <v>7</v>
      </c>
    </row>
    <row r="987" spans="1:12">
      <c r="A987" t="s">
        <v>93</v>
      </c>
      <c r="B987" s="10">
        <v>45568</v>
      </c>
      <c r="C987" s="18">
        <f t="shared" si="15"/>
        <v>10</v>
      </c>
      <c r="D987" t="s">
        <v>184</v>
      </c>
      <c r="E987">
        <v>4876282</v>
      </c>
      <c r="F987" t="s">
        <v>89</v>
      </c>
      <c r="G987" t="s">
        <v>204</v>
      </c>
      <c r="H987" t="s">
        <v>221</v>
      </c>
      <c r="I987" s="4">
        <v>25253.800799999997</v>
      </c>
      <c r="J987" s="4">
        <v>50507.601599999995</v>
      </c>
      <c r="K987" s="4">
        <v>-2512.8160000000003</v>
      </c>
      <c r="L987" s="4">
        <v>2</v>
      </c>
    </row>
    <row r="988" spans="1:12">
      <c r="A988" t="s">
        <v>93</v>
      </c>
      <c r="B988" s="10">
        <v>45568</v>
      </c>
      <c r="C988" s="18">
        <f t="shared" si="15"/>
        <v>10</v>
      </c>
      <c r="D988" t="s">
        <v>184</v>
      </c>
      <c r="E988">
        <v>4876282</v>
      </c>
      <c r="F988" t="s">
        <v>89</v>
      </c>
      <c r="G988" t="s">
        <v>204</v>
      </c>
      <c r="H988" t="s">
        <v>220</v>
      </c>
      <c r="I988" s="4">
        <v>37817.880799999999</v>
      </c>
      <c r="J988" s="4">
        <v>37817.880799999999</v>
      </c>
      <c r="K988" s="4">
        <v>-1884.6119999999999</v>
      </c>
      <c r="L988" s="4">
        <v>1</v>
      </c>
    </row>
    <row r="989" spans="1:12">
      <c r="A989" t="s">
        <v>93</v>
      </c>
      <c r="B989" s="10">
        <v>45577</v>
      </c>
      <c r="C989" s="18">
        <f t="shared" si="15"/>
        <v>10</v>
      </c>
      <c r="D989" t="s">
        <v>184</v>
      </c>
      <c r="E989">
        <v>4873595</v>
      </c>
      <c r="F989" t="s">
        <v>87</v>
      </c>
      <c r="G989" t="s">
        <v>203</v>
      </c>
      <c r="H989" t="s">
        <v>240</v>
      </c>
      <c r="I989" s="4">
        <v>100638.28079999999</v>
      </c>
      <c r="J989" s="4">
        <v>201276.56159999999</v>
      </c>
      <c r="K989" s="4">
        <v>-8669.2151999999987</v>
      </c>
      <c r="L989" s="4">
        <v>2</v>
      </c>
    </row>
    <row r="990" spans="1:12">
      <c r="A990" t="s">
        <v>93</v>
      </c>
      <c r="B990" s="10">
        <v>45577</v>
      </c>
      <c r="C990" s="18">
        <f t="shared" si="15"/>
        <v>10</v>
      </c>
      <c r="D990" t="s">
        <v>184</v>
      </c>
      <c r="E990">
        <v>4873595</v>
      </c>
      <c r="F990" t="s">
        <v>87</v>
      </c>
      <c r="G990" t="s">
        <v>203</v>
      </c>
      <c r="H990" t="s">
        <v>232</v>
      </c>
      <c r="I990" s="4">
        <v>100638.28079999999</v>
      </c>
      <c r="J990" s="4">
        <v>201276.56159999999</v>
      </c>
      <c r="K990" s="4">
        <v>-8669.2151999999987</v>
      </c>
      <c r="L990" s="4">
        <v>2</v>
      </c>
    </row>
    <row r="991" spans="1:12">
      <c r="A991" t="s">
        <v>93</v>
      </c>
      <c r="B991" s="10">
        <v>45577</v>
      </c>
      <c r="C991" s="18">
        <f t="shared" si="15"/>
        <v>10</v>
      </c>
      <c r="D991" t="s">
        <v>184</v>
      </c>
      <c r="E991">
        <v>4873595</v>
      </c>
      <c r="F991" t="s">
        <v>87</v>
      </c>
      <c r="G991" t="s">
        <v>203</v>
      </c>
      <c r="H991" t="s">
        <v>237</v>
      </c>
      <c r="I991" s="4">
        <v>125766.4408</v>
      </c>
      <c r="J991" s="4">
        <v>251532.88159999999</v>
      </c>
      <c r="K991" s="4">
        <v>-11307.672</v>
      </c>
      <c r="L991" s="4">
        <v>2</v>
      </c>
    </row>
    <row r="992" spans="1:12">
      <c r="A992" t="s">
        <v>93</v>
      </c>
      <c r="B992" s="10">
        <v>45577</v>
      </c>
      <c r="C992" s="18">
        <f t="shared" si="15"/>
        <v>10</v>
      </c>
      <c r="D992" t="s">
        <v>184</v>
      </c>
      <c r="E992">
        <v>4873595</v>
      </c>
      <c r="F992" t="s">
        <v>87</v>
      </c>
      <c r="G992" t="s">
        <v>203</v>
      </c>
      <c r="H992" t="s">
        <v>235</v>
      </c>
      <c r="I992" s="4">
        <v>125766.4408</v>
      </c>
      <c r="J992" s="4">
        <v>251532.88159999999</v>
      </c>
      <c r="K992" s="4">
        <v>-11307.672</v>
      </c>
      <c r="L992" s="4">
        <v>2</v>
      </c>
    </row>
    <row r="993" spans="1:12">
      <c r="A993" t="s">
        <v>93</v>
      </c>
      <c r="B993" s="10">
        <v>45578</v>
      </c>
      <c r="C993" s="18">
        <f t="shared" si="15"/>
        <v>10</v>
      </c>
      <c r="D993" t="s">
        <v>184</v>
      </c>
      <c r="E993">
        <v>4874206</v>
      </c>
      <c r="F993" t="s">
        <v>90</v>
      </c>
      <c r="G993" t="s">
        <v>203</v>
      </c>
      <c r="H993" t="s">
        <v>236</v>
      </c>
      <c r="I993" s="4">
        <v>100638.28079999999</v>
      </c>
      <c r="J993" s="4">
        <v>201276.56159999999</v>
      </c>
      <c r="K993" s="4">
        <v>-8669.2151999999987</v>
      </c>
      <c r="L993" s="4">
        <v>2</v>
      </c>
    </row>
    <row r="994" spans="1:12">
      <c r="A994" t="s">
        <v>93</v>
      </c>
      <c r="B994" s="10">
        <v>45578</v>
      </c>
      <c r="C994" s="18">
        <f t="shared" si="15"/>
        <v>10</v>
      </c>
      <c r="D994" t="s">
        <v>184</v>
      </c>
      <c r="E994">
        <v>4874206</v>
      </c>
      <c r="F994" t="s">
        <v>90</v>
      </c>
      <c r="G994" t="s">
        <v>203</v>
      </c>
      <c r="H994" t="s">
        <v>232</v>
      </c>
      <c r="I994" s="4">
        <v>100638.28079999999</v>
      </c>
      <c r="J994" s="4">
        <v>201276.56159999999</v>
      </c>
      <c r="K994" s="4">
        <v>-8669.2151999999987</v>
      </c>
      <c r="L994" s="4">
        <v>2</v>
      </c>
    </row>
    <row r="995" spans="1:12">
      <c r="A995" t="s">
        <v>93</v>
      </c>
      <c r="B995" s="10">
        <v>45578</v>
      </c>
      <c r="C995" s="18">
        <f t="shared" si="15"/>
        <v>10</v>
      </c>
      <c r="D995" t="s">
        <v>184</v>
      </c>
      <c r="E995">
        <v>4874206</v>
      </c>
      <c r="F995" t="s">
        <v>90</v>
      </c>
      <c r="G995" t="s">
        <v>203</v>
      </c>
      <c r="H995" t="s">
        <v>230</v>
      </c>
      <c r="I995" s="4">
        <v>100638.28079999999</v>
      </c>
      <c r="J995" s="4">
        <v>201276.56159999999</v>
      </c>
      <c r="K995" s="4">
        <v>-8669.2151999999987</v>
      </c>
      <c r="L995" s="4">
        <v>2</v>
      </c>
    </row>
    <row r="996" spans="1:12">
      <c r="A996" t="s">
        <v>93</v>
      </c>
      <c r="B996" s="10">
        <v>45578</v>
      </c>
      <c r="C996" s="18">
        <f t="shared" si="15"/>
        <v>10</v>
      </c>
      <c r="D996" t="s">
        <v>184</v>
      </c>
      <c r="E996">
        <v>4874206</v>
      </c>
      <c r="F996" t="s">
        <v>90</v>
      </c>
      <c r="G996" t="s">
        <v>203</v>
      </c>
      <c r="H996" t="s">
        <v>228</v>
      </c>
      <c r="I996" s="4">
        <v>100638.28079999999</v>
      </c>
      <c r="J996" s="4">
        <v>201276.56159999999</v>
      </c>
      <c r="K996" s="4">
        <v>-8669.2151999999987</v>
      </c>
      <c r="L996" s="4">
        <v>2</v>
      </c>
    </row>
    <row r="997" spans="1:12">
      <c r="A997" t="s">
        <v>93</v>
      </c>
      <c r="B997" s="10">
        <v>45578</v>
      </c>
      <c r="C997" s="18">
        <f t="shared" si="15"/>
        <v>10</v>
      </c>
      <c r="D997" t="s">
        <v>184</v>
      </c>
      <c r="E997">
        <v>4874206</v>
      </c>
      <c r="F997" t="s">
        <v>90</v>
      </c>
      <c r="G997" t="s">
        <v>203</v>
      </c>
      <c r="H997" t="s">
        <v>237</v>
      </c>
      <c r="I997" s="4">
        <v>125766.4408</v>
      </c>
      <c r="J997" s="4">
        <v>251532.88159999999</v>
      </c>
      <c r="K997" s="4">
        <v>-11307.672</v>
      </c>
      <c r="L997" s="4">
        <v>2</v>
      </c>
    </row>
    <row r="998" spans="1:12">
      <c r="A998" t="s">
        <v>93</v>
      </c>
      <c r="B998" s="10">
        <v>45578</v>
      </c>
      <c r="C998" s="18">
        <f t="shared" si="15"/>
        <v>10</v>
      </c>
      <c r="D998" t="s">
        <v>184</v>
      </c>
      <c r="E998">
        <v>4874206</v>
      </c>
      <c r="F998" t="s">
        <v>90</v>
      </c>
      <c r="G998" t="s">
        <v>203</v>
      </c>
      <c r="H998" t="s">
        <v>235</v>
      </c>
      <c r="I998" s="4">
        <v>125766.4408</v>
      </c>
      <c r="J998" s="4">
        <v>251532.88159999999</v>
      </c>
      <c r="K998" s="4">
        <v>-11307.672</v>
      </c>
      <c r="L998" s="4">
        <v>2</v>
      </c>
    </row>
    <row r="999" spans="1:12">
      <c r="A999" t="s">
        <v>93</v>
      </c>
      <c r="B999" s="10">
        <v>45578</v>
      </c>
      <c r="C999" s="18">
        <f t="shared" si="15"/>
        <v>10</v>
      </c>
      <c r="D999" t="s">
        <v>184</v>
      </c>
      <c r="E999">
        <v>4874206</v>
      </c>
      <c r="F999" t="s">
        <v>90</v>
      </c>
      <c r="G999" t="s">
        <v>203</v>
      </c>
      <c r="H999" t="s">
        <v>233</v>
      </c>
      <c r="I999" s="4">
        <v>120735.78316800001</v>
      </c>
      <c r="J999" s="4">
        <v>241471.56633600002</v>
      </c>
      <c r="K999" s="4">
        <v>-11307.672</v>
      </c>
      <c r="L999" s="4">
        <v>2</v>
      </c>
    </row>
    <row r="1000" spans="1:12">
      <c r="A1000" t="s">
        <v>93</v>
      </c>
      <c r="B1000" s="10">
        <v>45578</v>
      </c>
      <c r="C1000" s="18">
        <f t="shared" si="15"/>
        <v>10</v>
      </c>
      <c r="D1000" t="s">
        <v>184</v>
      </c>
      <c r="E1000">
        <v>4874206</v>
      </c>
      <c r="F1000" t="s">
        <v>90</v>
      </c>
      <c r="G1000" t="s">
        <v>203</v>
      </c>
      <c r="H1000" t="s">
        <v>231</v>
      </c>
      <c r="I1000" s="4">
        <v>125766.4408</v>
      </c>
      <c r="J1000" s="4">
        <v>251532.88159999999</v>
      </c>
      <c r="K1000" s="4">
        <v>-11307.672</v>
      </c>
      <c r="L1000" s="4">
        <v>2</v>
      </c>
    </row>
    <row r="1001" spans="1:12">
      <c r="A1001" t="s">
        <v>93</v>
      </c>
      <c r="B1001" s="10">
        <v>45578</v>
      </c>
      <c r="C1001" s="18">
        <f t="shared" si="15"/>
        <v>10</v>
      </c>
      <c r="D1001" t="s">
        <v>184</v>
      </c>
      <c r="E1001">
        <v>4878925</v>
      </c>
      <c r="F1001" t="s">
        <v>89</v>
      </c>
      <c r="G1001" t="s">
        <v>203</v>
      </c>
      <c r="H1001" t="s">
        <v>240</v>
      </c>
      <c r="I1001" s="4">
        <v>100638.28079999999</v>
      </c>
      <c r="J1001" s="4">
        <v>201276.56159999999</v>
      </c>
      <c r="K1001" s="4">
        <v>-8669.2151999999987</v>
      </c>
      <c r="L1001" s="4">
        <v>2</v>
      </c>
    </row>
    <row r="1002" spans="1:12">
      <c r="A1002" t="s">
        <v>93</v>
      </c>
      <c r="B1002" s="10">
        <v>45578</v>
      </c>
      <c r="C1002" s="18">
        <f t="shared" si="15"/>
        <v>10</v>
      </c>
      <c r="D1002" t="s">
        <v>184</v>
      </c>
      <c r="E1002">
        <v>4878925</v>
      </c>
      <c r="F1002" t="s">
        <v>89</v>
      </c>
      <c r="G1002" t="s">
        <v>203</v>
      </c>
      <c r="H1002" t="s">
        <v>236</v>
      </c>
      <c r="I1002" s="4">
        <v>100638.28079999999</v>
      </c>
      <c r="J1002" s="4">
        <v>201276.56159999999</v>
      </c>
      <c r="K1002" s="4">
        <v>-8669.2151999999987</v>
      </c>
      <c r="L1002" s="4">
        <v>2</v>
      </c>
    </row>
    <row r="1003" spans="1:12">
      <c r="A1003" t="s">
        <v>93</v>
      </c>
      <c r="B1003" s="10">
        <v>45578</v>
      </c>
      <c r="C1003" s="18">
        <f t="shared" si="15"/>
        <v>10</v>
      </c>
      <c r="D1003" t="s">
        <v>184</v>
      </c>
      <c r="E1003">
        <v>4878925</v>
      </c>
      <c r="F1003" t="s">
        <v>89</v>
      </c>
      <c r="G1003" t="s">
        <v>203</v>
      </c>
      <c r="H1003" t="s">
        <v>232</v>
      </c>
      <c r="I1003" s="4">
        <v>100638.28079999999</v>
      </c>
      <c r="J1003" s="4">
        <v>201276.56159999999</v>
      </c>
      <c r="K1003" s="4">
        <v>-8669.2151999999987</v>
      </c>
      <c r="L1003" s="4">
        <v>2</v>
      </c>
    </row>
    <row r="1004" spans="1:12">
      <c r="A1004" t="s">
        <v>93</v>
      </c>
      <c r="B1004" s="10">
        <v>45578</v>
      </c>
      <c r="C1004" s="18">
        <f t="shared" si="15"/>
        <v>10</v>
      </c>
      <c r="D1004" t="s">
        <v>184</v>
      </c>
      <c r="E1004">
        <v>4878925</v>
      </c>
      <c r="F1004" t="s">
        <v>89</v>
      </c>
      <c r="G1004" t="s">
        <v>203</v>
      </c>
      <c r="H1004" t="s">
        <v>230</v>
      </c>
      <c r="I1004" s="4">
        <v>100638.28079999999</v>
      </c>
      <c r="J1004" s="4">
        <v>201276.56159999999</v>
      </c>
      <c r="K1004" s="4">
        <v>-8669.2151999999987</v>
      </c>
      <c r="L1004" s="4">
        <v>2</v>
      </c>
    </row>
    <row r="1005" spans="1:12">
      <c r="A1005" t="s">
        <v>93</v>
      </c>
      <c r="B1005" s="10">
        <v>45580</v>
      </c>
      <c r="C1005" s="18">
        <f t="shared" si="15"/>
        <v>10</v>
      </c>
      <c r="D1005" t="s">
        <v>160</v>
      </c>
      <c r="E1005">
        <v>4877184</v>
      </c>
      <c r="F1005" t="s">
        <v>87</v>
      </c>
      <c r="G1005" t="s">
        <v>203</v>
      </c>
      <c r="H1005" t="s">
        <v>237</v>
      </c>
      <c r="I1005" s="4">
        <v>125766.4408</v>
      </c>
      <c r="J1005" s="4">
        <v>503065.76319999999</v>
      </c>
      <c r="K1005" s="4">
        <v>-22615.344000000001</v>
      </c>
      <c r="L1005" s="4">
        <v>4</v>
      </c>
    </row>
    <row r="1006" spans="1:12">
      <c r="A1006" t="s">
        <v>93</v>
      </c>
      <c r="B1006" s="10">
        <v>45581</v>
      </c>
      <c r="C1006" s="18">
        <f t="shared" si="15"/>
        <v>10</v>
      </c>
      <c r="D1006" t="s">
        <v>160</v>
      </c>
      <c r="E1006">
        <v>4879317</v>
      </c>
      <c r="F1006" t="s">
        <v>87</v>
      </c>
      <c r="G1006" t="s">
        <v>203</v>
      </c>
      <c r="H1006" t="s">
        <v>236</v>
      </c>
      <c r="I1006" s="4">
        <v>100638.28079999999</v>
      </c>
      <c r="J1006" s="4">
        <v>603829.68479999993</v>
      </c>
      <c r="K1006" s="4">
        <v>-26007.645599999996</v>
      </c>
      <c r="L1006" s="4">
        <v>6</v>
      </c>
    </row>
    <row r="1007" spans="1:12">
      <c r="A1007" t="s">
        <v>93</v>
      </c>
      <c r="B1007" s="10">
        <v>45581</v>
      </c>
      <c r="C1007" s="18">
        <f t="shared" si="15"/>
        <v>10</v>
      </c>
      <c r="D1007" t="s">
        <v>160</v>
      </c>
      <c r="E1007">
        <v>4879317</v>
      </c>
      <c r="F1007" t="s">
        <v>87</v>
      </c>
      <c r="G1007" t="s">
        <v>203</v>
      </c>
      <c r="H1007" t="s">
        <v>232</v>
      </c>
      <c r="I1007" s="4">
        <v>100638.28079999999</v>
      </c>
      <c r="J1007" s="4">
        <v>603829.68479999993</v>
      </c>
      <c r="K1007" s="4">
        <v>-26007.645599999996</v>
      </c>
      <c r="L1007" s="4">
        <v>6</v>
      </c>
    </row>
    <row r="1008" spans="1:12">
      <c r="A1008" t="s">
        <v>93</v>
      </c>
      <c r="B1008" s="10">
        <v>45581</v>
      </c>
      <c r="C1008" s="18">
        <f t="shared" si="15"/>
        <v>10</v>
      </c>
      <c r="D1008" t="s">
        <v>160</v>
      </c>
      <c r="E1008">
        <v>4879317</v>
      </c>
      <c r="F1008" t="s">
        <v>87</v>
      </c>
      <c r="G1008" t="s">
        <v>203</v>
      </c>
      <c r="H1008" t="s">
        <v>230</v>
      </c>
      <c r="I1008" s="4">
        <v>100638.28079999999</v>
      </c>
      <c r="J1008" s="4">
        <v>603829.68479999993</v>
      </c>
      <c r="K1008" s="4">
        <v>-26007.645599999996</v>
      </c>
      <c r="L1008" s="4">
        <v>6</v>
      </c>
    </row>
    <row r="1009" spans="1:12">
      <c r="A1009" t="s">
        <v>93</v>
      </c>
      <c r="B1009" s="10">
        <v>45581</v>
      </c>
      <c r="C1009" s="18">
        <f t="shared" si="15"/>
        <v>10</v>
      </c>
      <c r="D1009" t="s">
        <v>160</v>
      </c>
      <c r="E1009">
        <v>4879317</v>
      </c>
      <c r="F1009" t="s">
        <v>87</v>
      </c>
      <c r="G1009" t="s">
        <v>203</v>
      </c>
      <c r="H1009" t="s">
        <v>228</v>
      </c>
      <c r="I1009" s="4">
        <v>100638.28079999999</v>
      </c>
      <c r="J1009" s="4">
        <v>603829.68479999993</v>
      </c>
      <c r="K1009" s="4">
        <v>-26007.645599999996</v>
      </c>
      <c r="L1009" s="4">
        <v>6</v>
      </c>
    </row>
    <row r="1010" spans="1:12">
      <c r="A1010" t="s">
        <v>93</v>
      </c>
      <c r="B1010" s="10">
        <v>45582</v>
      </c>
      <c r="C1010" s="18">
        <f t="shared" si="15"/>
        <v>10</v>
      </c>
      <c r="D1010" t="s">
        <v>160</v>
      </c>
      <c r="E1010">
        <v>4878532</v>
      </c>
      <c r="F1010" t="s">
        <v>87</v>
      </c>
      <c r="G1010" t="s">
        <v>203</v>
      </c>
      <c r="H1010" t="s">
        <v>236</v>
      </c>
      <c r="I1010" s="4">
        <v>100638.28079999999</v>
      </c>
      <c r="J1010" s="4">
        <v>201276.56159999999</v>
      </c>
      <c r="K1010" s="4">
        <v>-8669.2151999999987</v>
      </c>
      <c r="L1010" s="4">
        <v>2</v>
      </c>
    </row>
    <row r="1011" spans="1:12">
      <c r="A1011" t="s">
        <v>93</v>
      </c>
      <c r="B1011" s="10">
        <v>45582</v>
      </c>
      <c r="C1011" s="18">
        <f t="shared" si="15"/>
        <v>10</v>
      </c>
      <c r="D1011" t="s">
        <v>160</v>
      </c>
      <c r="E1011">
        <v>4878532</v>
      </c>
      <c r="F1011" t="s">
        <v>87</v>
      </c>
      <c r="G1011" t="s">
        <v>203</v>
      </c>
      <c r="H1011" t="s">
        <v>232</v>
      </c>
      <c r="I1011" s="4">
        <v>100638.28079999999</v>
      </c>
      <c r="J1011" s="4">
        <v>201276.56159999999</v>
      </c>
      <c r="K1011" s="4">
        <v>-8669.2151999999987</v>
      </c>
      <c r="L1011" s="4">
        <v>2</v>
      </c>
    </row>
    <row r="1012" spans="1:12">
      <c r="A1012" t="s">
        <v>93</v>
      </c>
      <c r="B1012" s="10">
        <v>45582</v>
      </c>
      <c r="C1012" s="18">
        <f t="shared" si="15"/>
        <v>10</v>
      </c>
      <c r="D1012" t="s">
        <v>160</v>
      </c>
      <c r="E1012">
        <v>4878532</v>
      </c>
      <c r="F1012" t="s">
        <v>87</v>
      </c>
      <c r="G1012" t="s">
        <v>203</v>
      </c>
      <c r="H1012" t="s">
        <v>230</v>
      </c>
      <c r="I1012" s="4">
        <v>100638.28079999999</v>
      </c>
      <c r="J1012" s="4">
        <v>201276.56159999999</v>
      </c>
      <c r="K1012" s="4">
        <v>-8669.2151999999987</v>
      </c>
      <c r="L1012" s="4">
        <v>2</v>
      </c>
    </row>
    <row r="1013" spans="1:12">
      <c r="A1013" t="s">
        <v>93</v>
      </c>
      <c r="B1013" s="10">
        <v>45582</v>
      </c>
      <c r="C1013" s="18">
        <f t="shared" si="15"/>
        <v>10</v>
      </c>
      <c r="D1013" t="s">
        <v>160</v>
      </c>
      <c r="E1013">
        <v>4878532</v>
      </c>
      <c r="F1013" t="s">
        <v>87</v>
      </c>
      <c r="G1013" t="s">
        <v>203</v>
      </c>
      <c r="H1013" t="s">
        <v>228</v>
      </c>
      <c r="I1013" s="4">
        <v>100638.28079999999</v>
      </c>
      <c r="J1013" s="4">
        <v>201276.56159999999</v>
      </c>
      <c r="K1013" s="4">
        <v>-8669.2151999999987</v>
      </c>
      <c r="L1013" s="4">
        <v>2</v>
      </c>
    </row>
    <row r="1014" spans="1:12">
      <c r="A1014" t="s">
        <v>93</v>
      </c>
      <c r="B1014" s="10">
        <v>45582</v>
      </c>
      <c r="C1014" s="18">
        <f t="shared" si="15"/>
        <v>10</v>
      </c>
      <c r="D1014" t="s">
        <v>160</v>
      </c>
      <c r="E1014">
        <v>4878532</v>
      </c>
      <c r="F1014" t="s">
        <v>87</v>
      </c>
      <c r="G1014" t="s">
        <v>203</v>
      </c>
      <c r="H1014" t="s">
        <v>229</v>
      </c>
      <c r="I1014" s="4">
        <v>125766.4408</v>
      </c>
      <c r="J1014" s="4">
        <v>125766.4408</v>
      </c>
      <c r="K1014" s="4">
        <v>-5653.8360000000002</v>
      </c>
      <c r="L1014" s="4">
        <v>1</v>
      </c>
    </row>
    <row r="1015" spans="1:12">
      <c r="A1015" t="s">
        <v>93</v>
      </c>
      <c r="B1015" s="10">
        <v>45582</v>
      </c>
      <c r="C1015" s="18">
        <f t="shared" si="15"/>
        <v>10</v>
      </c>
      <c r="D1015" t="s">
        <v>184</v>
      </c>
      <c r="E1015">
        <v>4878925</v>
      </c>
      <c r="F1015" t="s">
        <v>89</v>
      </c>
      <c r="G1015" t="s">
        <v>203</v>
      </c>
      <c r="H1015" t="s">
        <v>236</v>
      </c>
      <c r="I1015" s="4">
        <v>100638.28079999999</v>
      </c>
      <c r="J1015" s="4">
        <v>201276.56159999999</v>
      </c>
      <c r="K1015" s="4">
        <v>-8669.2151999999987</v>
      </c>
      <c r="L1015" s="4">
        <v>2</v>
      </c>
    </row>
    <row r="1016" spans="1:12">
      <c r="A1016" t="s">
        <v>93</v>
      </c>
      <c r="B1016" s="10">
        <v>45582</v>
      </c>
      <c r="C1016" s="18">
        <f t="shared" si="15"/>
        <v>10</v>
      </c>
      <c r="D1016" t="s">
        <v>184</v>
      </c>
      <c r="E1016">
        <v>4878925</v>
      </c>
      <c r="F1016" t="s">
        <v>89</v>
      </c>
      <c r="G1016" t="s">
        <v>203</v>
      </c>
      <c r="H1016" t="s">
        <v>232</v>
      </c>
      <c r="I1016" s="4">
        <v>100638.28079999999</v>
      </c>
      <c r="J1016" s="4">
        <v>201276.56159999999</v>
      </c>
      <c r="K1016" s="4">
        <v>-8669.2151999999987</v>
      </c>
      <c r="L1016" s="4">
        <v>2</v>
      </c>
    </row>
    <row r="1017" spans="1:12">
      <c r="A1017" t="s">
        <v>93</v>
      </c>
      <c r="B1017" s="10">
        <v>45582</v>
      </c>
      <c r="C1017" s="18">
        <f t="shared" si="15"/>
        <v>10</v>
      </c>
      <c r="D1017" t="s">
        <v>184</v>
      </c>
      <c r="E1017">
        <v>4878925</v>
      </c>
      <c r="F1017" t="s">
        <v>89</v>
      </c>
      <c r="G1017" t="s">
        <v>203</v>
      </c>
      <c r="H1017" t="s">
        <v>230</v>
      </c>
      <c r="I1017" s="4">
        <v>100638.28079999999</v>
      </c>
      <c r="J1017" s="4">
        <v>201276.56159999999</v>
      </c>
      <c r="K1017" s="4">
        <v>-8669.2151999999987</v>
      </c>
      <c r="L1017" s="4">
        <v>2</v>
      </c>
    </row>
    <row r="1018" spans="1:12">
      <c r="A1018" t="s">
        <v>93</v>
      </c>
      <c r="B1018" s="10">
        <v>45582</v>
      </c>
      <c r="C1018" s="18">
        <f t="shared" si="15"/>
        <v>10</v>
      </c>
      <c r="D1018" t="s">
        <v>184</v>
      </c>
      <c r="E1018">
        <v>4878925</v>
      </c>
      <c r="F1018" t="s">
        <v>89</v>
      </c>
      <c r="G1018" t="s">
        <v>203</v>
      </c>
      <c r="H1018" t="s">
        <v>228</v>
      </c>
      <c r="I1018" s="4">
        <v>100638.28079999999</v>
      </c>
      <c r="J1018" s="4">
        <v>201276.56159999999</v>
      </c>
      <c r="K1018" s="4">
        <v>-8669.2151999999987</v>
      </c>
      <c r="L1018" s="4">
        <v>2</v>
      </c>
    </row>
    <row r="1019" spans="1:12">
      <c r="A1019" t="s">
        <v>93</v>
      </c>
      <c r="B1019" s="10">
        <v>45586</v>
      </c>
      <c r="C1019" s="18">
        <f t="shared" si="15"/>
        <v>10</v>
      </c>
      <c r="D1019" t="s">
        <v>160</v>
      </c>
      <c r="E1019">
        <v>6080572</v>
      </c>
      <c r="F1019" t="s">
        <v>90</v>
      </c>
      <c r="G1019" t="s">
        <v>203</v>
      </c>
      <c r="H1019" t="s">
        <v>238</v>
      </c>
      <c r="I1019" s="4">
        <v>95606.36675999999</v>
      </c>
      <c r="J1019" s="4">
        <v>573638.20055999991</v>
      </c>
      <c r="K1019" s="4">
        <v>-26007.645599999996</v>
      </c>
      <c r="L1019" s="4">
        <v>6</v>
      </c>
    </row>
    <row r="1020" spans="1:12">
      <c r="A1020" t="s">
        <v>93</v>
      </c>
      <c r="B1020" s="10">
        <v>45586</v>
      </c>
      <c r="C1020" s="18">
        <f t="shared" si="15"/>
        <v>10</v>
      </c>
      <c r="D1020" t="s">
        <v>160</v>
      </c>
      <c r="E1020">
        <v>6080572</v>
      </c>
      <c r="F1020" t="s">
        <v>90</v>
      </c>
      <c r="G1020" t="s">
        <v>203</v>
      </c>
      <c r="H1020" t="s">
        <v>232</v>
      </c>
      <c r="I1020" s="4">
        <v>100638.28079999999</v>
      </c>
      <c r="J1020" s="4">
        <v>603829.68479999993</v>
      </c>
      <c r="K1020" s="4">
        <v>-26007.645599999996</v>
      </c>
      <c r="L1020" s="4">
        <v>6</v>
      </c>
    </row>
    <row r="1021" spans="1:12">
      <c r="A1021" t="s">
        <v>93</v>
      </c>
      <c r="B1021" s="10">
        <v>45586</v>
      </c>
      <c r="C1021" s="18">
        <f t="shared" si="15"/>
        <v>10</v>
      </c>
      <c r="D1021" t="s">
        <v>160</v>
      </c>
      <c r="E1021">
        <v>6080572</v>
      </c>
      <c r="F1021" t="s">
        <v>90</v>
      </c>
      <c r="G1021" t="s">
        <v>203</v>
      </c>
      <c r="H1021" t="s">
        <v>237</v>
      </c>
      <c r="I1021" s="4">
        <v>125766.4408</v>
      </c>
      <c r="J1021" s="4">
        <v>628832.20400000003</v>
      </c>
      <c r="K1021" s="4">
        <v>-28269.18</v>
      </c>
      <c r="L1021" s="4">
        <v>5</v>
      </c>
    </row>
    <row r="1022" spans="1:12">
      <c r="A1022" t="s">
        <v>93</v>
      </c>
      <c r="B1022" s="10">
        <v>45586</v>
      </c>
      <c r="C1022" s="18">
        <f t="shared" si="15"/>
        <v>10</v>
      </c>
      <c r="D1022" t="s">
        <v>160</v>
      </c>
      <c r="E1022">
        <v>6080572</v>
      </c>
      <c r="F1022" t="s">
        <v>90</v>
      </c>
      <c r="G1022" t="s">
        <v>203</v>
      </c>
      <c r="H1022" t="s">
        <v>231</v>
      </c>
      <c r="I1022" s="4">
        <v>125766.4408</v>
      </c>
      <c r="J1022" s="4">
        <v>628832.20400000003</v>
      </c>
      <c r="K1022" s="4">
        <v>-28269.18</v>
      </c>
      <c r="L1022" s="4">
        <v>5</v>
      </c>
    </row>
    <row r="1023" spans="1:12">
      <c r="A1023" t="s">
        <v>93</v>
      </c>
      <c r="B1023" s="10">
        <v>45586</v>
      </c>
      <c r="C1023" s="18">
        <f t="shared" si="15"/>
        <v>10</v>
      </c>
      <c r="D1023" t="s">
        <v>184</v>
      </c>
      <c r="E1023">
        <v>4879013</v>
      </c>
      <c r="F1023" t="s">
        <v>88</v>
      </c>
      <c r="G1023" t="s">
        <v>204</v>
      </c>
      <c r="H1023" t="s">
        <v>218</v>
      </c>
      <c r="I1023" s="4">
        <v>71740.896800000002</v>
      </c>
      <c r="J1023" s="4">
        <v>860890.76160000009</v>
      </c>
      <c r="K1023" s="4">
        <v>-42969.153599999998</v>
      </c>
      <c r="L1023" s="4">
        <v>12</v>
      </c>
    </row>
    <row r="1024" spans="1:12">
      <c r="A1024" t="s">
        <v>93</v>
      </c>
      <c r="B1024" s="10">
        <v>45586</v>
      </c>
      <c r="C1024" s="18">
        <f t="shared" si="15"/>
        <v>10</v>
      </c>
      <c r="D1024" t="s">
        <v>184</v>
      </c>
      <c r="E1024">
        <v>4879013</v>
      </c>
      <c r="F1024" t="s">
        <v>88</v>
      </c>
      <c r="G1024" t="s">
        <v>204</v>
      </c>
      <c r="H1024" t="s">
        <v>214</v>
      </c>
      <c r="I1024" s="4">
        <v>119484.4008</v>
      </c>
      <c r="J1024" s="4">
        <v>716906.40480000002</v>
      </c>
      <c r="K1024" s="4">
        <v>-35807.628000000004</v>
      </c>
      <c r="L1024" s="4">
        <v>6</v>
      </c>
    </row>
    <row r="1025" spans="1:12">
      <c r="A1025" t="s">
        <v>93</v>
      </c>
      <c r="B1025" s="10">
        <v>45587</v>
      </c>
      <c r="C1025" s="18">
        <f t="shared" si="15"/>
        <v>10</v>
      </c>
      <c r="D1025" t="s">
        <v>160</v>
      </c>
      <c r="E1025">
        <v>4877345</v>
      </c>
      <c r="F1025" t="s">
        <v>87</v>
      </c>
      <c r="G1025" t="s">
        <v>203</v>
      </c>
      <c r="H1025" t="s">
        <v>242</v>
      </c>
      <c r="I1025" s="4">
        <v>100638.28079999999</v>
      </c>
      <c r="J1025" s="4">
        <v>201276.56159999999</v>
      </c>
      <c r="K1025" s="4">
        <v>-8669.2151999999987</v>
      </c>
      <c r="L1025" s="4">
        <v>2</v>
      </c>
    </row>
    <row r="1026" spans="1:12">
      <c r="A1026" t="s">
        <v>93</v>
      </c>
      <c r="B1026" s="10">
        <v>45587</v>
      </c>
      <c r="C1026" s="18">
        <f t="shared" ref="C1026:C1089" si="16">MONTH(B1026)</f>
        <v>10</v>
      </c>
      <c r="D1026" t="s">
        <v>160</v>
      </c>
      <c r="E1026">
        <v>4877345</v>
      </c>
      <c r="F1026" t="s">
        <v>87</v>
      </c>
      <c r="G1026" t="s">
        <v>203</v>
      </c>
      <c r="H1026" t="s">
        <v>238</v>
      </c>
      <c r="I1026" s="4">
        <v>95606.36675999999</v>
      </c>
      <c r="J1026" s="4">
        <v>191212.73351999998</v>
      </c>
      <c r="K1026" s="4">
        <v>-8669.2151999999987</v>
      </c>
      <c r="L1026" s="4">
        <v>2</v>
      </c>
    </row>
    <row r="1027" spans="1:12">
      <c r="A1027" t="s">
        <v>93</v>
      </c>
      <c r="B1027" s="10">
        <v>45587</v>
      </c>
      <c r="C1027" s="18">
        <f t="shared" si="16"/>
        <v>10</v>
      </c>
      <c r="D1027" t="s">
        <v>160</v>
      </c>
      <c r="E1027">
        <v>4877345</v>
      </c>
      <c r="F1027" t="s">
        <v>87</v>
      </c>
      <c r="G1027" t="s">
        <v>203</v>
      </c>
      <c r="H1027" t="s">
        <v>239</v>
      </c>
      <c r="I1027" s="4">
        <v>125766.4408</v>
      </c>
      <c r="J1027" s="4">
        <v>125766.4408</v>
      </c>
      <c r="K1027" s="4">
        <v>-5653.8360000000002</v>
      </c>
      <c r="L1027" s="4">
        <v>1</v>
      </c>
    </row>
    <row r="1028" spans="1:12">
      <c r="A1028" t="s">
        <v>93</v>
      </c>
      <c r="B1028" s="10">
        <v>45587</v>
      </c>
      <c r="C1028" s="18">
        <f t="shared" si="16"/>
        <v>10</v>
      </c>
      <c r="D1028" t="s">
        <v>160</v>
      </c>
      <c r="E1028">
        <v>4877345</v>
      </c>
      <c r="F1028" t="s">
        <v>87</v>
      </c>
      <c r="G1028" t="s">
        <v>203</v>
      </c>
      <c r="H1028" t="s">
        <v>237</v>
      </c>
      <c r="I1028" s="4">
        <v>125766.4408</v>
      </c>
      <c r="J1028" s="4">
        <v>251532.88159999999</v>
      </c>
      <c r="K1028" s="4">
        <v>-11307.672</v>
      </c>
      <c r="L1028" s="4">
        <v>2</v>
      </c>
    </row>
    <row r="1029" spans="1:12">
      <c r="A1029" t="s">
        <v>93</v>
      </c>
      <c r="B1029" s="10">
        <v>45587</v>
      </c>
      <c r="C1029" s="18">
        <f t="shared" si="16"/>
        <v>10</v>
      </c>
      <c r="D1029" t="s">
        <v>160</v>
      </c>
      <c r="E1029">
        <v>4877345</v>
      </c>
      <c r="F1029" t="s">
        <v>87</v>
      </c>
      <c r="G1029" t="s">
        <v>203</v>
      </c>
      <c r="H1029" t="s">
        <v>233</v>
      </c>
      <c r="I1029" s="4">
        <v>120735.78316800001</v>
      </c>
      <c r="J1029" s="4">
        <v>120735.78316800001</v>
      </c>
      <c r="K1029" s="4">
        <v>-5653.8360000000002</v>
      </c>
      <c r="L1029" s="4">
        <v>1</v>
      </c>
    </row>
    <row r="1030" spans="1:12">
      <c r="A1030" t="s">
        <v>93</v>
      </c>
      <c r="B1030" s="10">
        <v>45587</v>
      </c>
      <c r="C1030" s="18">
        <f t="shared" si="16"/>
        <v>10</v>
      </c>
      <c r="D1030" t="s">
        <v>160</v>
      </c>
      <c r="E1030">
        <v>4877345</v>
      </c>
      <c r="F1030" t="s">
        <v>87</v>
      </c>
      <c r="G1030" t="s">
        <v>203</v>
      </c>
      <c r="H1030" t="s">
        <v>231</v>
      </c>
      <c r="I1030" s="4">
        <v>125766.4408</v>
      </c>
      <c r="J1030" s="4">
        <v>251532.88159999999</v>
      </c>
      <c r="K1030" s="4">
        <v>-11307.672</v>
      </c>
      <c r="L1030" s="4">
        <v>2</v>
      </c>
    </row>
    <row r="1031" spans="1:12">
      <c r="A1031" t="s">
        <v>93</v>
      </c>
      <c r="B1031" s="10">
        <v>45588</v>
      </c>
      <c r="C1031" s="18">
        <f t="shared" si="16"/>
        <v>10</v>
      </c>
      <c r="D1031" t="s">
        <v>157</v>
      </c>
      <c r="E1031">
        <v>4875999</v>
      </c>
      <c r="F1031" t="s">
        <v>90</v>
      </c>
      <c r="G1031" t="s">
        <v>203</v>
      </c>
      <c r="H1031" t="s">
        <v>242</v>
      </c>
      <c r="I1031" s="4">
        <v>100638.28079999999</v>
      </c>
      <c r="J1031" s="4">
        <v>201276.56159999999</v>
      </c>
      <c r="K1031" s="4">
        <v>-8669.2151999999987</v>
      </c>
      <c r="L1031" s="4">
        <v>2</v>
      </c>
    </row>
    <row r="1032" spans="1:12">
      <c r="A1032" t="s">
        <v>93</v>
      </c>
      <c r="B1032" s="10">
        <v>45588</v>
      </c>
      <c r="C1032" s="18">
        <f t="shared" si="16"/>
        <v>10</v>
      </c>
      <c r="D1032" t="s">
        <v>157</v>
      </c>
      <c r="E1032">
        <v>4875999</v>
      </c>
      <c r="F1032" t="s">
        <v>90</v>
      </c>
      <c r="G1032" t="s">
        <v>203</v>
      </c>
      <c r="H1032" t="s">
        <v>238</v>
      </c>
      <c r="I1032" s="4">
        <v>95606.36675999999</v>
      </c>
      <c r="J1032" s="4">
        <v>191212.73351999998</v>
      </c>
      <c r="K1032" s="4">
        <v>-8669.2151999999987</v>
      </c>
      <c r="L1032" s="4">
        <v>2</v>
      </c>
    </row>
    <row r="1033" spans="1:12">
      <c r="A1033" t="s">
        <v>93</v>
      </c>
      <c r="B1033" s="10">
        <v>45588</v>
      </c>
      <c r="C1033" s="18">
        <f t="shared" si="16"/>
        <v>10</v>
      </c>
      <c r="D1033" t="s">
        <v>157</v>
      </c>
      <c r="E1033">
        <v>4875999</v>
      </c>
      <c r="F1033" t="s">
        <v>90</v>
      </c>
      <c r="G1033" t="s">
        <v>203</v>
      </c>
      <c r="H1033" t="s">
        <v>236</v>
      </c>
      <c r="I1033" s="4">
        <v>100638.28079999999</v>
      </c>
      <c r="J1033" s="4">
        <v>201276.56159999999</v>
      </c>
      <c r="K1033" s="4">
        <v>-8669.2151999999987</v>
      </c>
      <c r="L1033" s="4">
        <v>2</v>
      </c>
    </row>
    <row r="1034" spans="1:12">
      <c r="A1034" t="s">
        <v>93</v>
      </c>
      <c r="B1034" s="10">
        <v>45588</v>
      </c>
      <c r="C1034" s="18">
        <f t="shared" si="16"/>
        <v>10</v>
      </c>
      <c r="D1034" t="s">
        <v>157</v>
      </c>
      <c r="E1034">
        <v>4875999</v>
      </c>
      <c r="F1034" t="s">
        <v>90</v>
      </c>
      <c r="G1034" t="s">
        <v>203</v>
      </c>
      <c r="H1034" t="s">
        <v>234</v>
      </c>
      <c r="I1034" s="4">
        <v>100638.28079999999</v>
      </c>
      <c r="J1034" s="4">
        <v>201276.56159999999</v>
      </c>
      <c r="K1034" s="4">
        <v>-8669.2151999999987</v>
      </c>
      <c r="L1034" s="4">
        <v>2</v>
      </c>
    </row>
    <row r="1035" spans="1:12">
      <c r="A1035" t="s">
        <v>93</v>
      </c>
      <c r="B1035" s="10">
        <v>45588</v>
      </c>
      <c r="C1035" s="18">
        <f t="shared" si="16"/>
        <v>10</v>
      </c>
      <c r="D1035" t="s">
        <v>157</v>
      </c>
      <c r="E1035">
        <v>4875999</v>
      </c>
      <c r="F1035" t="s">
        <v>90</v>
      </c>
      <c r="G1035" t="s">
        <v>203</v>
      </c>
      <c r="H1035" t="s">
        <v>232</v>
      </c>
      <c r="I1035" s="4">
        <v>100638.28079999999</v>
      </c>
      <c r="J1035" s="4">
        <v>201276.56159999999</v>
      </c>
      <c r="K1035" s="4">
        <v>-8669.2151999999987</v>
      </c>
      <c r="L1035" s="4">
        <v>2</v>
      </c>
    </row>
    <row r="1036" spans="1:12">
      <c r="A1036" t="s">
        <v>93</v>
      </c>
      <c r="B1036" s="10">
        <v>45588</v>
      </c>
      <c r="C1036" s="18">
        <f t="shared" si="16"/>
        <v>10</v>
      </c>
      <c r="D1036" t="s">
        <v>157</v>
      </c>
      <c r="E1036">
        <v>4875999</v>
      </c>
      <c r="F1036" t="s">
        <v>90</v>
      </c>
      <c r="G1036" t="s">
        <v>203</v>
      </c>
      <c r="H1036" t="s">
        <v>230</v>
      </c>
      <c r="I1036" s="4">
        <v>100638.28079999999</v>
      </c>
      <c r="J1036" s="4">
        <v>201276.56159999999</v>
      </c>
      <c r="K1036" s="4">
        <v>-8669.2151999999987</v>
      </c>
      <c r="L1036" s="4">
        <v>2</v>
      </c>
    </row>
    <row r="1037" spans="1:12">
      <c r="A1037" t="s">
        <v>93</v>
      </c>
      <c r="B1037" s="10">
        <v>45588</v>
      </c>
      <c r="C1037" s="18">
        <f t="shared" si="16"/>
        <v>10</v>
      </c>
      <c r="D1037" t="s">
        <v>157</v>
      </c>
      <c r="E1037">
        <v>4875999</v>
      </c>
      <c r="F1037" t="s">
        <v>90</v>
      </c>
      <c r="G1037" t="s">
        <v>203</v>
      </c>
      <c r="H1037" t="s">
        <v>237</v>
      </c>
      <c r="I1037" s="4">
        <v>125766.4408</v>
      </c>
      <c r="J1037" s="4">
        <v>251532.88159999999</v>
      </c>
      <c r="K1037" s="4">
        <v>-11307.672</v>
      </c>
      <c r="L1037" s="4">
        <v>2</v>
      </c>
    </row>
    <row r="1038" spans="1:12">
      <c r="A1038" t="s">
        <v>93</v>
      </c>
      <c r="B1038" s="10">
        <v>45588</v>
      </c>
      <c r="C1038" s="18">
        <f t="shared" si="16"/>
        <v>10</v>
      </c>
      <c r="D1038" t="s">
        <v>157</v>
      </c>
      <c r="E1038">
        <v>4875999</v>
      </c>
      <c r="F1038" t="s">
        <v>90</v>
      </c>
      <c r="G1038" t="s">
        <v>203</v>
      </c>
      <c r="H1038" t="s">
        <v>231</v>
      </c>
      <c r="I1038" s="4">
        <v>125766.4408</v>
      </c>
      <c r="J1038" s="4">
        <v>251532.88159999999</v>
      </c>
      <c r="K1038" s="4">
        <v>-11307.672</v>
      </c>
      <c r="L1038" s="4">
        <v>2</v>
      </c>
    </row>
    <row r="1039" spans="1:12">
      <c r="A1039" t="s">
        <v>93</v>
      </c>
      <c r="B1039" s="10">
        <v>45589</v>
      </c>
      <c r="C1039" s="18">
        <f t="shared" si="16"/>
        <v>10</v>
      </c>
      <c r="D1039" t="s">
        <v>160</v>
      </c>
      <c r="E1039">
        <v>4878606</v>
      </c>
      <c r="F1039" t="s">
        <v>87</v>
      </c>
      <c r="G1039" t="s">
        <v>203</v>
      </c>
      <c r="H1039" t="s">
        <v>242</v>
      </c>
      <c r="I1039" s="4">
        <v>100638.28079999999</v>
      </c>
      <c r="J1039" s="4">
        <v>201276.56159999999</v>
      </c>
      <c r="K1039" s="4">
        <v>-8669.2151999999987</v>
      </c>
      <c r="L1039" s="4">
        <v>2</v>
      </c>
    </row>
    <row r="1040" spans="1:12">
      <c r="A1040" t="s">
        <v>93</v>
      </c>
      <c r="B1040" s="10">
        <v>45589</v>
      </c>
      <c r="C1040" s="18">
        <f t="shared" si="16"/>
        <v>10</v>
      </c>
      <c r="D1040" t="s">
        <v>160</v>
      </c>
      <c r="E1040">
        <v>4878606</v>
      </c>
      <c r="F1040" t="s">
        <v>87</v>
      </c>
      <c r="G1040" t="s">
        <v>203</v>
      </c>
      <c r="H1040" t="s">
        <v>238</v>
      </c>
      <c r="I1040" s="4">
        <v>95606.36675999999</v>
      </c>
      <c r="J1040" s="4">
        <v>191212.73351999998</v>
      </c>
      <c r="K1040" s="4">
        <v>-8669.2151999999987</v>
      </c>
      <c r="L1040" s="4">
        <v>2</v>
      </c>
    </row>
    <row r="1041" spans="1:12">
      <c r="A1041" t="s">
        <v>93</v>
      </c>
      <c r="B1041" s="10">
        <v>45589</v>
      </c>
      <c r="C1041" s="18">
        <f t="shared" si="16"/>
        <v>10</v>
      </c>
      <c r="D1041" t="s">
        <v>160</v>
      </c>
      <c r="E1041">
        <v>4878606</v>
      </c>
      <c r="F1041" t="s">
        <v>87</v>
      </c>
      <c r="G1041" t="s">
        <v>203</v>
      </c>
      <c r="H1041" t="s">
        <v>236</v>
      </c>
      <c r="I1041" s="4">
        <v>100638.28079999999</v>
      </c>
      <c r="J1041" s="4">
        <v>201276.56159999999</v>
      </c>
      <c r="K1041" s="4">
        <v>-8669.2151999999987</v>
      </c>
      <c r="L1041" s="4">
        <v>2</v>
      </c>
    </row>
    <row r="1042" spans="1:12">
      <c r="A1042" t="s">
        <v>93</v>
      </c>
      <c r="B1042" s="10">
        <v>45589</v>
      </c>
      <c r="C1042" s="18">
        <f t="shared" si="16"/>
        <v>10</v>
      </c>
      <c r="D1042" t="s">
        <v>160</v>
      </c>
      <c r="E1042">
        <v>4878606</v>
      </c>
      <c r="F1042" t="s">
        <v>87</v>
      </c>
      <c r="G1042" t="s">
        <v>203</v>
      </c>
      <c r="H1042" t="s">
        <v>234</v>
      </c>
      <c r="I1042" s="4">
        <v>100638.28079999999</v>
      </c>
      <c r="J1042" s="4">
        <v>201276.56159999999</v>
      </c>
      <c r="K1042" s="4">
        <v>-8669.2151999999987</v>
      </c>
      <c r="L1042" s="4">
        <v>2</v>
      </c>
    </row>
    <row r="1043" spans="1:12">
      <c r="A1043" t="s">
        <v>93</v>
      </c>
      <c r="B1043" s="10">
        <v>45589</v>
      </c>
      <c r="C1043" s="18">
        <f t="shared" si="16"/>
        <v>10</v>
      </c>
      <c r="D1043" t="s">
        <v>160</v>
      </c>
      <c r="E1043">
        <v>4878606</v>
      </c>
      <c r="F1043" t="s">
        <v>87</v>
      </c>
      <c r="G1043" t="s">
        <v>203</v>
      </c>
      <c r="H1043" t="s">
        <v>232</v>
      </c>
      <c r="I1043" s="4">
        <v>100638.28079999999</v>
      </c>
      <c r="J1043" s="4">
        <v>201276.56159999999</v>
      </c>
      <c r="K1043" s="4">
        <v>-8669.2151999999987</v>
      </c>
      <c r="L1043" s="4">
        <v>2</v>
      </c>
    </row>
    <row r="1044" spans="1:12">
      <c r="A1044" t="s">
        <v>93</v>
      </c>
      <c r="B1044" s="10">
        <v>45589</v>
      </c>
      <c r="C1044" s="18">
        <f t="shared" si="16"/>
        <v>10</v>
      </c>
      <c r="D1044" t="s">
        <v>160</v>
      </c>
      <c r="E1044">
        <v>4878606</v>
      </c>
      <c r="F1044" t="s">
        <v>87</v>
      </c>
      <c r="G1044" t="s">
        <v>203</v>
      </c>
      <c r="H1044" t="s">
        <v>237</v>
      </c>
      <c r="I1044" s="4">
        <v>125766.4408</v>
      </c>
      <c r="J1044" s="4">
        <v>251532.88159999999</v>
      </c>
      <c r="K1044" s="4">
        <v>-11307.672</v>
      </c>
      <c r="L1044" s="4">
        <v>2</v>
      </c>
    </row>
    <row r="1045" spans="1:12">
      <c r="A1045" t="s">
        <v>93</v>
      </c>
      <c r="B1045" s="10">
        <v>45589</v>
      </c>
      <c r="C1045" s="18">
        <f t="shared" si="16"/>
        <v>10</v>
      </c>
      <c r="D1045" t="s">
        <v>160</v>
      </c>
      <c r="E1045">
        <v>4878606</v>
      </c>
      <c r="F1045" t="s">
        <v>87</v>
      </c>
      <c r="G1045" t="s">
        <v>203</v>
      </c>
      <c r="H1045" t="s">
        <v>231</v>
      </c>
      <c r="I1045" s="4">
        <v>125766.4408</v>
      </c>
      <c r="J1045" s="4">
        <v>251532.88159999999</v>
      </c>
      <c r="K1045" s="4">
        <v>-11307.672</v>
      </c>
      <c r="L1045" s="4">
        <v>2</v>
      </c>
    </row>
    <row r="1046" spans="1:12">
      <c r="A1046" t="s">
        <v>93</v>
      </c>
      <c r="B1046" s="10">
        <v>45591</v>
      </c>
      <c r="C1046" s="18">
        <f t="shared" si="16"/>
        <v>10</v>
      </c>
      <c r="D1046" t="s">
        <v>184</v>
      </c>
      <c r="E1046">
        <v>4879317</v>
      </c>
      <c r="F1046" t="s">
        <v>87</v>
      </c>
      <c r="G1046" t="s">
        <v>203</v>
      </c>
      <c r="H1046" t="s">
        <v>240</v>
      </c>
      <c r="I1046" s="4">
        <v>100638.28079999999</v>
      </c>
      <c r="J1046" s="4">
        <v>-100638.28079999999</v>
      </c>
      <c r="K1046" s="4">
        <v>4334.6075999999994</v>
      </c>
      <c r="L1046" s="4">
        <v>-1</v>
      </c>
    </row>
    <row r="1047" spans="1:12">
      <c r="A1047" t="s">
        <v>93</v>
      </c>
      <c r="B1047" s="10">
        <v>45593</v>
      </c>
      <c r="C1047" s="18">
        <f t="shared" si="16"/>
        <v>10</v>
      </c>
      <c r="D1047" t="s">
        <v>184</v>
      </c>
      <c r="E1047">
        <v>4878925</v>
      </c>
      <c r="F1047" t="s">
        <v>89</v>
      </c>
      <c r="G1047" t="s">
        <v>203</v>
      </c>
      <c r="H1047" t="s">
        <v>236</v>
      </c>
      <c r="I1047" s="4">
        <v>100638.28079999999</v>
      </c>
      <c r="J1047" s="4">
        <v>201276.56159999999</v>
      </c>
      <c r="K1047" s="4">
        <v>-8669.2151999999987</v>
      </c>
      <c r="L1047" s="4">
        <v>2</v>
      </c>
    </row>
    <row r="1048" spans="1:12">
      <c r="A1048" t="s">
        <v>93</v>
      </c>
      <c r="B1048" s="10">
        <v>45593</v>
      </c>
      <c r="C1048" s="18">
        <f t="shared" si="16"/>
        <v>10</v>
      </c>
      <c r="D1048" t="s">
        <v>184</v>
      </c>
      <c r="E1048">
        <v>4878925</v>
      </c>
      <c r="F1048" t="s">
        <v>89</v>
      </c>
      <c r="G1048" t="s">
        <v>203</v>
      </c>
      <c r="H1048" t="s">
        <v>232</v>
      </c>
      <c r="I1048" s="4">
        <v>100638.28079999999</v>
      </c>
      <c r="J1048" s="4">
        <v>201276.56159999999</v>
      </c>
      <c r="K1048" s="4">
        <v>-8669.2151999999987</v>
      </c>
      <c r="L1048" s="4">
        <v>2</v>
      </c>
    </row>
    <row r="1049" spans="1:12">
      <c r="A1049" t="s">
        <v>93</v>
      </c>
      <c r="B1049" s="10">
        <v>45593</v>
      </c>
      <c r="C1049" s="18">
        <f t="shared" si="16"/>
        <v>10</v>
      </c>
      <c r="D1049" t="s">
        <v>184</v>
      </c>
      <c r="E1049">
        <v>4878925</v>
      </c>
      <c r="F1049" t="s">
        <v>89</v>
      </c>
      <c r="G1049" t="s">
        <v>203</v>
      </c>
      <c r="H1049" t="s">
        <v>230</v>
      </c>
      <c r="I1049" s="4">
        <v>100638.28079999999</v>
      </c>
      <c r="J1049" s="4">
        <v>201276.56159999999</v>
      </c>
      <c r="K1049" s="4">
        <v>-8669.2151999999987</v>
      </c>
      <c r="L1049" s="4">
        <v>2</v>
      </c>
    </row>
    <row r="1050" spans="1:12">
      <c r="A1050" t="s">
        <v>93</v>
      </c>
      <c r="B1050" s="10">
        <v>45593</v>
      </c>
      <c r="C1050" s="18">
        <f t="shared" si="16"/>
        <v>10</v>
      </c>
      <c r="D1050" t="s">
        <v>184</v>
      </c>
      <c r="E1050">
        <v>4878925</v>
      </c>
      <c r="F1050" t="s">
        <v>89</v>
      </c>
      <c r="G1050" t="s">
        <v>203</v>
      </c>
      <c r="H1050" t="s">
        <v>228</v>
      </c>
      <c r="I1050" s="4">
        <v>100638.28079999999</v>
      </c>
      <c r="J1050" s="4">
        <v>201276.56159999999</v>
      </c>
      <c r="K1050" s="4">
        <v>-8669.2151999999987</v>
      </c>
      <c r="L1050" s="4">
        <v>2</v>
      </c>
    </row>
    <row r="1051" spans="1:12">
      <c r="A1051" t="s">
        <v>93</v>
      </c>
      <c r="B1051" s="10">
        <v>45594</v>
      </c>
      <c r="C1051" s="18">
        <f t="shared" si="16"/>
        <v>10</v>
      </c>
      <c r="D1051" t="s">
        <v>184</v>
      </c>
      <c r="E1051">
        <v>4878650</v>
      </c>
      <c r="F1051" t="s">
        <v>87</v>
      </c>
      <c r="G1051" t="s">
        <v>203</v>
      </c>
      <c r="H1051" t="s">
        <v>231</v>
      </c>
      <c r="I1051" s="4">
        <v>125766.4408</v>
      </c>
      <c r="J1051" s="4">
        <v>628832.20400000003</v>
      </c>
      <c r="K1051" s="4">
        <v>-28269.18</v>
      </c>
      <c r="L1051" s="4">
        <v>5</v>
      </c>
    </row>
    <row r="1052" spans="1:12">
      <c r="A1052" t="s">
        <v>94</v>
      </c>
      <c r="B1052" s="10">
        <v>45570</v>
      </c>
      <c r="C1052" s="18">
        <f t="shared" si="16"/>
        <v>10</v>
      </c>
      <c r="D1052" t="s">
        <v>164</v>
      </c>
      <c r="E1052">
        <v>4875835</v>
      </c>
      <c r="F1052" t="s">
        <v>90</v>
      </c>
      <c r="G1052" t="s">
        <v>204</v>
      </c>
      <c r="H1052" t="s">
        <v>219</v>
      </c>
      <c r="I1052" s="4">
        <v>44099.9208</v>
      </c>
      <c r="J1052" s="4">
        <v>2204996.04</v>
      </c>
      <c r="K1052" s="4">
        <v>-94230.6</v>
      </c>
      <c r="L1052" s="4">
        <v>50</v>
      </c>
    </row>
    <row r="1053" spans="1:12">
      <c r="A1053" t="s">
        <v>94</v>
      </c>
      <c r="B1053" s="10">
        <v>45570</v>
      </c>
      <c r="C1053" s="18">
        <f t="shared" si="16"/>
        <v>10</v>
      </c>
      <c r="D1053" t="s">
        <v>164</v>
      </c>
      <c r="E1053">
        <v>4875835</v>
      </c>
      <c r="F1053" t="s">
        <v>90</v>
      </c>
      <c r="G1053" t="s">
        <v>204</v>
      </c>
      <c r="H1053" t="s">
        <v>215</v>
      </c>
      <c r="I1053" s="4">
        <v>75510.12079999999</v>
      </c>
      <c r="J1053" s="4">
        <v>3775506.0399999996</v>
      </c>
      <c r="K1053" s="4">
        <v>-188461.2</v>
      </c>
      <c r="L1053" s="4">
        <v>50</v>
      </c>
    </row>
    <row r="1054" spans="1:12">
      <c r="A1054" t="s">
        <v>94</v>
      </c>
      <c r="B1054" s="10">
        <v>45570</v>
      </c>
      <c r="C1054" s="18">
        <f t="shared" si="16"/>
        <v>10</v>
      </c>
      <c r="D1054" t="s">
        <v>164</v>
      </c>
      <c r="E1054">
        <v>4875835</v>
      </c>
      <c r="F1054" t="s">
        <v>90</v>
      </c>
      <c r="G1054" t="s">
        <v>204</v>
      </c>
      <c r="H1054" t="s">
        <v>221</v>
      </c>
      <c r="I1054" s="4">
        <v>25253.800799999997</v>
      </c>
      <c r="J1054" s="4">
        <v>505076.01599999995</v>
      </c>
      <c r="K1054" s="4">
        <v>-25128.16</v>
      </c>
      <c r="L1054" s="4">
        <v>20</v>
      </c>
    </row>
    <row r="1055" spans="1:12">
      <c r="A1055" t="s">
        <v>94</v>
      </c>
      <c r="B1055" s="10">
        <v>45570</v>
      </c>
      <c r="C1055" s="18">
        <f t="shared" si="16"/>
        <v>10</v>
      </c>
      <c r="D1055" t="s">
        <v>164</v>
      </c>
      <c r="E1055">
        <v>4875835</v>
      </c>
      <c r="F1055" t="s">
        <v>90</v>
      </c>
      <c r="G1055" t="s">
        <v>204</v>
      </c>
      <c r="H1055" t="s">
        <v>220</v>
      </c>
      <c r="I1055" s="4">
        <v>37817.880799999999</v>
      </c>
      <c r="J1055" s="4">
        <v>756357.61599999992</v>
      </c>
      <c r="K1055" s="4">
        <v>-37692.239999999998</v>
      </c>
      <c r="L1055" s="4">
        <v>20</v>
      </c>
    </row>
    <row r="1056" spans="1:12">
      <c r="A1056" t="s">
        <v>94</v>
      </c>
      <c r="B1056" s="10">
        <v>45572</v>
      </c>
      <c r="C1056" s="18">
        <f t="shared" si="16"/>
        <v>10</v>
      </c>
      <c r="D1056" t="s">
        <v>165</v>
      </c>
      <c r="E1056">
        <v>4875847</v>
      </c>
      <c r="F1056" t="s">
        <v>90</v>
      </c>
      <c r="G1056" t="s">
        <v>203</v>
      </c>
      <c r="H1056" t="s">
        <v>237</v>
      </c>
      <c r="I1056" s="4">
        <v>125766.4408</v>
      </c>
      <c r="J1056" s="4">
        <v>628832.20400000003</v>
      </c>
      <c r="K1056" s="4">
        <v>-28269.18</v>
      </c>
      <c r="L1056" s="4">
        <v>5</v>
      </c>
    </row>
    <row r="1057" spans="1:12">
      <c r="A1057" t="s">
        <v>94</v>
      </c>
      <c r="B1057" s="10">
        <v>45572</v>
      </c>
      <c r="C1057" s="18">
        <f t="shared" si="16"/>
        <v>10</v>
      </c>
      <c r="D1057" t="s">
        <v>165</v>
      </c>
      <c r="E1057">
        <v>4875847</v>
      </c>
      <c r="F1057" t="s">
        <v>90</v>
      </c>
      <c r="G1057" t="s">
        <v>203</v>
      </c>
      <c r="H1057" t="s">
        <v>231</v>
      </c>
      <c r="I1057" s="4">
        <v>125766.4408</v>
      </c>
      <c r="J1057" s="4">
        <v>628832.20400000003</v>
      </c>
      <c r="K1057" s="4">
        <v>-28269.18</v>
      </c>
      <c r="L1057" s="4">
        <v>5</v>
      </c>
    </row>
    <row r="1058" spans="1:12">
      <c r="A1058" t="s">
        <v>94</v>
      </c>
      <c r="B1058" s="10">
        <v>45574</v>
      </c>
      <c r="C1058" s="18">
        <f t="shared" si="16"/>
        <v>10</v>
      </c>
      <c r="D1058" t="s">
        <v>165</v>
      </c>
      <c r="E1058">
        <v>4876291</v>
      </c>
      <c r="F1058" t="s">
        <v>87</v>
      </c>
      <c r="G1058" t="s">
        <v>203</v>
      </c>
      <c r="H1058" t="s">
        <v>237</v>
      </c>
      <c r="I1058" s="4">
        <v>125766.4408</v>
      </c>
      <c r="J1058" s="4">
        <v>754598.64480000001</v>
      </c>
      <c r="K1058" s="4">
        <v>-33923.016000000003</v>
      </c>
      <c r="L1058" s="4">
        <v>6</v>
      </c>
    </row>
    <row r="1059" spans="1:12">
      <c r="A1059" t="s">
        <v>94</v>
      </c>
      <c r="B1059" s="10">
        <v>45574</v>
      </c>
      <c r="C1059" s="18">
        <f t="shared" si="16"/>
        <v>10</v>
      </c>
      <c r="D1059" t="s">
        <v>165</v>
      </c>
      <c r="E1059">
        <v>4876291</v>
      </c>
      <c r="F1059" t="s">
        <v>87</v>
      </c>
      <c r="G1059" t="s">
        <v>203</v>
      </c>
      <c r="H1059" t="s">
        <v>231</v>
      </c>
      <c r="I1059" s="4">
        <v>125766.4408</v>
      </c>
      <c r="J1059" s="4">
        <v>377299.3224</v>
      </c>
      <c r="K1059" s="4">
        <v>-16961.508000000002</v>
      </c>
      <c r="L1059" s="4">
        <v>3</v>
      </c>
    </row>
    <row r="1060" spans="1:12">
      <c r="A1060" t="s">
        <v>94</v>
      </c>
      <c r="B1060" s="10">
        <v>45577</v>
      </c>
      <c r="C1060" s="18">
        <f t="shared" si="16"/>
        <v>10</v>
      </c>
      <c r="D1060" t="s">
        <v>164</v>
      </c>
      <c r="E1060">
        <v>4875835</v>
      </c>
      <c r="F1060" t="s">
        <v>90</v>
      </c>
      <c r="G1060" t="s">
        <v>204</v>
      </c>
      <c r="H1060" t="s">
        <v>219</v>
      </c>
      <c r="I1060" s="4">
        <v>44099.9208</v>
      </c>
      <c r="J1060" s="4">
        <v>3086994.4559999998</v>
      </c>
      <c r="K1060" s="4">
        <v>-131922.84</v>
      </c>
      <c r="L1060" s="4">
        <v>70</v>
      </c>
    </row>
    <row r="1061" spans="1:12">
      <c r="A1061" t="s">
        <v>94</v>
      </c>
      <c r="B1061" s="10">
        <v>45577</v>
      </c>
      <c r="C1061" s="18">
        <f t="shared" si="16"/>
        <v>10</v>
      </c>
      <c r="D1061" t="s">
        <v>164</v>
      </c>
      <c r="E1061">
        <v>4875835</v>
      </c>
      <c r="F1061" t="s">
        <v>90</v>
      </c>
      <c r="G1061" t="s">
        <v>204</v>
      </c>
      <c r="H1061" t="s">
        <v>215</v>
      </c>
      <c r="I1061" s="4">
        <v>75510.12079999999</v>
      </c>
      <c r="J1061" s="4">
        <v>1812242.8991999999</v>
      </c>
      <c r="K1061" s="4">
        <v>-90461.376000000004</v>
      </c>
      <c r="L1061" s="4">
        <v>24</v>
      </c>
    </row>
    <row r="1062" spans="1:12">
      <c r="A1062" t="s">
        <v>94</v>
      </c>
      <c r="B1062" s="10">
        <v>45582</v>
      </c>
      <c r="C1062" s="18">
        <f t="shared" si="16"/>
        <v>10</v>
      </c>
      <c r="D1062" t="s">
        <v>164</v>
      </c>
      <c r="E1062">
        <v>4875835</v>
      </c>
      <c r="F1062" t="s">
        <v>90</v>
      </c>
      <c r="G1062" t="s">
        <v>204</v>
      </c>
      <c r="H1062" t="s">
        <v>219</v>
      </c>
      <c r="I1062" s="4">
        <v>44099.9208</v>
      </c>
      <c r="J1062" s="4">
        <v>2204996.04</v>
      </c>
      <c r="K1062" s="4">
        <v>-94230.6</v>
      </c>
      <c r="L1062" s="4">
        <v>50</v>
      </c>
    </row>
    <row r="1063" spans="1:12">
      <c r="A1063" t="s">
        <v>94</v>
      </c>
      <c r="B1063" s="10">
        <v>45582</v>
      </c>
      <c r="C1063" s="18">
        <f t="shared" si="16"/>
        <v>10</v>
      </c>
      <c r="D1063" t="s">
        <v>164</v>
      </c>
      <c r="E1063">
        <v>4875835</v>
      </c>
      <c r="F1063" t="s">
        <v>90</v>
      </c>
      <c r="G1063" t="s">
        <v>204</v>
      </c>
      <c r="H1063" t="s">
        <v>221</v>
      </c>
      <c r="I1063" s="4">
        <v>25253.800799999997</v>
      </c>
      <c r="J1063" s="4">
        <v>378807.01199999999</v>
      </c>
      <c r="K1063" s="4">
        <v>-18846.12</v>
      </c>
      <c r="L1063" s="4">
        <v>15</v>
      </c>
    </row>
    <row r="1064" spans="1:12">
      <c r="A1064" t="s">
        <v>94</v>
      </c>
      <c r="B1064" s="10">
        <v>45596</v>
      </c>
      <c r="C1064" s="18">
        <f t="shared" si="16"/>
        <v>10</v>
      </c>
      <c r="D1064" t="s">
        <v>165</v>
      </c>
      <c r="E1064">
        <v>4876291</v>
      </c>
      <c r="F1064" t="s">
        <v>87</v>
      </c>
      <c r="G1064" t="s">
        <v>203</v>
      </c>
      <c r="H1064" t="s">
        <v>240</v>
      </c>
      <c r="I1064" s="4">
        <v>100638.28079999999</v>
      </c>
      <c r="J1064" s="4">
        <v>1006382.808</v>
      </c>
      <c r="K1064" s="4">
        <v>-43346.076000000001</v>
      </c>
      <c r="L1064" s="4">
        <v>10</v>
      </c>
    </row>
    <row r="1065" spans="1:12">
      <c r="A1065" t="s">
        <v>94</v>
      </c>
      <c r="B1065" s="10">
        <v>45596</v>
      </c>
      <c r="C1065" s="18">
        <f t="shared" si="16"/>
        <v>10</v>
      </c>
      <c r="D1065" t="s">
        <v>165</v>
      </c>
      <c r="E1065">
        <v>4876291</v>
      </c>
      <c r="F1065" t="s">
        <v>87</v>
      </c>
      <c r="G1065" t="s">
        <v>203</v>
      </c>
      <c r="H1065" t="s">
        <v>234</v>
      </c>
      <c r="I1065" s="4">
        <v>100638.28079999999</v>
      </c>
      <c r="J1065" s="4">
        <v>1006382.808</v>
      </c>
      <c r="K1065" s="4">
        <v>-43346.076000000001</v>
      </c>
      <c r="L1065" s="4">
        <v>10</v>
      </c>
    </row>
    <row r="1066" spans="1:12">
      <c r="A1066" t="s">
        <v>94</v>
      </c>
      <c r="B1066" s="10">
        <v>45596</v>
      </c>
      <c r="C1066" s="18">
        <f t="shared" si="16"/>
        <v>10</v>
      </c>
      <c r="D1066" t="s">
        <v>165</v>
      </c>
      <c r="E1066">
        <v>4876291</v>
      </c>
      <c r="F1066" t="s">
        <v>87</v>
      </c>
      <c r="G1066" t="s">
        <v>203</v>
      </c>
      <c r="H1066" t="s">
        <v>232</v>
      </c>
      <c r="I1066" s="4">
        <v>100638.28079999999</v>
      </c>
      <c r="J1066" s="4">
        <v>1006382.808</v>
      </c>
      <c r="K1066" s="4">
        <v>-43346.076000000001</v>
      </c>
      <c r="L1066" s="4">
        <v>10</v>
      </c>
    </row>
    <row r="1067" spans="1:12">
      <c r="A1067" t="s">
        <v>94</v>
      </c>
      <c r="B1067" s="10">
        <v>45596</v>
      </c>
      <c r="C1067" s="18">
        <f t="shared" si="16"/>
        <v>10</v>
      </c>
      <c r="D1067" t="s">
        <v>165</v>
      </c>
      <c r="E1067">
        <v>4876291</v>
      </c>
      <c r="F1067" t="s">
        <v>87</v>
      </c>
      <c r="G1067" t="s">
        <v>203</v>
      </c>
      <c r="H1067" t="s">
        <v>230</v>
      </c>
      <c r="I1067" s="4">
        <v>100638.28079999999</v>
      </c>
      <c r="J1067" s="4">
        <v>1006382.808</v>
      </c>
      <c r="K1067" s="4">
        <v>-43346.076000000001</v>
      </c>
      <c r="L1067" s="4">
        <v>10</v>
      </c>
    </row>
    <row r="1068" spans="1:12">
      <c r="A1068" t="s">
        <v>94</v>
      </c>
      <c r="B1068" s="10">
        <v>45596</v>
      </c>
      <c r="C1068" s="18">
        <f t="shared" si="16"/>
        <v>10</v>
      </c>
      <c r="D1068" t="s">
        <v>165</v>
      </c>
      <c r="E1068">
        <v>4876291</v>
      </c>
      <c r="F1068" t="s">
        <v>87</v>
      </c>
      <c r="G1068" t="s">
        <v>203</v>
      </c>
      <c r="H1068" t="s">
        <v>228</v>
      </c>
      <c r="I1068" s="4">
        <v>100638.28079999999</v>
      </c>
      <c r="J1068" s="4">
        <v>1006382.808</v>
      </c>
      <c r="K1068" s="4">
        <v>-43346.076000000001</v>
      </c>
      <c r="L1068" s="4">
        <v>10</v>
      </c>
    </row>
    <row r="1069" spans="1:12">
      <c r="A1069" t="s">
        <v>94</v>
      </c>
      <c r="B1069" s="10">
        <v>45596</v>
      </c>
      <c r="C1069" s="18">
        <f t="shared" si="16"/>
        <v>10</v>
      </c>
      <c r="D1069" t="s">
        <v>165</v>
      </c>
      <c r="E1069">
        <v>4876291</v>
      </c>
      <c r="F1069" t="s">
        <v>87</v>
      </c>
      <c r="G1069" t="s">
        <v>203</v>
      </c>
      <c r="H1069" t="s">
        <v>225</v>
      </c>
      <c r="I1069" s="4">
        <v>100638.28079999999</v>
      </c>
      <c r="J1069" s="4">
        <v>1006382.808</v>
      </c>
      <c r="K1069" s="4">
        <v>-43346.076000000001</v>
      </c>
      <c r="L1069" s="4">
        <v>10</v>
      </c>
    </row>
    <row r="1070" spans="1:12">
      <c r="A1070" t="s">
        <v>94</v>
      </c>
      <c r="B1070" s="10">
        <v>45596</v>
      </c>
      <c r="C1070" s="18">
        <f t="shared" si="16"/>
        <v>10</v>
      </c>
      <c r="D1070" t="s">
        <v>165</v>
      </c>
      <c r="E1070">
        <v>4876291</v>
      </c>
      <c r="F1070" t="s">
        <v>87</v>
      </c>
      <c r="G1070" t="s">
        <v>203</v>
      </c>
      <c r="H1070" t="s">
        <v>224</v>
      </c>
      <c r="I1070" s="4">
        <v>100638.28079999999</v>
      </c>
      <c r="J1070" s="4">
        <v>1006382.808</v>
      </c>
      <c r="K1070" s="4">
        <v>-43346.076000000001</v>
      </c>
      <c r="L1070" s="4">
        <v>10</v>
      </c>
    </row>
    <row r="1071" spans="1:12">
      <c r="A1071" t="s">
        <v>94</v>
      </c>
      <c r="B1071" s="10">
        <v>45596</v>
      </c>
      <c r="C1071" s="18">
        <f t="shared" si="16"/>
        <v>10</v>
      </c>
      <c r="D1071" t="s">
        <v>165</v>
      </c>
      <c r="E1071">
        <v>4876291</v>
      </c>
      <c r="F1071" t="s">
        <v>87</v>
      </c>
      <c r="G1071" t="s">
        <v>203</v>
      </c>
      <c r="H1071" t="s">
        <v>223</v>
      </c>
      <c r="I1071" s="4">
        <v>100638.28079999999</v>
      </c>
      <c r="J1071" s="4">
        <v>1006382.808</v>
      </c>
      <c r="K1071" s="4">
        <v>-43346.076000000001</v>
      </c>
      <c r="L1071" s="4">
        <v>10</v>
      </c>
    </row>
    <row r="1072" spans="1:12">
      <c r="A1072" t="s">
        <v>94</v>
      </c>
      <c r="B1072" s="10">
        <v>45596</v>
      </c>
      <c r="C1072" s="18">
        <f t="shared" si="16"/>
        <v>10</v>
      </c>
      <c r="D1072" t="s">
        <v>165</v>
      </c>
      <c r="E1072">
        <v>4875835</v>
      </c>
      <c r="F1072" t="s">
        <v>90</v>
      </c>
      <c r="G1072" t="s">
        <v>203</v>
      </c>
      <c r="H1072" t="s">
        <v>240</v>
      </c>
      <c r="I1072" s="4">
        <v>100638.28079999999</v>
      </c>
      <c r="J1072" s="4">
        <v>3019148.4239999996</v>
      </c>
      <c r="K1072" s="4">
        <v>-130038.22799999999</v>
      </c>
      <c r="L1072" s="4">
        <v>30</v>
      </c>
    </row>
    <row r="1073" spans="1:12">
      <c r="A1073" t="s">
        <v>94</v>
      </c>
      <c r="B1073" s="10">
        <v>45596</v>
      </c>
      <c r="C1073" s="18">
        <f t="shared" si="16"/>
        <v>10</v>
      </c>
      <c r="D1073" t="s">
        <v>165</v>
      </c>
      <c r="E1073">
        <v>4875835</v>
      </c>
      <c r="F1073" t="s">
        <v>90</v>
      </c>
      <c r="G1073" t="s">
        <v>203</v>
      </c>
      <c r="H1073" t="s">
        <v>234</v>
      </c>
      <c r="I1073" s="4">
        <v>100638.28079999999</v>
      </c>
      <c r="J1073" s="4">
        <v>3019148.4239999996</v>
      </c>
      <c r="K1073" s="4">
        <v>-130038.22799999999</v>
      </c>
      <c r="L1073" s="4">
        <v>30</v>
      </c>
    </row>
    <row r="1074" spans="1:12">
      <c r="A1074" t="s">
        <v>94</v>
      </c>
      <c r="B1074" s="10">
        <v>45596</v>
      </c>
      <c r="C1074" s="18">
        <f t="shared" si="16"/>
        <v>10</v>
      </c>
      <c r="D1074" t="s">
        <v>165</v>
      </c>
      <c r="E1074">
        <v>4875835</v>
      </c>
      <c r="F1074" t="s">
        <v>90</v>
      </c>
      <c r="G1074" t="s">
        <v>203</v>
      </c>
      <c r="H1074" t="s">
        <v>232</v>
      </c>
      <c r="I1074" s="4">
        <v>100638.28079999999</v>
      </c>
      <c r="J1074" s="4">
        <v>3019148.4239999996</v>
      </c>
      <c r="K1074" s="4">
        <v>-130038.22799999999</v>
      </c>
      <c r="L1074" s="4">
        <v>30</v>
      </c>
    </row>
    <row r="1075" spans="1:12">
      <c r="A1075" t="s">
        <v>94</v>
      </c>
      <c r="B1075" s="10">
        <v>45596</v>
      </c>
      <c r="C1075" s="18">
        <f t="shared" si="16"/>
        <v>10</v>
      </c>
      <c r="D1075" t="s">
        <v>165</v>
      </c>
      <c r="E1075">
        <v>4875835</v>
      </c>
      <c r="F1075" t="s">
        <v>90</v>
      </c>
      <c r="G1075" t="s">
        <v>203</v>
      </c>
      <c r="H1075" t="s">
        <v>230</v>
      </c>
      <c r="I1075" s="4">
        <v>100638.28079999999</v>
      </c>
      <c r="J1075" s="4">
        <v>3019148.4239999996</v>
      </c>
      <c r="K1075" s="4">
        <v>-130038.22799999999</v>
      </c>
      <c r="L1075" s="4">
        <v>30</v>
      </c>
    </row>
    <row r="1076" spans="1:12">
      <c r="A1076" t="s">
        <v>94</v>
      </c>
      <c r="B1076" s="10">
        <v>45596</v>
      </c>
      <c r="C1076" s="18">
        <f t="shared" si="16"/>
        <v>10</v>
      </c>
      <c r="D1076" t="s">
        <v>165</v>
      </c>
      <c r="E1076">
        <v>4875835</v>
      </c>
      <c r="F1076" t="s">
        <v>90</v>
      </c>
      <c r="G1076" t="s">
        <v>203</v>
      </c>
      <c r="H1076" t="s">
        <v>228</v>
      </c>
      <c r="I1076" s="4">
        <v>100638.28079999999</v>
      </c>
      <c r="J1076" s="4">
        <v>2012765.6159999999</v>
      </c>
      <c r="K1076" s="4">
        <v>-86692.152000000002</v>
      </c>
      <c r="L1076" s="4">
        <v>20</v>
      </c>
    </row>
    <row r="1077" spans="1:12">
      <c r="A1077" t="s">
        <v>94</v>
      </c>
      <c r="B1077" s="10">
        <v>45596</v>
      </c>
      <c r="C1077" s="18">
        <f t="shared" si="16"/>
        <v>10</v>
      </c>
      <c r="D1077" t="s">
        <v>165</v>
      </c>
      <c r="E1077">
        <v>4875835</v>
      </c>
      <c r="F1077" t="s">
        <v>90</v>
      </c>
      <c r="G1077" t="s">
        <v>203</v>
      </c>
      <c r="H1077" t="s">
        <v>225</v>
      </c>
      <c r="I1077" s="4">
        <v>100638.28079999999</v>
      </c>
      <c r="J1077" s="4">
        <v>2012765.6159999999</v>
      </c>
      <c r="K1077" s="4">
        <v>-86692.152000000002</v>
      </c>
      <c r="L1077" s="4">
        <v>20</v>
      </c>
    </row>
    <row r="1078" spans="1:12">
      <c r="A1078" t="s">
        <v>94</v>
      </c>
      <c r="B1078" s="10">
        <v>45596</v>
      </c>
      <c r="C1078" s="18">
        <f t="shared" si="16"/>
        <v>10</v>
      </c>
      <c r="D1078" t="s">
        <v>165</v>
      </c>
      <c r="E1078">
        <v>4875835</v>
      </c>
      <c r="F1078" t="s">
        <v>90</v>
      </c>
      <c r="G1078" t="s">
        <v>203</v>
      </c>
      <c r="H1078" t="s">
        <v>224</v>
      </c>
      <c r="I1078" s="4">
        <v>100638.28079999999</v>
      </c>
      <c r="J1078" s="4">
        <v>2012765.6159999999</v>
      </c>
      <c r="K1078" s="4">
        <v>-86692.152000000002</v>
      </c>
      <c r="L1078" s="4">
        <v>20</v>
      </c>
    </row>
    <row r="1079" spans="1:12">
      <c r="A1079" t="s">
        <v>94</v>
      </c>
      <c r="B1079" s="10">
        <v>45596</v>
      </c>
      <c r="C1079" s="18">
        <f t="shared" si="16"/>
        <v>10</v>
      </c>
      <c r="D1079" t="s">
        <v>165</v>
      </c>
      <c r="E1079">
        <v>4875835</v>
      </c>
      <c r="F1079" t="s">
        <v>90</v>
      </c>
      <c r="G1079" t="s">
        <v>203</v>
      </c>
      <c r="H1079" t="s">
        <v>223</v>
      </c>
      <c r="I1079" s="4">
        <v>100638.28079999999</v>
      </c>
      <c r="J1079" s="4">
        <v>2012765.6159999999</v>
      </c>
      <c r="K1079" s="4">
        <v>-86692.152000000002</v>
      </c>
      <c r="L1079" s="4">
        <v>20</v>
      </c>
    </row>
    <row r="1080" spans="1:12">
      <c r="A1080" t="s">
        <v>95</v>
      </c>
      <c r="B1080" s="10">
        <v>45570</v>
      </c>
      <c r="C1080" s="18">
        <f t="shared" si="16"/>
        <v>10</v>
      </c>
      <c r="D1080" t="s">
        <v>188</v>
      </c>
      <c r="E1080">
        <v>4876549</v>
      </c>
      <c r="F1080" t="s">
        <v>87</v>
      </c>
      <c r="G1080" t="s">
        <v>203</v>
      </c>
      <c r="H1080" t="s">
        <v>224</v>
      </c>
      <c r="I1080" s="4">
        <v>100638.28079999999</v>
      </c>
      <c r="J1080" s="4">
        <v>2012765.6159999999</v>
      </c>
      <c r="K1080" s="4">
        <v>-86692.152000000002</v>
      </c>
      <c r="L1080" s="4">
        <v>20</v>
      </c>
    </row>
    <row r="1081" spans="1:12">
      <c r="A1081" t="s">
        <v>95</v>
      </c>
      <c r="B1081" s="10">
        <v>45571</v>
      </c>
      <c r="C1081" s="18">
        <f t="shared" si="16"/>
        <v>10</v>
      </c>
      <c r="D1081" t="s">
        <v>143</v>
      </c>
      <c r="E1081">
        <v>4876604</v>
      </c>
      <c r="F1081" t="s">
        <v>87</v>
      </c>
      <c r="G1081" t="s">
        <v>203</v>
      </c>
      <c r="H1081" t="s">
        <v>224</v>
      </c>
      <c r="I1081" s="4">
        <v>100638.28079999999</v>
      </c>
      <c r="J1081" s="4">
        <v>402553.12319999997</v>
      </c>
      <c r="L1081" s="4">
        <v>4</v>
      </c>
    </row>
    <row r="1082" spans="1:12">
      <c r="A1082" t="s">
        <v>95</v>
      </c>
      <c r="B1082" s="10">
        <v>45571</v>
      </c>
      <c r="C1082" s="18">
        <f t="shared" si="16"/>
        <v>10</v>
      </c>
      <c r="D1082" t="s">
        <v>143</v>
      </c>
      <c r="E1082">
        <v>4878866</v>
      </c>
      <c r="F1082" t="s">
        <v>87</v>
      </c>
      <c r="G1082" t="s">
        <v>203</v>
      </c>
      <c r="H1082" t="s">
        <v>224</v>
      </c>
      <c r="I1082" s="4">
        <v>100638.28079999999</v>
      </c>
      <c r="J1082" s="4">
        <v>402553.12319999997</v>
      </c>
      <c r="L1082" s="4">
        <v>4</v>
      </c>
    </row>
    <row r="1083" spans="1:12">
      <c r="A1083" t="s">
        <v>95</v>
      </c>
      <c r="B1083" s="10">
        <v>45571</v>
      </c>
      <c r="C1083" s="18">
        <f t="shared" si="16"/>
        <v>10</v>
      </c>
      <c r="D1083" t="s">
        <v>188</v>
      </c>
      <c r="E1083">
        <v>4876241</v>
      </c>
      <c r="F1083" t="s">
        <v>89</v>
      </c>
      <c r="G1083" t="s">
        <v>203</v>
      </c>
      <c r="H1083" t="s">
        <v>224</v>
      </c>
      <c r="I1083" s="4">
        <v>100638.28079999999</v>
      </c>
      <c r="J1083" s="4">
        <v>1006382.808</v>
      </c>
      <c r="L1083" s="4">
        <v>10</v>
      </c>
    </row>
    <row r="1084" spans="1:12">
      <c r="A1084" t="s">
        <v>95</v>
      </c>
      <c r="B1084" s="10">
        <v>45571</v>
      </c>
      <c r="C1084" s="18">
        <f t="shared" si="16"/>
        <v>10</v>
      </c>
      <c r="D1084" t="s">
        <v>188</v>
      </c>
      <c r="E1084">
        <v>4877018</v>
      </c>
      <c r="F1084" t="s">
        <v>89</v>
      </c>
      <c r="G1084" t="s">
        <v>203</v>
      </c>
      <c r="H1084" t="s">
        <v>223</v>
      </c>
      <c r="I1084" s="4">
        <v>100638.28079999999</v>
      </c>
      <c r="J1084" s="4">
        <v>5031914.04</v>
      </c>
      <c r="L1084" s="4">
        <v>50</v>
      </c>
    </row>
    <row r="1085" spans="1:12">
      <c r="A1085" t="s">
        <v>95</v>
      </c>
      <c r="B1085" s="10">
        <v>45571</v>
      </c>
      <c r="C1085" s="18">
        <f t="shared" si="16"/>
        <v>10</v>
      </c>
      <c r="D1085" t="s">
        <v>188</v>
      </c>
      <c r="E1085">
        <v>4878821</v>
      </c>
      <c r="F1085" t="s">
        <v>87</v>
      </c>
      <c r="G1085" t="s">
        <v>203</v>
      </c>
      <c r="H1085" t="s">
        <v>224</v>
      </c>
      <c r="I1085" s="4">
        <v>100638.28079999999</v>
      </c>
      <c r="J1085" s="4">
        <v>1006382.808</v>
      </c>
      <c r="L1085" s="4">
        <v>10</v>
      </c>
    </row>
    <row r="1086" spans="1:12">
      <c r="A1086" t="s">
        <v>95</v>
      </c>
      <c r="B1086" s="10">
        <v>45572</v>
      </c>
      <c r="C1086" s="18">
        <f t="shared" si="16"/>
        <v>10</v>
      </c>
      <c r="D1086" t="s">
        <v>188</v>
      </c>
      <c r="E1086">
        <v>4876465</v>
      </c>
      <c r="F1086" t="s">
        <v>87</v>
      </c>
      <c r="G1086" t="s">
        <v>203</v>
      </c>
      <c r="H1086" t="s">
        <v>224</v>
      </c>
      <c r="I1086" s="4">
        <v>100638.28079999999</v>
      </c>
      <c r="J1086" s="4">
        <v>402553.12319999997</v>
      </c>
      <c r="L1086" s="4">
        <v>4</v>
      </c>
    </row>
    <row r="1087" spans="1:12">
      <c r="A1087" t="s">
        <v>95</v>
      </c>
      <c r="B1087" s="10">
        <v>45573</v>
      </c>
      <c r="C1087" s="18">
        <f t="shared" si="16"/>
        <v>10</v>
      </c>
      <c r="D1087" t="s">
        <v>142</v>
      </c>
      <c r="E1087">
        <v>4878777</v>
      </c>
      <c r="F1087" t="s">
        <v>87</v>
      </c>
      <c r="G1087" t="s">
        <v>203</v>
      </c>
      <c r="H1087" t="s">
        <v>223</v>
      </c>
      <c r="I1087" s="4">
        <v>100638.28079999999</v>
      </c>
      <c r="J1087" s="4">
        <v>1006382.808</v>
      </c>
      <c r="K1087" s="4">
        <v>-43346.076000000001</v>
      </c>
      <c r="L1087" s="4">
        <v>10</v>
      </c>
    </row>
    <row r="1088" spans="1:12">
      <c r="A1088" t="s">
        <v>95</v>
      </c>
      <c r="B1088" s="10">
        <v>45574</v>
      </c>
      <c r="C1088" s="18">
        <f t="shared" si="16"/>
        <v>10</v>
      </c>
      <c r="D1088" t="s">
        <v>188</v>
      </c>
      <c r="E1088">
        <v>4877327</v>
      </c>
      <c r="F1088" t="s">
        <v>90</v>
      </c>
      <c r="G1088" t="s">
        <v>203</v>
      </c>
      <c r="H1088" t="s">
        <v>224</v>
      </c>
      <c r="I1088" s="4">
        <v>100638.28079999999</v>
      </c>
      <c r="J1088" s="4">
        <v>201276.56159999999</v>
      </c>
      <c r="L1088" s="4">
        <v>2</v>
      </c>
    </row>
    <row r="1089" spans="1:12">
      <c r="A1089" t="s">
        <v>95</v>
      </c>
      <c r="B1089" s="10">
        <v>45574</v>
      </c>
      <c r="C1089" s="18">
        <f t="shared" si="16"/>
        <v>10</v>
      </c>
      <c r="D1089" t="s">
        <v>188</v>
      </c>
      <c r="E1089">
        <v>4878040</v>
      </c>
      <c r="F1089" t="s">
        <v>88</v>
      </c>
      <c r="G1089" t="s">
        <v>203</v>
      </c>
      <c r="H1089" t="s">
        <v>224</v>
      </c>
      <c r="I1089" s="4">
        <v>100638.28079999999</v>
      </c>
      <c r="J1089" s="4">
        <v>201276.56159999999</v>
      </c>
      <c r="K1089" s="4">
        <v>-8669.2151999999987</v>
      </c>
      <c r="L1089" s="4">
        <v>2</v>
      </c>
    </row>
    <row r="1090" spans="1:12">
      <c r="A1090" t="s">
        <v>95</v>
      </c>
      <c r="B1090" s="10">
        <v>45574</v>
      </c>
      <c r="C1090" s="18">
        <f t="shared" ref="C1090:C1153" si="17">MONTH(B1090)</f>
        <v>10</v>
      </c>
      <c r="D1090" t="s">
        <v>188</v>
      </c>
      <c r="E1090">
        <v>4878040</v>
      </c>
      <c r="F1090" t="s">
        <v>88</v>
      </c>
      <c r="G1090" t="s">
        <v>203</v>
      </c>
      <c r="H1090" t="s">
        <v>224</v>
      </c>
      <c r="I1090" s="4">
        <v>100638.28079999999</v>
      </c>
      <c r="J1090" s="4">
        <v>100638.28079999999</v>
      </c>
      <c r="L1090" s="4">
        <v>1</v>
      </c>
    </row>
    <row r="1091" spans="1:12">
      <c r="A1091" t="s">
        <v>95</v>
      </c>
      <c r="B1091" s="10">
        <v>45575</v>
      </c>
      <c r="C1091" s="18">
        <f t="shared" si="17"/>
        <v>10</v>
      </c>
      <c r="D1091" t="s">
        <v>188</v>
      </c>
      <c r="E1091">
        <v>4876241</v>
      </c>
      <c r="F1091" t="s">
        <v>89</v>
      </c>
      <c r="G1091" t="s">
        <v>203</v>
      </c>
      <c r="H1091" t="s">
        <v>224</v>
      </c>
      <c r="I1091" s="4">
        <v>100638.28079999999</v>
      </c>
      <c r="J1091" s="4">
        <v>301914.84239999996</v>
      </c>
      <c r="L1091" s="4">
        <v>3</v>
      </c>
    </row>
    <row r="1092" spans="1:12">
      <c r="A1092" t="s">
        <v>95</v>
      </c>
      <c r="B1092" s="10">
        <v>45578</v>
      </c>
      <c r="C1092" s="18">
        <f t="shared" si="17"/>
        <v>10</v>
      </c>
      <c r="D1092" t="s">
        <v>188</v>
      </c>
      <c r="E1092">
        <v>6080791</v>
      </c>
      <c r="F1092" t="s">
        <v>87</v>
      </c>
      <c r="G1092" t="s">
        <v>203</v>
      </c>
      <c r="H1092" t="s">
        <v>232</v>
      </c>
      <c r="I1092" s="4">
        <v>100638.28079999999</v>
      </c>
      <c r="J1092" s="4">
        <v>402553.12319999997</v>
      </c>
      <c r="L1092" s="4">
        <v>4</v>
      </c>
    </row>
    <row r="1093" spans="1:12">
      <c r="A1093" t="s">
        <v>95</v>
      </c>
      <c r="B1093" s="10">
        <v>45580</v>
      </c>
      <c r="C1093" s="18">
        <f t="shared" si="17"/>
        <v>10</v>
      </c>
      <c r="D1093" t="s">
        <v>188</v>
      </c>
      <c r="E1093">
        <v>4876241</v>
      </c>
      <c r="F1093" t="s">
        <v>89</v>
      </c>
      <c r="G1093" t="s">
        <v>203</v>
      </c>
      <c r="H1093" t="s">
        <v>228</v>
      </c>
      <c r="I1093" s="4">
        <v>100638.28079999999</v>
      </c>
      <c r="J1093" s="4">
        <v>603829.68479999993</v>
      </c>
      <c r="L1093" s="4">
        <v>6</v>
      </c>
    </row>
    <row r="1094" spans="1:12">
      <c r="A1094" t="s">
        <v>95</v>
      </c>
      <c r="B1094" s="10">
        <v>45580</v>
      </c>
      <c r="C1094" s="18">
        <f t="shared" si="17"/>
        <v>10</v>
      </c>
      <c r="D1094" t="s">
        <v>188</v>
      </c>
      <c r="E1094">
        <v>4876465</v>
      </c>
      <c r="F1094" t="s">
        <v>87</v>
      </c>
      <c r="G1094" t="s">
        <v>203</v>
      </c>
      <c r="H1094" t="s">
        <v>228</v>
      </c>
      <c r="I1094" s="4">
        <v>100638.28079999999</v>
      </c>
      <c r="J1094" s="4">
        <v>201276.56159999999</v>
      </c>
      <c r="L1094" s="4">
        <v>2</v>
      </c>
    </row>
    <row r="1095" spans="1:12">
      <c r="A1095" t="s">
        <v>95</v>
      </c>
      <c r="B1095" s="10">
        <v>45581</v>
      </c>
      <c r="C1095" s="18">
        <f t="shared" si="17"/>
        <v>10</v>
      </c>
      <c r="D1095" t="s">
        <v>188</v>
      </c>
      <c r="E1095">
        <v>6080107</v>
      </c>
      <c r="F1095" t="s">
        <v>90</v>
      </c>
      <c r="G1095" t="s">
        <v>203</v>
      </c>
      <c r="H1095" t="s">
        <v>227</v>
      </c>
      <c r="I1095" s="4">
        <v>100638.28079999999</v>
      </c>
      <c r="J1095" s="4">
        <v>201276.56159999999</v>
      </c>
      <c r="L1095" s="4">
        <v>2</v>
      </c>
    </row>
    <row r="1096" spans="1:12">
      <c r="A1096" t="s">
        <v>95</v>
      </c>
      <c r="B1096" s="10">
        <v>45581</v>
      </c>
      <c r="C1096" s="18">
        <f t="shared" si="17"/>
        <v>10</v>
      </c>
      <c r="D1096" t="s">
        <v>188</v>
      </c>
      <c r="E1096">
        <v>4877327</v>
      </c>
      <c r="F1096" t="s">
        <v>90</v>
      </c>
      <c r="G1096" t="s">
        <v>203</v>
      </c>
      <c r="H1096" t="s">
        <v>228</v>
      </c>
      <c r="I1096" s="4">
        <v>100638.28079999999</v>
      </c>
      <c r="J1096" s="4">
        <v>201276.56159999999</v>
      </c>
      <c r="L1096" s="4">
        <v>2</v>
      </c>
    </row>
    <row r="1097" spans="1:12">
      <c r="A1097" t="s">
        <v>95</v>
      </c>
      <c r="B1097" s="10">
        <v>45581</v>
      </c>
      <c r="C1097" s="18">
        <f t="shared" si="17"/>
        <v>10</v>
      </c>
      <c r="D1097" t="s">
        <v>188</v>
      </c>
      <c r="E1097">
        <v>4878040</v>
      </c>
      <c r="F1097" t="s">
        <v>88</v>
      </c>
      <c r="G1097" t="s">
        <v>203</v>
      </c>
      <c r="H1097" t="s">
        <v>224</v>
      </c>
      <c r="I1097" s="4">
        <v>100638.28079999999</v>
      </c>
      <c r="J1097" s="4">
        <v>201276.56159999999</v>
      </c>
      <c r="L1097" s="4">
        <v>2</v>
      </c>
    </row>
    <row r="1098" spans="1:12">
      <c r="A1098" t="s">
        <v>95</v>
      </c>
      <c r="B1098" s="10">
        <v>45582</v>
      </c>
      <c r="C1098" s="18">
        <f t="shared" si="17"/>
        <v>10</v>
      </c>
      <c r="D1098" t="s">
        <v>188</v>
      </c>
      <c r="E1098">
        <v>4876182</v>
      </c>
      <c r="F1098" t="s">
        <v>90</v>
      </c>
      <c r="G1098" t="s">
        <v>203</v>
      </c>
      <c r="H1098" t="s">
        <v>224</v>
      </c>
      <c r="I1098" s="4">
        <v>100638.28079999999</v>
      </c>
      <c r="J1098" s="4">
        <v>603829.68479999993</v>
      </c>
      <c r="L1098" s="4">
        <v>6</v>
      </c>
    </row>
    <row r="1099" spans="1:12">
      <c r="A1099" t="s">
        <v>95</v>
      </c>
      <c r="B1099" s="10">
        <v>45582</v>
      </c>
      <c r="C1099" s="18">
        <f t="shared" si="17"/>
        <v>10</v>
      </c>
      <c r="D1099" t="s">
        <v>188</v>
      </c>
      <c r="E1099">
        <v>4876393</v>
      </c>
      <c r="F1099" t="s">
        <v>87</v>
      </c>
      <c r="G1099" t="s">
        <v>203</v>
      </c>
      <c r="H1099" t="s">
        <v>224</v>
      </c>
      <c r="I1099" s="4">
        <v>100638.28079999999</v>
      </c>
      <c r="J1099" s="4">
        <v>603829.68479999993</v>
      </c>
      <c r="L1099" s="4">
        <v>6</v>
      </c>
    </row>
    <row r="1100" spans="1:12">
      <c r="A1100" t="s">
        <v>95</v>
      </c>
      <c r="B1100" s="10">
        <v>45582</v>
      </c>
      <c r="C1100" s="18">
        <f t="shared" si="17"/>
        <v>10</v>
      </c>
      <c r="D1100" t="s">
        <v>188</v>
      </c>
      <c r="E1100">
        <v>4876011</v>
      </c>
      <c r="F1100" t="s">
        <v>87</v>
      </c>
      <c r="G1100" t="s">
        <v>203</v>
      </c>
      <c r="H1100" t="s">
        <v>228</v>
      </c>
      <c r="I1100" s="4">
        <v>100638.28079999999</v>
      </c>
      <c r="J1100" s="4">
        <v>402553.12319999997</v>
      </c>
      <c r="L1100" s="4">
        <v>4</v>
      </c>
    </row>
    <row r="1101" spans="1:12">
      <c r="A1101" t="s">
        <v>95</v>
      </c>
      <c r="B1101" s="10">
        <v>45583</v>
      </c>
      <c r="C1101" s="18">
        <f t="shared" si="17"/>
        <v>10</v>
      </c>
      <c r="D1101" t="s">
        <v>188</v>
      </c>
      <c r="E1101">
        <v>4878040</v>
      </c>
      <c r="F1101" t="s">
        <v>88</v>
      </c>
      <c r="G1101" t="s">
        <v>203</v>
      </c>
      <c r="H1101" t="s">
        <v>228</v>
      </c>
      <c r="I1101" s="4">
        <v>100638.28079999999</v>
      </c>
      <c r="J1101" s="4">
        <v>201276.56159999999</v>
      </c>
      <c r="L1101" s="4">
        <v>2</v>
      </c>
    </row>
    <row r="1102" spans="1:12">
      <c r="A1102" t="s">
        <v>95</v>
      </c>
      <c r="B1102" s="10">
        <v>45584</v>
      </c>
      <c r="C1102" s="18">
        <f t="shared" si="17"/>
        <v>10</v>
      </c>
      <c r="D1102" t="s">
        <v>142</v>
      </c>
      <c r="E1102">
        <v>4878859</v>
      </c>
      <c r="F1102" t="s">
        <v>87</v>
      </c>
      <c r="G1102" t="s">
        <v>203</v>
      </c>
      <c r="H1102" t="s">
        <v>232</v>
      </c>
      <c r="I1102" s="4">
        <v>100638.28079999999</v>
      </c>
      <c r="J1102" s="4">
        <v>603829.68479999993</v>
      </c>
      <c r="L1102" s="4">
        <v>6</v>
      </c>
    </row>
    <row r="1103" spans="1:12">
      <c r="A1103" t="s">
        <v>95</v>
      </c>
      <c r="B1103" s="10">
        <v>45584</v>
      </c>
      <c r="C1103" s="18">
        <f t="shared" si="17"/>
        <v>10</v>
      </c>
      <c r="D1103" t="s">
        <v>188</v>
      </c>
      <c r="E1103">
        <v>4876465</v>
      </c>
      <c r="F1103" t="s">
        <v>87</v>
      </c>
      <c r="G1103" t="s">
        <v>203</v>
      </c>
      <c r="H1103" t="s">
        <v>232</v>
      </c>
      <c r="I1103" s="4">
        <v>100638.28079999999</v>
      </c>
      <c r="J1103" s="4">
        <v>201276.56159999999</v>
      </c>
      <c r="L1103" s="4">
        <v>2</v>
      </c>
    </row>
    <row r="1104" spans="1:12">
      <c r="A1104" t="s">
        <v>95</v>
      </c>
      <c r="B1104" s="10">
        <v>45586</v>
      </c>
      <c r="C1104" s="18">
        <f t="shared" si="17"/>
        <v>10</v>
      </c>
      <c r="D1104" t="s">
        <v>188</v>
      </c>
      <c r="E1104">
        <v>4876241</v>
      </c>
      <c r="F1104" t="s">
        <v>89</v>
      </c>
      <c r="G1104" t="s">
        <v>203</v>
      </c>
      <c r="H1104" t="s">
        <v>228</v>
      </c>
      <c r="I1104" s="4">
        <v>100638.28079999999</v>
      </c>
      <c r="J1104" s="4">
        <v>1006382.808</v>
      </c>
      <c r="L1104" s="4">
        <v>10</v>
      </c>
    </row>
    <row r="1105" spans="1:12">
      <c r="A1105" t="s">
        <v>95</v>
      </c>
      <c r="B1105" s="10">
        <v>45588</v>
      </c>
      <c r="C1105" s="18">
        <f t="shared" si="17"/>
        <v>10</v>
      </c>
      <c r="D1105" t="s">
        <v>188</v>
      </c>
      <c r="E1105">
        <v>4878040</v>
      </c>
      <c r="F1105" t="s">
        <v>88</v>
      </c>
      <c r="G1105" t="s">
        <v>203</v>
      </c>
      <c r="H1105" t="s">
        <v>223</v>
      </c>
      <c r="I1105" s="4">
        <v>100638.28079999999</v>
      </c>
      <c r="J1105" s="4">
        <v>100638.28079999999</v>
      </c>
      <c r="L1105" s="4">
        <v>1</v>
      </c>
    </row>
    <row r="1106" spans="1:12">
      <c r="A1106" t="s">
        <v>95</v>
      </c>
      <c r="B1106" s="10">
        <v>45592</v>
      </c>
      <c r="C1106" s="18">
        <f t="shared" si="17"/>
        <v>10</v>
      </c>
      <c r="D1106" t="s">
        <v>188</v>
      </c>
      <c r="E1106">
        <v>4876347</v>
      </c>
      <c r="F1106" t="s">
        <v>87</v>
      </c>
      <c r="G1106" t="s">
        <v>203</v>
      </c>
      <c r="H1106" t="s">
        <v>228</v>
      </c>
      <c r="I1106" s="4">
        <v>100638.28079999999</v>
      </c>
      <c r="J1106" s="4">
        <v>402553.12319999997</v>
      </c>
      <c r="L1106" s="4">
        <v>4</v>
      </c>
    </row>
    <row r="1107" spans="1:12">
      <c r="A1107" t="s">
        <v>95</v>
      </c>
      <c r="B1107" s="10">
        <v>45593</v>
      </c>
      <c r="C1107" s="18">
        <f t="shared" si="17"/>
        <v>10</v>
      </c>
      <c r="D1107" t="s">
        <v>188</v>
      </c>
      <c r="E1107">
        <v>6080791</v>
      </c>
      <c r="F1107" t="s">
        <v>87</v>
      </c>
      <c r="G1107" t="s">
        <v>203</v>
      </c>
      <c r="H1107" t="s">
        <v>228</v>
      </c>
      <c r="I1107" s="4">
        <v>100638.28079999999</v>
      </c>
      <c r="J1107" s="4">
        <v>201276.56159999999</v>
      </c>
      <c r="L1107" s="4">
        <v>2</v>
      </c>
    </row>
    <row r="1108" spans="1:12">
      <c r="A1108" t="s">
        <v>95</v>
      </c>
      <c r="B1108" s="10">
        <v>45593</v>
      </c>
      <c r="C1108" s="18">
        <f t="shared" si="17"/>
        <v>10</v>
      </c>
      <c r="D1108" t="s">
        <v>188</v>
      </c>
      <c r="E1108">
        <v>4878040</v>
      </c>
      <c r="F1108" t="s">
        <v>88</v>
      </c>
      <c r="G1108" t="s">
        <v>203</v>
      </c>
      <c r="H1108" t="s">
        <v>232</v>
      </c>
      <c r="I1108" s="4">
        <v>100638.28079999999</v>
      </c>
      <c r="J1108" s="4">
        <v>201276.56159999999</v>
      </c>
      <c r="L1108" s="4">
        <v>2</v>
      </c>
    </row>
    <row r="1109" spans="1:12">
      <c r="A1109" t="s">
        <v>95</v>
      </c>
      <c r="B1109" s="10">
        <v>45596</v>
      </c>
      <c r="C1109" s="18">
        <f t="shared" si="17"/>
        <v>10</v>
      </c>
      <c r="D1109" t="s">
        <v>188</v>
      </c>
      <c r="E1109">
        <v>4877327</v>
      </c>
      <c r="F1109" t="s">
        <v>90</v>
      </c>
      <c r="G1109" t="s">
        <v>203</v>
      </c>
      <c r="H1109" t="s">
        <v>228</v>
      </c>
      <c r="I1109" s="4">
        <v>100638.28079999999</v>
      </c>
      <c r="J1109" s="4">
        <v>402553.12319999997</v>
      </c>
      <c r="L1109" s="4">
        <v>4</v>
      </c>
    </row>
    <row r="1110" spans="1:12">
      <c r="A1110" t="s">
        <v>98</v>
      </c>
      <c r="B1110" s="10">
        <v>45580</v>
      </c>
      <c r="C1110" s="18">
        <f t="shared" si="17"/>
        <v>10</v>
      </c>
      <c r="D1110" t="s">
        <v>201</v>
      </c>
      <c r="E1110">
        <v>6485159</v>
      </c>
      <c r="F1110" t="s">
        <v>88</v>
      </c>
      <c r="G1110" t="s">
        <v>204</v>
      </c>
      <c r="H1110" t="s">
        <v>217</v>
      </c>
      <c r="I1110" s="4">
        <v>78022.936799999996</v>
      </c>
      <c r="J1110" s="4">
        <v>3901146.84</v>
      </c>
      <c r="L1110" s="4">
        <v>50</v>
      </c>
    </row>
    <row r="1111" spans="1:12">
      <c r="A1111" t="s">
        <v>98</v>
      </c>
      <c r="B1111" s="10">
        <v>45580</v>
      </c>
      <c r="C1111" s="18">
        <f t="shared" si="17"/>
        <v>10</v>
      </c>
      <c r="D1111" t="s">
        <v>201</v>
      </c>
      <c r="E1111">
        <v>6485159</v>
      </c>
      <c r="F1111" t="s">
        <v>88</v>
      </c>
      <c r="G1111" t="s">
        <v>204</v>
      </c>
      <c r="H1111" t="s">
        <v>212</v>
      </c>
      <c r="I1111" s="4">
        <v>62946.040799999995</v>
      </c>
      <c r="J1111" s="4">
        <v>755352.48959999997</v>
      </c>
      <c r="L1111" s="4">
        <v>12</v>
      </c>
    </row>
    <row r="1112" spans="1:12">
      <c r="A1112" t="s">
        <v>108</v>
      </c>
      <c r="B1112" s="10">
        <v>45569</v>
      </c>
      <c r="C1112" s="18">
        <f t="shared" si="17"/>
        <v>10</v>
      </c>
      <c r="D1112" t="s">
        <v>199</v>
      </c>
      <c r="E1112">
        <v>6080236</v>
      </c>
      <c r="F1112" t="s">
        <v>89</v>
      </c>
      <c r="G1112" t="s">
        <v>203</v>
      </c>
      <c r="H1112" t="s">
        <v>234</v>
      </c>
      <c r="I1112" s="4">
        <v>100638.28079999999</v>
      </c>
      <c r="J1112" s="4">
        <v>503191.40399999998</v>
      </c>
      <c r="L1112" s="4">
        <v>5</v>
      </c>
    </row>
    <row r="1113" spans="1:12">
      <c r="A1113" t="s">
        <v>108</v>
      </c>
      <c r="B1113" s="10">
        <v>45569</v>
      </c>
      <c r="C1113" s="18">
        <f t="shared" si="17"/>
        <v>10</v>
      </c>
      <c r="D1113" t="s">
        <v>199</v>
      </c>
      <c r="E1113">
        <v>6080236</v>
      </c>
      <c r="F1113" t="s">
        <v>89</v>
      </c>
      <c r="G1113" t="s">
        <v>203</v>
      </c>
      <c r="H1113" t="s">
        <v>239</v>
      </c>
      <c r="I1113" s="4">
        <v>125766.4408</v>
      </c>
      <c r="J1113" s="4">
        <v>251532.88159999999</v>
      </c>
      <c r="L1113" s="4">
        <v>2</v>
      </c>
    </row>
    <row r="1114" spans="1:12">
      <c r="A1114" t="s">
        <v>108</v>
      </c>
      <c r="B1114" s="10">
        <v>45569</v>
      </c>
      <c r="C1114" s="18">
        <f t="shared" si="17"/>
        <v>10</v>
      </c>
      <c r="D1114" t="s">
        <v>199</v>
      </c>
      <c r="E1114">
        <v>6080236</v>
      </c>
      <c r="F1114" t="s">
        <v>89</v>
      </c>
      <c r="G1114" t="s">
        <v>203</v>
      </c>
      <c r="H1114" t="s">
        <v>231</v>
      </c>
      <c r="I1114" s="4">
        <v>125766.4408</v>
      </c>
      <c r="J1114" s="4">
        <v>377299.3224</v>
      </c>
      <c r="L1114" s="4">
        <v>3</v>
      </c>
    </row>
    <row r="1115" spans="1:12">
      <c r="A1115" t="s">
        <v>108</v>
      </c>
      <c r="B1115" s="10">
        <v>45587</v>
      </c>
      <c r="C1115" s="18">
        <f t="shared" si="17"/>
        <v>10</v>
      </c>
      <c r="D1115" t="s">
        <v>199</v>
      </c>
      <c r="E1115">
        <v>7059168</v>
      </c>
      <c r="F1115" t="s">
        <v>88</v>
      </c>
      <c r="G1115" t="s">
        <v>203</v>
      </c>
      <c r="H1115" t="s">
        <v>234</v>
      </c>
      <c r="I1115" s="4">
        <v>100638.28079999999</v>
      </c>
      <c r="J1115" s="4">
        <v>201276.56159999999</v>
      </c>
      <c r="K1115" s="4">
        <v>-5201.5291200000001</v>
      </c>
      <c r="L1115" s="4">
        <v>2</v>
      </c>
    </row>
    <row r="1116" spans="1:12">
      <c r="A1116" t="s">
        <v>106</v>
      </c>
      <c r="B1116" s="10">
        <v>45569</v>
      </c>
      <c r="C1116" s="18">
        <f t="shared" si="17"/>
        <v>10</v>
      </c>
      <c r="D1116" t="s">
        <v>135</v>
      </c>
      <c r="E1116">
        <v>4878797</v>
      </c>
      <c r="F1116" t="s">
        <v>88</v>
      </c>
      <c r="G1116" t="s">
        <v>204</v>
      </c>
      <c r="H1116" t="s">
        <v>217</v>
      </c>
      <c r="I1116" s="4">
        <v>78022.936799999996</v>
      </c>
      <c r="J1116" s="4">
        <v>312091.74719999998</v>
      </c>
      <c r="K1116" s="4">
        <v>-14323.051199999998</v>
      </c>
      <c r="L1116" s="4">
        <v>4</v>
      </c>
    </row>
    <row r="1117" spans="1:12">
      <c r="A1117" t="s">
        <v>106</v>
      </c>
      <c r="B1117" s="10">
        <v>45569</v>
      </c>
      <c r="C1117" s="18">
        <f t="shared" si="17"/>
        <v>10</v>
      </c>
      <c r="D1117" t="s">
        <v>135</v>
      </c>
      <c r="E1117">
        <v>4876577</v>
      </c>
      <c r="F1117" t="s">
        <v>87</v>
      </c>
      <c r="G1117" t="s">
        <v>203</v>
      </c>
      <c r="H1117" t="s">
        <v>234</v>
      </c>
      <c r="I1117" s="4">
        <v>100638.28079999999</v>
      </c>
      <c r="J1117" s="4">
        <v>402553.12319999997</v>
      </c>
      <c r="K1117" s="4">
        <v>-17338.430399999997</v>
      </c>
      <c r="L1117" s="4">
        <v>4</v>
      </c>
    </row>
    <row r="1118" spans="1:12">
      <c r="A1118" t="s">
        <v>106</v>
      </c>
      <c r="B1118" s="10">
        <v>45569</v>
      </c>
      <c r="C1118" s="18">
        <f t="shared" si="17"/>
        <v>10</v>
      </c>
      <c r="D1118" t="s">
        <v>135</v>
      </c>
      <c r="E1118">
        <v>4876577</v>
      </c>
      <c r="F1118" t="s">
        <v>87</v>
      </c>
      <c r="G1118" t="s">
        <v>203</v>
      </c>
      <c r="H1118" t="s">
        <v>228</v>
      </c>
      <c r="I1118" s="4">
        <v>100638.28079999999</v>
      </c>
      <c r="J1118" s="4">
        <v>402553.12319999997</v>
      </c>
      <c r="K1118" s="4">
        <v>-17338.430399999997</v>
      </c>
      <c r="L1118" s="4">
        <v>4</v>
      </c>
    </row>
    <row r="1119" spans="1:12">
      <c r="A1119" t="s">
        <v>106</v>
      </c>
      <c r="B1119" s="10">
        <v>45569</v>
      </c>
      <c r="C1119" s="18">
        <f t="shared" si="17"/>
        <v>10</v>
      </c>
      <c r="D1119" t="s">
        <v>135</v>
      </c>
      <c r="E1119">
        <v>4876577</v>
      </c>
      <c r="F1119" t="s">
        <v>87</v>
      </c>
      <c r="G1119" t="s">
        <v>203</v>
      </c>
      <c r="H1119" t="s">
        <v>223</v>
      </c>
      <c r="I1119" s="4">
        <v>100638.28079999999</v>
      </c>
      <c r="J1119" s="4">
        <v>402553.12319999997</v>
      </c>
      <c r="K1119" s="4">
        <v>-17338.430399999997</v>
      </c>
      <c r="L1119" s="4">
        <v>4</v>
      </c>
    </row>
    <row r="1120" spans="1:12">
      <c r="A1120" t="s">
        <v>106</v>
      </c>
      <c r="B1120" s="10">
        <v>45569</v>
      </c>
      <c r="C1120" s="18">
        <f t="shared" si="17"/>
        <v>10</v>
      </c>
      <c r="D1120" t="s">
        <v>135</v>
      </c>
      <c r="E1120">
        <v>4879076</v>
      </c>
      <c r="F1120" t="s">
        <v>88</v>
      </c>
      <c r="G1120" t="s">
        <v>203</v>
      </c>
      <c r="H1120" t="s">
        <v>234</v>
      </c>
      <c r="I1120" s="4">
        <v>100638.28079999999</v>
      </c>
      <c r="J1120" s="4">
        <v>402553.12319999997</v>
      </c>
      <c r="K1120" s="4">
        <v>-17338.430399999997</v>
      </c>
      <c r="L1120" s="4">
        <v>4</v>
      </c>
    </row>
    <row r="1121" spans="1:12">
      <c r="A1121" t="s">
        <v>106</v>
      </c>
      <c r="B1121" s="10">
        <v>45569</v>
      </c>
      <c r="C1121" s="18">
        <f t="shared" si="17"/>
        <v>10</v>
      </c>
      <c r="D1121" t="s">
        <v>135</v>
      </c>
      <c r="E1121">
        <v>4879076</v>
      </c>
      <c r="F1121" t="s">
        <v>88</v>
      </c>
      <c r="G1121" t="s">
        <v>203</v>
      </c>
      <c r="H1121" t="s">
        <v>228</v>
      </c>
      <c r="I1121" s="4">
        <v>100638.28079999999</v>
      </c>
      <c r="J1121" s="4">
        <v>402553.12319999997</v>
      </c>
      <c r="K1121" s="4">
        <v>-17338.430399999997</v>
      </c>
      <c r="L1121" s="4">
        <v>4</v>
      </c>
    </row>
    <row r="1122" spans="1:12">
      <c r="A1122" t="s">
        <v>106</v>
      </c>
      <c r="B1122" s="10">
        <v>45569</v>
      </c>
      <c r="C1122" s="18">
        <f t="shared" si="17"/>
        <v>10</v>
      </c>
      <c r="D1122" t="s">
        <v>135</v>
      </c>
      <c r="E1122">
        <v>4879076</v>
      </c>
      <c r="F1122" t="s">
        <v>88</v>
      </c>
      <c r="G1122" t="s">
        <v>203</v>
      </c>
      <c r="H1122" t="s">
        <v>223</v>
      </c>
      <c r="I1122" s="4">
        <v>100638.28079999999</v>
      </c>
      <c r="J1122" s="4">
        <v>402553.12319999997</v>
      </c>
      <c r="K1122" s="4">
        <v>-17338.430399999997</v>
      </c>
      <c r="L1122" s="4">
        <v>4</v>
      </c>
    </row>
    <row r="1123" spans="1:12">
      <c r="A1123" t="s">
        <v>106</v>
      </c>
      <c r="B1123" s="10">
        <v>45569</v>
      </c>
      <c r="C1123" s="18">
        <f t="shared" si="17"/>
        <v>10</v>
      </c>
      <c r="D1123" t="s">
        <v>135</v>
      </c>
      <c r="E1123">
        <v>4879076</v>
      </c>
      <c r="F1123" t="s">
        <v>88</v>
      </c>
      <c r="G1123" t="s">
        <v>203</v>
      </c>
      <c r="H1123" t="s">
        <v>244</v>
      </c>
      <c r="I1123" s="4">
        <v>125766.4408</v>
      </c>
      <c r="J1123" s="4">
        <v>628832.20400000003</v>
      </c>
      <c r="K1123" s="4">
        <v>-28269.18</v>
      </c>
      <c r="L1123" s="4">
        <v>5</v>
      </c>
    </row>
    <row r="1124" spans="1:12">
      <c r="A1124" t="s">
        <v>106</v>
      </c>
      <c r="B1124" s="10">
        <v>45569</v>
      </c>
      <c r="C1124" s="18">
        <f t="shared" si="17"/>
        <v>10</v>
      </c>
      <c r="D1124" t="s">
        <v>135</v>
      </c>
      <c r="E1124">
        <v>4872947</v>
      </c>
      <c r="F1124" t="s">
        <v>88</v>
      </c>
      <c r="G1124" t="s">
        <v>204</v>
      </c>
      <c r="H1124" t="s">
        <v>214</v>
      </c>
      <c r="I1124" s="4">
        <v>119484.4008</v>
      </c>
      <c r="J1124" s="4">
        <v>2150719.2143999999</v>
      </c>
      <c r="K1124" s="4">
        <v>-96115.212</v>
      </c>
      <c r="L1124" s="4">
        <v>18</v>
      </c>
    </row>
    <row r="1125" spans="1:12">
      <c r="A1125" t="s">
        <v>106</v>
      </c>
      <c r="B1125" s="10">
        <v>45569</v>
      </c>
      <c r="C1125" s="18">
        <f t="shared" si="17"/>
        <v>10</v>
      </c>
      <c r="D1125" t="s">
        <v>135</v>
      </c>
      <c r="E1125">
        <v>4873753</v>
      </c>
      <c r="F1125" t="s">
        <v>88</v>
      </c>
      <c r="G1125" t="s">
        <v>203</v>
      </c>
      <c r="H1125" t="s">
        <v>244</v>
      </c>
      <c r="I1125" s="4">
        <v>125766.4408</v>
      </c>
      <c r="J1125" s="4">
        <v>1257664.4080000001</v>
      </c>
      <c r="K1125" s="4">
        <v>-56538.36</v>
      </c>
      <c r="L1125" s="4">
        <v>10</v>
      </c>
    </row>
    <row r="1126" spans="1:12">
      <c r="A1126" t="s">
        <v>106</v>
      </c>
      <c r="B1126" s="10">
        <v>45570</v>
      </c>
      <c r="C1126" s="18">
        <f t="shared" si="17"/>
        <v>10</v>
      </c>
      <c r="D1126" t="s">
        <v>135</v>
      </c>
      <c r="E1126">
        <v>4876670</v>
      </c>
      <c r="F1126" t="s">
        <v>89</v>
      </c>
      <c r="G1126" t="s">
        <v>203</v>
      </c>
      <c r="H1126" t="s">
        <v>224</v>
      </c>
      <c r="I1126" s="4">
        <v>100638.28079999999</v>
      </c>
      <c r="J1126" s="4">
        <v>201276.56159999999</v>
      </c>
      <c r="K1126" s="4">
        <v>-8669.2151999999987</v>
      </c>
      <c r="L1126" s="4">
        <v>2</v>
      </c>
    </row>
    <row r="1127" spans="1:12">
      <c r="A1127" t="s">
        <v>106</v>
      </c>
      <c r="B1127" s="10">
        <v>45570</v>
      </c>
      <c r="C1127" s="18">
        <f t="shared" si="17"/>
        <v>10</v>
      </c>
      <c r="D1127" t="s">
        <v>135</v>
      </c>
      <c r="E1127">
        <v>4876670</v>
      </c>
      <c r="F1127" t="s">
        <v>89</v>
      </c>
      <c r="G1127" t="s">
        <v>203</v>
      </c>
      <c r="H1127" t="s">
        <v>223</v>
      </c>
      <c r="I1127" s="4">
        <v>100638.28079999999</v>
      </c>
      <c r="J1127" s="4">
        <v>201276.56159999999</v>
      </c>
      <c r="K1127" s="4">
        <v>-8669.2151999999987</v>
      </c>
      <c r="L1127" s="4">
        <v>2</v>
      </c>
    </row>
    <row r="1128" spans="1:12">
      <c r="A1128" t="s">
        <v>106</v>
      </c>
      <c r="B1128" s="10">
        <v>45570</v>
      </c>
      <c r="C1128" s="18">
        <f t="shared" si="17"/>
        <v>10</v>
      </c>
      <c r="D1128" t="s">
        <v>135</v>
      </c>
      <c r="E1128">
        <v>4872395</v>
      </c>
      <c r="F1128" t="s">
        <v>89</v>
      </c>
      <c r="G1128" t="s">
        <v>203</v>
      </c>
      <c r="H1128" t="s">
        <v>234</v>
      </c>
      <c r="I1128" s="4">
        <v>100638.28079999999</v>
      </c>
      <c r="J1128" s="4">
        <v>402553.12319999997</v>
      </c>
      <c r="K1128" s="4">
        <v>-17338.430399999997</v>
      </c>
      <c r="L1128" s="4">
        <v>4</v>
      </c>
    </row>
    <row r="1129" spans="1:12">
      <c r="A1129" t="s">
        <v>106</v>
      </c>
      <c r="B1129" s="10">
        <v>45570</v>
      </c>
      <c r="C1129" s="18">
        <f t="shared" si="17"/>
        <v>10</v>
      </c>
      <c r="D1129" t="s">
        <v>135</v>
      </c>
      <c r="E1129">
        <v>4872395</v>
      </c>
      <c r="F1129" t="s">
        <v>89</v>
      </c>
      <c r="G1129" t="s">
        <v>203</v>
      </c>
      <c r="H1129" t="s">
        <v>228</v>
      </c>
      <c r="I1129" s="4">
        <v>100638.28079999999</v>
      </c>
      <c r="J1129" s="4">
        <v>402553.12319999997</v>
      </c>
      <c r="K1129" s="4">
        <v>-17338.430399999997</v>
      </c>
      <c r="L1129" s="4">
        <v>4</v>
      </c>
    </row>
    <row r="1130" spans="1:12">
      <c r="A1130" t="s">
        <v>106</v>
      </c>
      <c r="B1130" s="10">
        <v>45570</v>
      </c>
      <c r="C1130" s="18">
        <f t="shared" si="17"/>
        <v>10</v>
      </c>
      <c r="D1130" t="s">
        <v>135</v>
      </c>
      <c r="E1130">
        <v>4872395</v>
      </c>
      <c r="F1130" t="s">
        <v>89</v>
      </c>
      <c r="G1130" t="s">
        <v>203</v>
      </c>
      <c r="H1130" t="s">
        <v>224</v>
      </c>
      <c r="I1130" s="4">
        <v>100638.28079999999</v>
      </c>
      <c r="J1130" s="4">
        <v>402553.12319999997</v>
      </c>
      <c r="K1130" s="4">
        <v>-17338.430399999997</v>
      </c>
      <c r="L1130" s="4">
        <v>4</v>
      </c>
    </row>
    <row r="1131" spans="1:12">
      <c r="A1131" t="s">
        <v>106</v>
      </c>
      <c r="B1131" s="10">
        <v>45570</v>
      </c>
      <c r="C1131" s="18">
        <f t="shared" si="17"/>
        <v>10</v>
      </c>
      <c r="D1131" t="s">
        <v>135</v>
      </c>
      <c r="E1131">
        <v>4872395</v>
      </c>
      <c r="F1131" t="s">
        <v>89</v>
      </c>
      <c r="G1131" t="s">
        <v>203</v>
      </c>
      <c r="H1131" t="s">
        <v>223</v>
      </c>
      <c r="I1131" s="4">
        <v>100638.28079999999</v>
      </c>
      <c r="J1131" s="4">
        <v>402553.12319999997</v>
      </c>
      <c r="K1131" s="4">
        <v>-17338.430399999997</v>
      </c>
      <c r="L1131" s="4">
        <v>4</v>
      </c>
    </row>
    <row r="1132" spans="1:12">
      <c r="A1132" t="s">
        <v>106</v>
      </c>
      <c r="B1132" s="10">
        <v>45570</v>
      </c>
      <c r="C1132" s="18">
        <f t="shared" si="17"/>
        <v>10</v>
      </c>
      <c r="D1132" t="s">
        <v>135</v>
      </c>
      <c r="E1132">
        <v>4872395</v>
      </c>
      <c r="F1132" t="s">
        <v>89</v>
      </c>
      <c r="G1132" t="s">
        <v>203</v>
      </c>
      <c r="H1132" t="s">
        <v>244</v>
      </c>
      <c r="I1132" s="4">
        <v>125766.4408</v>
      </c>
      <c r="J1132" s="4">
        <v>251532.88159999999</v>
      </c>
      <c r="K1132" s="4">
        <v>-11307.672</v>
      </c>
      <c r="L1132" s="4">
        <v>2</v>
      </c>
    </row>
    <row r="1133" spans="1:12">
      <c r="A1133" t="s">
        <v>106</v>
      </c>
      <c r="B1133" s="10">
        <v>45570</v>
      </c>
      <c r="C1133" s="18">
        <f t="shared" si="17"/>
        <v>10</v>
      </c>
      <c r="D1133" t="s">
        <v>135</v>
      </c>
      <c r="E1133">
        <v>4872949</v>
      </c>
      <c r="F1133" t="s">
        <v>89</v>
      </c>
      <c r="G1133" t="s">
        <v>203</v>
      </c>
      <c r="H1133" t="s">
        <v>234</v>
      </c>
      <c r="I1133" s="4">
        <v>100638.28079999999</v>
      </c>
      <c r="J1133" s="4">
        <v>201276.56159999999</v>
      </c>
      <c r="K1133" s="4">
        <v>-8669.2151999999987</v>
      </c>
      <c r="L1133" s="4">
        <v>2</v>
      </c>
    </row>
    <row r="1134" spans="1:12">
      <c r="A1134" t="s">
        <v>106</v>
      </c>
      <c r="B1134" s="10">
        <v>45570</v>
      </c>
      <c r="C1134" s="18">
        <f t="shared" si="17"/>
        <v>10</v>
      </c>
      <c r="D1134" t="s">
        <v>135</v>
      </c>
      <c r="E1134">
        <v>4872949</v>
      </c>
      <c r="F1134" t="s">
        <v>89</v>
      </c>
      <c r="G1134" t="s">
        <v>203</v>
      </c>
      <c r="H1134" t="s">
        <v>224</v>
      </c>
      <c r="I1134" s="4">
        <v>100638.28079999999</v>
      </c>
      <c r="J1134" s="4">
        <v>201276.56159999999</v>
      </c>
      <c r="K1134" s="4">
        <v>-8669.2151999999987</v>
      </c>
      <c r="L1134" s="4">
        <v>2</v>
      </c>
    </row>
    <row r="1135" spans="1:12">
      <c r="A1135" t="s">
        <v>106</v>
      </c>
      <c r="B1135" s="10">
        <v>45570</v>
      </c>
      <c r="C1135" s="18">
        <f t="shared" si="17"/>
        <v>10</v>
      </c>
      <c r="D1135" t="s">
        <v>135</v>
      </c>
      <c r="E1135">
        <v>4872949</v>
      </c>
      <c r="F1135" t="s">
        <v>89</v>
      </c>
      <c r="G1135" t="s">
        <v>203</v>
      </c>
      <c r="H1135" t="s">
        <v>223</v>
      </c>
      <c r="I1135" s="4">
        <v>100638.28079999999</v>
      </c>
      <c r="J1135" s="4">
        <v>201276.56159999999</v>
      </c>
      <c r="K1135" s="4">
        <v>-8669.2151999999987</v>
      </c>
      <c r="L1135" s="4">
        <v>2</v>
      </c>
    </row>
    <row r="1136" spans="1:12">
      <c r="A1136" t="s">
        <v>106</v>
      </c>
      <c r="B1136" s="10">
        <v>45570</v>
      </c>
      <c r="C1136" s="18">
        <f t="shared" si="17"/>
        <v>10</v>
      </c>
      <c r="D1136" t="s">
        <v>135</v>
      </c>
      <c r="E1136">
        <v>4878582</v>
      </c>
      <c r="F1136" t="s">
        <v>90</v>
      </c>
      <c r="G1136" t="s">
        <v>203</v>
      </c>
      <c r="H1136" t="s">
        <v>234</v>
      </c>
      <c r="I1136" s="4">
        <v>100638.28079999999</v>
      </c>
      <c r="J1136" s="4">
        <v>603829.68479999993</v>
      </c>
      <c r="K1136" s="4">
        <v>-26007.645599999996</v>
      </c>
      <c r="L1136" s="4">
        <v>6</v>
      </c>
    </row>
    <row r="1137" spans="1:12">
      <c r="A1137" t="s">
        <v>106</v>
      </c>
      <c r="B1137" s="10">
        <v>45570</v>
      </c>
      <c r="C1137" s="18">
        <f t="shared" si="17"/>
        <v>10</v>
      </c>
      <c r="D1137" t="s">
        <v>135</v>
      </c>
      <c r="E1137">
        <v>4878582</v>
      </c>
      <c r="F1137" t="s">
        <v>90</v>
      </c>
      <c r="G1137" t="s">
        <v>203</v>
      </c>
      <c r="H1137" t="s">
        <v>224</v>
      </c>
      <c r="I1137" s="4">
        <v>100638.28079999999</v>
      </c>
      <c r="J1137" s="4">
        <v>603829.68479999993</v>
      </c>
      <c r="K1137" s="4">
        <v>-26007.645599999996</v>
      </c>
      <c r="L1137" s="4">
        <v>6</v>
      </c>
    </row>
    <row r="1138" spans="1:12">
      <c r="A1138" t="s">
        <v>106</v>
      </c>
      <c r="B1138" s="10">
        <v>45570</v>
      </c>
      <c r="C1138" s="18">
        <f t="shared" si="17"/>
        <v>10</v>
      </c>
      <c r="D1138" t="s">
        <v>135</v>
      </c>
      <c r="E1138">
        <v>4878582</v>
      </c>
      <c r="F1138" t="s">
        <v>90</v>
      </c>
      <c r="G1138" t="s">
        <v>203</v>
      </c>
      <c r="H1138" t="s">
        <v>223</v>
      </c>
      <c r="I1138" s="4">
        <v>100638.28079999999</v>
      </c>
      <c r="J1138" s="4">
        <v>603829.68479999993</v>
      </c>
      <c r="K1138" s="4">
        <v>-26007.645599999996</v>
      </c>
      <c r="L1138" s="4">
        <v>6</v>
      </c>
    </row>
    <row r="1139" spans="1:12">
      <c r="A1139" t="s">
        <v>106</v>
      </c>
      <c r="B1139" s="10">
        <v>45570</v>
      </c>
      <c r="C1139" s="18">
        <f t="shared" si="17"/>
        <v>10</v>
      </c>
      <c r="D1139" t="s">
        <v>135</v>
      </c>
      <c r="E1139">
        <v>4878582</v>
      </c>
      <c r="F1139" t="s">
        <v>90</v>
      </c>
      <c r="G1139" t="s">
        <v>203</v>
      </c>
      <c r="H1139" t="s">
        <v>244</v>
      </c>
      <c r="I1139" s="4">
        <v>125766.4408</v>
      </c>
      <c r="J1139" s="4">
        <v>628832.20400000003</v>
      </c>
      <c r="K1139" s="4">
        <v>-28269.18</v>
      </c>
      <c r="L1139" s="4">
        <v>5</v>
      </c>
    </row>
    <row r="1140" spans="1:12">
      <c r="A1140" t="s">
        <v>106</v>
      </c>
      <c r="B1140" s="10">
        <v>45571</v>
      </c>
      <c r="C1140" s="18">
        <f t="shared" si="17"/>
        <v>10</v>
      </c>
      <c r="D1140" t="s">
        <v>135</v>
      </c>
      <c r="E1140">
        <v>4872948</v>
      </c>
      <c r="F1140" t="s">
        <v>88</v>
      </c>
      <c r="G1140" t="s">
        <v>203</v>
      </c>
      <c r="H1140" t="s">
        <v>234</v>
      </c>
      <c r="I1140" s="4">
        <v>100638.28079999999</v>
      </c>
      <c r="J1140" s="4">
        <v>603829.68479999993</v>
      </c>
      <c r="L1140" s="4">
        <v>6</v>
      </c>
    </row>
    <row r="1141" spans="1:12">
      <c r="A1141" t="s">
        <v>106</v>
      </c>
      <c r="B1141" s="10">
        <v>45571</v>
      </c>
      <c r="C1141" s="18">
        <f t="shared" si="17"/>
        <v>10</v>
      </c>
      <c r="D1141" t="s">
        <v>135</v>
      </c>
      <c r="E1141">
        <v>4872948</v>
      </c>
      <c r="F1141" t="s">
        <v>88</v>
      </c>
      <c r="G1141" t="s">
        <v>203</v>
      </c>
      <c r="H1141" t="s">
        <v>224</v>
      </c>
      <c r="I1141" s="4">
        <v>100638.28079999999</v>
      </c>
      <c r="J1141" s="4">
        <v>603829.68479999993</v>
      </c>
      <c r="L1141" s="4">
        <v>6</v>
      </c>
    </row>
    <row r="1142" spans="1:12">
      <c r="A1142" t="s">
        <v>106</v>
      </c>
      <c r="B1142" s="10">
        <v>45571</v>
      </c>
      <c r="C1142" s="18">
        <f t="shared" si="17"/>
        <v>10</v>
      </c>
      <c r="D1142" t="s">
        <v>135</v>
      </c>
      <c r="E1142">
        <v>4872948</v>
      </c>
      <c r="F1142" t="s">
        <v>88</v>
      </c>
      <c r="G1142" t="s">
        <v>203</v>
      </c>
      <c r="H1142" t="s">
        <v>223</v>
      </c>
      <c r="I1142" s="4">
        <v>100638.28079999999</v>
      </c>
      <c r="J1142" s="4">
        <v>805106.24639999995</v>
      </c>
      <c r="L1142" s="4">
        <v>8</v>
      </c>
    </row>
    <row r="1143" spans="1:12">
      <c r="A1143" t="s">
        <v>106</v>
      </c>
      <c r="B1143" s="10">
        <v>45571</v>
      </c>
      <c r="C1143" s="18">
        <f t="shared" si="17"/>
        <v>10</v>
      </c>
      <c r="D1143" t="s">
        <v>135</v>
      </c>
      <c r="E1143">
        <v>7806613</v>
      </c>
      <c r="F1143" t="s">
        <v>87</v>
      </c>
      <c r="G1143" t="s">
        <v>203</v>
      </c>
      <c r="H1143" t="s">
        <v>234</v>
      </c>
      <c r="I1143" s="4">
        <v>100638.28079999999</v>
      </c>
      <c r="J1143" s="4">
        <v>1006382.808</v>
      </c>
      <c r="K1143" s="4">
        <v>-43346.076000000001</v>
      </c>
      <c r="L1143" s="4">
        <v>10</v>
      </c>
    </row>
    <row r="1144" spans="1:12">
      <c r="A1144" t="s">
        <v>106</v>
      </c>
      <c r="B1144" s="10">
        <v>45571</v>
      </c>
      <c r="C1144" s="18">
        <f t="shared" si="17"/>
        <v>10</v>
      </c>
      <c r="D1144" t="s">
        <v>135</v>
      </c>
      <c r="E1144">
        <v>7806613</v>
      </c>
      <c r="F1144" t="s">
        <v>87</v>
      </c>
      <c r="G1144" t="s">
        <v>203</v>
      </c>
      <c r="H1144" t="s">
        <v>224</v>
      </c>
      <c r="I1144" s="4">
        <v>100638.28079999999</v>
      </c>
      <c r="J1144" s="4">
        <v>1006382.808</v>
      </c>
      <c r="K1144" s="4">
        <v>-43346.076000000001</v>
      </c>
      <c r="L1144" s="4">
        <v>10</v>
      </c>
    </row>
    <row r="1145" spans="1:12">
      <c r="A1145" t="s">
        <v>106</v>
      </c>
      <c r="B1145" s="10">
        <v>45571</v>
      </c>
      <c r="C1145" s="18">
        <f t="shared" si="17"/>
        <v>10</v>
      </c>
      <c r="D1145" t="s">
        <v>135</v>
      </c>
      <c r="E1145">
        <v>7806613</v>
      </c>
      <c r="F1145" t="s">
        <v>87</v>
      </c>
      <c r="G1145" t="s">
        <v>203</v>
      </c>
      <c r="H1145" t="s">
        <v>223</v>
      </c>
      <c r="I1145" s="4">
        <v>100638.28079999999</v>
      </c>
      <c r="J1145" s="4">
        <v>1006382.808</v>
      </c>
      <c r="K1145" s="4">
        <v>-43346.076000000001</v>
      </c>
      <c r="L1145" s="4">
        <v>10</v>
      </c>
    </row>
    <row r="1146" spans="1:12">
      <c r="A1146" t="s">
        <v>106</v>
      </c>
      <c r="B1146" s="10">
        <v>45572</v>
      </c>
      <c r="C1146" s="18">
        <f t="shared" si="17"/>
        <v>10</v>
      </c>
      <c r="D1146" t="s">
        <v>135</v>
      </c>
      <c r="E1146">
        <v>4872839</v>
      </c>
      <c r="F1146" t="s">
        <v>89</v>
      </c>
      <c r="G1146" t="s">
        <v>203</v>
      </c>
      <c r="H1146" t="s">
        <v>224</v>
      </c>
      <c r="I1146" s="4">
        <v>100638.28079999999</v>
      </c>
      <c r="J1146" s="4">
        <v>603829.68479999993</v>
      </c>
      <c r="K1146" s="4">
        <v>-26007.645599999996</v>
      </c>
      <c r="L1146" s="4">
        <v>6</v>
      </c>
    </row>
    <row r="1147" spans="1:12">
      <c r="A1147" t="s">
        <v>106</v>
      </c>
      <c r="B1147" s="10">
        <v>45572</v>
      </c>
      <c r="C1147" s="18">
        <f t="shared" si="17"/>
        <v>10</v>
      </c>
      <c r="D1147" t="s">
        <v>135</v>
      </c>
      <c r="E1147">
        <v>4878797</v>
      </c>
      <c r="F1147" t="s">
        <v>88</v>
      </c>
      <c r="G1147" t="s">
        <v>204</v>
      </c>
      <c r="H1147" t="s">
        <v>217</v>
      </c>
      <c r="I1147" s="4">
        <v>78022.936799999996</v>
      </c>
      <c r="J1147" s="4">
        <v>156045.87359999999</v>
      </c>
      <c r="K1147" s="4">
        <v>-7161.525599999999</v>
      </c>
      <c r="L1147" s="4">
        <v>2</v>
      </c>
    </row>
    <row r="1148" spans="1:12">
      <c r="A1148" t="s">
        <v>106</v>
      </c>
      <c r="B1148" s="10">
        <v>45572</v>
      </c>
      <c r="C1148" s="18">
        <f t="shared" si="17"/>
        <v>10</v>
      </c>
      <c r="D1148" t="s">
        <v>135</v>
      </c>
      <c r="E1148">
        <v>4878797</v>
      </c>
      <c r="F1148" t="s">
        <v>88</v>
      </c>
      <c r="G1148" t="s">
        <v>204</v>
      </c>
      <c r="H1148" t="s">
        <v>213</v>
      </c>
      <c r="I1148" s="4">
        <v>119484.4008</v>
      </c>
      <c r="J1148" s="4">
        <v>477937.60320000001</v>
      </c>
      <c r="K1148" s="4">
        <v>-21358.935999999998</v>
      </c>
      <c r="L1148" s="4">
        <v>4</v>
      </c>
    </row>
    <row r="1149" spans="1:12">
      <c r="A1149" t="s">
        <v>106</v>
      </c>
      <c r="B1149" s="10">
        <v>45573</v>
      </c>
      <c r="C1149" s="18">
        <f t="shared" si="17"/>
        <v>10</v>
      </c>
      <c r="D1149" t="s">
        <v>135</v>
      </c>
      <c r="E1149">
        <v>4874468</v>
      </c>
      <c r="F1149" t="s">
        <v>89</v>
      </c>
      <c r="G1149" t="s">
        <v>203</v>
      </c>
      <c r="H1149" t="s">
        <v>234</v>
      </c>
      <c r="I1149" s="4">
        <v>100638.28079999999</v>
      </c>
      <c r="J1149" s="4">
        <v>402553.12319999997</v>
      </c>
      <c r="L1149" s="4">
        <v>4</v>
      </c>
    </row>
    <row r="1150" spans="1:12">
      <c r="A1150" t="s">
        <v>106</v>
      </c>
      <c r="B1150" s="10">
        <v>45573</v>
      </c>
      <c r="C1150" s="18">
        <f t="shared" si="17"/>
        <v>10</v>
      </c>
      <c r="D1150" t="s">
        <v>135</v>
      </c>
      <c r="E1150">
        <v>4874468</v>
      </c>
      <c r="F1150" t="s">
        <v>89</v>
      </c>
      <c r="G1150" t="s">
        <v>203</v>
      </c>
      <c r="H1150" t="s">
        <v>224</v>
      </c>
      <c r="I1150" s="4">
        <v>100638.28079999999</v>
      </c>
      <c r="J1150" s="4">
        <v>402553.12319999997</v>
      </c>
      <c r="L1150" s="4">
        <v>4</v>
      </c>
    </row>
    <row r="1151" spans="1:12">
      <c r="A1151" t="s">
        <v>106</v>
      </c>
      <c r="B1151" s="10">
        <v>45573</v>
      </c>
      <c r="C1151" s="18">
        <f t="shared" si="17"/>
        <v>10</v>
      </c>
      <c r="D1151" t="s">
        <v>135</v>
      </c>
      <c r="E1151">
        <v>4878797</v>
      </c>
      <c r="F1151" t="s">
        <v>88</v>
      </c>
      <c r="G1151" t="s">
        <v>204</v>
      </c>
      <c r="H1151" t="s">
        <v>217</v>
      </c>
      <c r="I1151" s="4">
        <v>78022.936799999996</v>
      </c>
      <c r="J1151" s="4">
        <v>312091.74719999998</v>
      </c>
      <c r="K1151" s="4">
        <v>-14323.051199999998</v>
      </c>
      <c r="L1151" s="4">
        <v>4</v>
      </c>
    </row>
    <row r="1152" spans="1:12">
      <c r="A1152" t="s">
        <v>106</v>
      </c>
      <c r="B1152" s="10">
        <v>45573</v>
      </c>
      <c r="C1152" s="18">
        <f t="shared" si="17"/>
        <v>10</v>
      </c>
      <c r="D1152" t="s">
        <v>135</v>
      </c>
      <c r="E1152">
        <v>4875762</v>
      </c>
      <c r="F1152" t="s">
        <v>88</v>
      </c>
      <c r="G1152" t="s">
        <v>203</v>
      </c>
      <c r="H1152" t="s">
        <v>224</v>
      </c>
      <c r="I1152" s="4">
        <v>100638.28079999999</v>
      </c>
      <c r="J1152" s="4">
        <v>603829.68479999993</v>
      </c>
      <c r="K1152" s="4">
        <v>-26007.645599999996</v>
      </c>
      <c r="L1152" s="4">
        <v>6</v>
      </c>
    </row>
    <row r="1153" spans="1:12">
      <c r="A1153" t="s">
        <v>106</v>
      </c>
      <c r="B1153" s="10">
        <v>45575</v>
      </c>
      <c r="C1153" s="18">
        <f t="shared" si="17"/>
        <v>10</v>
      </c>
      <c r="D1153" t="s">
        <v>135</v>
      </c>
      <c r="E1153">
        <v>4878797</v>
      </c>
      <c r="F1153" t="s">
        <v>88</v>
      </c>
      <c r="G1153" t="s">
        <v>204</v>
      </c>
      <c r="H1153" t="s">
        <v>215</v>
      </c>
      <c r="I1153" s="4">
        <v>75510.12079999999</v>
      </c>
      <c r="J1153" s="4">
        <v>302040.48319999996</v>
      </c>
      <c r="K1153" s="4">
        <v>-15076.895999999999</v>
      </c>
      <c r="L1153" s="4">
        <v>4</v>
      </c>
    </row>
    <row r="1154" spans="1:12">
      <c r="A1154" t="s">
        <v>106</v>
      </c>
      <c r="B1154" s="10">
        <v>45576</v>
      </c>
      <c r="C1154" s="18">
        <f t="shared" ref="C1154:C1217" si="18">MONTH(B1154)</f>
        <v>10</v>
      </c>
      <c r="D1154" t="s">
        <v>135</v>
      </c>
      <c r="E1154">
        <v>4872613</v>
      </c>
      <c r="F1154" t="s">
        <v>88</v>
      </c>
      <c r="G1154" t="s">
        <v>203</v>
      </c>
      <c r="H1154" t="s">
        <v>224</v>
      </c>
      <c r="I1154" s="4">
        <v>100638.28079999999</v>
      </c>
      <c r="J1154" s="4">
        <v>402553.12319999997</v>
      </c>
      <c r="K1154" s="4">
        <v>-17338.430399999997</v>
      </c>
      <c r="L1154" s="4">
        <v>4</v>
      </c>
    </row>
    <row r="1155" spans="1:12">
      <c r="A1155" t="s">
        <v>106</v>
      </c>
      <c r="B1155" s="10">
        <v>45582</v>
      </c>
      <c r="C1155" s="18">
        <f t="shared" si="18"/>
        <v>10</v>
      </c>
      <c r="D1155" t="s">
        <v>135</v>
      </c>
      <c r="E1155">
        <v>4878797</v>
      </c>
      <c r="F1155" t="s">
        <v>88</v>
      </c>
      <c r="G1155" t="s">
        <v>203</v>
      </c>
      <c r="H1155" t="s">
        <v>241</v>
      </c>
      <c r="I1155" s="4">
        <v>125766.4408</v>
      </c>
      <c r="J1155" s="4">
        <v>125766.4408</v>
      </c>
      <c r="K1155" s="4">
        <v>-5653.8360000000002</v>
      </c>
      <c r="L1155" s="4">
        <v>1</v>
      </c>
    </row>
    <row r="1156" spans="1:12">
      <c r="A1156" t="s">
        <v>106</v>
      </c>
      <c r="B1156" s="10">
        <v>45582</v>
      </c>
      <c r="C1156" s="18">
        <f t="shared" si="18"/>
        <v>10</v>
      </c>
      <c r="D1156" t="s">
        <v>135</v>
      </c>
      <c r="E1156">
        <v>4878797</v>
      </c>
      <c r="F1156" t="s">
        <v>88</v>
      </c>
      <c r="G1156" t="s">
        <v>203</v>
      </c>
      <c r="H1156" t="s">
        <v>237</v>
      </c>
      <c r="I1156" s="4">
        <v>125766.4408</v>
      </c>
      <c r="J1156" s="4">
        <v>125766.4408</v>
      </c>
      <c r="K1156" s="4">
        <v>-5653.8360000000002</v>
      </c>
      <c r="L1156" s="4">
        <v>1</v>
      </c>
    </row>
    <row r="1157" spans="1:12">
      <c r="A1157" t="s">
        <v>106</v>
      </c>
      <c r="B1157" s="10">
        <v>45582</v>
      </c>
      <c r="C1157" s="18">
        <f t="shared" si="18"/>
        <v>10</v>
      </c>
      <c r="D1157" t="s">
        <v>135</v>
      </c>
      <c r="E1157">
        <v>4878797</v>
      </c>
      <c r="F1157" t="s">
        <v>88</v>
      </c>
      <c r="G1157" t="s">
        <v>203</v>
      </c>
      <c r="H1157" t="s">
        <v>229</v>
      </c>
      <c r="I1157" s="4">
        <v>125766.4408</v>
      </c>
      <c r="J1157" s="4">
        <v>125766.4408</v>
      </c>
      <c r="K1157" s="4">
        <v>-5653.8360000000002</v>
      </c>
      <c r="L1157" s="4">
        <v>1</v>
      </c>
    </row>
    <row r="1158" spans="1:12">
      <c r="A1158" t="s">
        <v>106</v>
      </c>
      <c r="B1158" s="10">
        <v>45582</v>
      </c>
      <c r="C1158" s="18">
        <f t="shared" si="18"/>
        <v>10</v>
      </c>
      <c r="D1158" t="s">
        <v>135</v>
      </c>
      <c r="E1158">
        <v>4872948</v>
      </c>
      <c r="F1158" t="s">
        <v>88</v>
      </c>
      <c r="G1158" t="s">
        <v>203</v>
      </c>
      <c r="H1158" t="s">
        <v>234</v>
      </c>
      <c r="I1158" s="4">
        <v>100638.28079999999</v>
      </c>
      <c r="J1158" s="4">
        <v>2012765.6159999999</v>
      </c>
      <c r="K1158" s="4">
        <v>-86692.152000000002</v>
      </c>
      <c r="L1158" s="4">
        <v>20</v>
      </c>
    </row>
    <row r="1159" spans="1:12">
      <c r="A1159" t="s">
        <v>106</v>
      </c>
      <c r="B1159" s="10">
        <v>45582</v>
      </c>
      <c r="C1159" s="18">
        <f t="shared" si="18"/>
        <v>10</v>
      </c>
      <c r="D1159" t="s">
        <v>135</v>
      </c>
      <c r="E1159">
        <v>4872948</v>
      </c>
      <c r="F1159" t="s">
        <v>88</v>
      </c>
      <c r="G1159" t="s">
        <v>203</v>
      </c>
      <c r="H1159" t="s">
        <v>241</v>
      </c>
      <c r="I1159" s="4">
        <v>125766.4408</v>
      </c>
      <c r="J1159" s="4">
        <v>628832.20400000003</v>
      </c>
      <c r="K1159" s="4">
        <v>-28269.18</v>
      </c>
      <c r="L1159" s="4">
        <v>5</v>
      </c>
    </row>
    <row r="1160" spans="1:12">
      <c r="A1160" t="s">
        <v>106</v>
      </c>
      <c r="B1160" s="10">
        <v>45582</v>
      </c>
      <c r="C1160" s="18">
        <f t="shared" si="18"/>
        <v>10</v>
      </c>
      <c r="D1160" t="s">
        <v>135</v>
      </c>
      <c r="E1160">
        <v>4872948</v>
      </c>
      <c r="F1160" t="s">
        <v>88</v>
      </c>
      <c r="G1160" t="s">
        <v>203</v>
      </c>
      <c r="H1160" t="s">
        <v>239</v>
      </c>
      <c r="I1160" s="4">
        <v>125766.4408</v>
      </c>
      <c r="J1160" s="4">
        <v>628832.20400000003</v>
      </c>
      <c r="K1160" s="4">
        <v>-28269.18</v>
      </c>
      <c r="L1160" s="4">
        <v>5</v>
      </c>
    </row>
    <row r="1161" spans="1:12">
      <c r="A1161" t="s">
        <v>106</v>
      </c>
      <c r="B1161" s="10">
        <v>45582</v>
      </c>
      <c r="C1161" s="18">
        <f t="shared" si="18"/>
        <v>10</v>
      </c>
      <c r="D1161" t="s">
        <v>135</v>
      </c>
      <c r="E1161">
        <v>4872948</v>
      </c>
      <c r="F1161" t="s">
        <v>88</v>
      </c>
      <c r="G1161" t="s">
        <v>203</v>
      </c>
      <c r="H1161" t="s">
        <v>229</v>
      </c>
      <c r="I1161" s="4">
        <v>125766.4408</v>
      </c>
      <c r="J1161" s="4">
        <v>628832.20400000003</v>
      </c>
      <c r="K1161" s="4">
        <v>-28269.18</v>
      </c>
      <c r="L1161" s="4">
        <v>5</v>
      </c>
    </row>
    <row r="1162" spans="1:12">
      <c r="A1162" t="s">
        <v>106</v>
      </c>
      <c r="B1162" s="10">
        <v>45582</v>
      </c>
      <c r="C1162" s="18">
        <f t="shared" si="18"/>
        <v>10</v>
      </c>
      <c r="D1162" t="s">
        <v>135</v>
      </c>
      <c r="E1162">
        <v>4872837</v>
      </c>
      <c r="F1162" t="s">
        <v>89</v>
      </c>
      <c r="G1162" t="s">
        <v>203</v>
      </c>
      <c r="H1162" t="s">
        <v>234</v>
      </c>
      <c r="I1162" s="4">
        <v>100638.28079999999</v>
      </c>
      <c r="J1162" s="4">
        <v>603829.68479999993</v>
      </c>
      <c r="K1162" s="4">
        <v>-26007.645599999996</v>
      </c>
      <c r="L1162" s="4">
        <v>6</v>
      </c>
    </row>
    <row r="1163" spans="1:12">
      <c r="A1163" t="s">
        <v>106</v>
      </c>
      <c r="B1163" s="10">
        <v>45582</v>
      </c>
      <c r="C1163" s="18">
        <f t="shared" si="18"/>
        <v>10</v>
      </c>
      <c r="D1163" t="s">
        <v>135</v>
      </c>
      <c r="E1163">
        <v>4872837</v>
      </c>
      <c r="F1163" t="s">
        <v>89</v>
      </c>
      <c r="G1163" t="s">
        <v>203</v>
      </c>
      <c r="H1163" t="s">
        <v>241</v>
      </c>
      <c r="I1163" s="4">
        <v>125766.4408</v>
      </c>
      <c r="J1163" s="4">
        <v>251532.88159999999</v>
      </c>
      <c r="K1163" s="4">
        <v>-11307.672</v>
      </c>
      <c r="L1163" s="4">
        <v>2</v>
      </c>
    </row>
    <row r="1164" spans="1:12">
      <c r="A1164" t="s">
        <v>106</v>
      </c>
      <c r="B1164" s="10">
        <v>45582</v>
      </c>
      <c r="C1164" s="18">
        <f t="shared" si="18"/>
        <v>10</v>
      </c>
      <c r="D1164" t="s">
        <v>135</v>
      </c>
      <c r="E1164">
        <v>4872837</v>
      </c>
      <c r="F1164" t="s">
        <v>89</v>
      </c>
      <c r="G1164" t="s">
        <v>203</v>
      </c>
      <c r="H1164" t="s">
        <v>239</v>
      </c>
      <c r="I1164" s="4">
        <v>125766.4408</v>
      </c>
      <c r="J1164" s="4">
        <v>251532.88159999999</v>
      </c>
      <c r="K1164" s="4">
        <v>-11307.672</v>
      </c>
      <c r="L1164" s="4">
        <v>2</v>
      </c>
    </row>
    <row r="1165" spans="1:12">
      <c r="A1165" t="s">
        <v>106</v>
      </c>
      <c r="B1165" s="10">
        <v>45582</v>
      </c>
      <c r="C1165" s="18">
        <f t="shared" si="18"/>
        <v>10</v>
      </c>
      <c r="D1165" t="s">
        <v>135</v>
      </c>
      <c r="E1165">
        <v>4872837</v>
      </c>
      <c r="F1165" t="s">
        <v>89</v>
      </c>
      <c r="G1165" t="s">
        <v>203</v>
      </c>
      <c r="H1165" t="s">
        <v>237</v>
      </c>
      <c r="I1165" s="4">
        <v>125766.4408</v>
      </c>
      <c r="J1165" s="4">
        <v>251532.88159999999</v>
      </c>
      <c r="K1165" s="4">
        <v>-11307.672</v>
      </c>
      <c r="L1165" s="4">
        <v>2</v>
      </c>
    </row>
    <row r="1166" spans="1:12">
      <c r="A1166" t="s">
        <v>106</v>
      </c>
      <c r="B1166" s="10">
        <v>45582</v>
      </c>
      <c r="C1166" s="18">
        <f t="shared" si="18"/>
        <v>10</v>
      </c>
      <c r="D1166" t="s">
        <v>135</v>
      </c>
      <c r="E1166">
        <v>4872837</v>
      </c>
      <c r="F1166" t="s">
        <v>89</v>
      </c>
      <c r="G1166" t="s">
        <v>203</v>
      </c>
      <c r="H1166" t="s">
        <v>233</v>
      </c>
      <c r="I1166" s="4">
        <v>120735.78316800001</v>
      </c>
      <c r="J1166" s="4">
        <v>241471.56633600002</v>
      </c>
      <c r="K1166" s="4">
        <v>-11307.672</v>
      </c>
      <c r="L1166" s="4">
        <v>2</v>
      </c>
    </row>
    <row r="1167" spans="1:12">
      <c r="A1167" t="s">
        <v>106</v>
      </c>
      <c r="B1167" s="10">
        <v>45582</v>
      </c>
      <c r="C1167" s="18">
        <f t="shared" si="18"/>
        <v>10</v>
      </c>
      <c r="D1167" t="s">
        <v>135</v>
      </c>
      <c r="E1167">
        <v>4872837</v>
      </c>
      <c r="F1167" t="s">
        <v>89</v>
      </c>
      <c r="G1167" t="s">
        <v>203</v>
      </c>
      <c r="H1167" t="s">
        <v>231</v>
      </c>
      <c r="I1167" s="4">
        <v>125766.4408</v>
      </c>
      <c r="J1167" s="4">
        <v>251532.88159999999</v>
      </c>
      <c r="K1167" s="4">
        <v>-11307.672</v>
      </c>
      <c r="L1167" s="4">
        <v>2</v>
      </c>
    </row>
    <row r="1168" spans="1:12">
      <c r="A1168" t="s">
        <v>106</v>
      </c>
      <c r="B1168" s="10">
        <v>45582</v>
      </c>
      <c r="C1168" s="18">
        <f t="shared" si="18"/>
        <v>10</v>
      </c>
      <c r="D1168" t="s">
        <v>135</v>
      </c>
      <c r="E1168">
        <v>4872837</v>
      </c>
      <c r="F1168" t="s">
        <v>89</v>
      </c>
      <c r="G1168" t="s">
        <v>203</v>
      </c>
      <c r="H1168" t="s">
        <v>229</v>
      </c>
      <c r="I1168" s="4">
        <v>125766.4408</v>
      </c>
      <c r="J1168" s="4">
        <v>251532.88159999999</v>
      </c>
      <c r="K1168" s="4">
        <v>-11307.672</v>
      </c>
      <c r="L1168" s="4">
        <v>2</v>
      </c>
    </row>
    <row r="1169" spans="1:12">
      <c r="A1169" t="s">
        <v>106</v>
      </c>
      <c r="B1169" s="10">
        <v>45582</v>
      </c>
      <c r="C1169" s="18">
        <f t="shared" si="18"/>
        <v>10</v>
      </c>
      <c r="D1169" t="s">
        <v>135</v>
      </c>
      <c r="E1169">
        <v>4872613</v>
      </c>
      <c r="F1169" t="s">
        <v>88</v>
      </c>
      <c r="G1169" t="s">
        <v>203</v>
      </c>
      <c r="H1169" t="s">
        <v>234</v>
      </c>
      <c r="I1169" s="4">
        <v>100638.28079999999</v>
      </c>
      <c r="J1169" s="4">
        <v>603829.68479999993</v>
      </c>
      <c r="K1169" s="4">
        <v>-26007.645599999996</v>
      </c>
      <c r="L1169" s="4">
        <v>6</v>
      </c>
    </row>
    <row r="1170" spans="1:12">
      <c r="A1170" t="s">
        <v>106</v>
      </c>
      <c r="B1170" s="10">
        <v>45582</v>
      </c>
      <c r="C1170" s="18">
        <f t="shared" si="18"/>
        <v>10</v>
      </c>
      <c r="D1170" t="s">
        <v>135</v>
      </c>
      <c r="E1170">
        <v>4872613</v>
      </c>
      <c r="F1170" t="s">
        <v>88</v>
      </c>
      <c r="G1170" t="s">
        <v>203</v>
      </c>
      <c r="H1170" t="s">
        <v>241</v>
      </c>
      <c r="I1170" s="4">
        <v>125766.4408</v>
      </c>
      <c r="J1170" s="4">
        <v>251532.88159999999</v>
      </c>
      <c r="K1170" s="4">
        <v>-11307.672</v>
      </c>
      <c r="L1170" s="4">
        <v>2</v>
      </c>
    </row>
    <row r="1171" spans="1:12">
      <c r="A1171" t="s">
        <v>106</v>
      </c>
      <c r="B1171" s="10">
        <v>45582</v>
      </c>
      <c r="C1171" s="18">
        <f t="shared" si="18"/>
        <v>10</v>
      </c>
      <c r="D1171" t="s">
        <v>135</v>
      </c>
      <c r="E1171">
        <v>4872613</v>
      </c>
      <c r="F1171" t="s">
        <v>88</v>
      </c>
      <c r="G1171" t="s">
        <v>203</v>
      </c>
      <c r="H1171" t="s">
        <v>237</v>
      </c>
      <c r="I1171" s="4">
        <v>125766.4408</v>
      </c>
      <c r="J1171" s="4">
        <v>251532.88159999999</v>
      </c>
      <c r="K1171" s="4">
        <v>-11307.672</v>
      </c>
      <c r="L1171" s="4">
        <v>2</v>
      </c>
    </row>
    <row r="1172" spans="1:12">
      <c r="A1172" t="s">
        <v>106</v>
      </c>
      <c r="B1172" s="10">
        <v>45582</v>
      </c>
      <c r="C1172" s="18">
        <f t="shared" si="18"/>
        <v>10</v>
      </c>
      <c r="D1172" t="s">
        <v>135</v>
      </c>
      <c r="E1172">
        <v>4872613</v>
      </c>
      <c r="F1172" t="s">
        <v>88</v>
      </c>
      <c r="G1172" t="s">
        <v>203</v>
      </c>
      <c r="H1172" t="s">
        <v>229</v>
      </c>
      <c r="I1172" s="4">
        <v>125766.4408</v>
      </c>
      <c r="J1172" s="4">
        <v>251532.88159999999</v>
      </c>
      <c r="K1172" s="4">
        <v>-11307.672</v>
      </c>
      <c r="L1172" s="4">
        <v>2</v>
      </c>
    </row>
    <row r="1173" spans="1:12">
      <c r="A1173" t="s">
        <v>106</v>
      </c>
      <c r="B1173" s="10">
        <v>45583</v>
      </c>
      <c r="C1173" s="18">
        <f t="shared" si="18"/>
        <v>10</v>
      </c>
      <c r="D1173" t="s">
        <v>135</v>
      </c>
      <c r="E1173">
        <v>4876331</v>
      </c>
      <c r="F1173" t="s">
        <v>89</v>
      </c>
      <c r="G1173" t="s">
        <v>203</v>
      </c>
      <c r="H1173" t="s">
        <v>234</v>
      </c>
      <c r="I1173" s="4">
        <v>100638.28079999999</v>
      </c>
      <c r="J1173" s="4">
        <v>1006382.808</v>
      </c>
      <c r="K1173" s="4">
        <v>-43346.076000000001</v>
      </c>
      <c r="L1173" s="4">
        <v>10</v>
      </c>
    </row>
    <row r="1174" spans="1:12">
      <c r="A1174" t="s">
        <v>106</v>
      </c>
      <c r="B1174" s="10">
        <v>45583</v>
      </c>
      <c r="C1174" s="18">
        <f t="shared" si="18"/>
        <v>10</v>
      </c>
      <c r="D1174" t="s">
        <v>135</v>
      </c>
      <c r="E1174">
        <v>4876331</v>
      </c>
      <c r="F1174" t="s">
        <v>89</v>
      </c>
      <c r="G1174" t="s">
        <v>203</v>
      </c>
      <c r="H1174" t="s">
        <v>233</v>
      </c>
      <c r="I1174" s="4">
        <v>120735.78316800001</v>
      </c>
      <c r="J1174" s="4">
        <v>2173244.0970240002</v>
      </c>
      <c r="K1174" s="4">
        <v>-101769.048</v>
      </c>
      <c r="L1174" s="4">
        <v>18</v>
      </c>
    </row>
    <row r="1175" spans="1:12">
      <c r="A1175" t="s">
        <v>106</v>
      </c>
      <c r="B1175" s="10">
        <v>45583</v>
      </c>
      <c r="C1175" s="18">
        <f t="shared" si="18"/>
        <v>10</v>
      </c>
      <c r="D1175" t="s">
        <v>135</v>
      </c>
      <c r="E1175">
        <v>4879076</v>
      </c>
      <c r="F1175" t="s">
        <v>88</v>
      </c>
      <c r="G1175" t="s">
        <v>203</v>
      </c>
      <c r="H1175" t="s">
        <v>234</v>
      </c>
      <c r="I1175" s="4">
        <v>100638.28079999999</v>
      </c>
      <c r="J1175" s="4">
        <v>-100638.28079999999</v>
      </c>
      <c r="L1175" s="4">
        <v>-1</v>
      </c>
    </row>
    <row r="1176" spans="1:12">
      <c r="A1176" t="s">
        <v>106</v>
      </c>
      <c r="B1176" s="10">
        <v>45583</v>
      </c>
      <c r="C1176" s="18">
        <f t="shared" si="18"/>
        <v>10</v>
      </c>
      <c r="D1176" t="s">
        <v>135</v>
      </c>
      <c r="E1176">
        <v>4872613</v>
      </c>
      <c r="F1176" t="s">
        <v>88</v>
      </c>
      <c r="G1176" t="s">
        <v>204</v>
      </c>
      <c r="H1176" t="s">
        <v>213</v>
      </c>
      <c r="I1176" s="4">
        <v>119484.4008</v>
      </c>
      <c r="J1176" s="4">
        <v>477937.60320000001</v>
      </c>
      <c r="K1176" s="4">
        <v>-21358.935999999998</v>
      </c>
      <c r="L1176" s="4">
        <v>4</v>
      </c>
    </row>
    <row r="1177" spans="1:12">
      <c r="A1177" t="s">
        <v>106</v>
      </c>
      <c r="B1177" s="10">
        <v>45583</v>
      </c>
      <c r="C1177" s="18">
        <f t="shared" si="18"/>
        <v>10</v>
      </c>
      <c r="D1177" t="s">
        <v>135</v>
      </c>
      <c r="E1177">
        <v>4875762</v>
      </c>
      <c r="F1177" t="s">
        <v>88</v>
      </c>
      <c r="G1177" t="s">
        <v>203</v>
      </c>
      <c r="H1177" t="s">
        <v>234</v>
      </c>
      <c r="I1177" s="4">
        <v>100638.28079999999</v>
      </c>
      <c r="J1177" s="4">
        <v>805106.24639999995</v>
      </c>
      <c r="K1177" s="4">
        <v>-34676.860799999995</v>
      </c>
      <c r="L1177" s="4">
        <v>8</v>
      </c>
    </row>
    <row r="1178" spans="1:12">
      <c r="A1178" t="s">
        <v>106</v>
      </c>
      <c r="B1178" s="10">
        <v>45583</v>
      </c>
      <c r="C1178" s="18">
        <f t="shared" si="18"/>
        <v>10</v>
      </c>
      <c r="D1178" t="s">
        <v>135</v>
      </c>
      <c r="E1178">
        <v>4875762</v>
      </c>
      <c r="F1178" t="s">
        <v>88</v>
      </c>
      <c r="G1178" t="s">
        <v>203</v>
      </c>
      <c r="H1178" t="s">
        <v>239</v>
      </c>
      <c r="I1178" s="4">
        <v>125766.4408</v>
      </c>
      <c r="J1178" s="4">
        <v>251532.88159999999</v>
      </c>
      <c r="K1178" s="4">
        <v>-11307.672</v>
      </c>
      <c r="L1178" s="4">
        <v>2</v>
      </c>
    </row>
    <row r="1179" spans="1:12">
      <c r="A1179" t="s">
        <v>106</v>
      </c>
      <c r="B1179" s="10">
        <v>45583</v>
      </c>
      <c r="C1179" s="18">
        <f t="shared" si="18"/>
        <v>10</v>
      </c>
      <c r="D1179" t="s">
        <v>135</v>
      </c>
      <c r="E1179">
        <v>4875762</v>
      </c>
      <c r="F1179" t="s">
        <v>88</v>
      </c>
      <c r="G1179" t="s">
        <v>203</v>
      </c>
      <c r="H1179" t="s">
        <v>237</v>
      </c>
      <c r="I1179" s="4">
        <v>125766.4408</v>
      </c>
      <c r="J1179" s="4">
        <v>251532.88159999999</v>
      </c>
      <c r="K1179" s="4">
        <v>-11307.672</v>
      </c>
      <c r="L1179" s="4">
        <v>2</v>
      </c>
    </row>
    <row r="1180" spans="1:12">
      <c r="A1180" t="s">
        <v>106</v>
      </c>
      <c r="B1180" s="10">
        <v>45583</v>
      </c>
      <c r="C1180" s="18">
        <f t="shared" si="18"/>
        <v>10</v>
      </c>
      <c r="D1180" t="s">
        <v>135</v>
      </c>
      <c r="E1180">
        <v>4875762</v>
      </c>
      <c r="F1180" t="s">
        <v>88</v>
      </c>
      <c r="G1180" t="s">
        <v>203</v>
      </c>
      <c r="H1180" t="s">
        <v>229</v>
      </c>
      <c r="I1180" s="4">
        <v>125766.4408</v>
      </c>
      <c r="J1180" s="4">
        <v>251532.88159999999</v>
      </c>
      <c r="K1180" s="4">
        <v>-11307.672</v>
      </c>
      <c r="L1180" s="4">
        <v>2</v>
      </c>
    </row>
    <row r="1181" spans="1:12">
      <c r="A1181" t="s">
        <v>106</v>
      </c>
      <c r="B1181" s="10">
        <v>45583</v>
      </c>
      <c r="C1181" s="18">
        <f t="shared" si="18"/>
        <v>10</v>
      </c>
      <c r="D1181" t="s">
        <v>135</v>
      </c>
      <c r="E1181">
        <v>4873753</v>
      </c>
      <c r="F1181" t="s">
        <v>88</v>
      </c>
      <c r="G1181" t="s">
        <v>203</v>
      </c>
      <c r="H1181" t="s">
        <v>234</v>
      </c>
      <c r="I1181" s="4">
        <v>100638.28079999999</v>
      </c>
      <c r="J1181" s="4">
        <v>1006382.808</v>
      </c>
      <c r="K1181" s="4">
        <v>-43346.076000000001</v>
      </c>
      <c r="L1181" s="4">
        <v>10</v>
      </c>
    </row>
    <row r="1182" spans="1:12">
      <c r="A1182" t="s">
        <v>106</v>
      </c>
      <c r="B1182" s="10">
        <v>45584</v>
      </c>
      <c r="C1182" s="18">
        <f t="shared" si="18"/>
        <v>10</v>
      </c>
      <c r="D1182" t="s">
        <v>135</v>
      </c>
      <c r="E1182">
        <v>4873659</v>
      </c>
      <c r="F1182" t="s">
        <v>89</v>
      </c>
      <c r="G1182" t="s">
        <v>203</v>
      </c>
      <c r="H1182" t="s">
        <v>236</v>
      </c>
      <c r="I1182" s="4">
        <v>100638.28079999999</v>
      </c>
      <c r="J1182" s="4">
        <v>603829.68479999993</v>
      </c>
      <c r="K1182" s="4">
        <v>-26007.645599999996</v>
      </c>
      <c r="L1182" s="4">
        <v>6</v>
      </c>
    </row>
    <row r="1183" spans="1:12">
      <c r="A1183" t="s">
        <v>106</v>
      </c>
      <c r="B1183" s="10">
        <v>45584</v>
      </c>
      <c r="C1183" s="18">
        <f t="shared" si="18"/>
        <v>10</v>
      </c>
      <c r="D1183" t="s">
        <v>135</v>
      </c>
      <c r="E1183">
        <v>4873659</v>
      </c>
      <c r="F1183" t="s">
        <v>89</v>
      </c>
      <c r="G1183" t="s">
        <v>203</v>
      </c>
      <c r="H1183" t="s">
        <v>234</v>
      </c>
      <c r="I1183" s="4">
        <v>100638.28079999999</v>
      </c>
      <c r="J1183" s="4">
        <v>603829.68479999993</v>
      </c>
      <c r="K1183" s="4">
        <v>-26007.645599999996</v>
      </c>
      <c r="L1183" s="4">
        <v>6</v>
      </c>
    </row>
    <row r="1184" spans="1:12">
      <c r="A1184" t="s">
        <v>106</v>
      </c>
      <c r="B1184" s="10">
        <v>45584</v>
      </c>
      <c r="C1184" s="18">
        <f t="shared" si="18"/>
        <v>10</v>
      </c>
      <c r="D1184" t="s">
        <v>135</v>
      </c>
      <c r="E1184">
        <v>4873659</v>
      </c>
      <c r="F1184" t="s">
        <v>89</v>
      </c>
      <c r="G1184" t="s">
        <v>203</v>
      </c>
      <c r="H1184" t="s">
        <v>230</v>
      </c>
      <c r="I1184" s="4">
        <v>100638.28079999999</v>
      </c>
      <c r="J1184" s="4">
        <v>603829.68479999993</v>
      </c>
      <c r="K1184" s="4">
        <v>-26007.645599999996</v>
      </c>
      <c r="L1184" s="4">
        <v>6</v>
      </c>
    </row>
    <row r="1185" spans="1:12">
      <c r="A1185" t="s">
        <v>106</v>
      </c>
      <c r="B1185" s="10">
        <v>45584</v>
      </c>
      <c r="C1185" s="18">
        <f t="shared" si="18"/>
        <v>10</v>
      </c>
      <c r="D1185" t="s">
        <v>135</v>
      </c>
      <c r="E1185">
        <v>4873659</v>
      </c>
      <c r="F1185" t="s">
        <v>89</v>
      </c>
      <c r="G1185" t="s">
        <v>203</v>
      </c>
      <c r="H1185" t="s">
        <v>224</v>
      </c>
      <c r="I1185" s="4">
        <v>100638.28079999999</v>
      </c>
      <c r="J1185" s="4">
        <v>603829.68479999993</v>
      </c>
      <c r="K1185" s="4">
        <v>-26007.645599999996</v>
      </c>
      <c r="L1185" s="4">
        <v>6</v>
      </c>
    </row>
    <row r="1186" spans="1:12">
      <c r="A1186" t="s">
        <v>106</v>
      </c>
      <c r="B1186" s="10">
        <v>45584</v>
      </c>
      <c r="C1186" s="18">
        <f t="shared" si="18"/>
        <v>10</v>
      </c>
      <c r="D1186" t="s">
        <v>135</v>
      </c>
      <c r="E1186">
        <v>4878797</v>
      </c>
      <c r="F1186" t="s">
        <v>88</v>
      </c>
      <c r="G1186" t="s">
        <v>203</v>
      </c>
      <c r="H1186" t="s">
        <v>242</v>
      </c>
      <c r="I1186" s="4">
        <v>100638.28079999999</v>
      </c>
      <c r="J1186" s="4">
        <v>201276.56159999999</v>
      </c>
      <c r="K1186" s="4">
        <v>-8669.2151999999987</v>
      </c>
      <c r="L1186" s="4">
        <v>2</v>
      </c>
    </row>
    <row r="1187" spans="1:12">
      <c r="A1187" t="s">
        <v>106</v>
      </c>
      <c r="B1187" s="10">
        <v>45584</v>
      </c>
      <c r="C1187" s="18">
        <f t="shared" si="18"/>
        <v>10</v>
      </c>
      <c r="D1187" t="s">
        <v>135</v>
      </c>
      <c r="E1187">
        <v>4878797</v>
      </c>
      <c r="F1187" t="s">
        <v>88</v>
      </c>
      <c r="G1187" t="s">
        <v>203</v>
      </c>
      <c r="H1187" t="s">
        <v>234</v>
      </c>
      <c r="I1187" s="4">
        <v>100638.28079999999</v>
      </c>
      <c r="J1187" s="4">
        <v>201276.56159999999</v>
      </c>
      <c r="K1187" s="4">
        <v>-8669.2151999999987</v>
      </c>
      <c r="L1187" s="4">
        <v>2</v>
      </c>
    </row>
    <row r="1188" spans="1:12">
      <c r="A1188" t="s">
        <v>106</v>
      </c>
      <c r="B1188" s="10">
        <v>45584</v>
      </c>
      <c r="C1188" s="18">
        <f t="shared" si="18"/>
        <v>10</v>
      </c>
      <c r="D1188" t="s">
        <v>135</v>
      </c>
      <c r="E1188">
        <v>4878797</v>
      </c>
      <c r="F1188" t="s">
        <v>88</v>
      </c>
      <c r="G1188" t="s">
        <v>203</v>
      </c>
      <c r="H1188" t="s">
        <v>230</v>
      </c>
      <c r="I1188" s="4">
        <v>100638.28079999999</v>
      </c>
      <c r="J1188" s="4">
        <v>201276.56159999999</v>
      </c>
      <c r="K1188" s="4">
        <v>-8669.2151999999987</v>
      </c>
      <c r="L1188" s="4">
        <v>2</v>
      </c>
    </row>
    <row r="1189" spans="1:12">
      <c r="A1189" t="s">
        <v>106</v>
      </c>
      <c r="B1189" s="10">
        <v>45584</v>
      </c>
      <c r="C1189" s="18">
        <f t="shared" si="18"/>
        <v>10</v>
      </c>
      <c r="D1189" t="s">
        <v>135</v>
      </c>
      <c r="E1189">
        <v>4878797</v>
      </c>
      <c r="F1189" t="s">
        <v>88</v>
      </c>
      <c r="G1189" t="s">
        <v>203</v>
      </c>
      <c r="H1189" t="s">
        <v>227</v>
      </c>
      <c r="I1189" s="4">
        <v>100638.28079999999</v>
      </c>
      <c r="J1189" s="4">
        <v>201276.56159999999</v>
      </c>
      <c r="K1189" s="4">
        <v>-8669.2151999999987</v>
      </c>
      <c r="L1189" s="4">
        <v>2</v>
      </c>
    </row>
    <row r="1190" spans="1:12">
      <c r="A1190" t="s">
        <v>106</v>
      </c>
      <c r="B1190" s="10">
        <v>45584</v>
      </c>
      <c r="C1190" s="18">
        <f t="shared" si="18"/>
        <v>10</v>
      </c>
      <c r="D1190" t="s">
        <v>135</v>
      </c>
      <c r="E1190">
        <v>4878797</v>
      </c>
      <c r="F1190" t="s">
        <v>88</v>
      </c>
      <c r="G1190" t="s">
        <v>203</v>
      </c>
      <c r="H1190" t="s">
        <v>224</v>
      </c>
      <c r="I1190" s="4">
        <v>100638.28079999999</v>
      </c>
      <c r="J1190" s="4">
        <v>201276.56159999999</v>
      </c>
      <c r="K1190" s="4">
        <v>-8669.2151999999987</v>
      </c>
      <c r="L1190" s="4">
        <v>2</v>
      </c>
    </row>
    <row r="1191" spans="1:12">
      <c r="A1191" t="s">
        <v>106</v>
      </c>
      <c r="B1191" s="10">
        <v>45584</v>
      </c>
      <c r="C1191" s="18">
        <f t="shared" si="18"/>
        <v>10</v>
      </c>
      <c r="D1191" t="s">
        <v>135</v>
      </c>
      <c r="E1191">
        <v>4878582</v>
      </c>
      <c r="F1191" t="s">
        <v>90</v>
      </c>
      <c r="G1191" t="s">
        <v>203</v>
      </c>
      <c r="H1191" t="s">
        <v>242</v>
      </c>
      <c r="I1191" s="4">
        <v>100638.28079999999</v>
      </c>
      <c r="J1191" s="4">
        <v>402553.12319999997</v>
      </c>
      <c r="K1191" s="4">
        <v>-17338.430399999997</v>
      </c>
      <c r="L1191" s="4">
        <v>4</v>
      </c>
    </row>
    <row r="1192" spans="1:12">
      <c r="A1192" t="s">
        <v>106</v>
      </c>
      <c r="B1192" s="10">
        <v>45584</v>
      </c>
      <c r="C1192" s="18">
        <f t="shared" si="18"/>
        <v>10</v>
      </c>
      <c r="D1192" t="s">
        <v>135</v>
      </c>
      <c r="E1192">
        <v>4878582</v>
      </c>
      <c r="F1192" t="s">
        <v>90</v>
      </c>
      <c r="G1192" t="s">
        <v>203</v>
      </c>
      <c r="H1192" t="s">
        <v>234</v>
      </c>
      <c r="I1192" s="4">
        <v>100638.28079999999</v>
      </c>
      <c r="J1192" s="4">
        <v>402553.12319999997</v>
      </c>
      <c r="K1192" s="4">
        <v>-17338.430399999997</v>
      </c>
      <c r="L1192" s="4">
        <v>4</v>
      </c>
    </row>
    <row r="1193" spans="1:12">
      <c r="A1193" t="s">
        <v>106</v>
      </c>
      <c r="B1193" s="10">
        <v>45584</v>
      </c>
      <c r="C1193" s="18">
        <f t="shared" si="18"/>
        <v>10</v>
      </c>
      <c r="D1193" t="s">
        <v>135</v>
      </c>
      <c r="E1193">
        <v>4878582</v>
      </c>
      <c r="F1193" t="s">
        <v>90</v>
      </c>
      <c r="G1193" t="s">
        <v>203</v>
      </c>
      <c r="H1193" t="s">
        <v>230</v>
      </c>
      <c r="I1193" s="4">
        <v>100638.28079999999</v>
      </c>
      <c r="J1193" s="4">
        <v>402553.12319999997</v>
      </c>
      <c r="K1193" s="4">
        <v>-17338.430399999997</v>
      </c>
      <c r="L1193" s="4">
        <v>4</v>
      </c>
    </row>
    <row r="1194" spans="1:12">
      <c r="A1194" t="s">
        <v>106</v>
      </c>
      <c r="B1194" s="10">
        <v>45584</v>
      </c>
      <c r="C1194" s="18">
        <f t="shared" si="18"/>
        <v>10</v>
      </c>
      <c r="D1194" t="s">
        <v>135</v>
      </c>
      <c r="E1194">
        <v>4878582</v>
      </c>
      <c r="F1194" t="s">
        <v>90</v>
      </c>
      <c r="G1194" t="s">
        <v>203</v>
      </c>
      <c r="H1194" t="s">
        <v>224</v>
      </c>
      <c r="I1194" s="4">
        <v>100638.28079999999</v>
      </c>
      <c r="J1194" s="4">
        <v>402553.12319999997</v>
      </c>
      <c r="K1194" s="4">
        <v>-17338.430399999997</v>
      </c>
      <c r="L1194" s="4">
        <v>4</v>
      </c>
    </row>
    <row r="1195" spans="1:12">
      <c r="A1195" t="s">
        <v>106</v>
      </c>
      <c r="B1195" s="10">
        <v>45584</v>
      </c>
      <c r="C1195" s="18">
        <f t="shared" si="18"/>
        <v>10</v>
      </c>
      <c r="D1195" t="s">
        <v>135</v>
      </c>
      <c r="E1195">
        <v>4878582</v>
      </c>
      <c r="F1195" t="s">
        <v>90</v>
      </c>
      <c r="G1195" t="s">
        <v>203</v>
      </c>
      <c r="H1195" t="s">
        <v>241</v>
      </c>
      <c r="I1195" s="4">
        <v>125766.4408</v>
      </c>
      <c r="J1195" s="4">
        <v>628832.20400000003</v>
      </c>
      <c r="K1195" s="4">
        <v>-28269.18</v>
      </c>
      <c r="L1195" s="4">
        <v>5</v>
      </c>
    </row>
    <row r="1196" spans="1:12">
      <c r="A1196" t="s">
        <v>106</v>
      </c>
      <c r="B1196" s="10">
        <v>45584</v>
      </c>
      <c r="C1196" s="18">
        <f t="shared" si="18"/>
        <v>10</v>
      </c>
      <c r="D1196" t="s">
        <v>135</v>
      </c>
      <c r="E1196">
        <v>4878582</v>
      </c>
      <c r="F1196" t="s">
        <v>90</v>
      </c>
      <c r="G1196" t="s">
        <v>203</v>
      </c>
      <c r="H1196" t="s">
        <v>239</v>
      </c>
      <c r="I1196" s="4">
        <v>125766.4408</v>
      </c>
      <c r="J1196" s="4">
        <v>628832.20400000003</v>
      </c>
      <c r="K1196" s="4">
        <v>-28269.18</v>
      </c>
      <c r="L1196" s="4">
        <v>5</v>
      </c>
    </row>
    <row r="1197" spans="1:12">
      <c r="A1197" t="s">
        <v>106</v>
      </c>
      <c r="B1197" s="10">
        <v>45584</v>
      </c>
      <c r="C1197" s="18">
        <f t="shared" si="18"/>
        <v>10</v>
      </c>
      <c r="D1197" t="s">
        <v>135</v>
      </c>
      <c r="E1197">
        <v>4878582</v>
      </c>
      <c r="F1197" t="s">
        <v>90</v>
      </c>
      <c r="G1197" t="s">
        <v>203</v>
      </c>
      <c r="H1197" t="s">
        <v>237</v>
      </c>
      <c r="I1197" s="4">
        <v>125766.4408</v>
      </c>
      <c r="J1197" s="4">
        <v>628832.20400000003</v>
      </c>
      <c r="K1197" s="4">
        <v>-28269.18</v>
      </c>
      <c r="L1197" s="4">
        <v>5</v>
      </c>
    </row>
    <row r="1198" spans="1:12">
      <c r="A1198" t="s">
        <v>106</v>
      </c>
      <c r="B1198" s="10">
        <v>45584</v>
      </c>
      <c r="C1198" s="18">
        <f t="shared" si="18"/>
        <v>10</v>
      </c>
      <c r="D1198" t="s">
        <v>135</v>
      </c>
      <c r="E1198">
        <v>4878582</v>
      </c>
      <c r="F1198" t="s">
        <v>90</v>
      </c>
      <c r="G1198" t="s">
        <v>203</v>
      </c>
      <c r="H1198" t="s">
        <v>231</v>
      </c>
      <c r="I1198" s="4">
        <v>125766.4408</v>
      </c>
      <c r="J1198" s="4">
        <v>628832.20400000003</v>
      </c>
      <c r="K1198" s="4">
        <v>-28269.18</v>
      </c>
      <c r="L1198" s="4">
        <v>5</v>
      </c>
    </row>
    <row r="1199" spans="1:12">
      <c r="A1199" t="s">
        <v>106</v>
      </c>
      <c r="B1199" s="10">
        <v>45584</v>
      </c>
      <c r="C1199" s="18">
        <f t="shared" si="18"/>
        <v>10</v>
      </c>
      <c r="D1199" t="s">
        <v>135</v>
      </c>
      <c r="E1199">
        <v>4878582</v>
      </c>
      <c r="F1199" t="s">
        <v>90</v>
      </c>
      <c r="G1199" t="s">
        <v>203</v>
      </c>
      <c r="H1199" t="s">
        <v>229</v>
      </c>
      <c r="I1199" s="4">
        <v>125766.4408</v>
      </c>
      <c r="J1199" s="4">
        <v>628832.20400000003</v>
      </c>
      <c r="K1199" s="4">
        <v>-28269.18</v>
      </c>
      <c r="L1199" s="4">
        <v>5</v>
      </c>
    </row>
    <row r="1200" spans="1:12">
      <c r="A1200" t="s">
        <v>106</v>
      </c>
      <c r="B1200" s="10">
        <v>45585</v>
      </c>
      <c r="C1200" s="18">
        <f t="shared" si="18"/>
        <v>10</v>
      </c>
      <c r="D1200" t="s">
        <v>135</v>
      </c>
      <c r="E1200">
        <v>4875762</v>
      </c>
      <c r="F1200" t="s">
        <v>88</v>
      </c>
      <c r="G1200" t="s">
        <v>203</v>
      </c>
      <c r="H1200" t="s">
        <v>234</v>
      </c>
      <c r="I1200" s="4">
        <v>100638.28079999999</v>
      </c>
      <c r="J1200" s="4">
        <v>-201276.56159999999</v>
      </c>
      <c r="L1200" s="4">
        <v>-2</v>
      </c>
    </row>
    <row r="1201" spans="1:12">
      <c r="A1201" t="s">
        <v>106</v>
      </c>
      <c r="B1201" s="10">
        <v>45585</v>
      </c>
      <c r="C1201" s="18">
        <f t="shared" si="18"/>
        <v>10</v>
      </c>
      <c r="D1201" t="s">
        <v>135</v>
      </c>
      <c r="E1201">
        <v>4873753</v>
      </c>
      <c r="F1201" t="s">
        <v>88</v>
      </c>
      <c r="G1201" t="s">
        <v>203</v>
      </c>
      <c r="H1201" t="s">
        <v>242</v>
      </c>
      <c r="I1201" s="4">
        <v>100638.28079999999</v>
      </c>
      <c r="J1201" s="4">
        <v>603829.68479999993</v>
      </c>
      <c r="K1201" s="4">
        <v>-26007.645599999996</v>
      </c>
      <c r="L1201" s="4">
        <v>6</v>
      </c>
    </row>
    <row r="1202" spans="1:12">
      <c r="A1202" t="s">
        <v>106</v>
      </c>
      <c r="B1202" s="10">
        <v>45585</v>
      </c>
      <c r="C1202" s="18">
        <f t="shared" si="18"/>
        <v>10</v>
      </c>
      <c r="D1202" t="s">
        <v>135</v>
      </c>
      <c r="E1202">
        <v>4873753</v>
      </c>
      <c r="F1202" t="s">
        <v>88</v>
      </c>
      <c r="G1202" t="s">
        <v>203</v>
      </c>
      <c r="H1202" t="s">
        <v>230</v>
      </c>
      <c r="I1202" s="4">
        <v>100638.28079999999</v>
      </c>
      <c r="J1202" s="4">
        <v>603829.68479999993</v>
      </c>
      <c r="K1202" s="4">
        <v>-26007.645599999996</v>
      </c>
      <c r="L1202" s="4">
        <v>6</v>
      </c>
    </row>
    <row r="1203" spans="1:12">
      <c r="A1203" t="s">
        <v>106</v>
      </c>
      <c r="B1203" s="10">
        <v>45585</v>
      </c>
      <c r="C1203" s="18">
        <f t="shared" si="18"/>
        <v>10</v>
      </c>
      <c r="D1203" t="s">
        <v>135</v>
      </c>
      <c r="E1203">
        <v>4873753</v>
      </c>
      <c r="F1203" t="s">
        <v>88</v>
      </c>
      <c r="G1203" t="s">
        <v>203</v>
      </c>
      <c r="H1203" t="s">
        <v>227</v>
      </c>
      <c r="I1203" s="4">
        <v>100638.28079999999</v>
      </c>
      <c r="J1203" s="4">
        <v>603829.68479999993</v>
      </c>
      <c r="K1203" s="4">
        <v>-26007.645599999996</v>
      </c>
      <c r="L1203" s="4">
        <v>6</v>
      </c>
    </row>
    <row r="1204" spans="1:12">
      <c r="A1204" t="s">
        <v>106</v>
      </c>
      <c r="B1204" s="10">
        <v>45585</v>
      </c>
      <c r="C1204" s="18">
        <f t="shared" si="18"/>
        <v>10</v>
      </c>
      <c r="D1204" t="s">
        <v>135</v>
      </c>
      <c r="E1204">
        <v>4873753</v>
      </c>
      <c r="F1204" t="s">
        <v>88</v>
      </c>
      <c r="G1204" t="s">
        <v>203</v>
      </c>
      <c r="H1204" t="s">
        <v>224</v>
      </c>
      <c r="I1204" s="4">
        <v>100638.28079999999</v>
      </c>
      <c r="J1204" s="4">
        <v>1207659.3695999999</v>
      </c>
      <c r="K1204" s="4">
        <v>-52015.291199999992</v>
      </c>
      <c r="L1204" s="4">
        <v>12</v>
      </c>
    </row>
    <row r="1205" spans="1:12">
      <c r="A1205" t="s">
        <v>106</v>
      </c>
      <c r="B1205" s="10">
        <v>45585</v>
      </c>
      <c r="C1205" s="18">
        <f t="shared" si="18"/>
        <v>10</v>
      </c>
      <c r="D1205" t="s">
        <v>135</v>
      </c>
      <c r="E1205">
        <v>4873753</v>
      </c>
      <c r="F1205" t="s">
        <v>88</v>
      </c>
      <c r="G1205" t="s">
        <v>203</v>
      </c>
      <c r="H1205" t="s">
        <v>241</v>
      </c>
      <c r="I1205" s="4">
        <v>125766.4408</v>
      </c>
      <c r="J1205" s="4">
        <v>628832.20400000003</v>
      </c>
      <c r="K1205" s="4">
        <v>-28269.18</v>
      </c>
      <c r="L1205" s="4">
        <v>5</v>
      </c>
    </row>
    <row r="1206" spans="1:12">
      <c r="A1206" t="s">
        <v>106</v>
      </c>
      <c r="B1206" s="10">
        <v>45585</v>
      </c>
      <c r="C1206" s="18">
        <f t="shared" si="18"/>
        <v>10</v>
      </c>
      <c r="D1206" t="s">
        <v>135</v>
      </c>
      <c r="E1206">
        <v>4873753</v>
      </c>
      <c r="F1206" t="s">
        <v>88</v>
      </c>
      <c r="G1206" t="s">
        <v>203</v>
      </c>
      <c r="H1206" t="s">
        <v>237</v>
      </c>
      <c r="I1206" s="4">
        <v>125766.4408</v>
      </c>
      <c r="J1206" s="4">
        <v>503065.76319999999</v>
      </c>
      <c r="K1206" s="4">
        <v>-22615.344000000001</v>
      </c>
      <c r="L1206" s="4">
        <v>4</v>
      </c>
    </row>
    <row r="1207" spans="1:12">
      <c r="A1207" t="s">
        <v>106</v>
      </c>
      <c r="B1207" s="10">
        <v>45585</v>
      </c>
      <c r="C1207" s="18">
        <f t="shared" si="18"/>
        <v>10</v>
      </c>
      <c r="D1207" t="s">
        <v>135</v>
      </c>
      <c r="E1207">
        <v>4873753</v>
      </c>
      <c r="F1207" t="s">
        <v>88</v>
      </c>
      <c r="G1207" t="s">
        <v>203</v>
      </c>
      <c r="H1207" t="s">
        <v>229</v>
      </c>
      <c r="I1207" s="4">
        <v>125766.4408</v>
      </c>
      <c r="J1207" s="4">
        <v>377299.3224</v>
      </c>
      <c r="K1207" s="4">
        <v>-16961.508000000002</v>
      </c>
      <c r="L1207" s="4">
        <v>3</v>
      </c>
    </row>
    <row r="1208" spans="1:12">
      <c r="A1208" t="s">
        <v>106</v>
      </c>
      <c r="B1208" s="10">
        <v>45586</v>
      </c>
      <c r="C1208" s="18">
        <f t="shared" si="18"/>
        <v>10</v>
      </c>
      <c r="D1208" t="s">
        <v>135</v>
      </c>
      <c r="E1208">
        <v>4873753</v>
      </c>
      <c r="F1208" t="s">
        <v>88</v>
      </c>
      <c r="G1208" t="s">
        <v>203</v>
      </c>
      <c r="H1208" t="s">
        <v>242</v>
      </c>
      <c r="I1208" s="4">
        <v>100638.28079999999</v>
      </c>
      <c r="J1208" s="4">
        <v>1207659.3695999999</v>
      </c>
      <c r="K1208" s="4">
        <v>-52015.291199999992</v>
      </c>
      <c r="L1208" s="4">
        <v>12</v>
      </c>
    </row>
    <row r="1209" spans="1:12">
      <c r="A1209" t="s">
        <v>106</v>
      </c>
      <c r="B1209" s="10">
        <v>45586</v>
      </c>
      <c r="C1209" s="18">
        <f t="shared" si="18"/>
        <v>10</v>
      </c>
      <c r="D1209" t="s">
        <v>135</v>
      </c>
      <c r="E1209">
        <v>4873753</v>
      </c>
      <c r="F1209" t="s">
        <v>88</v>
      </c>
      <c r="G1209" t="s">
        <v>203</v>
      </c>
      <c r="H1209" t="s">
        <v>227</v>
      </c>
      <c r="I1209" s="4">
        <v>100638.28079999999</v>
      </c>
      <c r="J1209" s="4">
        <v>603829.68479999993</v>
      </c>
      <c r="K1209" s="4">
        <v>-26007.645599999996</v>
      </c>
      <c r="L1209" s="4">
        <v>6</v>
      </c>
    </row>
    <row r="1210" spans="1:12">
      <c r="A1210" t="s">
        <v>106</v>
      </c>
      <c r="B1210" s="10">
        <v>45586</v>
      </c>
      <c r="C1210" s="18">
        <f t="shared" si="18"/>
        <v>10</v>
      </c>
      <c r="D1210" t="s">
        <v>135</v>
      </c>
      <c r="E1210">
        <v>4873753</v>
      </c>
      <c r="F1210" t="s">
        <v>88</v>
      </c>
      <c r="G1210" t="s">
        <v>203</v>
      </c>
      <c r="H1210" t="s">
        <v>224</v>
      </c>
      <c r="I1210" s="4">
        <v>100638.28079999999</v>
      </c>
      <c r="J1210" s="4">
        <v>603829.68479999993</v>
      </c>
      <c r="K1210" s="4">
        <v>-26007.645599999996</v>
      </c>
      <c r="L1210" s="4">
        <v>6</v>
      </c>
    </row>
    <row r="1211" spans="1:12">
      <c r="A1211" t="s">
        <v>106</v>
      </c>
      <c r="B1211" s="10">
        <v>45587</v>
      </c>
      <c r="C1211" s="18">
        <f t="shared" si="18"/>
        <v>10</v>
      </c>
      <c r="D1211" t="s">
        <v>135</v>
      </c>
      <c r="E1211">
        <v>4873719</v>
      </c>
      <c r="F1211" t="s">
        <v>89</v>
      </c>
      <c r="G1211" t="s">
        <v>204</v>
      </c>
      <c r="H1211" t="s">
        <v>221</v>
      </c>
      <c r="I1211" s="4">
        <v>25253.800799999997</v>
      </c>
      <c r="J1211" s="4">
        <v>202030.40639999998</v>
      </c>
      <c r="K1211" s="4">
        <v>-10051.264000000001</v>
      </c>
      <c r="L1211" s="4">
        <v>8</v>
      </c>
    </row>
    <row r="1212" spans="1:12">
      <c r="A1212" t="s">
        <v>106</v>
      </c>
      <c r="B1212" s="10">
        <v>45587</v>
      </c>
      <c r="C1212" s="18">
        <f t="shared" si="18"/>
        <v>10</v>
      </c>
      <c r="D1212" t="s">
        <v>135</v>
      </c>
      <c r="E1212">
        <v>4873719</v>
      </c>
      <c r="F1212" t="s">
        <v>89</v>
      </c>
      <c r="G1212" t="s">
        <v>204</v>
      </c>
      <c r="H1212" t="s">
        <v>220</v>
      </c>
      <c r="I1212" s="4">
        <v>37817.880799999999</v>
      </c>
      <c r="J1212" s="4">
        <v>302543.04639999999</v>
      </c>
      <c r="K1212" s="4">
        <v>-15076.895999999999</v>
      </c>
      <c r="L1212" s="4">
        <v>8</v>
      </c>
    </row>
    <row r="1213" spans="1:12">
      <c r="A1213" t="s">
        <v>106</v>
      </c>
      <c r="B1213" s="10">
        <v>45587</v>
      </c>
      <c r="C1213" s="18">
        <f t="shared" si="18"/>
        <v>10</v>
      </c>
      <c r="D1213" t="s">
        <v>135</v>
      </c>
      <c r="E1213">
        <v>4872844</v>
      </c>
      <c r="F1213" t="s">
        <v>88</v>
      </c>
      <c r="G1213" t="s">
        <v>204</v>
      </c>
      <c r="H1213" t="s">
        <v>217</v>
      </c>
      <c r="I1213" s="4">
        <v>78022.936799999996</v>
      </c>
      <c r="J1213" s="4">
        <v>234068.81039999999</v>
      </c>
      <c r="L1213" s="4">
        <v>3</v>
      </c>
    </row>
    <row r="1214" spans="1:12">
      <c r="A1214" t="s">
        <v>106</v>
      </c>
      <c r="B1214" s="10">
        <v>45587</v>
      </c>
      <c r="C1214" s="18">
        <f t="shared" si="18"/>
        <v>10</v>
      </c>
      <c r="D1214" t="s">
        <v>135</v>
      </c>
      <c r="E1214">
        <v>4872613</v>
      </c>
      <c r="F1214" t="s">
        <v>88</v>
      </c>
      <c r="G1214" t="s">
        <v>203</v>
      </c>
      <c r="H1214" t="s">
        <v>242</v>
      </c>
      <c r="I1214" s="4">
        <v>100638.28079999999</v>
      </c>
      <c r="J1214" s="4">
        <v>402553.12319999997</v>
      </c>
      <c r="L1214" s="4">
        <v>4</v>
      </c>
    </row>
    <row r="1215" spans="1:12">
      <c r="A1215" t="s">
        <v>106</v>
      </c>
      <c r="B1215" s="10">
        <v>45587</v>
      </c>
      <c r="C1215" s="18">
        <f t="shared" si="18"/>
        <v>10</v>
      </c>
      <c r="D1215" t="s">
        <v>135</v>
      </c>
      <c r="E1215">
        <v>4872613</v>
      </c>
      <c r="F1215" t="s">
        <v>88</v>
      </c>
      <c r="G1215" t="s">
        <v>203</v>
      </c>
      <c r="H1215" t="s">
        <v>230</v>
      </c>
      <c r="I1215" s="4">
        <v>100638.28079999999</v>
      </c>
      <c r="J1215" s="4">
        <v>402553.12319999997</v>
      </c>
      <c r="L1215" s="4">
        <v>4</v>
      </c>
    </row>
    <row r="1216" spans="1:12">
      <c r="A1216" t="s">
        <v>106</v>
      </c>
      <c r="B1216" s="10">
        <v>45587</v>
      </c>
      <c r="C1216" s="18">
        <f t="shared" si="18"/>
        <v>10</v>
      </c>
      <c r="D1216" t="s">
        <v>135</v>
      </c>
      <c r="E1216">
        <v>4872613</v>
      </c>
      <c r="F1216" t="s">
        <v>88</v>
      </c>
      <c r="G1216" t="s">
        <v>203</v>
      </c>
      <c r="H1216" t="s">
        <v>227</v>
      </c>
      <c r="I1216" s="4">
        <v>100638.28079999999</v>
      </c>
      <c r="J1216" s="4">
        <v>402553.12319999997</v>
      </c>
      <c r="L1216" s="4">
        <v>4</v>
      </c>
    </row>
    <row r="1217" spans="1:12">
      <c r="A1217" t="s">
        <v>106</v>
      </c>
      <c r="B1217" s="10">
        <v>45587</v>
      </c>
      <c r="C1217" s="18">
        <f t="shared" si="18"/>
        <v>10</v>
      </c>
      <c r="D1217" t="s">
        <v>135</v>
      </c>
      <c r="E1217">
        <v>4872613</v>
      </c>
      <c r="F1217" t="s">
        <v>88</v>
      </c>
      <c r="G1217" t="s">
        <v>203</v>
      </c>
      <c r="H1217" t="s">
        <v>224</v>
      </c>
      <c r="I1217" s="4">
        <v>100638.28079999999</v>
      </c>
      <c r="J1217" s="4">
        <v>402553.12319999997</v>
      </c>
      <c r="L1217" s="4">
        <v>4</v>
      </c>
    </row>
    <row r="1218" spans="1:12">
      <c r="A1218" t="s">
        <v>106</v>
      </c>
      <c r="B1218" s="10">
        <v>45587</v>
      </c>
      <c r="C1218" s="18">
        <f t="shared" ref="C1218:C1281" si="19">MONTH(B1218)</f>
        <v>10</v>
      </c>
      <c r="D1218" t="s">
        <v>135</v>
      </c>
      <c r="E1218">
        <v>4872613</v>
      </c>
      <c r="F1218" t="s">
        <v>88</v>
      </c>
      <c r="G1218" t="s">
        <v>203</v>
      </c>
      <c r="H1218" t="s">
        <v>239</v>
      </c>
      <c r="I1218" s="4">
        <v>125766.4408</v>
      </c>
      <c r="J1218" s="4">
        <v>377299.3224</v>
      </c>
      <c r="L1218" s="4">
        <v>3</v>
      </c>
    </row>
    <row r="1219" spans="1:12">
      <c r="A1219" t="s">
        <v>106</v>
      </c>
      <c r="B1219" s="10">
        <v>45587</v>
      </c>
      <c r="C1219" s="18">
        <f t="shared" si="19"/>
        <v>10</v>
      </c>
      <c r="D1219" t="s">
        <v>135</v>
      </c>
      <c r="E1219">
        <v>4872613</v>
      </c>
      <c r="F1219" t="s">
        <v>88</v>
      </c>
      <c r="G1219" t="s">
        <v>203</v>
      </c>
      <c r="H1219" t="s">
        <v>237</v>
      </c>
      <c r="I1219" s="4">
        <v>125766.4408</v>
      </c>
      <c r="J1219" s="4">
        <v>503065.76319999999</v>
      </c>
      <c r="L1219" s="4">
        <v>4</v>
      </c>
    </row>
    <row r="1220" spans="1:12">
      <c r="A1220" t="s">
        <v>106</v>
      </c>
      <c r="B1220" s="10">
        <v>45587</v>
      </c>
      <c r="C1220" s="18">
        <f t="shared" si="19"/>
        <v>10</v>
      </c>
      <c r="D1220" t="s">
        <v>135</v>
      </c>
      <c r="E1220">
        <v>4872613</v>
      </c>
      <c r="F1220" t="s">
        <v>88</v>
      </c>
      <c r="G1220" t="s">
        <v>203</v>
      </c>
      <c r="H1220" t="s">
        <v>231</v>
      </c>
      <c r="I1220" s="4">
        <v>125766.4408</v>
      </c>
      <c r="J1220" s="4">
        <v>377299.3224</v>
      </c>
      <c r="L1220" s="4">
        <v>3</v>
      </c>
    </row>
    <row r="1221" spans="1:12">
      <c r="A1221" t="s">
        <v>106</v>
      </c>
      <c r="B1221" s="10">
        <v>45587</v>
      </c>
      <c r="C1221" s="18">
        <f t="shared" si="19"/>
        <v>10</v>
      </c>
      <c r="D1221" t="s">
        <v>135</v>
      </c>
      <c r="E1221">
        <v>4873753</v>
      </c>
      <c r="F1221" t="s">
        <v>88</v>
      </c>
      <c r="G1221" t="s">
        <v>203</v>
      </c>
      <c r="H1221" t="s">
        <v>242</v>
      </c>
      <c r="I1221" s="4">
        <v>100638.28079999999</v>
      </c>
      <c r="J1221" s="4">
        <v>402553.12319999997</v>
      </c>
      <c r="K1221" s="4">
        <v>-17338.430399999997</v>
      </c>
      <c r="L1221" s="4">
        <v>4</v>
      </c>
    </row>
    <row r="1222" spans="1:12">
      <c r="A1222" t="s">
        <v>106</v>
      </c>
      <c r="B1222" s="10">
        <v>45587</v>
      </c>
      <c r="C1222" s="18">
        <f t="shared" si="19"/>
        <v>10</v>
      </c>
      <c r="D1222" t="s">
        <v>135</v>
      </c>
      <c r="E1222">
        <v>4873753</v>
      </c>
      <c r="F1222" t="s">
        <v>88</v>
      </c>
      <c r="G1222" t="s">
        <v>203</v>
      </c>
      <c r="H1222" t="s">
        <v>234</v>
      </c>
      <c r="I1222" s="4">
        <v>100638.28079999999</v>
      </c>
      <c r="J1222" s="4">
        <v>201276.56159999999</v>
      </c>
      <c r="K1222" s="4">
        <v>-8669.2151999999987</v>
      </c>
      <c r="L1222" s="4">
        <v>2</v>
      </c>
    </row>
    <row r="1223" spans="1:12">
      <c r="A1223" t="s">
        <v>106</v>
      </c>
      <c r="B1223" s="10">
        <v>45587</v>
      </c>
      <c r="C1223" s="18">
        <f t="shared" si="19"/>
        <v>10</v>
      </c>
      <c r="D1223" t="s">
        <v>135</v>
      </c>
      <c r="E1223">
        <v>4873753</v>
      </c>
      <c r="F1223" t="s">
        <v>88</v>
      </c>
      <c r="G1223" t="s">
        <v>203</v>
      </c>
      <c r="H1223" t="s">
        <v>230</v>
      </c>
      <c r="I1223" s="4">
        <v>100638.28079999999</v>
      </c>
      <c r="J1223" s="4">
        <v>402553.12319999997</v>
      </c>
      <c r="K1223" s="4">
        <v>-17338.430399999997</v>
      </c>
      <c r="L1223" s="4">
        <v>4</v>
      </c>
    </row>
    <row r="1224" spans="1:12">
      <c r="A1224" t="s">
        <v>106</v>
      </c>
      <c r="B1224" s="10">
        <v>45589</v>
      </c>
      <c r="C1224" s="18">
        <f t="shared" si="19"/>
        <v>10</v>
      </c>
      <c r="D1224" t="s">
        <v>135</v>
      </c>
      <c r="E1224">
        <v>4872948</v>
      </c>
      <c r="F1224" t="s">
        <v>88</v>
      </c>
      <c r="G1224" t="s">
        <v>203</v>
      </c>
      <c r="H1224" t="s">
        <v>236</v>
      </c>
      <c r="I1224" s="4">
        <v>100638.28079999999</v>
      </c>
      <c r="J1224" s="4">
        <v>402553.12319999997</v>
      </c>
      <c r="K1224" s="4">
        <v>-17338.430399999997</v>
      </c>
      <c r="L1224" s="4">
        <v>4</v>
      </c>
    </row>
    <row r="1225" spans="1:12">
      <c r="A1225" t="s">
        <v>106</v>
      </c>
      <c r="B1225" s="10">
        <v>45589</v>
      </c>
      <c r="C1225" s="18">
        <f t="shared" si="19"/>
        <v>10</v>
      </c>
      <c r="D1225" t="s">
        <v>135</v>
      </c>
      <c r="E1225">
        <v>4872948</v>
      </c>
      <c r="F1225" t="s">
        <v>88</v>
      </c>
      <c r="G1225" t="s">
        <v>203</v>
      </c>
      <c r="H1225" t="s">
        <v>230</v>
      </c>
      <c r="I1225" s="4">
        <v>100638.28079999999</v>
      </c>
      <c r="J1225" s="4">
        <v>402553.12319999997</v>
      </c>
      <c r="K1225" s="4">
        <v>-17338.430399999997</v>
      </c>
      <c r="L1225" s="4">
        <v>4</v>
      </c>
    </row>
    <row r="1226" spans="1:12">
      <c r="A1226" t="s">
        <v>106</v>
      </c>
      <c r="B1226" s="10">
        <v>45589</v>
      </c>
      <c r="C1226" s="18">
        <f t="shared" si="19"/>
        <v>10</v>
      </c>
      <c r="D1226" t="s">
        <v>135</v>
      </c>
      <c r="E1226">
        <v>4872948</v>
      </c>
      <c r="F1226" t="s">
        <v>88</v>
      </c>
      <c r="G1226" t="s">
        <v>203</v>
      </c>
      <c r="H1226" t="s">
        <v>224</v>
      </c>
      <c r="I1226" s="4">
        <v>100638.28079999999</v>
      </c>
      <c r="J1226" s="4">
        <v>402553.12319999997</v>
      </c>
      <c r="K1226" s="4">
        <v>-17338.430399999997</v>
      </c>
      <c r="L1226" s="4">
        <v>4</v>
      </c>
    </row>
    <row r="1227" spans="1:12">
      <c r="A1227" t="s">
        <v>106</v>
      </c>
      <c r="B1227" s="10">
        <v>45590</v>
      </c>
      <c r="C1227" s="18">
        <f t="shared" si="19"/>
        <v>10</v>
      </c>
      <c r="D1227" t="s">
        <v>135</v>
      </c>
      <c r="E1227">
        <v>4872844</v>
      </c>
      <c r="F1227" t="s">
        <v>88</v>
      </c>
      <c r="G1227" t="s">
        <v>203</v>
      </c>
      <c r="H1227" t="s">
        <v>242</v>
      </c>
      <c r="I1227" s="4">
        <v>100638.28079999999</v>
      </c>
      <c r="J1227" s="4">
        <v>201276.56159999999</v>
      </c>
      <c r="K1227" s="4">
        <v>-8669.2151999999987</v>
      </c>
      <c r="L1227" s="4">
        <v>2</v>
      </c>
    </row>
    <row r="1228" spans="1:12">
      <c r="A1228" t="s">
        <v>106</v>
      </c>
      <c r="B1228" s="10">
        <v>45590</v>
      </c>
      <c r="C1228" s="18">
        <f t="shared" si="19"/>
        <v>10</v>
      </c>
      <c r="D1228" t="s">
        <v>135</v>
      </c>
      <c r="E1228">
        <v>4872844</v>
      </c>
      <c r="F1228" t="s">
        <v>88</v>
      </c>
      <c r="G1228" t="s">
        <v>203</v>
      </c>
      <c r="H1228" t="s">
        <v>230</v>
      </c>
      <c r="I1228" s="4">
        <v>100638.28079999999</v>
      </c>
      <c r="J1228" s="4">
        <v>201276.56159999999</v>
      </c>
      <c r="K1228" s="4">
        <v>-8669.2151999999987</v>
      </c>
      <c r="L1228" s="4">
        <v>2</v>
      </c>
    </row>
    <row r="1229" spans="1:12">
      <c r="A1229" t="s">
        <v>106</v>
      </c>
      <c r="B1229" s="10">
        <v>45590</v>
      </c>
      <c r="C1229" s="18">
        <f t="shared" si="19"/>
        <v>10</v>
      </c>
      <c r="D1229" t="s">
        <v>135</v>
      </c>
      <c r="E1229">
        <v>4872844</v>
      </c>
      <c r="F1229" t="s">
        <v>88</v>
      </c>
      <c r="G1229" t="s">
        <v>203</v>
      </c>
      <c r="H1229" t="s">
        <v>227</v>
      </c>
      <c r="I1229" s="4">
        <v>100638.28079999999</v>
      </c>
      <c r="J1229" s="4">
        <v>201276.56159999999</v>
      </c>
      <c r="K1229" s="4">
        <v>-8669.2151999999987</v>
      </c>
      <c r="L1229" s="4">
        <v>2</v>
      </c>
    </row>
    <row r="1230" spans="1:12">
      <c r="A1230" t="s">
        <v>106</v>
      </c>
      <c r="B1230" s="10">
        <v>45590</v>
      </c>
      <c r="C1230" s="18">
        <f t="shared" si="19"/>
        <v>10</v>
      </c>
      <c r="D1230" t="s">
        <v>135</v>
      </c>
      <c r="E1230">
        <v>4872844</v>
      </c>
      <c r="F1230" t="s">
        <v>88</v>
      </c>
      <c r="G1230" t="s">
        <v>203</v>
      </c>
      <c r="H1230" t="s">
        <v>224</v>
      </c>
      <c r="I1230" s="4">
        <v>100638.28079999999</v>
      </c>
      <c r="J1230" s="4">
        <v>201276.56159999999</v>
      </c>
      <c r="K1230" s="4">
        <v>-8669.2151999999987</v>
      </c>
      <c r="L1230" s="4">
        <v>2</v>
      </c>
    </row>
    <row r="1231" spans="1:12">
      <c r="A1231" t="s">
        <v>106</v>
      </c>
      <c r="B1231" s="10">
        <v>45590</v>
      </c>
      <c r="C1231" s="18">
        <f t="shared" si="19"/>
        <v>10</v>
      </c>
      <c r="D1231" t="s">
        <v>135</v>
      </c>
      <c r="E1231">
        <v>4872844</v>
      </c>
      <c r="F1231" t="s">
        <v>88</v>
      </c>
      <c r="G1231" t="s">
        <v>203</v>
      </c>
      <c r="H1231" t="s">
        <v>239</v>
      </c>
      <c r="I1231" s="4">
        <v>125766.4408</v>
      </c>
      <c r="J1231" s="4">
        <v>377299.3224</v>
      </c>
      <c r="K1231" s="4">
        <v>-16961.508000000002</v>
      </c>
      <c r="L1231" s="4">
        <v>3</v>
      </c>
    </row>
    <row r="1232" spans="1:12">
      <c r="A1232" t="s">
        <v>106</v>
      </c>
      <c r="B1232" s="10">
        <v>45590</v>
      </c>
      <c r="C1232" s="18">
        <f t="shared" si="19"/>
        <v>10</v>
      </c>
      <c r="D1232" t="s">
        <v>135</v>
      </c>
      <c r="E1232">
        <v>4872844</v>
      </c>
      <c r="F1232" t="s">
        <v>88</v>
      </c>
      <c r="G1232" t="s">
        <v>203</v>
      </c>
      <c r="H1232" t="s">
        <v>231</v>
      </c>
      <c r="I1232" s="4">
        <v>125766.4408</v>
      </c>
      <c r="J1232" s="4">
        <v>377299.3224</v>
      </c>
      <c r="K1232" s="4">
        <v>-16961.508000000002</v>
      </c>
      <c r="L1232" s="4">
        <v>3</v>
      </c>
    </row>
    <row r="1233" spans="1:12">
      <c r="A1233" t="s">
        <v>106</v>
      </c>
      <c r="B1233" s="10">
        <v>45590</v>
      </c>
      <c r="C1233" s="18">
        <f t="shared" si="19"/>
        <v>10</v>
      </c>
      <c r="D1233" t="s">
        <v>135</v>
      </c>
      <c r="E1233">
        <v>4872613</v>
      </c>
      <c r="F1233" t="s">
        <v>88</v>
      </c>
      <c r="G1233" t="s">
        <v>203</v>
      </c>
      <c r="H1233" t="s">
        <v>242</v>
      </c>
      <c r="I1233" s="4">
        <v>100638.28079999999</v>
      </c>
      <c r="J1233" s="4">
        <v>402553.12319999997</v>
      </c>
      <c r="K1233" s="4">
        <v>-17338.430399999997</v>
      </c>
      <c r="L1233" s="4">
        <v>4</v>
      </c>
    </row>
    <row r="1234" spans="1:12">
      <c r="A1234" t="s">
        <v>106</v>
      </c>
      <c r="B1234" s="10">
        <v>45590</v>
      </c>
      <c r="C1234" s="18">
        <f t="shared" si="19"/>
        <v>10</v>
      </c>
      <c r="D1234" t="s">
        <v>135</v>
      </c>
      <c r="E1234">
        <v>4872613</v>
      </c>
      <c r="F1234" t="s">
        <v>88</v>
      </c>
      <c r="G1234" t="s">
        <v>203</v>
      </c>
      <c r="H1234" t="s">
        <v>230</v>
      </c>
      <c r="I1234" s="4">
        <v>100638.28079999999</v>
      </c>
      <c r="J1234" s="4">
        <v>402553.12319999997</v>
      </c>
      <c r="K1234" s="4">
        <v>-17338.430399999997</v>
      </c>
      <c r="L1234" s="4">
        <v>4</v>
      </c>
    </row>
    <row r="1235" spans="1:12">
      <c r="A1235" t="s">
        <v>106</v>
      </c>
      <c r="B1235" s="10">
        <v>45590</v>
      </c>
      <c r="C1235" s="18">
        <f t="shared" si="19"/>
        <v>10</v>
      </c>
      <c r="D1235" t="s">
        <v>135</v>
      </c>
      <c r="E1235">
        <v>4872613</v>
      </c>
      <c r="F1235" t="s">
        <v>88</v>
      </c>
      <c r="G1235" t="s">
        <v>203</v>
      </c>
      <c r="H1235" t="s">
        <v>227</v>
      </c>
      <c r="I1235" s="4">
        <v>100638.28079999999</v>
      </c>
      <c r="J1235" s="4">
        <v>402553.12319999997</v>
      </c>
      <c r="K1235" s="4">
        <v>-17338.430399999997</v>
      </c>
      <c r="L1235" s="4">
        <v>4</v>
      </c>
    </row>
    <row r="1236" spans="1:12">
      <c r="A1236" t="s">
        <v>106</v>
      </c>
      <c r="B1236" s="10">
        <v>45590</v>
      </c>
      <c r="C1236" s="18">
        <f t="shared" si="19"/>
        <v>10</v>
      </c>
      <c r="D1236" t="s">
        <v>135</v>
      </c>
      <c r="E1236">
        <v>4872613</v>
      </c>
      <c r="F1236" t="s">
        <v>88</v>
      </c>
      <c r="G1236" t="s">
        <v>203</v>
      </c>
      <c r="H1236" t="s">
        <v>224</v>
      </c>
      <c r="I1236" s="4">
        <v>100638.28079999999</v>
      </c>
      <c r="J1236" s="4">
        <v>402553.12319999997</v>
      </c>
      <c r="K1236" s="4">
        <v>-17338.430399999997</v>
      </c>
      <c r="L1236" s="4">
        <v>4</v>
      </c>
    </row>
    <row r="1237" spans="1:12">
      <c r="A1237" t="s">
        <v>106</v>
      </c>
      <c r="B1237" s="10">
        <v>45592</v>
      </c>
      <c r="C1237" s="18">
        <f t="shared" si="19"/>
        <v>10</v>
      </c>
      <c r="D1237" t="s">
        <v>135</v>
      </c>
      <c r="E1237">
        <v>4872949</v>
      </c>
      <c r="F1237" t="s">
        <v>89</v>
      </c>
      <c r="G1237" t="s">
        <v>203</v>
      </c>
      <c r="H1237" t="s">
        <v>242</v>
      </c>
      <c r="I1237" s="4">
        <v>100638.28079999999</v>
      </c>
      <c r="J1237" s="4">
        <v>201276.56159999999</v>
      </c>
      <c r="K1237" s="4">
        <v>-8669.2151999999987</v>
      </c>
      <c r="L1237" s="4">
        <v>2</v>
      </c>
    </row>
    <row r="1238" spans="1:12">
      <c r="A1238" t="s">
        <v>106</v>
      </c>
      <c r="B1238" s="10">
        <v>45592</v>
      </c>
      <c r="C1238" s="18">
        <f t="shared" si="19"/>
        <v>10</v>
      </c>
      <c r="D1238" t="s">
        <v>135</v>
      </c>
      <c r="E1238">
        <v>4872949</v>
      </c>
      <c r="F1238" t="s">
        <v>89</v>
      </c>
      <c r="G1238" t="s">
        <v>203</v>
      </c>
      <c r="H1238" t="s">
        <v>230</v>
      </c>
      <c r="I1238" s="4">
        <v>100638.28079999999</v>
      </c>
      <c r="J1238" s="4">
        <v>201276.56159999999</v>
      </c>
      <c r="K1238" s="4">
        <v>-8669.2151999999987</v>
      </c>
      <c r="L1238" s="4">
        <v>2</v>
      </c>
    </row>
    <row r="1239" spans="1:12">
      <c r="A1239" t="s">
        <v>106</v>
      </c>
      <c r="B1239" s="10">
        <v>45592</v>
      </c>
      <c r="C1239" s="18">
        <f t="shared" si="19"/>
        <v>10</v>
      </c>
      <c r="D1239" t="s">
        <v>135</v>
      </c>
      <c r="E1239">
        <v>4872949</v>
      </c>
      <c r="F1239" t="s">
        <v>89</v>
      </c>
      <c r="G1239" t="s">
        <v>203</v>
      </c>
      <c r="H1239" t="s">
        <v>227</v>
      </c>
      <c r="I1239" s="4">
        <v>100638.28079999999</v>
      </c>
      <c r="J1239" s="4">
        <v>201276.56159999999</v>
      </c>
      <c r="K1239" s="4">
        <v>-8669.2151999999987</v>
      </c>
      <c r="L1239" s="4">
        <v>2</v>
      </c>
    </row>
    <row r="1240" spans="1:12">
      <c r="A1240" t="s">
        <v>106</v>
      </c>
      <c r="B1240" s="10">
        <v>45592</v>
      </c>
      <c r="C1240" s="18">
        <f t="shared" si="19"/>
        <v>10</v>
      </c>
      <c r="D1240" t="s">
        <v>135</v>
      </c>
      <c r="E1240">
        <v>4872949</v>
      </c>
      <c r="F1240" t="s">
        <v>89</v>
      </c>
      <c r="G1240" t="s">
        <v>203</v>
      </c>
      <c r="H1240" t="s">
        <v>231</v>
      </c>
      <c r="I1240" s="4">
        <v>125766.4408</v>
      </c>
      <c r="J1240" s="4">
        <v>503065.76319999999</v>
      </c>
      <c r="K1240" s="4">
        <v>-22615.344000000001</v>
      </c>
      <c r="L1240" s="4">
        <v>4</v>
      </c>
    </row>
    <row r="1241" spans="1:12">
      <c r="A1241" t="s">
        <v>106</v>
      </c>
      <c r="B1241" s="10">
        <v>45592</v>
      </c>
      <c r="C1241" s="18">
        <f t="shared" si="19"/>
        <v>10</v>
      </c>
      <c r="D1241" t="s">
        <v>135</v>
      </c>
      <c r="E1241">
        <v>4873753</v>
      </c>
      <c r="F1241" t="s">
        <v>88</v>
      </c>
      <c r="G1241" t="s">
        <v>203</v>
      </c>
      <c r="H1241" t="s">
        <v>236</v>
      </c>
      <c r="I1241" s="4">
        <v>100638.28079999999</v>
      </c>
      <c r="J1241" s="4">
        <v>201276.56159999999</v>
      </c>
      <c r="K1241" s="4">
        <v>-8669.2151999999987</v>
      </c>
      <c r="L1241" s="4">
        <v>2</v>
      </c>
    </row>
    <row r="1242" spans="1:12">
      <c r="A1242" t="s">
        <v>106</v>
      </c>
      <c r="B1242" s="10">
        <v>45592</v>
      </c>
      <c r="C1242" s="18">
        <f t="shared" si="19"/>
        <v>10</v>
      </c>
      <c r="D1242" t="s">
        <v>135</v>
      </c>
      <c r="E1242">
        <v>4873753</v>
      </c>
      <c r="F1242" t="s">
        <v>88</v>
      </c>
      <c r="G1242" t="s">
        <v>203</v>
      </c>
      <c r="H1242" t="s">
        <v>230</v>
      </c>
      <c r="I1242" s="4">
        <v>100638.28079999999</v>
      </c>
      <c r="J1242" s="4">
        <v>201276.56159999999</v>
      </c>
      <c r="K1242" s="4">
        <v>-8669.2151999999987</v>
      </c>
      <c r="L1242" s="4">
        <v>2</v>
      </c>
    </row>
    <row r="1243" spans="1:12">
      <c r="A1243" t="s">
        <v>106</v>
      </c>
      <c r="B1243" s="10">
        <v>45592</v>
      </c>
      <c r="C1243" s="18">
        <f t="shared" si="19"/>
        <v>10</v>
      </c>
      <c r="D1243" t="s">
        <v>135</v>
      </c>
      <c r="E1243">
        <v>4873753</v>
      </c>
      <c r="F1243" t="s">
        <v>88</v>
      </c>
      <c r="G1243" t="s">
        <v>203</v>
      </c>
      <c r="H1243" t="s">
        <v>227</v>
      </c>
      <c r="I1243" s="4">
        <v>100638.28079999999</v>
      </c>
      <c r="J1243" s="4">
        <v>402553.12319999997</v>
      </c>
      <c r="K1243" s="4">
        <v>-17338.430399999997</v>
      </c>
      <c r="L1243" s="4">
        <v>4</v>
      </c>
    </row>
    <row r="1244" spans="1:12">
      <c r="A1244" t="s">
        <v>106</v>
      </c>
      <c r="B1244" s="10">
        <v>45593</v>
      </c>
      <c r="C1244" s="18">
        <f t="shared" si="19"/>
        <v>10</v>
      </c>
      <c r="D1244" t="s">
        <v>135</v>
      </c>
      <c r="E1244">
        <v>4872948</v>
      </c>
      <c r="F1244" t="s">
        <v>88</v>
      </c>
      <c r="G1244" t="s">
        <v>203</v>
      </c>
      <c r="H1244" t="s">
        <v>242</v>
      </c>
      <c r="I1244" s="4">
        <v>100638.28079999999</v>
      </c>
      <c r="J1244" s="4">
        <v>402553.12319999997</v>
      </c>
      <c r="K1244" s="4">
        <v>-17338.430399999997</v>
      </c>
      <c r="L1244" s="4">
        <v>4</v>
      </c>
    </row>
    <row r="1245" spans="1:12">
      <c r="A1245" t="s">
        <v>106</v>
      </c>
      <c r="B1245" s="10">
        <v>45593</v>
      </c>
      <c r="C1245" s="18">
        <f t="shared" si="19"/>
        <v>10</v>
      </c>
      <c r="D1245" t="s">
        <v>135</v>
      </c>
      <c r="E1245">
        <v>4872948</v>
      </c>
      <c r="F1245" t="s">
        <v>88</v>
      </c>
      <c r="G1245" t="s">
        <v>203</v>
      </c>
      <c r="H1245" t="s">
        <v>234</v>
      </c>
      <c r="I1245" s="4">
        <v>100638.28079999999</v>
      </c>
      <c r="J1245" s="4">
        <v>402553.12319999997</v>
      </c>
      <c r="K1245" s="4">
        <v>-17338.430399999997</v>
      </c>
      <c r="L1245" s="4">
        <v>4</v>
      </c>
    </row>
    <row r="1246" spans="1:12">
      <c r="A1246" t="s">
        <v>106</v>
      </c>
      <c r="B1246" s="10">
        <v>45593</v>
      </c>
      <c r="C1246" s="18">
        <f t="shared" si="19"/>
        <v>10</v>
      </c>
      <c r="D1246" t="s">
        <v>135</v>
      </c>
      <c r="E1246">
        <v>4872948</v>
      </c>
      <c r="F1246" t="s">
        <v>88</v>
      </c>
      <c r="G1246" t="s">
        <v>203</v>
      </c>
      <c r="H1246" t="s">
        <v>230</v>
      </c>
      <c r="I1246" s="4">
        <v>100638.28079999999</v>
      </c>
      <c r="J1246" s="4">
        <v>402553.12319999997</v>
      </c>
      <c r="K1246" s="4">
        <v>-17338.430399999997</v>
      </c>
      <c r="L1246" s="4">
        <v>4</v>
      </c>
    </row>
    <row r="1247" spans="1:12">
      <c r="A1247" t="s">
        <v>106</v>
      </c>
      <c r="B1247" s="10">
        <v>45593</v>
      </c>
      <c r="C1247" s="18">
        <f t="shared" si="19"/>
        <v>10</v>
      </c>
      <c r="D1247" t="s">
        <v>135</v>
      </c>
      <c r="E1247">
        <v>4872948</v>
      </c>
      <c r="F1247" t="s">
        <v>88</v>
      </c>
      <c r="G1247" t="s">
        <v>203</v>
      </c>
      <c r="H1247" t="s">
        <v>224</v>
      </c>
      <c r="I1247" s="4">
        <v>100638.28079999999</v>
      </c>
      <c r="J1247" s="4">
        <v>402553.12319999997</v>
      </c>
      <c r="K1247" s="4">
        <v>-17338.430399999997</v>
      </c>
      <c r="L1247" s="4">
        <v>4</v>
      </c>
    </row>
    <row r="1248" spans="1:12">
      <c r="A1248" t="s">
        <v>106</v>
      </c>
      <c r="B1248" s="10">
        <v>45593</v>
      </c>
      <c r="C1248" s="18">
        <f t="shared" si="19"/>
        <v>10</v>
      </c>
      <c r="D1248" t="s">
        <v>135</v>
      </c>
      <c r="E1248">
        <v>4872948</v>
      </c>
      <c r="F1248" t="s">
        <v>88</v>
      </c>
      <c r="G1248" t="s">
        <v>203</v>
      </c>
      <c r="H1248" t="s">
        <v>231</v>
      </c>
      <c r="I1248" s="4">
        <v>125766.4408</v>
      </c>
      <c r="J1248" s="4">
        <v>377299.3224</v>
      </c>
      <c r="K1248" s="4">
        <v>-16961.508000000002</v>
      </c>
      <c r="L1248" s="4">
        <v>3</v>
      </c>
    </row>
    <row r="1249" spans="1:12">
      <c r="A1249" t="s">
        <v>106</v>
      </c>
      <c r="B1249" s="10">
        <v>45593</v>
      </c>
      <c r="C1249" s="18">
        <f t="shared" si="19"/>
        <v>10</v>
      </c>
      <c r="D1249" t="s">
        <v>135</v>
      </c>
      <c r="E1249">
        <v>4876667</v>
      </c>
      <c r="F1249" t="s">
        <v>90</v>
      </c>
      <c r="G1249" t="s">
        <v>203</v>
      </c>
      <c r="H1249" t="s">
        <v>242</v>
      </c>
      <c r="I1249" s="4">
        <v>100638.28079999999</v>
      </c>
      <c r="J1249" s="4">
        <v>201276.56159999999</v>
      </c>
      <c r="K1249" s="4">
        <v>-8669.2151999999987</v>
      </c>
      <c r="L1249" s="4">
        <v>2</v>
      </c>
    </row>
    <row r="1250" spans="1:12">
      <c r="A1250" t="s">
        <v>106</v>
      </c>
      <c r="B1250" s="10">
        <v>45593</v>
      </c>
      <c r="C1250" s="18">
        <f t="shared" si="19"/>
        <v>10</v>
      </c>
      <c r="D1250" t="s">
        <v>135</v>
      </c>
      <c r="E1250">
        <v>4876667</v>
      </c>
      <c r="F1250" t="s">
        <v>90</v>
      </c>
      <c r="G1250" t="s">
        <v>203</v>
      </c>
      <c r="H1250" t="s">
        <v>236</v>
      </c>
      <c r="I1250" s="4">
        <v>100638.28079999999</v>
      </c>
      <c r="J1250" s="4">
        <v>201276.56159999999</v>
      </c>
      <c r="K1250" s="4">
        <v>-8669.2151999999987</v>
      </c>
      <c r="L1250" s="4">
        <v>2</v>
      </c>
    </row>
    <row r="1251" spans="1:12">
      <c r="A1251" t="s">
        <v>106</v>
      </c>
      <c r="B1251" s="10">
        <v>45593</v>
      </c>
      <c r="C1251" s="18">
        <f t="shared" si="19"/>
        <v>10</v>
      </c>
      <c r="D1251" t="s">
        <v>135</v>
      </c>
      <c r="E1251">
        <v>4876667</v>
      </c>
      <c r="F1251" t="s">
        <v>90</v>
      </c>
      <c r="G1251" t="s">
        <v>203</v>
      </c>
      <c r="H1251" t="s">
        <v>227</v>
      </c>
      <c r="I1251" s="4">
        <v>100638.28079999999</v>
      </c>
      <c r="J1251" s="4">
        <v>201276.56159999999</v>
      </c>
      <c r="K1251" s="4">
        <v>-8669.2151999999987</v>
      </c>
      <c r="L1251" s="4">
        <v>2</v>
      </c>
    </row>
    <row r="1252" spans="1:12">
      <c r="A1252" t="s">
        <v>106</v>
      </c>
      <c r="B1252" s="10">
        <v>45593</v>
      </c>
      <c r="C1252" s="18">
        <f t="shared" si="19"/>
        <v>10</v>
      </c>
      <c r="D1252" t="s">
        <v>135</v>
      </c>
      <c r="E1252">
        <v>4876667</v>
      </c>
      <c r="F1252" t="s">
        <v>90</v>
      </c>
      <c r="G1252" t="s">
        <v>203</v>
      </c>
      <c r="H1252" t="s">
        <v>224</v>
      </c>
      <c r="I1252" s="4">
        <v>100638.28079999999</v>
      </c>
      <c r="J1252" s="4">
        <v>402553.12319999997</v>
      </c>
      <c r="K1252" s="4">
        <v>-17338.430399999997</v>
      </c>
      <c r="L1252" s="4">
        <v>4</v>
      </c>
    </row>
    <row r="1253" spans="1:12">
      <c r="A1253" t="s">
        <v>106</v>
      </c>
      <c r="B1253" s="10">
        <v>45594</v>
      </c>
      <c r="C1253" s="18">
        <f t="shared" si="19"/>
        <v>10</v>
      </c>
      <c r="D1253" t="s">
        <v>135</v>
      </c>
      <c r="E1253">
        <v>4873753</v>
      </c>
      <c r="F1253" t="s">
        <v>88</v>
      </c>
      <c r="G1253" t="s">
        <v>203</v>
      </c>
      <c r="H1253" t="s">
        <v>242</v>
      </c>
      <c r="I1253" s="4">
        <v>100638.28079999999</v>
      </c>
      <c r="J1253" s="4">
        <v>1006382.808</v>
      </c>
      <c r="K1253" s="4">
        <v>-43346.076000000001</v>
      </c>
      <c r="L1253" s="4">
        <v>10</v>
      </c>
    </row>
    <row r="1254" spans="1:12">
      <c r="A1254" t="s">
        <v>106</v>
      </c>
      <c r="B1254" s="10">
        <v>45594</v>
      </c>
      <c r="C1254" s="18">
        <f t="shared" si="19"/>
        <v>10</v>
      </c>
      <c r="D1254" t="s">
        <v>135</v>
      </c>
      <c r="E1254">
        <v>4873753</v>
      </c>
      <c r="F1254" t="s">
        <v>88</v>
      </c>
      <c r="G1254" t="s">
        <v>203</v>
      </c>
      <c r="H1254" t="s">
        <v>227</v>
      </c>
      <c r="I1254" s="4">
        <v>100638.28079999999</v>
      </c>
      <c r="J1254" s="4">
        <v>1006382.808</v>
      </c>
      <c r="K1254" s="4">
        <v>-43346.076000000001</v>
      </c>
      <c r="L1254" s="4">
        <v>10</v>
      </c>
    </row>
    <row r="1255" spans="1:12">
      <c r="A1255" t="s">
        <v>106</v>
      </c>
      <c r="B1255" s="10">
        <v>45595</v>
      </c>
      <c r="C1255" s="18">
        <f t="shared" si="19"/>
        <v>10</v>
      </c>
      <c r="D1255" t="s">
        <v>135</v>
      </c>
      <c r="E1255">
        <v>6986794</v>
      </c>
      <c r="F1255" t="s">
        <v>87</v>
      </c>
      <c r="G1255" t="s">
        <v>203</v>
      </c>
      <c r="H1255" t="s">
        <v>236</v>
      </c>
      <c r="I1255" s="4">
        <v>100638.28079999999</v>
      </c>
      <c r="J1255" s="4">
        <v>201276.56159999999</v>
      </c>
      <c r="K1255" s="4">
        <v>-8669.2151999999987</v>
      </c>
      <c r="L1255" s="4">
        <v>2</v>
      </c>
    </row>
    <row r="1256" spans="1:12">
      <c r="A1256" t="s">
        <v>106</v>
      </c>
      <c r="B1256" s="10">
        <v>45595</v>
      </c>
      <c r="C1256" s="18">
        <f t="shared" si="19"/>
        <v>10</v>
      </c>
      <c r="D1256" t="s">
        <v>135</v>
      </c>
      <c r="E1256">
        <v>6986794</v>
      </c>
      <c r="F1256" t="s">
        <v>87</v>
      </c>
      <c r="G1256" t="s">
        <v>203</v>
      </c>
      <c r="H1256" t="s">
        <v>230</v>
      </c>
      <c r="I1256" s="4">
        <v>100638.28079999999</v>
      </c>
      <c r="J1256" s="4">
        <v>201276.56159999999</v>
      </c>
      <c r="K1256" s="4">
        <v>-8669.2151999999987</v>
      </c>
      <c r="L1256" s="4">
        <v>2</v>
      </c>
    </row>
    <row r="1257" spans="1:12">
      <c r="A1257" t="s">
        <v>106</v>
      </c>
      <c r="B1257" s="10">
        <v>45595</v>
      </c>
      <c r="C1257" s="18">
        <f t="shared" si="19"/>
        <v>10</v>
      </c>
      <c r="D1257" t="s">
        <v>135</v>
      </c>
      <c r="E1257">
        <v>6986794</v>
      </c>
      <c r="F1257" t="s">
        <v>87</v>
      </c>
      <c r="G1257" t="s">
        <v>203</v>
      </c>
      <c r="H1257" t="s">
        <v>224</v>
      </c>
      <c r="I1257" s="4">
        <v>100638.28079999999</v>
      </c>
      <c r="J1257" s="4">
        <v>201276.56159999999</v>
      </c>
      <c r="K1257" s="4">
        <v>-8669.2151999999987</v>
      </c>
      <c r="L1257" s="4">
        <v>2</v>
      </c>
    </row>
    <row r="1258" spans="1:12">
      <c r="A1258" t="s">
        <v>106</v>
      </c>
      <c r="B1258" s="10">
        <v>45596</v>
      </c>
      <c r="C1258" s="18">
        <f t="shared" si="19"/>
        <v>10</v>
      </c>
      <c r="D1258" t="s">
        <v>135</v>
      </c>
      <c r="E1258">
        <v>4878797</v>
      </c>
      <c r="F1258" t="s">
        <v>88</v>
      </c>
      <c r="G1258" t="s">
        <v>204</v>
      </c>
      <c r="H1258" t="s">
        <v>218</v>
      </c>
      <c r="I1258" s="4">
        <v>71740.896800000002</v>
      </c>
      <c r="J1258" s="4">
        <v>573927.17440000002</v>
      </c>
      <c r="K1258" s="4">
        <v>-28646.102399999996</v>
      </c>
      <c r="L1258" s="4">
        <v>8</v>
      </c>
    </row>
    <row r="1259" spans="1:12">
      <c r="A1259" t="s">
        <v>105</v>
      </c>
      <c r="B1259" s="10">
        <v>45541</v>
      </c>
      <c r="C1259" s="18">
        <f t="shared" si="19"/>
        <v>9</v>
      </c>
      <c r="D1259" t="s">
        <v>129</v>
      </c>
      <c r="E1259">
        <v>4873979</v>
      </c>
      <c r="F1259" t="s">
        <v>8</v>
      </c>
      <c r="G1259" t="s">
        <v>203</v>
      </c>
      <c r="H1259" t="s">
        <v>237</v>
      </c>
      <c r="I1259" s="4">
        <v>125766.4408</v>
      </c>
      <c r="J1259" s="4">
        <v>125766.4408</v>
      </c>
      <c r="L1259" s="4">
        <v>1</v>
      </c>
    </row>
    <row r="1260" spans="1:12">
      <c r="A1260" t="s">
        <v>105</v>
      </c>
      <c r="B1260" s="10">
        <v>45542</v>
      </c>
      <c r="C1260" s="18">
        <f t="shared" si="19"/>
        <v>9</v>
      </c>
      <c r="D1260" t="s">
        <v>129</v>
      </c>
      <c r="E1260">
        <v>4878181</v>
      </c>
      <c r="F1260" t="s">
        <v>8</v>
      </c>
      <c r="G1260" t="s">
        <v>203</v>
      </c>
      <c r="H1260" t="s">
        <v>245</v>
      </c>
      <c r="I1260" s="4">
        <v>100638.28079999999</v>
      </c>
      <c r="J1260" s="4">
        <v>402553.12319999997</v>
      </c>
      <c r="L1260" s="4">
        <v>4</v>
      </c>
    </row>
    <row r="1261" spans="1:12">
      <c r="A1261" t="s">
        <v>105</v>
      </c>
      <c r="B1261" s="10">
        <v>45542</v>
      </c>
      <c r="C1261" s="18">
        <f t="shared" si="19"/>
        <v>9</v>
      </c>
      <c r="D1261" t="s">
        <v>129</v>
      </c>
      <c r="E1261">
        <v>4878181</v>
      </c>
      <c r="F1261" t="s">
        <v>8</v>
      </c>
      <c r="G1261" t="s">
        <v>203</v>
      </c>
      <c r="H1261" t="s">
        <v>240</v>
      </c>
      <c r="I1261" s="4">
        <v>100638.28079999999</v>
      </c>
      <c r="J1261" s="4">
        <v>402553.12319999997</v>
      </c>
      <c r="L1261" s="4">
        <v>4</v>
      </c>
    </row>
    <row r="1262" spans="1:12">
      <c r="A1262" t="s">
        <v>105</v>
      </c>
      <c r="B1262" s="10">
        <v>45542</v>
      </c>
      <c r="C1262" s="18">
        <f t="shared" si="19"/>
        <v>9</v>
      </c>
      <c r="D1262" t="s">
        <v>129</v>
      </c>
      <c r="E1262">
        <v>4878181</v>
      </c>
      <c r="F1262" t="s">
        <v>8</v>
      </c>
      <c r="G1262" t="s">
        <v>203</v>
      </c>
      <c r="H1262" t="s">
        <v>230</v>
      </c>
      <c r="I1262" s="4">
        <v>100638.28079999999</v>
      </c>
      <c r="J1262" s="4">
        <v>402553.12319999997</v>
      </c>
      <c r="L1262" s="4">
        <v>4</v>
      </c>
    </row>
    <row r="1263" spans="1:12">
      <c r="A1263" t="s">
        <v>105</v>
      </c>
      <c r="B1263" s="10">
        <v>45542</v>
      </c>
      <c r="C1263" s="18">
        <f t="shared" si="19"/>
        <v>9</v>
      </c>
      <c r="D1263" t="s">
        <v>129</v>
      </c>
      <c r="E1263">
        <v>4878181</v>
      </c>
      <c r="F1263" t="s">
        <v>8</v>
      </c>
      <c r="G1263" t="s">
        <v>203</v>
      </c>
      <c r="H1263" t="s">
        <v>224</v>
      </c>
      <c r="I1263" s="4">
        <v>100638.28079999999</v>
      </c>
      <c r="J1263" s="4">
        <v>402553.12319999997</v>
      </c>
      <c r="L1263" s="4">
        <v>4</v>
      </c>
    </row>
    <row r="1264" spans="1:12">
      <c r="A1264" t="s">
        <v>105</v>
      </c>
      <c r="B1264" s="10">
        <v>45542</v>
      </c>
      <c r="C1264" s="18">
        <f t="shared" si="19"/>
        <v>9</v>
      </c>
      <c r="D1264" t="s">
        <v>129</v>
      </c>
      <c r="E1264">
        <v>4878181</v>
      </c>
      <c r="F1264" t="s">
        <v>8</v>
      </c>
      <c r="G1264" t="s">
        <v>203</v>
      </c>
      <c r="H1264" t="s">
        <v>223</v>
      </c>
      <c r="I1264" s="4">
        <v>100638.28079999999</v>
      </c>
      <c r="J1264" s="4">
        <v>402553.12319999997</v>
      </c>
      <c r="L1264" s="4">
        <v>4</v>
      </c>
    </row>
    <row r="1265" spans="1:12">
      <c r="A1265" t="s">
        <v>105</v>
      </c>
      <c r="B1265" s="10">
        <v>45542</v>
      </c>
      <c r="C1265" s="18">
        <f t="shared" si="19"/>
        <v>9</v>
      </c>
      <c r="D1265" t="s">
        <v>129</v>
      </c>
      <c r="E1265">
        <v>4878181</v>
      </c>
      <c r="F1265" t="s">
        <v>8</v>
      </c>
      <c r="G1265" t="s">
        <v>203</v>
      </c>
      <c r="H1265" t="s">
        <v>222</v>
      </c>
      <c r="I1265" s="4">
        <v>100638.28079999999</v>
      </c>
      <c r="J1265" s="4">
        <v>402553.12319999997</v>
      </c>
      <c r="L1265" s="4">
        <v>4</v>
      </c>
    </row>
    <row r="1266" spans="1:12">
      <c r="A1266" t="s">
        <v>105</v>
      </c>
      <c r="B1266" s="10">
        <v>45542</v>
      </c>
      <c r="C1266" s="18">
        <f t="shared" si="19"/>
        <v>9</v>
      </c>
      <c r="D1266" t="s">
        <v>129</v>
      </c>
      <c r="E1266">
        <v>4878181</v>
      </c>
      <c r="F1266" t="s">
        <v>8</v>
      </c>
      <c r="G1266" t="s">
        <v>203</v>
      </c>
      <c r="H1266" t="s">
        <v>241</v>
      </c>
      <c r="I1266" s="4">
        <v>125766.4408</v>
      </c>
      <c r="J1266" s="4">
        <v>377299.3224</v>
      </c>
      <c r="L1266" s="4">
        <v>3</v>
      </c>
    </row>
    <row r="1267" spans="1:12">
      <c r="A1267" t="s">
        <v>105</v>
      </c>
      <c r="B1267" s="10">
        <v>45542</v>
      </c>
      <c r="C1267" s="18">
        <f t="shared" si="19"/>
        <v>9</v>
      </c>
      <c r="D1267" t="s">
        <v>129</v>
      </c>
      <c r="E1267">
        <v>4878181</v>
      </c>
      <c r="F1267" t="s">
        <v>8</v>
      </c>
      <c r="G1267" t="s">
        <v>203</v>
      </c>
      <c r="H1267" t="s">
        <v>235</v>
      </c>
      <c r="I1267" s="4">
        <v>125766.4408</v>
      </c>
      <c r="J1267" s="4">
        <v>377299.3224</v>
      </c>
      <c r="L1267" s="4">
        <v>3</v>
      </c>
    </row>
    <row r="1268" spans="1:12">
      <c r="A1268" t="s">
        <v>105</v>
      </c>
      <c r="B1268" s="10">
        <v>45542</v>
      </c>
      <c r="C1268" s="18">
        <f t="shared" si="19"/>
        <v>9</v>
      </c>
      <c r="D1268" t="s">
        <v>129</v>
      </c>
      <c r="E1268">
        <v>4878181</v>
      </c>
      <c r="F1268" t="s">
        <v>8</v>
      </c>
      <c r="G1268" t="s">
        <v>203</v>
      </c>
      <c r="H1268" t="s">
        <v>233</v>
      </c>
      <c r="I1268" s="4">
        <v>120735.78316800001</v>
      </c>
      <c r="J1268" s="4">
        <v>362207.34950400004</v>
      </c>
      <c r="L1268" s="4">
        <v>3</v>
      </c>
    </row>
    <row r="1269" spans="1:12">
      <c r="A1269" t="s">
        <v>105</v>
      </c>
      <c r="B1269" s="10">
        <v>45542</v>
      </c>
      <c r="C1269" s="18">
        <f t="shared" si="19"/>
        <v>9</v>
      </c>
      <c r="D1269" t="s">
        <v>129</v>
      </c>
      <c r="E1269">
        <v>4878181</v>
      </c>
      <c r="F1269" t="s">
        <v>8</v>
      </c>
      <c r="G1269" t="s">
        <v>203</v>
      </c>
      <c r="H1269" t="s">
        <v>231</v>
      </c>
      <c r="I1269" s="4">
        <v>125766.4408</v>
      </c>
      <c r="J1269" s="4">
        <v>377299.3224</v>
      </c>
      <c r="L1269" s="4">
        <v>3</v>
      </c>
    </row>
    <row r="1270" spans="1:12">
      <c r="A1270" t="s">
        <v>105</v>
      </c>
      <c r="B1270" s="10">
        <v>45542</v>
      </c>
      <c r="C1270" s="18">
        <f t="shared" si="19"/>
        <v>9</v>
      </c>
      <c r="D1270" t="s">
        <v>129</v>
      </c>
      <c r="E1270">
        <v>4878181</v>
      </c>
      <c r="F1270" t="s">
        <v>8</v>
      </c>
      <c r="G1270" t="s">
        <v>203</v>
      </c>
      <c r="H1270" t="s">
        <v>229</v>
      </c>
      <c r="I1270" s="4">
        <v>125766.4408</v>
      </c>
      <c r="J1270" s="4">
        <v>377299.3224</v>
      </c>
      <c r="L1270" s="4">
        <v>3</v>
      </c>
    </row>
    <row r="1271" spans="1:12">
      <c r="A1271" t="s">
        <v>105</v>
      </c>
      <c r="B1271" s="10">
        <v>45543</v>
      </c>
      <c r="C1271" s="18">
        <f t="shared" si="19"/>
        <v>9</v>
      </c>
      <c r="D1271" t="s">
        <v>186</v>
      </c>
      <c r="E1271">
        <v>4877187</v>
      </c>
      <c r="F1271" t="s">
        <v>8</v>
      </c>
      <c r="G1271" t="s">
        <v>203</v>
      </c>
      <c r="H1271" t="s">
        <v>245</v>
      </c>
      <c r="I1271" s="4">
        <v>100638.28079999999</v>
      </c>
      <c r="J1271" s="4">
        <v>1006382.808</v>
      </c>
      <c r="K1271" s="4">
        <v>-50319.140399999997</v>
      </c>
      <c r="L1271" s="4">
        <v>10</v>
      </c>
    </row>
    <row r="1272" spans="1:12">
      <c r="A1272" t="s">
        <v>105</v>
      </c>
      <c r="B1272" s="10">
        <v>45543</v>
      </c>
      <c r="C1272" s="18">
        <f t="shared" si="19"/>
        <v>9</v>
      </c>
      <c r="D1272" t="s">
        <v>186</v>
      </c>
      <c r="E1272">
        <v>4877187</v>
      </c>
      <c r="F1272" t="s">
        <v>8</v>
      </c>
      <c r="G1272" t="s">
        <v>203</v>
      </c>
      <c r="H1272" t="s">
        <v>240</v>
      </c>
      <c r="I1272" s="4">
        <v>100638.28079999999</v>
      </c>
      <c r="J1272" s="4">
        <v>1006382.808</v>
      </c>
      <c r="K1272" s="4">
        <v>-50319.140399999997</v>
      </c>
      <c r="L1272" s="4">
        <v>10</v>
      </c>
    </row>
    <row r="1273" spans="1:12">
      <c r="A1273" t="s">
        <v>105</v>
      </c>
      <c r="B1273" s="10">
        <v>45543</v>
      </c>
      <c r="C1273" s="18">
        <f t="shared" si="19"/>
        <v>9</v>
      </c>
      <c r="D1273" t="s">
        <v>186</v>
      </c>
      <c r="E1273">
        <v>4877187</v>
      </c>
      <c r="F1273" t="s">
        <v>8</v>
      </c>
      <c r="G1273" t="s">
        <v>203</v>
      </c>
      <c r="H1273" t="s">
        <v>230</v>
      </c>
      <c r="I1273" s="4">
        <v>100638.28079999999</v>
      </c>
      <c r="J1273" s="4">
        <v>1006382.808</v>
      </c>
      <c r="K1273" s="4">
        <v>-50319.140399999997</v>
      </c>
      <c r="L1273" s="4">
        <v>10</v>
      </c>
    </row>
    <row r="1274" spans="1:12">
      <c r="A1274" t="s">
        <v>105</v>
      </c>
      <c r="B1274" s="10">
        <v>45543</v>
      </c>
      <c r="C1274" s="18">
        <f t="shared" si="19"/>
        <v>9</v>
      </c>
      <c r="D1274" t="s">
        <v>186</v>
      </c>
      <c r="E1274">
        <v>4877187</v>
      </c>
      <c r="F1274" t="s">
        <v>8</v>
      </c>
      <c r="G1274" t="s">
        <v>203</v>
      </c>
      <c r="H1274" t="s">
        <v>224</v>
      </c>
      <c r="I1274" s="4">
        <v>100638.28079999999</v>
      </c>
      <c r="J1274" s="4">
        <v>1006382.808</v>
      </c>
      <c r="K1274" s="4">
        <v>-50319.140399999997</v>
      </c>
      <c r="L1274" s="4">
        <v>10</v>
      </c>
    </row>
    <row r="1275" spans="1:12">
      <c r="A1275" t="s">
        <v>105</v>
      </c>
      <c r="B1275" s="10">
        <v>45548</v>
      </c>
      <c r="C1275" s="18">
        <f t="shared" si="19"/>
        <v>9</v>
      </c>
      <c r="D1275" t="s">
        <v>129</v>
      </c>
      <c r="E1275">
        <v>4878181</v>
      </c>
      <c r="F1275" t="s">
        <v>8</v>
      </c>
      <c r="G1275" t="s">
        <v>203</v>
      </c>
      <c r="H1275" t="s">
        <v>241</v>
      </c>
      <c r="I1275" s="4">
        <v>125766.4408</v>
      </c>
      <c r="J1275" s="4">
        <v>-251532.88159999999</v>
      </c>
      <c r="L1275" s="4">
        <v>-2</v>
      </c>
    </row>
    <row r="1276" spans="1:12">
      <c r="A1276" t="s">
        <v>105</v>
      </c>
      <c r="B1276" s="10">
        <v>45548</v>
      </c>
      <c r="C1276" s="18">
        <f t="shared" si="19"/>
        <v>9</v>
      </c>
      <c r="D1276" t="s">
        <v>129</v>
      </c>
      <c r="E1276">
        <v>4878181</v>
      </c>
      <c r="F1276" t="s">
        <v>8</v>
      </c>
      <c r="G1276" t="s">
        <v>203</v>
      </c>
      <c r="H1276" t="s">
        <v>235</v>
      </c>
      <c r="I1276" s="4">
        <v>125766.4408</v>
      </c>
      <c r="J1276" s="4">
        <v>-251532.88159999999</v>
      </c>
      <c r="L1276" s="4">
        <v>-2</v>
      </c>
    </row>
    <row r="1277" spans="1:12">
      <c r="A1277" t="s">
        <v>105</v>
      </c>
      <c r="B1277" s="10">
        <v>45548</v>
      </c>
      <c r="C1277" s="18">
        <f t="shared" si="19"/>
        <v>9</v>
      </c>
      <c r="D1277" t="s">
        <v>129</v>
      </c>
      <c r="E1277">
        <v>4878181</v>
      </c>
      <c r="F1277" t="s">
        <v>8</v>
      </c>
      <c r="G1277" t="s">
        <v>203</v>
      </c>
      <c r="H1277" t="s">
        <v>233</v>
      </c>
      <c r="I1277" s="4">
        <v>120735.78316800001</v>
      </c>
      <c r="J1277" s="4">
        <v>-362207.34950400004</v>
      </c>
      <c r="L1277" s="4">
        <v>-3</v>
      </c>
    </row>
    <row r="1278" spans="1:12">
      <c r="A1278" t="s">
        <v>105</v>
      </c>
      <c r="B1278" s="10">
        <v>45548</v>
      </c>
      <c r="C1278" s="18">
        <f t="shared" si="19"/>
        <v>9</v>
      </c>
      <c r="D1278" t="s">
        <v>129</v>
      </c>
      <c r="E1278">
        <v>4878181</v>
      </c>
      <c r="F1278" t="s">
        <v>8</v>
      </c>
      <c r="G1278" t="s">
        <v>203</v>
      </c>
      <c r="H1278" t="s">
        <v>231</v>
      </c>
      <c r="I1278" s="4">
        <v>125766.4408</v>
      </c>
      <c r="J1278" s="4">
        <v>-251532.88159999999</v>
      </c>
      <c r="L1278" s="4">
        <v>-2</v>
      </c>
    </row>
    <row r="1279" spans="1:12">
      <c r="A1279" t="s">
        <v>105</v>
      </c>
      <c r="B1279" s="10">
        <v>45548</v>
      </c>
      <c r="C1279" s="18">
        <f t="shared" si="19"/>
        <v>9</v>
      </c>
      <c r="D1279" t="s">
        <v>129</v>
      </c>
      <c r="E1279">
        <v>4875294</v>
      </c>
      <c r="F1279" t="s">
        <v>8</v>
      </c>
      <c r="G1279" t="s">
        <v>203</v>
      </c>
      <c r="H1279" t="s">
        <v>244</v>
      </c>
      <c r="I1279" s="4">
        <v>125766.4408</v>
      </c>
      <c r="J1279" s="4">
        <v>125766.4408</v>
      </c>
      <c r="L1279" s="4">
        <v>1</v>
      </c>
    </row>
    <row r="1280" spans="1:12">
      <c r="A1280" t="s">
        <v>105</v>
      </c>
      <c r="B1280" s="10">
        <v>45548</v>
      </c>
      <c r="C1280" s="18">
        <f t="shared" si="19"/>
        <v>9</v>
      </c>
      <c r="D1280" t="s">
        <v>129</v>
      </c>
      <c r="E1280">
        <v>4875294</v>
      </c>
      <c r="F1280" t="s">
        <v>8</v>
      </c>
      <c r="G1280" t="s">
        <v>203</v>
      </c>
      <c r="H1280" t="s">
        <v>241</v>
      </c>
      <c r="I1280" s="4">
        <v>125766.4408</v>
      </c>
      <c r="J1280" s="4">
        <v>125766.4408</v>
      </c>
      <c r="L1280" s="4">
        <v>1</v>
      </c>
    </row>
    <row r="1281" spans="1:12">
      <c r="A1281" t="s">
        <v>105</v>
      </c>
      <c r="B1281" s="10">
        <v>45548</v>
      </c>
      <c r="C1281" s="18">
        <f t="shared" si="19"/>
        <v>9</v>
      </c>
      <c r="D1281" t="s">
        <v>129</v>
      </c>
      <c r="E1281">
        <v>4875294</v>
      </c>
      <c r="F1281" t="s">
        <v>8</v>
      </c>
      <c r="G1281" t="s">
        <v>203</v>
      </c>
      <c r="H1281" t="s">
        <v>237</v>
      </c>
      <c r="I1281" s="4">
        <v>125766.4408</v>
      </c>
      <c r="J1281" s="4">
        <v>125766.4408</v>
      </c>
      <c r="L1281" s="4">
        <v>1</v>
      </c>
    </row>
    <row r="1282" spans="1:12">
      <c r="A1282" t="s">
        <v>105</v>
      </c>
      <c r="B1282" s="10">
        <v>45548</v>
      </c>
      <c r="C1282" s="18">
        <f t="shared" ref="C1282:C1345" si="20">MONTH(B1282)</f>
        <v>9</v>
      </c>
      <c r="D1282" t="s">
        <v>129</v>
      </c>
      <c r="E1282">
        <v>4875294</v>
      </c>
      <c r="F1282" t="s">
        <v>8</v>
      </c>
      <c r="G1282" t="s">
        <v>203</v>
      </c>
      <c r="H1282" t="s">
        <v>233</v>
      </c>
      <c r="I1282" s="4">
        <v>120735.78316800001</v>
      </c>
      <c r="J1282" s="4">
        <v>120735.78316800001</v>
      </c>
      <c r="L1282" s="4">
        <v>1</v>
      </c>
    </row>
    <row r="1283" spans="1:12">
      <c r="A1283" t="s">
        <v>105</v>
      </c>
      <c r="B1283" s="10">
        <v>45552</v>
      </c>
      <c r="C1283" s="18">
        <f t="shared" si="20"/>
        <v>9</v>
      </c>
      <c r="D1283" t="s">
        <v>129</v>
      </c>
      <c r="E1283">
        <v>4877720</v>
      </c>
      <c r="F1283" t="s">
        <v>8</v>
      </c>
      <c r="G1283" t="s">
        <v>203</v>
      </c>
      <c r="H1283" t="s">
        <v>231</v>
      </c>
      <c r="I1283" s="4">
        <v>125766.4408</v>
      </c>
      <c r="J1283" s="4">
        <v>251532.88159999999</v>
      </c>
      <c r="L1283" s="4">
        <v>2</v>
      </c>
    </row>
    <row r="1284" spans="1:12">
      <c r="A1284" t="s">
        <v>105</v>
      </c>
      <c r="B1284" s="10">
        <v>45552</v>
      </c>
      <c r="C1284" s="18">
        <f t="shared" si="20"/>
        <v>9</v>
      </c>
      <c r="D1284" t="s">
        <v>129</v>
      </c>
      <c r="E1284">
        <v>4875295</v>
      </c>
      <c r="F1284" t="s">
        <v>8</v>
      </c>
      <c r="G1284" t="s">
        <v>203</v>
      </c>
      <c r="H1284" t="s">
        <v>241</v>
      </c>
      <c r="I1284" s="4">
        <v>125766.4408</v>
      </c>
      <c r="J1284" s="4">
        <v>251532.88159999999</v>
      </c>
      <c r="L1284" s="4">
        <v>2</v>
      </c>
    </row>
    <row r="1285" spans="1:12">
      <c r="A1285" t="s">
        <v>105</v>
      </c>
      <c r="B1285" s="10">
        <v>45552</v>
      </c>
      <c r="C1285" s="18">
        <f t="shared" si="20"/>
        <v>9</v>
      </c>
      <c r="D1285" t="s">
        <v>129</v>
      </c>
      <c r="E1285">
        <v>4875295</v>
      </c>
      <c r="F1285" t="s">
        <v>8</v>
      </c>
      <c r="G1285" t="s">
        <v>203</v>
      </c>
      <c r="H1285" t="s">
        <v>235</v>
      </c>
      <c r="I1285" s="4">
        <v>125766.4408</v>
      </c>
      <c r="J1285" s="4">
        <v>251532.88159999999</v>
      </c>
      <c r="L1285" s="4">
        <v>2</v>
      </c>
    </row>
    <row r="1286" spans="1:12">
      <c r="A1286" t="s">
        <v>105</v>
      </c>
      <c r="B1286" s="10">
        <v>45552</v>
      </c>
      <c r="C1286" s="18">
        <f t="shared" si="20"/>
        <v>9</v>
      </c>
      <c r="D1286" t="s">
        <v>129</v>
      </c>
      <c r="E1286">
        <v>4875295</v>
      </c>
      <c r="F1286" t="s">
        <v>8</v>
      </c>
      <c r="G1286" t="s">
        <v>203</v>
      </c>
      <c r="H1286" t="s">
        <v>233</v>
      </c>
      <c r="I1286" s="4">
        <v>120735.78316800001</v>
      </c>
      <c r="J1286" s="4">
        <v>362207.34950400004</v>
      </c>
      <c r="L1286" s="4">
        <v>3</v>
      </c>
    </row>
    <row r="1287" spans="1:12">
      <c r="A1287" t="s">
        <v>105</v>
      </c>
      <c r="B1287" s="10">
        <v>45554</v>
      </c>
      <c r="C1287" s="18">
        <f t="shared" si="20"/>
        <v>9</v>
      </c>
      <c r="D1287" t="s">
        <v>130</v>
      </c>
      <c r="E1287">
        <v>6137985</v>
      </c>
      <c r="F1287" t="s">
        <v>8</v>
      </c>
      <c r="G1287" t="s">
        <v>203</v>
      </c>
      <c r="H1287" t="s">
        <v>237</v>
      </c>
      <c r="I1287" s="4">
        <v>125766.4408</v>
      </c>
      <c r="J1287" s="4">
        <v>125766.4408</v>
      </c>
      <c r="L1287" s="4">
        <v>1</v>
      </c>
    </row>
    <row r="1288" spans="1:12">
      <c r="A1288" t="s">
        <v>105</v>
      </c>
      <c r="B1288" s="10">
        <v>45554</v>
      </c>
      <c r="C1288" s="18">
        <f t="shared" si="20"/>
        <v>9</v>
      </c>
      <c r="D1288" t="s">
        <v>130</v>
      </c>
      <c r="E1288">
        <v>6137985</v>
      </c>
      <c r="F1288" t="s">
        <v>8</v>
      </c>
      <c r="G1288" t="s">
        <v>203</v>
      </c>
      <c r="H1288" t="s">
        <v>231</v>
      </c>
      <c r="I1288" s="4">
        <v>125766.4408</v>
      </c>
      <c r="J1288" s="4">
        <v>125766.4408</v>
      </c>
      <c r="L1288" s="4">
        <v>1</v>
      </c>
    </row>
    <row r="1289" spans="1:12">
      <c r="A1289" t="s">
        <v>105</v>
      </c>
      <c r="B1289" s="10">
        <v>45555</v>
      </c>
      <c r="C1289" s="18">
        <f t="shared" si="20"/>
        <v>9</v>
      </c>
      <c r="D1289" t="s">
        <v>129</v>
      </c>
      <c r="E1289">
        <v>4873979</v>
      </c>
      <c r="F1289" t="s">
        <v>8</v>
      </c>
      <c r="G1289" t="s">
        <v>203</v>
      </c>
      <c r="H1289" t="s">
        <v>231</v>
      </c>
      <c r="I1289" s="4">
        <v>125766.4408</v>
      </c>
      <c r="J1289" s="4">
        <v>125766.4408</v>
      </c>
      <c r="L1289" s="4">
        <v>1</v>
      </c>
    </row>
    <row r="1290" spans="1:12">
      <c r="A1290" t="s">
        <v>105</v>
      </c>
      <c r="B1290" s="10">
        <v>45563</v>
      </c>
      <c r="C1290" s="18">
        <f t="shared" si="20"/>
        <v>9</v>
      </c>
      <c r="D1290" t="s">
        <v>186</v>
      </c>
      <c r="E1290">
        <v>4877187</v>
      </c>
      <c r="F1290" t="s">
        <v>8</v>
      </c>
      <c r="G1290" t="s">
        <v>206</v>
      </c>
      <c r="H1290" t="s">
        <v>249</v>
      </c>
      <c r="I1290" s="4">
        <v>17715.352800000001</v>
      </c>
      <c r="J1290" s="4">
        <v>177153.52799999999</v>
      </c>
      <c r="L1290" s="4">
        <v>10</v>
      </c>
    </row>
    <row r="1291" spans="1:12">
      <c r="A1291" t="s">
        <v>105</v>
      </c>
      <c r="B1291" s="10">
        <v>45563</v>
      </c>
      <c r="C1291" s="18">
        <f t="shared" si="20"/>
        <v>9</v>
      </c>
      <c r="D1291" t="s">
        <v>186</v>
      </c>
      <c r="E1291">
        <v>4877187</v>
      </c>
      <c r="F1291" t="s">
        <v>8</v>
      </c>
      <c r="G1291" t="s">
        <v>206</v>
      </c>
      <c r="H1291" t="s">
        <v>209</v>
      </c>
      <c r="I1291" s="4">
        <v>17715.352800000001</v>
      </c>
      <c r="J1291" s="4">
        <v>177153.52799999999</v>
      </c>
      <c r="L1291" s="4">
        <v>10</v>
      </c>
    </row>
    <row r="1292" spans="1:12">
      <c r="A1292" t="s">
        <v>105</v>
      </c>
      <c r="B1292" s="10">
        <v>45565</v>
      </c>
      <c r="C1292" s="18">
        <f t="shared" si="20"/>
        <v>9</v>
      </c>
      <c r="D1292" t="s">
        <v>186</v>
      </c>
      <c r="E1292">
        <v>6080604</v>
      </c>
      <c r="F1292" t="s">
        <v>8</v>
      </c>
      <c r="G1292" t="s">
        <v>202</v>
      </c>
      <c r="H1292" t="s">
        <v>261</v>
      </c>
      <c r="I1292" s="4">
        <v>41587.104800000001</v>
      </c>
      <c r="J1292" s="4">
        <v>332696.83840000001</v>
      </c>
      <c r="L1292" s="4">
        <v>8</v>
      </c>
    </row>
    <row r="1293" spans="1:12">
      <c r="A1293" t="s">
        <v>105</v>
      </c>
      <c r="B1293" s="10">
        <v>45565</v>
      </c>
      <c r="C1293" s="18">
        <f t="shared" si="20"/>
        <v>9</v>
      </c>
      <c r="D1293" t="s">
        <v>186</v>
      </c>
      <c r="E1293">
        <v>6080604</v>
      </c>
      <c r="F1293" t="s">
        <v>8</v>
      </c>
      <c r="G1293" t="s">
        <v>202</v>
      </c>
      <c r="H1293" t="s">
        <v>258</v>
      </c>
      <c r="I1293" s="4">
        <v>37817.880799999999</v>
      </c>
      <c r="J1293" s="4">
        <v>189089.40399999998</v>
      </c>
      <c r="L1293" s="4">
        <v>5</v>
      </c>
    </row>
    <row r="1294" spans="1:12">
      <c r="A1294" t="s">
        <v>105</v>
      </c>
      <c r="B1294" s="10">
        <v>45539</v>
      </c>
      <c r="C1294" s="18">
        <f t="shared" si="20"/>
        <v>9</v>
      </c>
      <c r="D1294" t="s">
        <v>116</v>
      </c>
      <c r="E1294">
        <v>4878420</v>
      </c>
      <c r="F1294" t="s">
        <v>8</v>
      </c>
      <c r="G1294" t="s">
        <v>203</v>
      </c>
      <c r="H1294" t="s">
        <v>240</v>
      </c>
      <c r="I1294" s="4">
        <v>100638.28079999999</v>
      </c>
      <c r="J1294" s="4">
        <v>201276.56159999999</v>
      </c>
      <c r="L1294" s="4">
        <v>2</v>
      </c>
    </row>
    <row r="1295" spans="1:12">
      <c r="A1295" t="s">
        <v>105</v>
      </c>
      <c r="B1295" s="10">
        <v>45539</v>
      </c>
      <c r="C1295" s="18">
        <f t="shared" si="20"/>
        <v>9</v>
      </c>
      <c r="D1295" t="s">
        <v>116</v>
      </c>
      <c r="E1295">
        <v>4878420</v>
      </c>
      <c r="F1295" t="s">
        <v>8</v>
      </c>
      <c r="G1295" t="s">
        <v>203</v>
      </c>
      <c r="H1295" t="s">
        <v>230</v>
      </c>
      <c r="I1295" s="4">
        <v>100638.28079999999</v>
      </c>
      <c r="J1295" s="4">
        <v>201276.56159999999</v>
      </c>
      <c r="L1295" s="4">
        <v>2</v>
      </c>
    </row>
    <row r="1296" spans="1:12">
      <c r="A1296" t="s">
        <v>105</v>
      </c>
      <c r="B1296" s="10">
        <v>45539</v>
      </c>
      <c r="C1296" s="18">
        <f t="shared" si="20"/>
        <v>9</v>
      </c>
      <c r="D1296" t="s">
        <v>116</v>
      </c>
      <c r="E1296">
        <v>4878420</v>
      </c>
      <c r="F1296" t="s">
        <v>8</v>
      </c>
      <c r="G1296" t="s">
        <v>203</v>
      </c>
      <c r="H1296" t="s">
        <v>237</v>
      </c>
      <c r="I1296" s="4">
        <v>125766.4408</v>
      </c>
      <c r="J1296" s="4">
        <v>125766.4408</v>
      </c>
      <c r="L1296" s="4">
        <v>1</v>
      </c>
    </row>
    <row r="1297" spans="1:12">
      <c r="A1297" t="s">
        <v>105</v>
      </c>
      <c r="B1297" s="10">
        <v>45539</v>
      </c>
      <c r="C1297" s="18">
        <f t="shared" si="20"/>
        <v>9</v>
      </c>
      <c r="D1297" t="s">
        <v>116</v>
      </c>
      <c r="E1297">
        <v>4878424</v>
      </c>
      <c r="F1297" t="s">
        <v>8</v>
      </c>
      <c r="G1297" t="s">
        <v>203</v>
      </c>
      <c r="H1297" t="s">
        <v>240</v>
      </c>
      <c r="I1297" s="4">
        <v>100638.28079999999</v>
      </c>
      <c r="J1297" s="4">
        <v>201276.56159999999</v>
      </c>
      <c r="L1297" s="4">
        <v>2</v>
      </c>
    </row>
    <row r="1298" spans="1:12">
      <c r="A1298" t="s">
        <v>105</v>
      </c>
      <c r="B1298" s="10">
        <v>45539</v>
      </c>
      <c r="C1298" s="18">
        <f t="shared" si="20"/>
        <v>9</v>
      </c>
      <c r="D1298" t="s">
        <v>116</v>
      </c>
      <c r="E1298">
        <v>4878424</v>
      </c>
      <c r="F1298" t="s">
        <v>8</v>
      </c>
      <c r="G1298" t="s">
        <v>203</v>
      </c>
      <c r="H1298" t="s">
        <v>236</v>
      </c>
      <c r="I1298" s="4">
        <v>100638.28079999999</v>
      </c>
      <c r="J1298" s="4">
        <v>201276.56159999999</v>
      </c>
      <c r="L1298" s="4">
        <v>2</v>
      </c>
    </row>
    <row r="1299" spans="1:12">
      <c r="A1299" t="s">
        <v>105</v>
      </c>
      <c r="B1299" s="10">
        <v>45539</v>
      </c>
      <c r="C1299" s="18">
        <f t="shared" si="20"/>
        <v>9</v>
      </c>
      <c r="D1299" t="s">
        <v>116</v>
      </c>
      <c r="E1299">
        <v>4878424</v>
      </c>
      <c r="F1299" t="s">
        <v>8</v>
      </c>
      <c r="G1299" t="s">
        <v>203</v>
      </c>
      <c r="H1299" t="s">
        <v>228</v>
      </c>
      <c r="I1299" s="4">
        <v>100638.28079999999</v>
      </c>
      <c r="J1299" s="4">
        <v>201276.56159999999</v>
      </c>
      <c r="L1299" s="4">
        <v>2</v>
      </c>
    </row>
    <row r="1300" spans="1:12">
      <c r="A1300" t="s">
        <v>105</v>
      </c>
      <c r="B1300" s="10">
        <v>45539</v>
      </c>
      <c r="C1300" s="18">
        <f t="shared" si="20"/>
        <v>9</v>
      </c>
      <c r="D1300" t="s">
        <v>116</v>
      </c>
      <c r="E1300">
        <v>4878457</v>
      </c>
      <c r="F1300" t="s">
        <v>8</v>
      </c>
      <c r="G1300" t="s">
        <v>203</v>
      </c>
      <c r="H1300" t="s">
        <v>228</v>
      </c>
      <c r="I1300" s="4">
        <v>100638.28079999999</v>
      </c>
      <c r="J1300" s="4">
        <v>402553.12319999997</v>
      </c>
      <c r="L1300" s="4">
        <v>4</v>
      </c>
    </row>
    <row r="1301" spans="1:12">
      <c r="A1301" t="s">
        <v>105</v>
      </c>
      <c r="B1301" s="10">
        <v>45539</v>
      </c>
      <c r="C1301" s="18">
        <f t="shared" si="20"/>
        <v>9</v>
      </c>
      <c r="D1301" t="s">
        <v>116</v>
      </c>
      <c r="E1301">
        <v>4878468</v>
      </c>
      <c r="F1301" t="s">
        <v>8</v>
      </c>
      <c r="G1301" t="s">
        <v>203</v>
      </c>
      <c r="H1301" t="s">
        <v>240</v>
      </c>
      <c r="I1301" s="4">
        <v>100638.28079999999</v>
      </c>
      <c r="J1301" s="4">
        <v>201276.56159999999</v>
      </c>
      <c r="L1301" s="4">
        <v>2</v>
      </c>
    </row>
    <row r="1302" spans="1:12">
      <c r="A1302" t="s">
        <v>105</v>
      </c>
      <c r="B1302" s="10">
        <v>45539</v>
      </c>
      <c r="C1302" s="18">
        <f t="shared" si="20"/>
        <v>9</v>
      </c>
      <c r="D1302" t="s">
        <v>116</v>
      </c>
      <c r="E1302">
        <v>4878468</v>
      </c>
      <c r="F1302" t="s">
        <v>8</v>
      </c>
      <c r="G1302" t="s">
        <v>203</v>
      </c>
      <c r="H1302" t="s">
        <v>230</v>
      </c>
      <c r="I1302" s="4">
        <v>100638.28079999999</v>
      </c>
      <c r="J1302" s="4">
        <v>201276.56159999999</v>
      </c>
      <c r="L1302" s="4">
        <v>2</v>
      </c>
    </row>
    <row r="1303" spans="1:12">
      <c r="A1303" t="s">
        <v>105</v>
      </c>
      <c r="B1303" s="10">
        <v>45539</v>
      </c>
      <c r="C1303" s="18">
        <f t="shared" si="20"/>
        <v>9</v>
      </c>
      <c r="D1303" t="s">
        <v>116</v>
      </c>
      <c r="E1303">
        <v>4878468</v>
      </c>
      <c r="F1303" t="s">
        <v>8</v>
      </c>
      <c r="G1303" t="s">
        <v>203</v>
      </c>
      <c r="H1303" t="s">
        <v>244</v>
      </c>
      <c r="I1303" s="4">
        <v>125766.4408</v>
      </c>
      <c r="J1303" s="4">
        <v>251532.88159999999</v>
      </c>
      <c r="L1303" s="4">
        <v>2</v>
      </c>
    </row>
    <row r="1304" spans="1:12">
      <c r="A1304" t="s">
        <v>105</v>
      </c>
      <c r="B1304" s="10">
        <v>45539</v>
      </c>
      <c r="C1304" s="18">
        <f t="shared" si="20"/>
        <v>9</v>
      </c>
      <c r="D1304" t="s">
        <v>116</v>
      </c>
      <c r="E1304">
        <v>4878468</v>
      </c>
      <c r="F1304" t="s">
        <v>8</v>
      </c>
      <c r="G1304" t="s">
        <v>203</v>
      </c>
      <c r="H1304" t="s">
        <v>237</v>
      </c>
      <c r="I1304" s="4">
        <v>125766.4408</v>
      </c>
      <c r="J1304" s="4">
        <v>251532.88159999999</v>
      </c>
      <c r="L1304" s="4">
        <v>2</v>
      </c>
    </row>
    <row r="1305" spans="1:12">
      <c r="A1305" t="s">
        <v>105</v>
      </c>
      <c r="B1305" s="10">
        <v>45540</v>
      </c>
      <c r="C1305" s="18">
        <f t="shared" si="20"/>
        <v>9</v>
      </c>
      <c r="D1305" t="s">
        <v>118</v>
      </c>
      <c r="E1305">
        <v>4878834</v>
      </c>
      <c r="F1305" t="s">
        <v>8</v>
      </c>
      <c r="G1305" t="s">
        <v>203</v>
      </c>
      <c r="H1305" t="s">
        <v>237</v>
      </c>
      <c r="I1305" s="4">
        <v>125766.4408</v>
      </c>
      <c r="J1305" s="4">
        <v>251532.88159999999</v>
      </c>
      <c r="L1305" s="4">
        <v>2</v>
      </c>
    </row>
    <row r="1306" spans="1:12">
      <c r="A1306" t="s">
        <v>105</v>
      </c>
      <c r="B1306" s="10">
        <v>45542</v>
      </c>
      <c r="C1306" s="18">
        <f t="shared" si="20"/>
        <v>9</v>
      </c>
      <c r="D1306" t="s">
        <v>116</v>
      </c>
      <c r="E1306">
        <v>4878427</v>
      </c>
      <c r="F1306" t="s">
        <v>8</v>
      </c>
      <c r="G1306" t="s">
        <v>203</v>
      </c>
      <c r="H1306" t="s">
        <v>245</v>
      </c>
      <c r="I1306" s="4">
        <v>100638.28079999999</v>
      </c>
      <c r="J1306" s="4">
        <v>402553.12319999997</v>
      </c>
      <c r="L1306" s="4">
        <v>4</v>
      </c>
    </row>
    <row r="1307" spans="1:12">
      <c r="A1307" t="s">
        <v>105</v>
      </c>
      <c r="B1307" s="10">
        <v>45542</v>
      </c>
      <c r="C1307" s="18">
        <f t="shared" si="20"/>
        <v>9</v>
      </c>
      <c r="D1307" t="s">
        <v>116</v>
      </c>
      <c r="E1307">
        <v>4878427</v>
      </c>
      <c r="F1307" t="s">
        <v>8</v>
      </c>
      <c r="G1307" t="s">
        <v>203</v>
      </c>
      <c r="H1307" t="s">
        <v>240</v>
      </c>
      <c r="I1307" s="4">
        <v>100638.28079999999</v>
      </c>
      <c r="J1307" s="4">
        <v>1006382.808</v>
      </c>
      <c r="L1307" s="4">
        <v>10</v>
      </c>
    </row>
    <row r="1308" spans="1:12">
      <c r="A1308" t="s">
        <v>105</v>
      </c>
      <c r="B1308" s="10">
        <v>45542</v>
      </c>
      <c r="C1308" s="18">
        <f t="shared" si="20"/>
        <v>9</v>
      </c>
      <c r="D1308" t="s">
        <v>116</v>
      </c>
      <c r="E1308">
        <v>4878427</v>
      </c>
      <c r="F1308" t="s">
        <v>8</v>
      </c>
      <c r="G1308" t="s">
        <v>203</v>
      </c>
      <c r="H1308" t="s">
        <v>230</v>
      </c>
      <c r="I1308" s="4">
        <v>100638.28079999999</v>
      </c>
      <c r="J1308" s="4">
        <v>201276.56159999999</v>
      </c>
      <c r="L1308" s="4">
        <v>2</v>
      </c>
    </row>
    <row r="1309" spans="1:12">
      <c r="A1309" t="s">
        <v>105</v>
      </c>
      <c r="B1309" s="10">
        <v>45542</v>
      </c>
      <c r="C1309" s="18">
        <f t="shared" si="20"/>
        <v>9</v>
      </c>
      <c r="D1309" t="s">
        <v>116</v>
      </c>
      <c r="E1309">
        <v>4878427</v>
      </c>
      <c r="F1309" t="s">
        <v>8</v>
      </c>
      <c r="G1309" t="s">
        <v>203</v>
      </c>
      <c r="H1309" t="s">
        <v>241</v>
      </c>
      <c r="I1309" s="4">
        <v>125766.4408</v>
      </c>
      <c r="J1309" s="4">
        <v>754598.64480000001</v>
      </c>
      <c r="L1309" s="4">
        <v>6</v>
      </c>
    </row>
    <row r="1310" spans="1:12">
      <c r="A1310" t="s">
        <v>105</v>
      </c>
      <c r="B1310" s="10">
        <v>45542</v>
      </c>
      <c r="C1310" s="18">
        <f t="shared" si="20"/>
        <v>9</v>
      </c>
      <c r="D1310" t="s">
        <v>116</v>
      </c>
      <c r="E1310">
        <v>4878427</v>
      </c>
      <c r="F1310" t="s">
        <v>8</v>
      </c>
      <c r="G1310" t="s">
        <v>203</v>
      </c>
      <c r="H1310" t="s">
        <v>231</v>
      </c>
      <c r="I1310" s="4">
        <v>125766.4408</v>
      </c>
      <c r="J1310" s="4">
        <v>754598.64480000001</v>
      </c>
      <c r="L1310" s="4">
        <v>6</v>
      </c>
    </row>
    <row r="1311" spans="1:12">
      <c r="A1311" t="s">
        <v>105</v>
      </c>
      <c r="B1311" s="10">
        <v>45542</v>
      </c>
      <c r="C1311" s="18">
        <f t="shared" si="20"/>
        <v>9</v>
      </c>
      <c r="D1311" t="s">
        <v>116</v>
      </c>
      <c r="E1311">
        <v>4878477</v>
      </c>
      <c r="F1311" t="s">
        <v>8</v>
      </c>
      <c r="G1311" t="s">
        <v>203</v>
      </c>
      <c r="H1311" t="s">
        <v>240</v>
      </c>
      <c r="I1311" s="4">
        <v>100638.28079999999</v>
      </c>
      <c r="J1311" s="4">
        <v>402553.12319999997</v>
      </c>
      <c r="L1311" s="4">
        <v>4</v>
      </c>
    </row>
    <row r="1312" spans="1:12">
      <c r="A1312" t="s">
        <v>105</v>
      </c>
      <c r="B1312" s="10">
        <v>45542</v>
      </c>
      <c r="C1312" s="18">
        <f t="shared" si="20"/>
        <v>9</v>
      </c>
      <c r="D1312" t="s">
        <v>118</v>
      </c>
      <c r="E1312">
        <v>4877628</v>
      </c>
      <c r="F1312" t="s">
        <v>8</v>
      </c>
      <c r="G1312" t="s">
        <v>203</v>
      </c>
      <c r="H1312" t="s">
        <v>240</v>
      </c>
      <c r="I1312" s="4">
        <v>100638.28079999999</v>
      </c>
      <c r="J1312" s="4">
        <v>201276.56159999999</v>
      </c>
      <c r="L1312" s="4">
        <v>2</v>
      </c>
    </row>
    <row r="1313" spans="1:12">
      <c r="A1313" t="s">
        <v>105</v>
      </c>
      <c r="B1313" s="10">
        <v>45542</v>
      </c>
      <c r="C1313" s="18">
        <f t="shared" si="20"/>
        <v>9</v>
      </c>
      <c r="D1313" t="s">
        <v>118</v>
      </c>
      <c r="E1313">
        <v>4877628</v>
      </c>
      <c r="F1313" t="s">
        <v>8</v>
      </c>
      <c r="G1313" t="s">
        <v>203</v>
      </c>
      <c r="H1313" t="s">
        <v>223</v>
      </c>
      <c r="I1313" s="4">
        <v>100638.28079999999</v>
      </c>
      <c r="J1313" s="4">
        <v>201276.56159999999</v>
      </c>
      <c r="L1313" s="4">
        <v>2</v>
      </c>
    </row>
    <row r="1314" spans="1:12">
      <c r="A1314" t="s">
        <v>107</v>
      </c>
      <c r="B1314" s="10">
        <v>45536</v>
      </c>
      <c r="C1314" s="18">
        <f t="shared" si="20"/>
        <v>9</v>
      </c>
      <c r="D1314" t="s">
        <v>182</v>
      </c>
      <c r="E1314">
        <v>4874538</v>
      </c>
      <c r="F1314" t="s">
        <v>8</v>
      </c>
      <c r="G1314" t="s">
        <v>203</v>
      </c>
      <c r="H1314" t="s">
        <v>235</v>
      </c>
      <c r="I1314" s="4">
        <v>125766.4408</v>
      </c>
      <c r="J1314" s="4">
        <v>628832.20400000003</v>
      </c>
      <c r="L1314" s="4">
        <v>5</v>
      </c>
    </row>
    <row r="1315" spans="1:12">
      <c r="A1315" t="s">
        <v>107</v>
      </c>
      <c r="B1315" s="10">
        <v>45536</v>
      </c>
      <c r="C1315" s="18">
        <f t="shared" si="20"/>
        <v>9</v>
      </c>
      <c r="D1315" t="s">
        <v>182</v>
      </c>
      <c r="E1315">
        <v>4874538</v>
      </c>
      <c r="F1315" t="s">
        <v>8</v>
      </c>
      <c r="G1315" t="s">
        <v>203</v>
      </c>
      <c r="H1315" t="s">
        <v>233</v>
      </c>
      <c r="I1315" s="4">
        <v>120735.78316800001</v>
      </c>
      <c r="J1315" s="4">
        <v>362207.34950400004</v>
      </c>
      <c r="L1315" s="4">
        <v>3</v>
      </c>
    </row>
    <row r="1316" spans="1:12">
      <c r="A1316" t="s">
        <v>107</v>
      </c>
      <c r="B1316" s="10">
        <v>45538</v>
      </c>
      <c r="C1316" s="18">
        <f t="shared" si="20"/>
        <v>9</v>
      </c>
      <c r="D1316" t="s">
        <v>187</v>
      </c>
      <c r="E1316">
        <v>4876600</v>
      </c>
      <c r="F1316" t="s">
        <v>8</v>
      </c>
      <c r="G1316" t="s">
        <v>203</v>
      </c>
      <c r="H1316" t="s">
        <v>244</v>
      </c>
      <c r="I1316" s="4">
        <v>125766.4408</v>
      </c>
      <c r="J1316" s="4">
        <v>377299.3224</v>
      </c>
      <c r="L1316" s="4">
        <v>3</v>
      </c>
    </row>
    <row r="1317" spans="1:12">
      <c r="A1317" t="s">
        <v>107</v>
      </c>
      <c r="B1317" s="10">
        <v>45541</v>
      </c>
      <c r="C1317" s="18">
        <f t="shared" si="20"/>
        <v>9</v>
      </c>
      <c r="D1317" t="s">
        <v>162</v>
      </c>
      <c r="E1317">
        <v>4876712</v>
      </c>
      <c r="F1317" t="s">
        <v>8</v>
      </c>
      <c r="G1317" t="s">
        <v>203</v>
      </c>
      <c r="H1317" t="s">
        <v>232</v>
      </c>
      <c r="I1317" s="4">
        <v>100638.28079999999</v>
      </c>
      <c r="J1317" s="4">
        <v>805106.24639999995</v>
      </c>
      <c r="L1317" s="4">
        <v>8</v>
      </c>
    </row>
    <row r="1318" spans="1:12">
      <c r="A1318" t="s">
        <v>107</v>
      </c>
      <c r="B1318" s="10">
        <v>45541</v>
      </c>
      <c r="C1318" s="18">
        <f t="shared" si="20"/>
        <v>9</v>
      </c>
      <c r="D1318" t="s">
        <v>162</v>
      </c>
      <c r="E1318">
        <v>4876712</v>
      </c>
      <c r="F1318" t="s">
        <v>8</v>
      </c>
      <c r="G1318" t="s">
        <v>203</v>
      </c>
      <c r="H1318" t="s">
        <v>235</v>
      </c>
      <c r="I1318" s="4">
        <v>125766.4408</v>
      </c>
      <c r="J1318" s="4">
        <v>125766.4408</v>
      </c>
      <c r="L1318" s="4">
        <v>1</v>
      </c>
    </row>
    <row r="1319" spans="1:12">
      <c r="A1319" t="s">
        <v>107</v>
      </c>
      <c r="B1319" s="10">
        <v>45541</v>
      </c>
      <c r="C1319" s="18">
        <f t="shared" si="20"/>
        <v>9</v>
      </c>
      <c r="D1319" t="s">
        <v>162</v>
      </c>
      <c r="E1319">
        <v>4874332</v>
      </c>
      <c r="F1319" t="s">
        <v>8</v>
      </c>
      <c r="G1319" t="s">
        <v>203</v>
      </c>
      <c r="H1319" t="s">
        <v>232</v>
      </c>
      <c r="I1319" s="4">
        <v>100638.28079999999</v>
      </c>
      <c r="J1319" s="4">
        <v>402553.12319999997</v>
      </c>
      <c r="L1319" s="4">
        <v>4</v>
      </c>
    </row>
    <row r="1320" spans="1:12">
      <c r="A1320" t="s">
        <v>107</v>
      </c>
      <c r="B1320" s="10">
        <v>45542</v>
      </c>
      <c r="C1320" s="18">
        <f t="shared" si="20"/>
        <v>9</v>
      </c>
      <c r="D1320" t="s">
        <v>163</v>
      </c>
      <c r="E1320">
        <v>4874231</v>
      </c>
      <c r="F1320" t="s">
        <v>8</v>
      </c>
      <c r="G1320" t="s">
        <v>203</v>
      </c>
      <c r="H1320" t="s">
        <v>235</v>
      </c>
      <c r="I1320" s="4">
        <v>125766.4408</v>
      </c>
      <c r="J1320" s="4">
        <v>503065.76319999999</v>
      </c>
      <c r="L1320" s="4">
        <v>4</v>
      </c>
    </row>
    <row r="1321" spans="1:12">
      <c r="A1321" t="s">
        <v>107</v>
      </c>
      <c r="B1321" s="10">
        <v>45542</v>
      </c>
      <c r="C1321" s="18">
        <f t="shared" si="20"/>
        <v>9</v>
      </c>
      <c r="D1321" t="s">
        <v>167</v>
      </c>
      <c r="E1321">
        <v>4875363</v>
      </c>
      <c r="F1321" t="s">
        <v>8</v>
      </c>
      <c r="G1321" t="s">
        <v>203</v>
      </c>
      <c r="H1321" t="s">
        <v>240</v>
      </c>
      <c r="I1321" s="4">
        <v>100638.28079999999</v>
      </c>
      <c r="J1321" s="4">
        <v>805106.24639999995</v>
      </c>
      <c r="L1321" s="4">
        <v>8</v>
      </c>
    </row>
    <row r="1322" spans="1:12">
      <c r="A1322" t="s">
        <v>107</v>
      </c>
      <c r="B1322" s="10">
        <v>45542</v>
      </c>
      <c r="C1322" s="18">
        <f t="shared" si="20"/>
        <v>9</v>
      </c>
      <c r="D1322" t="s">
        <v>167</v>
      </c>
      <c r="E1322">
        <v>4875363</v>
      </c>
      <c r="F1322" t="s">
        <v>8</v>
      </c>
      <c r="G1322" t="s">
        <v>203</v>
      </c>
      <c r="H1322" t="s">
        <v>230</v>
      </c>
      <c r="I1322" s="4">
        <v>100638.28079999999</v>
      </c>
      <c r="J1322" s="4">
        <v>805106.24639999995</v>
      </c>
      <c r="L1322" s="4">
        <v>8</v>
      </c>
    </row>
    <row r="1323" spans="1:12">
      <c r="A1323" t="s">
        <v>107</v>
      </c>
      <c r="B1323" s="10">
        <v>45542</v>
      </c>
      <c r="C1323" s="18">
        <f t="shared" si="20"/>
        <v>9</v>
      </c>
      <c r="D1323" t="s">
        <v>183</v>
      </c>
      <c r="E1323">
        <v>4876848</v>
      </c>
      <c r="F1323" t="s">
        <v>8</v>
      </c>
      <c r="G1323" t="s">
        <v>203</v>
      </c>
      <c r="H1323" t="s">
        <v>245</v>
      </c>
      <c r="I1323" s="4">
        <v>100638.28079999999</v>
      </c>
      <c r="J1323" s="4">
        <v>402553.12319999997</v>
      </c>
      <c r="L1323" s="4">
        <v>4</v>
      </c>
    </row>
    <row r="1324" spans="1:12">
      <c r="A1324" t="s">
        <v>107</v>
      </c>
      <c r="B1324" s="10">
        <v>45542</v>
      </c>
      <c r="C1324" s="18">
        <f t="shared" si="20"/>
        <v>9</v>
      </c>
      <c r="D1324" t="s">
        <v>183</v>
      </c>
      <c r="E1324">
        <v>4876848</v>
      </c>
      <c r="F1324" t="s">
        <v>8</v>
      </c>
      <c r="G1324" t="s">
        <v>203</v>
      </c>
      <c r="H1324" t="s">
        <v>240</v>
      </c>
      <c r="I1324" s="4">
        <v>100638.28079999999</v>
      </c>
      <c r="J1324" s="4">
        <v>402553.12319999997</v>
      </c>
      <c r="L1324" s="4">
        <v>4</v>
      </c>
    </row>
    <row r="1325" spans="1:12">
      <c r="A1325" t="s">
        <v>107</v>
      </c>
      <c r="B1325" s="10">
        <v>45542</v>
      </c>
      <c r="C1325" s="18">
        <f t="shared" si="20"/>
        <v>9</v>
      </c>
      <c r="D1325" t="s">
        <v>183</v>
      </c>
      <c r="E1325">
        <v>4876848</v>
      </c>
      <c r="F1325" t="s">
        <v>8</v>
      </c>
      <c r="G1325" t="s">
        <v>203</v>
      </c>
      <c r="H1325" t="s">
        <v>232</v>
      </c>
      <c r="I1325" s="4">
        <v>100638.28079999999</v>
      </c>
      <c r="J1325" s="4">
        <v>201276.56159999999</v>
      </c>
      <c r="L1325" s="4">
        <v>2</v>
      </c>
    </row>
    <row r="1326" spans="1:12">
      <c r="A1326" t="s">
        <v>107</v>
      </c>
      <c r="B1326" s="10">
        <v>45542</v>
      </c>
      <c r="C1326" s="18">
        <f t="shared" si="20"/>
        <v>9</v>
      </c>
      <c r="D1326" t="s">
        <v>183</v>
      </c>
      <c r="E1326">
        <v>4876848</v>
      </c>
      <c r="F1326" t="s">
        <v>8</v>
      </c>
      <c r="G1326" t="s">
        <v>203</v>
      </c>
      <c r="H1326" t="s">
        <v>230</v>
      </c>
      <c r="I1326" s="4">
        <v>100638.28079999999</v>
      </c>
      <c r="J1326" s="4">
        <v>402553.12319999997</v>
      </c>
      <c r="L1326" s="4">
        <v>4</v>
      </c>
    </row>
    <row r="1327" spans="1:12">
      <c r="A1327" t="s">
        <v>107</v>
      </c>
      <c r="B1327" s="10">
        <v>45542</v>
      </c>
      <c r="C1327" s="18">
        <f t="shared" si="20"/>
        <v>9</v>
      </c>
      <c r="D1327" t="s">
        <v>183</v>
      </c>
      <c r="E1327">
        <v>7114433</v>
      </c>
      <c r="F1327" t="s">
        <v>8</v>
      </c>
      <c r="G1327" t="s">
        <v>203</v>
      </c>
      <c r="H1327" t="s">
        <v>245</v>
      </c>
      <c r="I1327" s="4">
        <v>100638.28079999999</v>
      </c>
      <c r="J1327" s="4">
        <v>201276.56159999999</v>
      </c>
      <c r="K1327" s="4">
        <v>-8669.2151999999987</v>
      </c>
      <c r="L1327" s="4">
        <v>2</v>
      </c>
    </row>
    <row r="1328" spans="1:12">
      <c r="A1328" t="s">
        <v>107</v>
      </c>
      <c r="B1328" s="10">
        <v>45542</v>
      </c>
      <c r="C1328" s="18">
        <f t="shared" si="20"/>
        <v>9</v>
      </c>
      <c r="D1328" t="s">
        <v>183</v>
      </c>
      <c r="E1328">
        <v>7114433</v>
      </c>
      <c r="F1328" t="s">
        <v>8</v>
      </c>
      <c r="G1328" t="s">
        <v>203</v>
      </c>
      <c r="H1328" t="s">
        <v>240</v>
      </c>
      <c r="I1328" s="4">
        <v>100638.28079999999</v>
      </c>
      <c r="J1328" s="4">
        <v>201276.56159999999</v>
      </c>
      <c r="K1328" s="4">
        <v>-8669.2151999999987</v>
      </c>
      <c r="L1328" s="4">
        <v>2</v>
      </c>
    </row>
    <row r="1329" spans="1:12">
      <c r="A1329" t="s">
        <v>107</v>
      </c>
      <c r="B1329" s="10">
        <v>45542</v>
      </c>
      <c r="C1329" s="18">
        <f t="shared" si="20"/>
        <v>9</v>
      </c>
      <c r="D1329" t="s">
        <v>183</v>
      </c>
      <c r="E1329">
        <v>7114433</v>
      </c>
      <c r="F1329" t="s">
        <v>8</v>
      </c>
      <c r="G1329" t="s">
        <v>203</v>
      </c>
      <c r="H1329" t="s">
        <v>230</v>
      </c>
      <c r="I1329" s="4">
        <v>100638.28079999999</v>
      </c>
      <c r="J1329" s="4">
        <v>201276.56159999999</v>
      </c>
      <c r="K1329" s="4">
        <v>-8669.2151999999987</v>
      </c>
      <c r="L1329" s="4">
        <v>2</v>
      </c>
    </row>
    <row r="1330" spans="1:12">
      <c r="A1330" t="s">
        <v>107</v>
      </c>
      <c r="B1330" s="10">
        <v>45542</v>
      </c>
      <c r="C1330" s="18">
        <f t="shared" si="20"/>
        <v>9</v>
      </c>
      <c r="D1330" t="s">
        <v>183</v>
      </c>
      <c r="E1330">
        <v>7114433</v>
      </c>
      <c r="F1330" t="s">
        <v>8</v>
      </c>
      <c r="G1330" t="s">
        <v>203</v>
      </c>
      <c r="H1330" t="s">
        <v>235</v>
      </c>
      <c r="I1330" s="4">
        <v>125766.4408</v>
      </c>
      <c r="J1330" s="4">
        <v>251532.88159999999</v>
      </c>
      <c r="K1330" s="4">
        <v>-11307.672</v>
      </c>
      <c r="L1330" s="4">
        <v>2</v>
      </c>
    </row>
    <row r="1331" spans="1:12">
      <c r="A1331" t="s">
        <v>107</v>
      </c>
      <c r="B1331" s="10">
        <v>45542</v>
      </c>
      <c r="C1331" s="18">
        <f t="shared" si="20"/>
        <v>9</v>
      </c>
      <c r="D1331" t="s">
        <v>183</v>
      </c>
      <c r="E1331">
        <v>4874448</v>
      </c>
      <c r="F1331" t="s">
        <v>8</v>
      </c>
      <c r="G1331" t="s">
        <v>202</v>
      </c>
      <c r="H1331" t="s">
        <v>258</v>
      </c>
      <c r="I1331" s="4">
        <v>37817.880799999999</v>
      </c>
      <c r="J1331" s="4">
        <v>-378178.80799999996</v>
      </c>
      <c r="L1331" s="4">
        <v>-10</v>
      </c>
    </row>
    <row r="1332" spans="1:12">
      <c r="A1332" t="s">
        <v>107</v>
      </c>
      <c r="B1332" s="10">
        <v>45544</v>
      </c>
      <c r="C1332" s="18">
        <f t="shared" si="20"/>
        <v>9</v>
      </c>
      <c r="D1332" t="s">
        <v>140</v>
      </c>
      <c r="E1332">
        <v>4877412</v>
      </c>
      <c r="F1332" t="s">
        <v>8</v>
      </c>
      <c r="G1332" t="s">
        <v>203</v>
      </c>
      <c r="H1332" t="s">
        <v>240</v>
      </c>
      <c r="I1332" s="4">
        <v>100638.28079999999</v>
      </c>
      <c r="J1332" s="4">
        <v>1006382.808</v>
      </c>
      <c r="L1332" s="4">
        <v>10</v>
      </c>
    </row>
    <row r="1333" spans="1:12">
      <c r="A1333" t="s">
        <v>107</v>
      </c>
      <c r="B1333" s="10">
        <v>45544</v>
      </c>
      <c r="C1333" s="18">
        <f t="shared" si="20"/>
        <v>9</v>
      </c>
      <c r="D1333" t="s">
        <v>140</v>
      </c>
      <c r="E1333">
        <v>4877412</v>
      </c>
      <c r="F1333" t="s">
        <v>8</v>
      </c>
      <c r="G1333" t="s">
        <v>203</v>
      </c>
      <c r="H1333" t="s">
        <v>236</v>
      </c>
      <c r="I1333" s="4">
        <v>100638.28079999999</v>
      </c>
      <c r="J1333" s="4">
        <v>402553.12319999997</v>
      </c>
      <c r="L1333" s="4">
        <v>4</v>
      </c>
    </row>
    <row r="1334" spans="1:12">
      <c r="A1334" t="s">
        <v>107</v>
      </c>
      <c r="B1334" s="10">
        <v>45544</v>
      </c>
      <c r="C1334" s="18">
        <f t="shared" si="20"/>
        <v>9</v>
      </c>
      <c r="D1334" t="s">
        <v>140</v>
      </c>
      <c r="E1334">
        <v>4877412</v>
      </c>
      <c r="F1334" t="s">
        <v>8</v>
      </c>
      <c r="G1334" t="s">
        <v>203</v>
      </c>
      <c r="H1334" t="s">
        <v>230</v>
      </c>
      <c r="I1334" s="4">
        <v>100638.28079999999</v>
      </c>
      <c r="J1334" s="4">
        <v>1006382.808</v>
      </c>
      <c r="L1334" s="4">
        <v>10</v>
      </c>
    </row>
    <row r="1335" spans="1:12">
      <c r="A1335" t="s">
        <v>107</v>
      </c>
      <c r="B1335" s="10">
        <v>45544</v>
      </c>
      <c r="C1335" s="18">
        <f t="shared" si="20"/>
        <v>9</v>
      </c>
      <c r="D1335" t="s">
        <v>140</v>
      </c>
      <c r="E1335">
        <v>4877412</v>
      </c>
      <c r="F1335" t="s">
        <v>8</v>
      </c>
      <c r="G1335" t="s">
        <v>203</v>
      </c>
      <c r="H1335" t="s">
        <v>233</v>
      </c>
      <c r="I1335" s="4">
        <v>120735.78316800001</v>
      </c>
      <c r="J1335" s="4">
        <v>241471.56633600002</v>
      </c>
      <c r="L1335" s="4">
        <v>2</v>
      </c>
    </row>
    <row r="1336" spans="1:12">
      <c r="A1336" t="s">
        <v>107</v>
      </c>
      <c r="B1336" s="10">
        <v>45544</v>
      </c>
      <c r="C1336" s="18">
        <f t="shared" si="20"/>
        <v>9</v>
      </c>
      <c r="D1336" t="s">
        <v>140</v>
      </c>
      <c r="E1336">
        <v>4876550</v>
      </c>
      <c r="F1336" t="s">
        <v>8</v>
      </c>
      <c r="G1336" t="s">
        <v>203</v>
      </c>
      <c r="H1336" t="s">
        <v>230</v>
      </c>
      <c r="I1336" s="4">
        <v>100638.28079999999</v>
      </c>
      <c r="J1336" s="4">
        <v>603829.68479999993</v>
      </c>
      <c r="L1336" s="4">
        <v>6</v>
      </c>
    </row>
    <row r="1337" spans="1:12">
      <c r="A1337" t="s">
        <v>107</v>
      </c>
      <c r="B1337" s="10">
        <v>45544</v>
      </c>
      <c r="C1337" s="18">
        <f t="shared" si="20"/>
        <v>9</v>
      </c>
      <c r="D1337" t="s">
        <v>140</v>
      </c>
      <c r="E1337">
        <v>4876550</v>
      </c>
      <c r="F1337" t="s">
        <v>8</v>
      </c>
      <c r="G1337" t="s">
        <v>203</v>
      </c>
      <c r="H1337" t="s">
        <v>233</v>
      </c>
      <c r="I1337" s="4">
        <v>120735.78316800001</v>
      </c>
      <c r="J1337" s="4">
        <v>241471.56633600002</v>
      </c>
      <c r="L1337" s="4">
        <v>2</v>
      </c>
    </row>
    <row r="1338" spans="1:12">
      <c r="A1338" t="s">
        <v>107</v>
      </c>
      <c r="B1338" s="10">
        <v>45544</v>
      </c>
      <c r="C1338" s="18">
        <f t="shared" si="20"/>
        <v>9</v>
      </c>
      <c r="D1338" t="s">
        <v>182</v>
      </c>
      <c r="E1338">
        <v>4875672</v>
      </c>
      <c r="F1338" t="s">
        <v>8</v>
      </c>
      <c r="G1338" t="s">
        <v>203</v>
      </c>
      <c r="H1338" t="s">
        <v>236</v>
      </c>
      <c r="I1338" s="4">
        <v>100638.28079999999</v>
      </c>
      <c r="J1338" s="4">
        <v>402553.12319999997</v>
      </c>
      <c r="K1338" s="4">
        <v>-17338.430399999997</v>
      </c>
      <c r="L1338" s="4">
        <v>4</v>
      </c>
    </row>
    <row r="1339" spans="1:12">
      <c r="A1339" t="s">
        <v>107</v>
      </c>
      <c r="B1339" s="10">
        <v>45544</v>
      </c>
      <c r="C1339" s="18">
        <f t="shared" si="20"/>
        <v>9</v>
      </c>
      <c r="D1339" t="s">
        <v>182</v>
      </c>
      <c r="E1339">
        <v>4875672</v>
      </c>
      <c r="F1339" t="s">
        <v>8</v>
      </c>
      <c r="G1339" t="s">
        <v>203</v>
      </c>
      <c r="H1339" t="s">
        <v>230</v>
      </c>
      <c r="I1339" s="4">
        <v>100638.28079999999</v>
      </c>
      <c r="J1339" s="4">
        <v>402553.12319999997</v>
      </c>
      <c r="K1339" s="4">
        <v>-17338.430399999997</v>
      </c>
      <c r="L1339" s="4">
        <v>4</v>
      </c>
    </row>
    <row r="1340" spans="1:12">
      <c r="A1340" t="s">
        <v>107</v>
      </c>
      <c r="B1340" s="10">
        <v>45544</v>
      </c>
      <c r="C1340" s="18">
        <f t="shared" si="20"/>
        <v>9</v>
      </c>
      <c r="D1340" t="s">
        <v>182</v>
      </c>
      <c r="E1340">
        <v>4875672</v>
      </c>
      <c r="F1340" t="s">
        <v>8</v>
      </c>
      <c r="G1340" t="s">
        <v>203</v>
      </c>
      <c r="H1340" t="s">
        <v>241</v>
      </c>
      <c r="I1340" s="4">
        <v>125766.4408</v>
      </c>
      <c r="J1340" s="4">
        <v>628832.20400000003</v>
      </c>
      <c r="K1340" s="4">
        <v>-28269.18</v>
      </c>
      <c r="L1340" s="4">
        <v>5</v>
      </c>
    </row>
    <row r="1341" spans="1:12">
      <c r="A1341" t="s">
        <v>107</v>
      </c>
      <c r="B1341" s="10">
        <v>45544</v>
      </c>
      <c r="C1341" s="18">
        <f t="shared" si="20"/>
        <v>9</v>
      </c>
      <c r="D1341" t="s">
        <v>182</v>
      </c>
      <c r="E1341">
        <v>4875672</v>
      </c>
      <c r="F1341" t="s">
        <v>8</v>
      </c>
      <c r="G1341" t="s">
        <v>203</v>
      </c>
      <c r="H1341" t="s">
        <v>235</v>
      </c>
      <c r="I1341" s="4">
        <v>125766.4408</v>
      </c>
      <c r="J1341" s="4">
        <v>503065.76319999999</v>
      </c>
      <c r="K1341" s="4">
        <v>-22615.344000000001</v>
      </c>
      <c r="L1341" s="4">
        <v>4</v>
      </c>
    </row>
    <row r="1342" spans="1:12">
      <c r="A1342" t="s">
        <v>107</v>
      </c>
      <c r="B1342" s="10">
        <v>45544</v>
      </c>
      <c r="C1342" s="18">
        <f t="shared" si="20"/>
        <v>9</v>
      </c>
      <c r="D1342" t="s">
        <v>182</v>
      </c>
      <c r="E1342">
        <v>4875672</v>
      </c>
      <c r="F1342" t="s">
        <v>8</v>
      </c>
      <c r="G1342" t="s">
        <v>203</v>
      </c>
      <c r="H1342" t="s">
        <v>233</v>
      </c>
      <c r="I1342" s="4">
        <v>120735.78316800001</v>
      </c>
      <c r="J1342" s="4">
        <v>603678.91584000003</v>
      </c>
      <c r="K1342" s="4">
        <v>-28269.18</v>
      </c>
      <c r="L1342" s="4">
        <v>5</v>
      </c>
    </row>
    <row r="1343" spans="1:12">
      <c r="A1343" t="s">
        <v>107</v>
      </c>
      <c r="B1343" s="10">
        <v>45545</v>
      </c>
      <c r="C1343" s="18">
        <f t="shared" si="20"/>
        <v>9</v>
      </c>
      <c r="D1343" t="s">
        <v>151</v>
      </c>
      <c r="E1343">
        <v>4876098</v>
      </c>
      <c r="F1343" t="s">
        <v>8</v>
      </c>
      <c r="G1343" t="s">
        <v>203</v>
      </c>
      <c r="H1343" t="s">
        <v>245</v>
      </c>
      <c r="I1343" s="4">
        <v>100638.28079999999</v>
      </c>
      <c r="J1343" s="4">
        <v>201276.56159999999</v>
      </c>
      <c r="L1343" s="4">
        <v>2</v>
      </c>
    </row>
    <row r="1344" spans="1:12">
      <c r="A1344" t="s">
        <v>107</v>
      </c>
      <c r="B1344" s="10">
        <v>45545</v>
      </c>
      <c r="C1344" s="18">
        <f t="shared" si="20"/>
        <v>9</v>
      </c>
      <c r="D1344" t="s">
        <v>151</v>
      </c>
      <c r="E1344">
        <v>4876098</v>
      </c>
      <c r="F1344" t="s">
        <v>8</v>
      </c>
      <c r="G1344" t="s">
        <v>203</v>
      </c>
      <c r="H1344" t="s">
        <v>236</v>
      </c>
      <c r="I1344" s="4">
        <v>100638.28079999999</v>
      </c>
      <c r="J1344" s="4">
        <v>201276.56159999999</v>
      </c>
      <c r="L1344" s="4">
        <v>2</v>
      </c>
    </row>
    <row r="1345" spans="1:12">
      <c r="A1345" t="s">
        <v>107</v>
      </c>
      <c r="B1345" s="10">
        <v>45545</v>
      </c>
      <c r="C1345" s="18">
        <f t="shared" si="20"/>
        <v>9</v>
      </c>
      <c r="D1345" t="s">
        <v>151</v>
      </c>
      <c r="E1345">
        <v>4876098</v>
      </c>
      <c r="F1345" t="s">
        <v>8</v>
      </c>
      <c r="G1345" t="s">
        <v>203</v>
      </c>
      <c r="H1345" t="s">
        <v>230</v>
      </c>
      <c r="I1345" s="4">
        <v>100638.28079999999</v>
      </c>
      <c r="J1345" s="4">
        <v>201276.56159999999</v>
      </c>
      <c r="L1345" s="4">
        <v>2</v>
      </c>
    </row>
    <row r="1346" spans="1:12">
      <c r="A1346" t="s">
        <v>107</v>
      </c>
      <c r="B1346" s="10">
        <v>45545</v>
      </c>
      <c r="C1346" s="18">
        <f t="shared" ref="C1346:C1409" si="21">MONTH(B1346)</f>
        <v>9</v>
      </c>
      <c r="D1346" t="s">
        <v>183</v>
      </c>
      <c r="E1346">
        <v>4876848</v>
      </c>
      <c r="F1346" t="s">
        <v>8</v>
      </c>
      <c r="G1346" t="s">
        <v>203</v>
      </c>
      <c r="H1346" t="s">
        <v>245</v>
      </c>
      <c r="I1346" s="4">
        <v>100638.28079999999</v>
      </c>
      <c r="J1346" s="4">
        <v>-402553.12319999997</v>
      </c>
      <c r="L1346" s="4">
        <v>-4</v>
      </c>
    </row>
    <row r="1347" spans="1:12">
      <c r="A1347" t="s">
        <v>107</v>
      </c>
      <c r="B1347" s="10">
        <v>45545</v>
      </c>
      <c r="C1347" s="18">
        <f t="shared" si="21"/>
        <v>9</v>
      </c>
      <c r="D1347" t="s">
        <v>183</v>
      </c>
      <c r="E1347">
        <v>4876848</v>
      </c>
      <c r="F1347" t="s">
        <v>8</v>
      </c>
      <c r="G1347" t="s">
        <v>203</v>
      </c>
      <c r="H1347" t="s">
        <v>240</v>
      </c>
      <c r="I1347" s="4">
        <v>100638.28079999999</v>
      </c>
      <c r="J1347" s="4">
        <v>-402553.12319999997</v>
      </c>
      <c r="L1347" s="4">
        <v>-4</v>
      </c>
    </row>
    <row r="1348" spans="1:12">
      <c r="A1348" t="s">
        <v>107</v>
      </c>
      <c r="B1348" s="10">
        <v>45545</v>
      </c>
      <c r="C1348" s="18">
        <f t="shared" si="21"/>
        <v>9</v>
      </c>
      <c r="D1348" t="s">
        <v>183</v>
      </c>
      <c r="E1348">
        <v>4876848</v>
      </c>
      <c r="F1348" t="s">
        <v>8</v>
      </c>
      <c r="G1348" t="s">
        <v>203</v>
      </c>
      <c r="H1348" t="s">
        <v>232</v>
      </c>
      <c r="I1348" s="4">
        <v>100638.28079999999</v>
      </c>
      <c r="J1348" s="4">
        <v>-201276.56159999999</v>
      </c>
      <c r="L1348" s="4">
        <v>-2</v>
      </c>
    </row>
    <row r="1349" spans="1:12">
      <c r="A1349" t="s">
        <v>107</v>
      </c>
      <c r="B1349" s="10">
        <v>45545</v>
      </c>
      <c r="C1349" s="18">
        <f t="shared" si="21"/>
        <v>9</v>
      </c>
      <c r="D1349" t="s">
        <v>183</v>
      </c>
      <c r="E1349">
        <v>4876848</v>
      </c>
      <c r="F1349" t="s">
        <v>8</v>
      </c>
      <c r="G1349" t="s">
        <v>203</v>
      </c>
      <c r="H1349" t="s">
        <v>230</v>
      </c>
      <c r="I1349" s="4">
        <v>100638.28079999999</v>
      </c>
      <c r="J1349" s="4">
        <v>-402553.12319999997</v>
      </c>
      <c r="L1349" s="4">
        <v>-4</v>
      </c>
    </row>
    <row r="1350" spans="1:12">
      <c r="A1350" t="s">
        <v>107</v>
      </c>
      <c r="B1350" s="10">
        <v>45546</v>
      </c>
      <c r="C1350" s="18">
        <f t="shared" si="21"/>
        <v>9</v>
      </c>
      <c r="D1350" t="s">
        <v>190</v>
      </c>
      <c r="E1350">
        <v>4879096</v>
      </c>
      <c r="F1350" t="s">
        <v>8</v>
      </c>
      <c r="G1350" t="s">
        <v>203</v>
      </c>
      <c r="H1350" t="s">
        <v>245</v>
      </c>
      <c r="I1350" s="4">
        <v>100638.28079999999</v>
      </c>
      <c r="J1350" s="4">
        <v>402553.12319999997</v>
      </c>
      <c r="K1350" s="4">
        <v>-10403.05824</v>
      </c>
      <c r="L1350" s="4">
        <v>4</v>
      </c>
    </row>
    <row r="1351" spans="1:12">
      <c r="A1351" t="s">
        <v>107</v>
      </c>
      <c r="B1351" s="10">
        <v>45546</v>
      </c>
      <c r="C1351" s="18">
        <f t="shared" si="21"/>
        <v>9</v>
      </c>
      <c r="D1351" t="s">
        <v>190</v>
      </c>
      <c r="E1351">
        <v>4879096</v>
      </c>
      <c r="F1351" t="s">
        <v>8</v>
      </c>
      <c r="G1351" t="s">
        <v>203</v>
      </c>
      <c r="H1351" t="s">
        <v>240</v>
      </c>
      <c r="I1351" s="4">
        <v>100638.28079999999</v>
      </c>
      <c r="J1351" s="4">
        <v>402553.12319999997</v>
      </c>
      <c r="K1351" s="4">
        <v>-10403.05824</v>
      </c>
      <c r="L1351" s="4">
        <v>4</v>
      </c>
    </row>
    <row r="1352" spans="1:12">
      <c r="A1352" t="s">
        <v>107</v>
      </c>
      <c r="B1352" s="10">
        <v>45546</v>
      </c>
      <c r="C1352" s="18">
        <f t="shared" si="21"/>
        <v>9</v>
      </c>
      <c r="D1352" t="s">
        <v>190</v>
      </c>
      <c r="E1352">
        <v>4879096</v>
      </c>
      <c r="F1352" t="s">
        <v>8</v>
      </c>
      <c r="G1352" t="s">
        <v>203</v>
      </c>
      <c r="H1352" t="s">
        <v>236</v>
      </c>
      <c r="I1352" s="4">
        <v>100638.28079999999</v>
      </c>
      <c r="J1352" s="4">
        <v>402553.12319999997</v>
      </c>
      <c r="K1352" s="4">
        <v>-10403.05824</v>
      </c>
      <c r="L1352" s="4">
        <v>4</v>
      </c>
    </row>
    <row r="1353" spans="1:12">
      <c r="A1353" t="s">
        <v>107</v>
      </c>
      <c r="B1353" s="10">
        <v>45546</v>
      </c>
      <c r="C1353" s="18">
        <f t="shared" si="21"/>
        <v>9</v>
      </c>
      <c r="D1353" t="s">
        <v>190</v>
      </c>
      <c r="E1353">
        <v>4879096</v>
      </c>
      <c r="F1353" t="s">
        <v>8</v>
      </c>
      <c r="G1353" t="s">
        <v>203</v>
      </c>
      <c r="H1353" t="s">
        <v>232</v>
      </c>
      <c r="I1353" s="4">
        <v>100638.28079999999</v>
      </c>
      <c r="J1353" s="4">
        <v>201276.56159999999</v>
      </c>
      <c r="K1353" s="4">
        <v>-5201.5291200000001</v>
      </c>
      <c r="L1353" s="4">
        <v>2</v>
      </c>
    </row>
    <row r="1354" spans="1:12">
      <c r="A1354" t="s">
        <v>107</v>
      </c>
      <c r="B1354" s="10">
        <v>45546</v>
      </c>
      <c r="C1354" s="18">
        <f t="shared" si="21"/>
        <v>9</v>
      </c>
      <c r="D1354" t="s">
        <v>190</v>
      </c>
      <c r="E1354">
        <v>4879096</v>
      </c>
      <c r="F1354" t="s">
        <v>8</v>
      </c>
      <c r="G1354" t="s">
        <v>203</v>
      </c>
      <c r="H1354" t="s">
        <v>230</v>
      </c>
      <c r="I1354" s="4">
        <v>100638.28079999999</v>
      </c>
      <c r="J1354" s="4">
        <v>1207659.3695999999</v>
      </c>
      <c r="K1354" s="4">
        <v>-31209.174719999999</v>
      </c>
      <c r="L1354" s="4">
        <v>12</v>
      </c>
    </row>
    <row r="1355" spans="1:12">
      <c r="A1355" t="s">
        <v>107</v>
      </c>
      <c r="B1355" s="10">
        <v>45548</v>
      </c>
      <c r="C1355" s="18">
        <f t="shared" si="21"/>
        <v>9</v>
      </c>
      <c r="D1355" t="s">
        <v>162</v>
      </c>
      <c r="E1355">
        <v>4876712</v>
      </c>
      <c r="F1355" t="s">
        <v>8</v>
      </c>
      <c r="G1355" t="s">
        <v>203</v>
      </c>
      <c r="H1355" t="s">
        <v>245</v>
      </c>
      <c r="I1355" s="4">
        <v>100638.28079999999</v>
      </c>
      <c r="J1355" s="4">
        <v>402553.12319999997</v>
      </c>
      <c r="L1355" s="4">
        <v>4</v>
      </c>
    </row>
    <row r="1356" spans="1:12">
      <c r="A1356" t="s">
        <v>107</v>
      </c>
      <c r="B1356" s="10">
        <v>45548</v>
      </c>
      <c r="C1356" s="18">
        <f t="shared" si="21"/>
        <v>9</v>
      </c>
      <c r="D1356" t="s">
        <v>162</v>
      </c>
      <c r="E1356">
        <v>4878188</v>
      </c>
      <c r="F1356" t="s">
        <v>8</v>
      </c>
      <c r="G1356" t="s">
        <v>203</v>
      </c>
      <c r="H1356" t="s">
        <v>233</v>
      </c>
      <c r="I1356" s="4">
        <v>120735.78316800001</v>
      </c>
      <c r="J1356" s="4">
        <v>120735.78316800001</v>
      </c>
      <c r="K1356" s="4">
        <v>-5653.8360000000002</v>
      </c>
      <c r="L1356" s="4">
        <v>1</v>
      </c>
    </row>
    <row r="1357" spans="1:12">
      <c r="A1357" t="s">
        <v>107</v>
      </c>
      <c r="B1357" s="10">
        <v>45548</v>
      </c>
      <c r="C1357" s="18">
        <f t="shared" si="21"/>
        <v>9</v>
      </c>
      <c r="D1357" t="s">
        <v>162</v>
      </c>
      <c r="E1357">
        <v>4874459</v>
      </c>
      <c r="F1357" t="s">
        <v>8</v>
      </c>
      <c r="G1357" t="s">
        <v>203</v>
      </c>
      <c r="H1357" t="s">
        <v>236</v>
      </c>
      <c r="I1357" s="4">
        <v>100638.28079999999</v>
      </c>
      <c r="J1357" s="4">
        <v>201276.56159999999</v>
      </c>
      <c r="L1357" s="4">
        <v>2</v>
      </c>
    </row>
    <row r="1358" spans="1:12">
      <c r="A1358" t="s">
        <v>107</v>
      </c>
      <c r="B1358" s="10">
        <v>45548</v>
      </c>
      <c r="C1358" s="18">
        <f t="shared" si="21"/>
        <v>9</v>
      </c>
      <c r="D1358" t="s">
        <v>162</v>
      </c>
      <c r="E1358">
        <v>4874459</v>
      </c>
      <c r="F1358" t="s">
        <v>8</v>
      </c>
      <c r="G1358" t="s">
        <v>203</v>
      </c>
      <c r="H1358" t="s">
        <v>241</v>
      </c>
      <c r="I1358" s="4">
        <v>125766.4408</v>
      </c>
      <c r="J1358" s="4">
        <v>503065.76319999999</v>
      </c>
      <c r="L1358" s="4">
        <v>4</v>
      </c>
    </row>
    <row r="1359" spans="1:12">
      <c r="A1359" t="s">
        <v>107</v>
      </c>
      <c r="B1359" s="10">
        <v>45549</v>
      </c>
      <c r="C1359" s="18">
        <f t="shared" si="21"/>
        <v>9</v>
      </c>
      <c r="D1359" t="s">
        <v>163</v>
      </c>
      <c r="E1359">
        <v>4874231</v>
      </c>
      <c r="F1359" t="s">
        <v>8</v>
      </c>
      <c r="G1359" t="s">
        <v>203</v>
      </c>
      <c r="H1359" t="s">
        <v>241</v>
      </c>
      <c r="I1359" s="4">
        <v>125766.4408</v>
      </c>
      <c r="J1359" s="4">
        <v>628832.20400000003</v>
      </c>
      <c r="L1359" s="4">
        <v>5</v>
      </c>
    </row>
    <row r="1360" spans="1:12">
      <c r="A1360" t="s">
        <v>107</v>
      </c>
      <c r="B1360" s="10">
        <v>45549</v>
      </c>
      <c r="C1360" s="18">
        <f t="shared" si="21"/>
        <v>9</v>
      </c>
      <c r="D1360" t="s">
        <v>163</v>
      </c>
      <c r="E1360">
        <v>4874231</v>
      </c>
      <c r="F1360" t="s">
        <v>8</v>
      </c>
      <c r="G1360" t="s">
        <v>203</v>
      </c>
      <c r="H1360" t="s">
        <v>233</v>
      </c>
      <c r="I1360" s="4">
        <v>120735.78316800001</v>
      </c>
      <c r="J1360" s="4">
        <v>603678.91584000003</v>
      </c>
      <c r="L1360" s="4">
        <v>5</v>
      </c>
    </row>
    <row r="1361" spans="1:12">
      <c r="A1361" t="s">
        <v>107</v>
      </c>
      <c r="B1361" s="10">
        <v>45549</v>
      </c>
      <c r="C1361" s="18">
        <f t="shared" si="21"/>
        <v>9</v>
      </c>
      <c r="D1361" t="s">
        <v>171</v>
      </c>
      <c r="E1361">
        <v>6079961</v>
      </c>
      <c r="F1361" t="s">
        <v>8</v>
      </c>
      <c r="G1361" t="s">
        <v>203</v>
      </c>
      <c r="H1361" t="s">
        <v>236</v>
      </c>
      <c r="I1361" s="4">
        <v>100638.28079999999</v>
      </c>
      <c r="J1361" s="4">
        <v>201276.56159999999</v>
      </c>
      <c r="L1361" s="4">
        <v>2</v>
      </c>
    </row>
    <row r="1362" spans="1:12">
      <c r="A1362" t="s">
        <v>107</v>
      </c>
      <c r="B1362" s="10">
        <v>45549</v>
      </c>
      <c r="C1362" s="18">
        <f t="shared" si="21"/>
        <v>9</v>
      </c>
      <c r="D1362" t="s">
        <v>171</v>
      </c>
      <c r="E1362">
        <v>6079961</v>
      </c>
      <c r="F1362" t="s">
        <v>8</v>
      </c>
      <c r="G1362" t="s">
        <v>203</v>
      </c>
      <c r="H1362" t="s">
        <v>244</v>
      </c>
      <c r="I1362" s="4">
        <v>125766.4408</v>
      </c>
      <c r="J1362" s="4">
        <v>503065.76319999999</v>
      </c>
      <c r="L1362" s="4">
        <v>4</v>
      </c>
    </row>
    <row r="1363" spans="1:12">
      <c r="A1363" t="s">
        <v>107</v>
      </c>
      <c r="B1363" s="10">
        <v>45550</v>
      </c>
      <c r="C1363" s="18">
        <f t="shared" si="21"/>
        <v>9</v>
      </c>
      <c r="D1363" t="s">
        <v>182</v>
      </c>
      <c r="E1363">
        <v>4874538</v>
      </c>
      <c r="F1363" t="s">
        <v>8</v>
      </c>
      <c r="G1363" t="s">
        <v>203</v>
      </c>
      <c r="H1363" t="s">
        <v>245</v>
      </c>
      <c r="I1363" s="4">
        <v>100638.28079999999</v>
      </c>
      <c r="J1363" s="4">
        <v>201276.56159999999</v>
      </c>
      <c r="L1363" s="4">
        <v>2</v>
      </c>
    </row>
    <row r="1364" spans="1:12">
      <c r="A1364" t="s">
        <v>107</v>
      </c>
      <c r="B1364" s="10">
        <v>45552</v>
      </c>
      <c r="C1364" s="18">
        <f t="shared" si="21"/>
        <v>9</v>
      </c>
      <c r="D1364" t="s">
        <v>151</v>
      </c>
      <c r="E1364">
        <v>4876098</v>
      </c>
      <c r="F1364" t="s">
        <v>8</v>
      </c>
      <c r="G1364" t="s">
        <v>204</v>
      </c>
      <c r="H1364" t="s">
        <v>219</v>
      </c>
      <c r="I1364" s="4">
        <v>44099.9208</v>
      </c>
      <c r="J1364" s="4">
        <v>4409992.08</v>
      </c>
      <c r="L1364" s="4">
        <v>100</v>
      </c>
    </row>
    <row r="1365" spans="1:12">
      <c r="A1365" t="s">
        <v>107</v>
      </c>
      <c r="B1365" s="10">
        <v>45552</v>
      </c>
      <c r="C1365" s="18">
        <f t="shared" si="21"/>
        <v>9</v>
      </c>
      <c r="D1365" t="s">
        <v>151</v>
      </c>
      <c r="E1365">
        <v>4876098</v>
      </c>
      <c r="F1365" t="s">
        <v>8</v>
      </c>
      <c r="G1365" t="s">
        <v>204</v>
      </c>
      <c r="H1365" t="s">
        <v>213</v>
      </c>
      <c r="I1365" s="4">
        <v>119484.4008</v>
      </c>
      <c r="J1365" s="4">
        <v>5974220.04</v>
      </c>
      <c r="L1365" s="4">
        <v>50</v>
      </c>
    </row>
    <row r="1366" spans="1:12">
      <c r="A1366" t="s">
        <v>107</v>
      </c>
      <c r="B1366" s="10">
        <v>45552</v>
      </c>
      <c r="C1366" s="18">
        <f t="shared" si="21"/>
        <v>9</v>
      </c>
      <c r="D1366" t="s">
        <v>151</v>
      </c>
      <c r="E1366">
        <v>4876098</v>
      </c>
      <c r="F1366" t="s">
        <v>8</v>
      </c>
      <c r="G1366" t="s">
        <v>204</v>
      </c>
      <c r="H1366" t="s">
        <v>221</v>
      </c>
      <c r="I1366" s="4">
        <v>25253.800799999997</v>
      </c>
      <c r="J1366" s="4">
        <v>1262690.0399999998</v>
      </c>
      <c r="L1366" s="4">
        <v>50</v>
      </c>
    </row>
    <row r="1367" spans="1:12">
      <c r="A1367" t="s">
        <v>107</v>
      </c>
      <c r="B1367" s="10">
        <v>45552</v>
      </c>
      <c r="C1367" s="18">
        <f t="shared" si="21"/>
        <v>9</v>
      </c>
      <c r="D1367" t="s">
        <v>187</v>
      </c>
      <c r="E1367">
        <v>4876600</v>
      </c>
      <c r="F1367" t="s">
        <v>8</v>
      </c>
      <c r="G1367" t="s">
        <v>203</v>
      </c>
      <c r="H1367" t="s">
        <v>245</v>
      </c>
      <c r="I1367" s="4">
        <v>100638.28079999999</v>
      </c>
      <c r="J1367" s="4">
        <v>2012765.6159999999</v>
      </c>
      <c r="L1367" s="4">
        <v>20</v>
      </c>
    </row>
    <row r="1368" spans="1:12">
      <c r="A1368" t="s">
        <v>107</v>
      </c>
      <c r="B1368" s="10">
        <v>45552</v>
      </c>
      <c r="C1368" s="18">
        <f t="shared" si="21"/>
        <v>9</v>
      </c>
      <c r="D1368" t="s">
        <v>187</v>
      </c>
      <c r="E1368">
        <v>4876600</v>
      </c>
      <c r="F1368" t="s">
        <v>8</v>
      </c>
      <c r="G1368" t="s">
        <v>203</v>
      </c>
      <c r="H1368" t="s">
        <v>237</v>
      </c>
      <c r="I1368" s="4">
        <v>125766.4408</v>
      </c>
      <c r="J1368" s="4">
        <v>1257664.4080000001</v>
      </c>
      <c r="L1368" s="4">
        <v>10</v>
      </c>
    </row>
    <row r="1369" spans="1:12">
      <c r="A1369" t="s">
        <v>107</v>
      </c>
      <c r="B1369" s="10">
        <v>45552</v>
      </c>
      <c r="C1369" s="18">
        <f t="shared" si="21"/>
        <v>9</v>
      </c>
      <c r="D1369" t="s">
        <v>187</v>
      </c>
      <c r="E1369">
        <v>4876600</v>
      </c>
      <c r="F1369" t="s">
        <v>8</v>
      </c>
      <c r="G1369" t="s">
        <v>203</v>
      </c>
      <c r="H1369" t="s">
        <v>231</v>
      </c>
      <c r="I1369" s="4">
        <v>125766.4408</v>
      </c>
      <c r="J1369" s="4">
        <v>628832.20400000003</v>
      </c>
      <c r="L1369" s="4">
        <v>5</v>
      </c>
    </row>
    <row r="1370" spans="1:12">
      <c r="A1370" t="s">
        <v>107</v>
      </c>
      <c r="B1370" s="10">
        <v>45552</v>
      </c>
      <c r="C1370" s="18">
        <f t="shared" si="21"/>
        <v>9</v>
      </c>
      <c r="D1370" t="s">
        <v>187</v>
      </c>
      <c r="E1370">
        <v>4876600</v>
      </c>
      <c r="F1370" t="s">
        <v>8</v>
      </c>
      <c r="G1370" t="s">
        <v>203</v>
      </c>
      <c r="H1370" t="s">
        <v>229</v>
      </c>
      <c r="I1370" s="4">
        <v>125766.4408</v>
      </c>
      <c r="J1370" s="4">
        <v>1257664.4080000001</v>
      </c>
      <c r="L1370" s="4">
        <v>10</v>
      </c>
    </row>
    <row r="1371" spans="1:12">
      <c r="A1371" t="s">
        <v>107</v>
      </c>
      <c r="B1371" s="10">
        <v>45552</v>
      </c>
      <c r="C1371" s="18">
        <f t="shared" si="21"/>
        <v>9</v>
      </c>
      <c r="D1371" t="s">
        <v>182</v>
      </c>
      <c r="E1371">
        <v>4874538</v>
      </c>
      <c r="F1371" t="s">
        <v>8</v>
      </c>
      <c r="G1371" t="s">
        <v>203</v>
      </c>
      <c r="H1371" t="s">
        <v>245</v>
      </c>
      <c r="I1371" s="4">
        <v>100638.28079999999</v>
      </c>
      <c r="J1371" s="4">
        <v>-100638.28079999999</v>
      </c>
      <c r="L1371" s="4">
        <v>-1</v>
      </c>
    </row>
    <row r="1372" spans="1:12">
      <c r="A1372" t="s">
        <v>107</v>
      </c>
      <c r="B1372" s="10">
        <v>45552</v>
      </c>
      <c r="C1372" s="18">
        <f t="shared" si="21"/>
        <v>9</v>
      </c>
      <c r="D1372" t="s">
        <v>182</v>
      </c>
      <c r="E1372">
        <v>4874538</v>
      </c>
      <c r="F1372" t="s">
        <v>8</v>
      </c>
      <c r="G1372" t="s">
        <v>203</v>
      </c>
      <c r="H1372" t="s">
        <v>239</v>
      </c>
      <c r="I1372" s="4">
        <v>125766.4408</v>
      </c>
      <c r="J1372" s="4">
        <v>-251532.88159999999</v>
      </c>
      <c r="L1372" s="4">
        <v>-2</v>
      </c>
    </row>
    <row r="1373" spans="1:12">
      <c r="A1373" t="s">
        <v>107</v>
      </c>
      <c r="B1373" s="10">
        <v>45552</v>
      </c>
      <c r="C1373" s="18">
        <f t="shared" si="21"/>
        <v>9</v>
      </c>
      <c r="D1373" t="s">
        <v>182</v>
      </c>
      <c r="E1373">
        <v>4874538</v>
      </c>
      <c r="F1373" t="s">
        <v>8</v>
      </c>
      <c r="G1373" t="s">
        <v>203</v>
      </c>
      <c r="H1373" t="s">
        <v>229</v>
      </c>
      <c r="I1373" s="4">
        <v>125766.4408</v>
      </c>
      <c r="J1373" s="4">
        <v>-377299.3224</v>
      </c>
      <c r="L1373" s="4">
        <v>-3</v>
      </c>
    </row>
    <row r="1374" spans="1:12">
      <c r="A1374" t="s">
        <v>107</v>
      </c>
      <c r="B1374" s="10">
        <v>45553</v>
      </c>
      <c r="C1374" s="18">
        <f t="shared" si="21"/>
        <v>9</v>
      </c>
      <c r="D1374" t="s">
        <v>190</v>
      </c>
      <c r="E1374">
        <v>4879096</v>
      </c>
      <c r="F1374" t="s">
        <v>8</v>
      </c>
      <c r="G1374" t="s">
        <v>203</v>
      </c>
      <c r="H1374" t="s">
        <v>231</v>
      </c>
      <c r="I1374" s="4">
        <v>125766.4408</v>
      </c>
      <c r="J1374" s="4">
        <v>628832.20400000003</v>
      </c>
      <c r="K1374" s="4">
        <v>-16961.508000000002</v>
      </c>
      <c r="L1374" s="4">
        <v>5</v>
      </c>
    </row>
    <row r="1375" spans="1:12">
      <c r="A1375" t="s">
        <v>107</v>
      </c>
      <c r="B1375" s="10">
        <v>45555</v>
      </c>
      <c r="C1375" s="18">
        <f t="shared" si="21"/>
        <v>9</v>
      </c>
      <c r="D1375" t="s">
        <v>162</v>
      </c>
      <c r="E1375">
        <v>4874391</v>
      </c>
      <c r="F1375" t="s">
        <v>8</v>
      </c>
      <c r="G1375" t="s">
        <v>203</v>
      </c>
      <c r="H1375" t="s">
        <v>236</v>
      </c>
      <c r="I1375" s="4">
        <v>100638.28079999999</v>
      </c>
      <c r="J1375" s="4">
        <v>201276.56159999999</v>
      </c>
      <c r="L1375" s="4">
        <v>2</v>
      </c>
    </row>
    <row r="1376" spans="1:12">
      <c r="A1376" t="s">
        <v>107</v>
      </c>
      <c r="B1376" s="10">
        <v>45556</v>
      </c>
      <c r="C1376" s="18">
        <f t="shared" si="21"/>
        <v>9</v>
      </c>
      <c r="D1376" t="s">
        <v>162</v>
      </c>
      <c r="E1376">
        <v>4874391</v>
      </c>
      <c r="F1376" t="s">
        <v>8</v>
      </c>
      <c r="G1376" t="s">
        <v>203</v>
      </c>
      <c r="H1376" t="s">
        <v>231</v>
      </c>
      <c r="I1376" s="4">
        <v>125766.4408</v>
      </c>
      <c r="J1376" s="4">
        <v>251532.88159999999</v>
      </c>
      <c r="L1376" s="4">
        <v>2</v>
      </c>
    </row>
    <row r="1377" spans="1:12">
      <c r="A1377" t="s">
        <v>107</v>
      </c>
      <c r="B1377" s="10">
        <v>45556</v>
      </c>
      <c r="C1377" s="18">
        <f t="shared" si="21"/>
        <v>9</v>
      </c>
      <c r="D1377" t="s">
        <v>162</v>
      </c>
      <c r="E1377">
        <v>4878665</v>
      </c>
      <c r="F1377" t="s">
        <v>8</v>
      </c>
      <c r="G1377" t="s">
        <v>203</v>
      </c>
      <c r="H1377" t="s">
        <v>231</v>
      </c>
      <c r="I1377" s="4">
        <v>125766.4408</v>
      </c>
      <c r="J1377" s="4">
        <v>251532.88159999999</v>
      </c>
      <c r="L1377" s="4">
        <v>2</v>
      </c>
    </row>
    <row r="1378" spans="1:12">
      <c r="A1378" t="s">
        <v>107</v>
      </c>
      <c r="B1378" s="10">
        <v>45556</v>
      </c>
      <c r="C1378" s="18">
        <f t="shared" si="21"/>
        <v>9</v>
      </c>
      <c r="D1378" t="s">
        <v>162</v>
      </c>
      <c r="E1378">
        <v>4874459</v>
      </c>
      <c r="F1378" t="s">
        <v>8</v>
      </c>
      <c r="G1378" t="s">
        <v>203</v>
      </c>
      <c r="H1378" t="s">
        <v>237</v>
      </c>
      <c r="I1378" s="4">
        <v>125766.4408</v>
      </c>
      <c r="J1378" s="4">
        <v>251532.88159999999</v>
      </c>
      <c r="L1378" s="4">
        <v>2</v>
      </c>
    </row>
    <row r="1379" spans="1:12">
      <c r="A1379" t="s">
        <v>107</v>
      </c>
      <c r="B1379" s="10">
        <v>45556</v>
      </c>
      <c r="C1379" s="18">
        <f t="shared" si="21"/>
        <v>9</v>
      </c>
      <c r="D1379" t="s">
        <v>162</v>
      </c>
      <c r="E1379">
        <v>4874459</v>
      </c>
      <c r="F1379" t="s">
        <v>8</v>
      </c>
      <c r="G1379" t="s">
        <v>203</v>
      </c>
      <c r="H1379" t="s">
        <v>231</v>
      </c>
      <c r="I1379" s="4">
        <v>125766.4408</v>
      </c>
      <c r="J1379" s="4">
        <v>251532.88159999999</v>
      </c>
      <c r="L1379" s="4">
        <v>2</v>
      </c>
    </row>
    <row r="1380" spans="1:12">
      <c r="A1380" t="s">
        <v>107</v>
      </c>
      <c r="B1380" s="10">
        <v>45556</v>
      </c>
      <c r="C1380" s="18">
        <f t="shared" si="21"/>
        <v>9</v>
      </c>
      <c r="D1380" t="s">
        <v>167</v>
      </c>
      <c r="E1380">
        <v>4875363</v>
      </c>
      <c r="F1380" t="s">
        <v>8</v>
      </c>
      <c r="G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81" t="s">
        <v>203</v>
      </c>
      <c r="H1381" t="s">
        <v>231</v>
      </c>
      <c r="I1381" s="4">
        <v>125766.4408</v>
      </c>
      <c r="J1381" s="4">
        <v>754598.64480000001</v>
      </c>
      <c r="L1381" s="4">
        <v>6</v>
      </c>
    </row>
    <row r="1382" spans="1:12">
      <c r="A1382" t="s">
        <v>107</v>
      </c>
      <c r="B1382" s="10">
        <v>45556</v>
      </c>
      <c r="C1382" s="18">
        <f t="shared" si="21"/>
        <v>9</v>
      </c>
      <c r="D1382" t="s">
        <v>171</v>
      </c>
      <c r="E1382">
        <v>4875704</v>
      </c>
      <c r="F1382" t="s">
        <v>8</v>
      </c>
      <c r="G1382" t="s">
        <v>203</v>
      </c>
      <c r="H1382" t="s">
        <v>231</v>
      </c>
      <c r="I1382" s="4">
        <v>125766.4408</v>
      </c>
      <c r="J1382" s="4">
        <v>377299.3224</v>
      </c>
      <c r="L1382" s="4">
        <v>3</v>
      </c>
    </row>
    <row r="1383" spans="1:12">
      <c r="A1383" t="s">
        <v>107</v>
      </c>
      <c r="B1383" s="10">
        <v>45558</v>
      </c>
      <c r="C1383" s="18">
        <f t="shared" si="21"/>
        <v>9</v>
      </c>
      <c r="D1383" t="s">
        <v>140</v>
      </c>
      <c r="E1383">
        <v>6990664</v>
      </c>
      <c r="F1383" t="s">
        <v>8</v>
      </c>
      <c r="G1383" t="s">
        <v>203</v>
      </c>
      <c r="H1383" t="s">
        <v>237</v>
      </c>
      <c r="I1383" s="4">
        <v>125766.4408</v>
      </c>
      <c r="J1383" s="4">
        <v>251532.88159999999</v>
      </c>
      <c r="L1383" s="4">
        <v>2</v>
      </c>
    </row>
    <row r="1384" spans="1:12">
      <c r="A1384" t="s">
        <v>107</v>
      </c>
      <c r="B1384" s="10">
        <v>45562</v>
      </c>
      <c r="C1384" s="18">
        <f t="shared" si="21"/>
        <v>9</v>
      </c>
      <c r="D1384" t="s">
        <v>163</v>
      </c>
      <c r="E1384">
        <v>4874231</v>
      </c>
      <c r="F1384" t="s">
        <v>8</v>
      </c>
      <c r="G1384" t="s">
        <v>203</v>
      </c>
      <c r="H1384" t="s">
        <v>232</v>
      </c>
      <c r="I1384" s="4">
        <v>100638.28079999999</v>
      </c>
      <c r="J1384" s="4">
        <v>1006382.808</v>
      </c>
      <c r="L1384" s="4">
        <v>10</v>
      </c>
    </row>
    <row r="1385" spans="1:12">
      <c r="A1385" t="s">
        <v>107</v>
      </c>
      <c r="B1385" s="10">
        <v>45562</v>
      </c>
      <c r="C1385" s="18">
        <f t="shared" si="21"/>
        <v>9</v>
      </c>
      <c r="D1385" t="s">
        <v>163</v>
      </c>
      <c r="E1385">
        <v>4874231</v>
      </c>
      <c r="F1385" t="s">
        <v>8</v>
      </c>
      <c r="G1385" t="s">
        <v>203</v>
      </c>
      <c r="H1385" t="s">
        <v>223</v>
      </c>
      <c r="I1385" s="4">
        <v>100638.28079999999</v>
      </c>
      <c r="J1385" s="4">
        <v>1006382.808</v>
      </c>
      <c r="L1385" s="4">
        <v>10</v>
      </c>
    </row>
    <row r="1386" spans="1:12">
      <c r="A1386" t="s">
        <v>107</v>
      </c>
      <c r="B1386" s="10">
        <v>45562</v>
      </c>
      <c r="C1386" s="18">
        <f t="shared" si="21"/>
        <v>9</v>
      </c>
      <c r="D1386" t="s">
        <v>162</v>
      </c>
      <c r="E1386">
        <v>4874459</v>
      </c>
      <c r="F1386" t="s">
        <v>8</v>
      </c>
      <c r="G1386" t="s">
        <v>203</v>
      </c>
      <c r="H1386" t="s">
        <v>232</v>
      </c>
      <c r="I1386" s="4">
        <v>100638.28079999999</v>
      </c>
      <c r="J1386" s="4">
        <v>201276.56159999999</v>
      </c>
      <c r="L1386" s="4">
        <v>2</v>
      </c>
    </row>
    <row r="1387" spans="1:12">
      <c r="A1387" t="s">
        <v>107</v>
      </c>
      <c r="B1387" s="10">
        <v>45562</v>
      </c>
      <c r="C1387" s="18">
        <f t="shared" si="21"/>
        <v>9</v>
      </c>
      <c r="D1387" t="s">
        <v>162</v>
      </c>
      <c r="E1387">
        <v>4874459</v>
      </c>
      <c r="F1387" t="s">
        <v>8</v>
      </c>
      <c r="G1387" t="s">
        <v>203</v>
      </c>
      <c r="H1387" t="s">
        <v>223</v>
      </c>
      <c r="I1387" s="4">
        <v>100638.28079999999</v>
      </c>
      <c r="J1387" s="4">
        <v>603829.68479999993</v>
      </c>
      <c r="L1387" s="4">
        <v>6</v>
      </c>
    </row>
    <row r="1388" spans="1:12">
      <c r="A1388" t="s">
        <v>107</v>
      </c>
      <c r="B1388" s="10">
        <v>45562</v>
      </c>
      <c r="C1388" s="18">
        <f t="shared" si="21"/>
        <v>9</v>
      </c>
      <c r="D1388" t="s">
        <v>187</v>
      </c>
      <c r="E1388">
        <v>4876600</v>
      </c>
      <c r="F1388" t="s">
        <v>8</v>
      </c>
      <c r="G1388" t="s">
        <v>203</v>
      </c>
      <c r="H1388" t="s">
        <v>232</v>
      </c>
      <c r="I1388" s="4">
        <v>100638.28079999999</v>
      </c>
      <c r="J1388" s="4">
        <v>1207659.3695999999</v>
      </c>
      <c r="L1388" s="4">
        <v>12</v>
      </c>
    </row>
    <row r="1389" spans="1:12">
      <c r="A1389" t="s">
        <v>107</v>
      </c>
      <c r="B1389" s="10">
        <v>45562</v>
      </c>
      <c r="C1389" s="18">
        <f t="shared" si="21"/>
        <v>9</v>
      </c>
      <c r="D1389" t="s">
        <v>187</v>
      </c>
      <c r="E1389">
        <v>4876600</v>
      </c>
      <c r="F1389" t="s">
        <v>8</v>
      </c>
      <c r="G1389" t="s">
        <v>203</v>
      </c>
      <c r="H1389" t="s">
        <v>228</v>
      </c>
      <c r="I1389" s="4">
        <v>100638.28079999999</v>
      </c>
      <c r="J1389" s="4">
        <v>805106.24639999995</v>
      </c>
      <c r="L1389" s="4">
        <v>8</v>
      </c>
    </row>
    <row r="1390" spans="1:12">
      <c r="A1390" t="s">
        <v>107</v>
      </c>
      <c r="B1390" s="10">
        <v>45562</v>
      </c>
      <c r="C1390" s="18">
        <f t="shared" si="21"/>
        <v>9</v>
      </c>
      <c r="D1390" t="s">
        <v>187</v>
      </c>
      <c r="E1390">
        <v>4876600</v>
      </c>
      <c r="F1390" t="s">
        <v>8</v>
      </c>
      <c r="G1390" t="s">
        <v>203</v>
      </c>
      <c r="H1390" t="s">
        <v>223</v>
      </c>
      <c r="I1390" s="4">
        <v>100638.28079999999</v>
      </c>
      <c r="J1390" s="4">
        <v>3019148.4239999996</v>
      </c>
      <c r="L1390" s="4">
        <v>30</v>
      </c>
    </row>
    <row r="1391" spans="1:12">
      <c r="A1391" t="s">
        <v>107</v>
      </c>
      <c r="B1391" s="10">
        <v>45562</v>
      </c>
      <c r="C1391" s="18">
        <f t="shared" si="21"/>
        <v>9</v>
      </c>
      <c r="D1391" t="s">
        <v>190</v>
      </c>
      <c r="E1391">
        <v>4879096</v>
      </c>
      <c r="F1391" t="s">
        <v>8</v>
      </c>
      <c r="G1391" t="s">
        <v>203</v>
      </c>
      <c r="H1391" t="s">
        <v>232</v>
      </c>
      <c r="I1391" s="4">
        <v>100638.28079999999</v>
      </c>
      <c r="J1391" s="4">
        <v>2616595.3007999999</v>
      </c>
      <c r="K1391" s="4">
        <v>-112699.79760000001</v>
      </c>
      <c r="L1391" s="4">
        <v>26</v>
      </c>
    </row>
    <row r="1392" spans="1:12">
      <c r="A1392" t="s">
        <v>107</v>
      </c>
      <c r="B1392" s="10">
        <v>45562</v>
      </c>
      <c r="C1392" s="18">
        <f t="shared" si="21"/>
        <v>9</v>
      </c>
      <c r="D1392" t="s">
        <v>190</v>
      </c>
      <c r="E1392">
        <v>4879096</v>
      </c>
      <c r="F1392" t="s">
        <v>8</v>
      </c>
      <c r="G1392" t="s">
        <v>203</v>
      </c>
      <c r="H1392" t="s">
        <v>228</v>
      </c>
      <c r="I1392" s="4">
        <v>100638.28079999999</v>
      </c>
      <c r="J1392" s="4">
        <v>2616595.3007999999</v>
      </c>
      <c r="K1392" s="4">
        <v>-112699.79760000001</v>
      </c>
      <c r="L1392" s="4">
        <v>26</v>
      </c>
    </row>
    <row r="1393" spans="1:12">
      <c r="A1393" t="s">
        <v>107</v>
      </c>
      <c r="B1393" s="10">
        <v>45562</v>
      </c>
      <c r="C1393" s="18">
        <f t="shared" si="21"/>
        <v>9</v>
      </c>
      <c r="D1393" t="s">
        <v>190</v>
      </c>
      <c r="E1393">
        <v>4879096</v>
      </c>
      <c r="F1393" t="s">
        <v>8</v>
      </c>
      <c r="G1393" t="s">
        <v>203</v>
      </c>
      <c r="H1393" t="s">
        <v>223</v>
      </c>
      <c r="I1393" s="4">
        <v>100638.28079999999</v>
      </c>
      <c r="J1393" s="4">
        <v>2616595.3007999999</v>
      </c>
      <c r="K1393" s="4">
        <v>-112699.79760000001</v>
      </c>
      <c r="L1393" s="4">
        <v>26</v>
      </c>
    </row>
    <row r="1394" spans="1:12">
      <c r="A1394" t="s">
        <v>107</v>
      </c>
      <c r="B1394" s="10">
        <v>45563</v>
      </c>
      <c r="C1394" s="18">
        <f t="shared" si="21"/>
        <v>9</v>
      </c>
      <c r="D1394" t="s">
        <v>171</v>
      </c>
      <c r="E1394">
        <v>6079961</v>
      </c>
      <c r="F1394" t="s">
        <v>8</v>
      </c>
      <c r="G1394" t="s">
        <v>203</v>
      </c>
      <c r="H1394" t="s">
        <v>223</v>
      </c>
      <c r="I1394" s="4">
        <v>100638.28079999999</v>
      </c>
      <c r="J1394" s="4">
        <v>1006382.808</v>
      </c>
      <c r="L1394" s="4">
        <v>10</v>
      </c>
    </row>
    <row r="1395" spans="1:12">
      <c r="A1395" t="s">
        <v>107</v>
      </c>
      <c r="B1395" s="10">
        <v>45563</v>
      </c>
      <c r="C1395" s="18">
        <f t="shared" si="21"/>
        <v>9</v>
      </c>
      <c r="D1395" t="s">
        <v>171</v>
      </c>
      <c r="E1395">
        <v>4875704</v>
      </c>
      <c r="F1395" t="s">
        <v>8</v>
      </c>
      <c r="G1395" t="s">
        <v>203</v>
      </c>
      <c r="H1395" t="s">
        <v>223</v>
      </c>
      <c r="I1395" s="4">
        <v>100638.28079999999</v>
      </c>
      <c r="J1395" s="4">
        <v>402553.12319999997</v>
      </c>
      <c r="L1395" s="4">
        <v>4</v>
      </c>
    </row>
    <row r="1396" spans="1:12">
      <c r="A1396" t="s">
        <v>86</v>
      </c>
      <c r="B1396" s="10">
        <v>45551</v>
      </c>
      <c r="C1396" s="18">
        <f t="shared" si="21"/>
        <v>9</v>
      </c>
      <c r="D1396" t="s">
        <v>136</v>
      </c>
      <c r="E1396">
        <v>7244683</v>
      </c>
      <c r="F1396" t="s">
        <v>87</v>
      </c>
      <c r="G1396" t="s">
        <v>203</v>
      </c>
      <c r="H1396" t="s">
        <v>245</v>
      </c>
      <c r="I1396" s="4">
        <v>100638.28079999999</v>
      </c>
      <c r="J1396" s="4">
        <v>2012765.6159999999</v>
      </c>
      <c r="K1396" s="4">
        <v>-86692.152000000002</v>
      </c>
      <c r="L1396" s="4">
        <v>20</v>
      </c>
    </row>
    <row r="1397" spans="1:12">
      <c r="A1397" t="s">
        <v>86</v>
      </c>
      <c r="B1397" s="10">
        <v>45551</v>
      </c>
      <c r="C1397" s="18">
        <f t="shared" si="21"/>
        <v>9</v>
      </c>
      <c r="D1397" t="s">
        <v>136</v>
      </c>
      <c r="E1397">
        <v>7244683</v>
      </c>
      <c r="F1397" t="s">
        <v>87</v>
      </c>
      <c r="G1397" t="s">
        <v>203</v>
      </c>
      <c r="H1397" t="s">
        <v>237</v>
      </c>
      <c r="I1397" s="4">
        <v>125766.4408</v>
      </c>
      <c r="J1397" s="4">
        <v>1257664.4080000001</v>
      </c>
      <c r="K1397" s="4">
        <v>-56538.36</v>
      </c>
      <c r="L1397" s="4">
        <v>10</v>
      </c>
    </row>
    <row r="1398" spans="1:12">
      <c r="A1398" t="s">
        <v>86</v>
      </c>
      <c r="B1398" s="10">
        <v>45551</v>
      </c>
      <c r="C1398" s="18">
        <f t="shared" si="21"/>
        <v>9</v>
      </c>
      <c r="D1398" t="s">
        <v>136</v>
      </c>
      <c r="E1398">
        <v>7244683</v>
      </c>
      <c r="F1398" t="s">
        <v>87</v>
      </c>
      <c r="G1398" t="s">
        <v>203</v>
      </c>
      <c r="H1398" t="s">
        <v>231</v>
      </c>
      <c r="I1398" s="4">
        <v>125766.4408</v>
      </c>
      <c r="J1398" s="4">
        <v>1886496.612</v>
      </c>
      <c r="K1398" s="4">
        <v>-84807.54</v>
      </c>
      <c r="L1398" s="4">
        <v>15</v>
      </c>
    </row>
    <row r="1399" spans="1:12">
      <c r="A1399" t="s">
        <v>86</v>
      </c>
      <c r="B1399" s="10">
        <v>45551</v>
      </c>
      <c r="C1399" s="18">
        <f t="shared" si="21"/>
        <v>9</v>
      </c>
      <c r="D1399" t="s">
        <v>136</v>
      </c>
      <c r="E1399">
        <v>7244683</v>
      </c>
      <c r="F1399" t="s">
        <v>87</v>
      </c>
      <c r="G1399" t="s">
        <v>203</v>
      </c>
      <c r="H1399" t="s">
        <v>229</v>
      </c>
      <c r="I1399" s="4">
        <v>125766.4408</v>
      </c>
      <c r="J1399" s="4">
        <v>1257664.4080000001</v>
      </c>
      <c r="K1399" s="4">
        <v>-56538.36</v>
      </c>
      <c r="L1399" s="4">
        <v>10</v>
      </c>
    </row>
    <row r="1400" spans="1:12">
      <c r="A1400" t="s">
        <v>86</v>
      </c>
      <c r="B1400" s="10">
        <v>45562</v>
      </c>
      <c r="C1400" s="18">
        <f t="shared" si="21"/>
        <v>9</v>
      </c>
      <c r="D1400" t="s">
        <v>136</v>
      </c>
      <c r="E1400">
        <v>7241308</v>
      </c>
      <c r="F1400" t="s">
        <v>87</v>
      </c>
      <c r="G1400" t="s">
        <v>203</v>
      </c>
      <c r="H1400" t="s">
        <v>238</v>
      </c>
      <c r="I1400" s="4">
        <v>95606.36675999999</v>
      </c>
      <c r="J1400" s="4">
        <v>382425.46703999996</v>
      </c>
      <c r="K1400" s="4">
        <v>-17338.430399999997</v>
      </c>
      <c r="L1400" s="4">
        <v>4</v>
      </c>
    </row>
    <row r="1401" spans="1:12">
      <c r="A1401" t="s">
        <v>86</v>
      </c>
      <c r="B1401" s="10">
        <v>45562</v>
      </c>
      <c r="C1401" s="18">
        <f t="shared" si="21"/>
        <v>9</v>
      </c>
      <c r="D1401" t="s">
        <v>136</v>
      </c>
      <c r="E1401">
        <v>7241308</v>
      </c>
      <c r="F1401" t="s">
        <v>87</v>
      </c>
      <c r="G1401" t="s">
        <v>203</v>
      </c>
      <c r="H1401" t="s">
        <v>236</v>
      </c>
      <c r="I1401" s="4">
        <v>100638.28079999999</v>
      </c>
      <c r="J1401" s="4">
        <v>402553.12319999997</v>
      </c>
      <c r="K1401" s="4">
        <v>-17338.430399999997</v>
      </c>
      <c r="L1401" s="4">
        <v>4</v>
      </c>
    </row>
    <row r="1402" spans="1:12">
      <c r="A1402" t="s">
        <v>86</v>
      </c>
      <c r="B1402" s="10">
        <v>45562</v>
      </c>
      <c r="C1402" s="18">
        <f t="shared" si="21"/>
        <v>9</v>
      </c>
      <c r="D1402" t="s">
        <v>136</v>
      </c>
      <c r="E1402">
        <v>7241308</v>
      </c>
      <c r="F1402" t="s">
        <v>87</v>
      </c>
      <c r="G1402" t="s">
        <v>203</v>
      </c>
      <c r="H1402" t="s">
        <v>232</v>
      </c>
      <c r="I1402" s="4">
        <v>100638.28079999999</v>
      </c>
      <c r="J1402" s="4">
        <v>402553.12319999997</v>
      </c>
      <c r="K1402" s="4">
        <v>-17338.430399999997</v>
      </c>
      <c r="L1402" s="4">
        <v>4</v>
      </c>
    </row>
    <row r="1403" spans="1:12">
      <c r="A1403" t="s">
        <v>86</v>
      </c>
      <c r="B1403" s="10">
        <v>45562</v>
      </c>
      <c r="C1403" s="18">
        <f t="shared" si="21"/>
        <v>9</v>
      </c>
      <c r="D1403" t="s">
        <v>136</v>
      </c>
      <c r="E1403">
        <v>7241308</v>
      </c>
      <c r="F1403" t="s">
        <v>87</v>
      </c>
      <c r="G1403" t="s">
        <v>203</v>
      </c>
      <c r="H1403" t="s">
        <v>224</v>
      </c>
      <c r="I1403" s="4">
        <v>100638.28079999999</v>
      </c>
      <c r="J1403" s="4">
        <v>402553.12319999997</v>
      </c>
      <c r="K1403" s="4">
        <v>-17338.430399999997</v>
      </c>
      <c r="L1403" s="4">
        <v>4</v>
      </c>
    </row>
    <row r="1404" spans="1:12">
      <c r="A1404" t="s">
        <v>86</v>
      </c>
      <c r="B1404" s="10">
        <v>45562</v>
      </c>
      <c r="C1404" s="18">
        <f t="shared" si="21"/>
        <v>9</v>
      </c>
      <c r="D1404" t="s">
        <v>136</v>
      </c>
      <c r="E1404">
        <v>7241308</v>
      </c>
      <c r="F1404" t="s">
        <v>87</v>
      </c>
      <c r="G1404" t="s">
        <v>203</v>
      </c>
      <c r="H1404" t="s">
        <v>223</v>
      </c>
      <c r="I1404" s="4">
        <v>100638.28079999999</v>
      </c>
      <c r="J1404" s="4">
        <v>402553.12319999997</v>
      </c>
      <c r="K1404" s="4">
        <v>-17338.430399999997</v>
      </c>
      <c r="L1404" s="4">
        <v>4</v>
      </c>
    </row>
    <row r="1405" spans="1:12">
      <c r="A1405" t="s">
        <v>86</v>
      </c>
      <c r="B1405" s="10">
        <v>45562</v>
      </c>
      <c r="C1405" s="18">
        <f t="shared" si="21"/>
        <v>9</v>
      </c>
      <c r="D1405" t="s">
        <v>136</v>
      </c>
      <c r="E1405">
        <v>7241308</v>
      </c>
      <c r="F1405" t="s">
        <v>87</v>
      </c>
      <c r="G1405" t="s">
        <v>203</v>
      </c>
      <c r="H1405" t="s">
        <v>237</v>
      </c>
      <c r="I1405" s="4">
        <v>125766.4408</v>
      </c>
      <c r="J1405" s="4">
        <v>1257664.4080000001</v>
      </c>
      <c r="K1405" s="4">
        <v>-56538.36</v>
      </c>
      <c r="L1405" s="4">
        <v>10</v>
      </c>
    </row>
    <row r="1406" spans="1:12">
      <c r="A1406" t="s">
        <v>86</v>
      </c>
      <c r="B1406" s="10">
        <v>45562</v>
      </c>
      <c r="C1406" s="18">
        <f t="shared" si="21"/>
        <v>9</v>
      </c>
      <c r="D1406" t="s">
        <v>136</v>
      </c>
      <c r="E1406">
        <v>7242261</v>
      </c>
      <c r="F1406" t="s">
        <v>87</v>
      </c>
      <c r="G1406" t="s">
        <v>203</v>
      </c>
      <c r="H1406" t="s">
        <v>237</v>
      </c>
      <c r="I1406" s="4">
        <v>125766.4408</v>
      </c>
      <c r="J1406" s="4">
        <v>1006131.5264</v>
      </c>
      <c r="K1406" s="4">
        <v>-45230.688000000002</v>
      </c>
      <c r="L1406" s="4">
        <v>8</v>
      </c>
    </row>
    <row r="1407" spans="1:12">
      <c r="A1407" t="s">
        <v>86</v>
      </c>
      <c r="B1407" s="10">
        <v>45562</v>
      </c>
      <c r="C1407" s="18">
        <f t="shared" si="21"/>
        <v>9</v>
      </c>
      <c r="D1407" t="s">
        <v>136</v>
      </c>
      <c r="E1407">
        <v>7242395</v>
      </c>
      <c r="F1407" t="s">
        <v>87</v>
      </c>
      <c r="G1407" t="s">
        <v>203</v>
      </c>
      <c r="H1407" t="s">
        <v>242</v>
      </c>
      <c r="I1407" s="4">
        <v>100638.28079999999</v>
      </c>
      <c r="J1407" s="4">
        <v>201276.56159999999</v>
      </c>
      <c r="K1407" s="4">
        <v>-8669.2151999999987</v>
      </c>
      <c r="L1407" s="4">
        <v>2</v>
      </c>
    </row>
    <row r="1408" spans="1:12">
      <c r="A1408" t="s">
        <v>86</v>
      </c>
      <c r="B1408" s="10">
        <v>45562</v>
      </c>
      <c r="C1408" s="18">
        <f t="shared" si="21"/>
        <v>9</v>
      </c>
      <c r="D1408" t="s">
        <v>136</v>
      </c>
      <c r="E1408">
        <v>7242395</v>
      </c>
      <c r="F1408" t="s">
        <v>87</v>
      </c>
      <c r="G1408" t="s">
        <v>203</v>
      </c>
      <c r="H1408" t="s">
        <v>238</v>
      </c>
      <c r="I1408" s="4">
        <v>95606.36675999999</v>
      </c>
      <c r="J1408" s="4">
        <v>191212.73351999998</v>
      </c>
      <c r="K1408" s="4">
        <v>-8669.2151999999987</v>
      </c>
      <c r="L1408" s="4">
        <v>2</v>
      </c>
    </row>
    <row r="1409" spans="1:12">
      <c r="A1409" t="s">
        <v>86</v>
      </c>
      <c r="B1409" s="10">
        <v>45562</v>
      </c>
      <c r="C1409" s="18">
        <f t="shared" si="21"/>
        <v>9</v>
      </c>
      <c r="D1409" t="s">
        <v>136</v>
      </c>
      <c r="E1409">
        <v>7242395</v>
      </c>
      <c r="F1409" t="s">
        <v>87</v>
      </c>
      <c r="G1409" t="s">
        <v>203</v>
      </c>
      <c r="H1409" t="s">
        <v>232</v>
      </c>
      <c r="I1409" s="4">
        <v>100638.28079999999</v>
      </c>
      <c r="J1409" s="4">
        <v>201276.56159999999</v>
      </c>
      <c r="K1409" s="4">
        <v>-8669.2151999999987</v>
      </c>
      <c r="L1409" s="4">
        <v>2</v>
      </c>
    </row>
    <row r="1410" spans="1:12">
      <c r="A1410" t="s">
        <v>86</v>
      </c>
      <c r="B1410" s="10">
        <v>45562</v>
      </c>
      <c r="C1410" s="18">
        <f t="shared" ref="C1410:C1473" si="22">MONTH(B1410)</f>
        <v>9</v>
      </c>
      <c r="D1410" t="s">
        <v>136</v>
      </c>
      <c r="E1410">
        <v>7242395</v>
      </c>
      <c r="F1410" t="s">
        <v>87</v>
      </c>
      <c r="G1410" t="s">
        <v>203</v>
      </c>
      <c r="H1410" t="s">
        <v>223</v>
      </c>
      <c r="I1410" s="4">
        <v>100638.28079999999</v>
      </c>
      <c r="J1410" s="4">
        <v>201276.56159999999</v>
      </c>
      <c r="K1410" s="4">
        <v>-8669.2151999999987</v>
      </c>
      <c r="L1410" s="4">
        <v>2</v>
      </c>
    </row>
    <row r="1411" spans="1:12">
      <c r="A1411" t="s">
        <v>86</v>
      </c>
      <c r="B1411" s="10">
        <v>45562</v>
      </c>
      <c r="C1411" s="18">
        <f t="shared" si="22"/>
        <v>9</v>
      </c>
      <c r="D1411" t="s">
        <v>136</v>
      </c>
      <c r="E1411">
        <v>7242395</v>
      </c>
      <c r="F1411" t="s">
        <v>87</v>
      </c>
      <c r="G1411" t="s">
        <v>203</v>
      </c>
      <c r="H1411" t="s">
        <v>237</v>
      </c>
      <c r="I1411" s="4">
        <v>125766.4408</v>
      </c>
      <c r="J1411" s="4">
        <v>251532.88159999999</v>
      </c>
      <c r="K1411" s="4">
        <v>-11307.672</v>
      </c>
      <c r="L1411" s="4">
        <v>2</v>
      </c>
    </row>
    <row r="1412" spans="1:12">
      <c r="A1412" t="s">
        <v>86</v>
      </c>
      <c r="B1412" s="10">
        <v>45563</v>
      </c>
      <c r="C1412" s="18">
        <f t="shared" si="22"/>
        <v>9</v>
      </c>
      <c r="D1412" t="s">
        <v>136</v>
      </c>
      <c r="E1412">
        <v>7242261</v>
      </c>
      <c r="F1412" t="s">
        <v>87</v>
      </c>
      <c r="G1412" t="s">
        <v>203</v>
      </c>
      <c r="H1412" t="s">
        <v>224</v>
      </c>
      <c r="I1412" s="4">
        <v>100638.28079999999</v>
      </c>
      <c r="J1412" s="4">
        <v>603829.68479999993</v>
      </c>
      <c r="K1412" s="4">
        <v>-26007.645599999996</v>
      </c>
      <c r="L1412" s="4">
        <v>6</v>
      </c>
    </row>
    <row r="1413" spans="1:12">
      <c r="A1413" t="s">
        <v>86</v>
      </c>
      <c r="B1413" s="10">
        <v>45563</v>
      </c>
      <c r="C1413" s="18">
        <f t="shared" si="22"/>
        <v>9</v>
      </c>
      <c r="D1413" t="s">
        <v>136</v>
      </c>
      <c r="E1413">
        <v>7242261</v>
      </c>
      <c r="F1413" t="s">
        <v>87</v>
      </c>
      <c r="G1413" t="s">
        <v>203</v>
      </c>
      <c r="H1413" t="s">
        <v>223</v>
      </c>
      <c r="I1413" s="4">
        <v>100638.28079999999</v>
      </c>
      <c r="J1413" s="4">
        <v>402553.12319999997</v>
      </c>
      <c r="K1413" s="4">
        <v>-17338.430399999997</v>
      </c>
      <c r="L1413" s="4">
        <v>4</v>
      </c>
    </row>
    <row r="1414" spans="1:12">
      <c r="A1414" t="s">
        <v>91</v>
      </c>
      <c r="B1414" s="10">
        <v>45543</v>
      </c>
      <c r="C1414" s="18">
        <f t="shared" si="22"/>
        <v>9</v>
      </c>
      <c r="D1414" t="s">
        <v>148</v>
      </c>
      <c r="E1414">
        <v>6080397</v>
      </c>
      <c r="F1414" t="s">
        <v>88</v>
      </c>
      <c r="G1414" t="s">
        <v>204</v>
      </c>
      <c r="H1414" t="s">
        <v>212</v>
      </c>
      <c r="I1414" s="4">
        <v>62946.040799999995</v>
      </c>
      <c r="J1414" s="4">
        <v>251784.16319999998</v>
      </c>
      <c r="K1414" s="4">
        <v>-7538.4479999999994</v>
      </c>
      <c r="L1414" s="4">
        <v>4</v>
      </c>
    </row>
    <row r="1415" spans="1:12">
      <c r="A1415" t="s">
        <v>91</v>
      </c>
      <c r="B1415" s="10">
        <v>45549</v>
      </c>
      <c r="C1415" s="18">
        <f t="shared" si="22"/>
        <v>9</v>
      </c>
      <c r="D1415" t="s">
        <v>148</v>
      </c>
      <c r="E1415">
        <v>6080397</v>
      </c>
      <c r="F1415" t="s">
        <v>88</v>
      </c>
      <c r="G1415" t="s">
        <v>204</v>
      </c>
      <c r="H1415" t="s">
        <v>217</v>
      </c>
      <c r="I1415" s="4">
        <v>78022.936799999996</v>
      </c>
      <c r="J1415" s="4">
        <v>-78022.936799999996</v>
      </c>
      <c r="K1415" s="4">
        <v>3580.7627999999995</v>
      </c>
      <c r="L1415" s="4">
        <v>-1</v>
      </c>
    </row>
    <row r="1416" spans="1:12">
      <c r="A1416" t="s">
        <v>91</v>
      </c>
      <c r="B1416" s="10">
        <v>45557</v>
      </c>
      <c r="C1416" s="18">
        <f t="shared" si="22"/>
        <v>9</v>
      </c>
      <c r="D1416" t="s">
        <v>148</v>
      </c>
      <c r="E1416">
        <v>6536114</v>
      </c>
      <c r="F1416" t="s">
        <v>88</v>
      </c>
      <c r="G1416" t="s">
        <v>203</v>
      </c>
      <c r="H1416" t="s">
        <v>238</v>
      </c>
      <c r="I1416" s="4">
        <v>95606.36675999999</v>
      </c>
      <c r="J1416" s="4">
        <v>382425.46703999996</v>
      </c>
      <c r="K1416" s="4">
        <v>-17338.430399999997</v>
      </c>
      <c r="L1416" s="4">
        <v>4</v>
      </c>
    </row>
    <row r="1417" spans="1:12">
      <c r="A1417" t="s">
        <v>91</v>
      </c>
      <c r="B1417" s="10">
        <v>45557</v>
      </c>
      <c r="C1417" s="18">
        <f t="shared" si="22"/>
        <v>9</v>
      </c>
      <c r="D1417" t="s">
        <v>148</v>
      </c>
      <c r="E1417">
        <v>6536114</v>
      </c>
      <c r="F1417" t="s">
        <v>88</v>
      </c>
      <c r="G1417" t="s">
        <v>203</v>
      </c>
      <c r="H1417" t="s">
        <v>236</v>
      </c>
      <c r="I1417" s="4">
        <v>100638.28079999999</v>
      </c>
      <c r="J1417" s="4">
        <v>402553.12319999997</v>
      </c>
      <c r="K1417" s="4">
        <v>-17338.430399999997</v>
      </c>
      <c r="L1417" s="4">
        <v>4</v>
      </c>
    </row>
    <row r="1418" spans="1:12">
      <c r="A1418" t="s">
        <v>91</v>
      </c>
      <c r="B1418" s="10">
        <v>45557</v>
      </c>
      <c r="C1418" s="18">
        <f t="shared" si="22"/>
        <v>9</v>
      </c>
      <c r="D1418" t="s">
        <v>148</v>
      </c>
      <c r="E1418">
        <v>6536114</v>
      </c>
      <c r="F1418" t="s">
        <v>88</v>
      </c>
      <c r="G1418" t="s">
        <v>203</v>
      </c>
      <c r="H1418" t="s">
        <v>226</v>
      </c>
      <c r="I1418" s="4">
        <v>100638.28079999999</v>
      </c>
      <c r="J1418" s="4">
        <v>201276.56159999999</v>
      </c>
      <c r="K1418" s="4">
        <v>-8669.2151999999987</v>
      </c>
      <c r="L1418" s="4">
        <v>2</v>
      </c>
    </row>
    <row r="1419" spans="1:12">
      <c r="A1419" t="s">
        <v>92</v>
      </c>
      <c r="B1419" s="10">
        <v>45537</v>
      </c>
      <c r="C1419" s="18">
        <f t="shared" si="22"/>
        <v>9</v>
      </c>
      <c r="D1419" t="s">
        <v>179</v>
      </c>
      <c r="E1419">
        <v>6684690</v>
      </c>
      <c r="F1419" t="s">
        <v>88</v>
      </c>
      <c r="G1419" t="s">
        <v>203</v>
      </c>
      <c r="H1419" t="s">
        <v>232</v>
      </c>
      <c r="I1419" s="4">
        <v>100638.28079999999</v>
      </c>
      <c r="J1419" s="4">
        <v>402553.12319999997</v>
      </c>
      <c r="K1419" s="4">
        <v>-17338.430399999997</v>
      </c>
      <c r="L1419" s="4">
        <v>4</v>
      </c>
    </row>
    <row r="1420" spans="1:12">
      <c r="A1420" t="s">
        <v>92</v>
      </c>
      <c r="B1420" s="10">
        <v>45537</v>
      </c>
      <c r="C1420" s="18">
        <f t="shared" si="22"/>
        <v>9</v>
      </c>
      <c r="D1420" t="s">
        <v>179</v>
      </c>
      <c r="E1420">
        <v>6684690</v>
      </c>
      <c r="F1420" t="s">
        <v>88</v>
      </c>
      <c r="G1420" t="s">
        <v>203</v>
      </c>
      <c r="H1420" t="s">
        <v>233</v>
      </c>
      <c r="I1420" s="4">
        <v>120735.78316800001</v>
      </c>
      <c r="J1420" s="4">
        <v>482943.13267200004</v>
      </c>
      <c r="K1420" s="4">
        <v>-22615.344000000001</v>
      </c>
      <c r="L1420" s="4">
        <v>4</v>
      </c>
    </row>
    <row r="1421" spans="1:12">
      <c r="A1421" t="s">
        <v>92</v>
      </c>
      <c r="B1421" s="10">
        <v>45538</v>
      </c>
      <c r="C1421" s="18">
        <f t="shared" si="22"/>
        <v>9</v>
      </c>
      <c r="D1421" t="s">
        <v>179</v>
      </c>
      <c r="E1421">
        <v>6700779</v>
      </c>
      <c r="F1421" t="s">
        <v>90</v>
      </c>
      <c r="G1421" t="s">
        <v>203</v>
      </c>
      <c r="H1421" t="s">
        <v>234</v>
      </c>
      <c r="I1421" s="4">
        <v>100638.28079999999</v>
      </c>
      <c r="J1421" s="4">
        <v>201276.56159999999</v>
      </c>
      <c r="K1421" s="4">
        <v>-8669.2151999999987</v>
      </c>
      <c r="L1421" s="4">
        <v>2</v>
      </c>
    </row>
    <row r="1422" spans="1:12">
      <c r="A1422" t="s">
        <v>92</v>
      </c>
      <c r="B1422" s="10">
        <v>45538</v>
      </c>
      <c r="C1422" s="18">
        <f t="shared" si="22"/>
        <v>9</v>
      </c>
      <c r="D1422" t="s">
        <v>179</v>
      </c>
      <c r="E1422">
        <v>6700779</v>
      </c>
      <c r="F1422" t="s">
        <v>90</v>
      </c>
      <c r="G1422" t="s">
        <v>203</v>
      </c>
      <c r="H1422" t="s">
        <v>233</v>
      </c>
      <c r="I1422" s="4">
        <v>120735.78316800001</v>
      </c>
      <c r="J1422" s="4">
        <v>482943.13267200004</v>
      </c>
      <c r="K1422" s="4">
        <v>-22615.344000000001</v>
      </c>
      <c r="L1422" s="4">
        <v>4</v>
      </c>
    </row>
    <row r="1423" spans="1:12">
      <c r="A1423" t="s">
        <v>92</v>
      </c>
      <c r="B1423" s="10">
        <v>45538</v>
      </c>
      <c r="C1423" s="18">
        <f t="shared" si="22"/>
        <v>9</v>
      </c>
      <c r="D1423" t="s">
        <v>179</v>
      </c>
      <c r="E1423">
        <v>6682776</v>
      </c>
      <c r="F1423" t="s">
        <v>87</v>
      </c>
      <c r="G1423" t="s">
        <v>203</v>
      </c>
      <c r="H1423" t="s">
        <v>234</v>
      </c>
      <c r="I1423" s="4">
        <v>100638.28079999999</v>
      </c>
      <c r="J1423" s="4">
        <v>1006382.808</v>
      </c>
      <c r="K1423" s="4">
        <v>-43346.076000000001</v>
      </c>
      <c r="L1423" s="4">
        <v>10</v>
      </c>
    </row>
    <row r="1424" spans="1:12">
      <c r="A1424" t="s">
        <v>92</v>
      </c>
      <c r="B1424" s="10">
        <v>45538</v>
      </c>
      <c r="C1424" s="18">
        <f t="shared" si="22"/>
        <v>9</v>
      </c>
      <c r="D1424" t="s">
        <v>179</v>
      </c>
      <c r="E1424">
        <v>6682776</v>
      </c>
      <c r="F1424" t="s">
        <v>87</v>
      </c>
      <c r="G1424" t="s">
        <v>203</v>
      </c>
      <c r="H1424" t="s">
        <v>231</v>
      </c>
      <c r="I1424" s="4">
        <v>125766.4408</v>
      </c>
      <c r="J1424" s="4">
        <v>1257664.4080000001</v>
      </c>
      <c r="K1424" s="4">
        <v>-56538.36</v>
      </c>
      <c r="L1424" s="4">
        <v>10</v>
      </c>
    </row>
    <row r="1425" spans="1:12">
      <c r="A1425" t="s">
        <v>92</v>
      </c>
      <c r="B1425" s="10">
        <v>45539</v>
      </c>
      <c r="C1425" s="18">
        <f t="shared" si="22"/>
        <v>9</v>
      </c>
      <c r="D1425" t="s">
        <v>179</v>
      </c>
      <c r="E1425">
        <v>6700794</v>
      </c>
      <c r="F1425" t="s">
        <v>88</v>
      </c>
      <c r="G1425" t="s">
        <v>203</v>
      </c>
      <c r="H1425" t="s">
        <v>232</v>
      </c>
      <c r="I1425" s="4">
        <v>100638.28079999999</v>
      </c>
      <c r="J1425" s="4">
        <v>603829.68479999993</v>
      </c>
      <c r="K1425" s="4">
        <v>-26007.645599999996</v>
      </c>
      <c r="L1425" s="4">
        <v>6</v>
      </c>
    </row>
    <row r="1426" spans="1:12">
      <c r="A1426" t="s">
        <v>92</v>
      </c>
      <c r="B1426" s="10">
        <v>45539</v>
      </c>
      <c r="C1426" s="18">
        <f t="shared" si="22"/>
        <v>9</v>
      </c>
      <c r="D1426" t="s">
        <v>179</v>
      </c>
      <c r="E1426">
        <v>6700794</v>
      </c>
      <c r="F1426" t="s">
        <v>88</v>
      </c>
      <c r="G1426" t="s">
        <v>203</v>
      </c>
      <c r="H1426" t="s">
        <v>233</v>
      </c>
      <c r="I1426" s="4">
        <v>120735.78316800001</v>
      </c>
      <c r="J1426" s="4">
        <v>241471.56633600002</v>
      </c>
      <c r="K1426" s="4">
        <v>-11307.672</v>
      </c>
      <c r="L1426" s="4">
        <v>2</v>
      </c>
    </row>
    <row r="1427" spans="1:12">
      <c r="A1427" t="s">
        <v>92</v>
      </c>
      <c r="B1427" s="10">
        <v>45539</v>
      </c>
      <c r="C1427" s="18">
        <f t="shared" si="22"/>
        <v>9</v>
      </c>
      <c r="D1427" t="s">
        <v>179</v>
      </c>
      <c r="E1427">
        <v>6700794</v>
      </c>
      <c r="F1427" t="s">
        <v>88</v>
      </c>
      <c r="G1427" t="s">
        <v>203</v>
      </c>
      <c r="H1427" t="s">
        <v>229</v>
      </c>
      <c r="I1427" s="4">
        <v>125766.4408</v>
      </c>
      <c r="J1427" s="4">
        <v>377299.3224</v>
      </c>
      <c r="K1427" s="4">
        <v>-16961.508000000002</v>
      </c>
      <c r="L1427" s="4">
        <v>3</v>
      </c>
    </row>
    <row r="1428" spans="1:12">
      <c r="A1428" t="s">
        <v>92</v>
      </c>
      <c r="B1428" s="10">
        <v>45540</v>
      </c>
      <c r="C1428" s="18">
        <f t="shared" si="22"/>
        <v>9</v>
      </c>
      <c r="D1428" t="s">
        <v>179</v>
      </c>
      <c r="E1428">
        <v>6700754</v>
      </c>
      <c r="F1428" t="s">
        <v>90</v>
      </c>
      <c r="G1428" t="s">
        <v>203</v>
      </c>
      <c r="H1428" t="s">
        <v>232</v>
      </c>
      <c r="I1428" s="4">
        <v>100638.28079999999</v>
      </c>
      <c r="J1428" s="4">
        <v>201276.56159999999</v>
      </c>
      <c r="K1428" s="4">
        <v>-8669.2151999999987</v>
      </c>
      <c r="L1428" s="4">
        <v>2</v>
      </c>
    </row>
    <row r="1429" spans="1:12">
      <c r="A1429" t="s">
        <v>92</v>
      </c>
      <c r="B1429" s="10">
        <v>45541</v>
      </c>
      <c r="C1429" s="18">
        <f t="shared" si="22"/>
        <v>9</v>
      </c>
      <c r="D1429" t="s">
        <v>179</v>
      </c>
      <c r="E1429">
        <v>6700790</v>
      </c>
      <c r="F1429" t="s">
        <v>89</v>
      </c>
      <c r="G1429" t="s">
        <v>203</v>
      </c>
      <c r="H1429" t="s">
        <v>232</v>
      </c>
      <c r="I1429" s="4">
        <v>100638.28079999999</v>
      </c>
      <c r="J1429" s="4">
        <v>1207659.3695999999</v>
      </c>
      <c r="K1429" s="4">
        <v>-52015.291199999992</v>
      </c>
      <c r="L1429" s="4">
        <v>12</v>
      </c>
    </row>
    <row r="1430" spans="1:12">
      <c r="A1430" t="s">
        <v>92</v>
      </c>
      <c r="B1430" s="10">
        <v>45544</v>
      </c>
      <c r="C1430" s="18">
        <f t="shared" si="22"/>
        <v>9</v>
      </c>
      <c r="D1430" t="s">
        <v>179</v>
      </c>
      <c r="E1430">
        <v>6700774</v>
      </c>
      <c r="F1430" t="s">
        <v>87</v>
      </c>
      <c r="G1430" t="s">
        <v>203</v>
      </c>
      <c r="H1430" t="s">
        <v>230</v>
      </c>
      <c r="I1430" s="4">
        <v>100638.28079999999</v>
      </c>
      <c r="J1430" s="4">
        <v>4830637.4783999994</v>
      </c>
      <c r="K1430" s="4">
        <v>-208061.16479999997</v>
      </c>
      <c r="L1430" s="4">
        <v>48</v>
      </c>
    </row>
    <row r="1431" spans="1:12">
      <c r="A1431" t="s">
        <v>92</v>
      </c>
      <c r="B1431" s="10">
        <v>45544</v>
      </c>
      <c r="C1431" s="18">
        <f t="shared" si="22"/>
        <v>9</v>
      </c>
      <c r="D1431" t="s">
        <v>179</v>
      </c>
      <c r="E1431">
        <v>6700774</v>
      </c>
      <c r="F1431" t="s">
        <v>87</v>
      </c>
      <c r="G1431" t="s">
        <v>203</v>
      </c>
      <c r="H1431" t="s">
        <v>241</v>
      </c>
      <c r="I1431" s="4">
        <v>125766.4408</v>
      </c>
      <c r="J1431" s="4">
        <v>6917154.2439999999</v>
      </c>
      <c r="K1431" s="4">
        <v>-310960.98</v>
      </c>
      <c r="L1431" s="4">
        <v>55</v>
      </c>
    </row>
    <row r="1432" spans="1:12">
      <c r="A1432" t="s">
        <v>92</v>
      </c>
      <c r="B1432" s="10">
        <v>45544</v>
      </c>
      <c r="C1432" s="18">
        <f t="shared" si="22"/>
        <v>9</v>
      </c>
      <c r="D1432" t="s">
        <v>179</v>
      </c>
      <c r="E1432">
        <v>6700774</v>
      </c>
      <c r="F1432" t="s">
        <v>87</v>
      </c>
      <c r="G1432" t="s">
        <v>203</v>
      </c>
      <c r="H1432" t="s">
        <v>233</v>
      </c>
      <c r="I1432" s="4">
        <v>120735.78316800001</v>
      </c>
      <c r="J1432" s="4">
        <v>6640468.0742400009</v>
      </c>
      <c r="K1432" s="4">
        <v>-310960.98</v>
      </c>
      <c r="L1432" s="4">
        <v>55</v>
      </c>
    </row>
    <row r="1433" spans="1:12">
      <c r="A1433" t="s">
        <v>92</v>
      </c>
      <c r="B1433" s="10">
        <v>45545</v>
      </c>
      <c r="C1433" s="18">
        <f t="shared" si="22"/>
        <v>9</v>
      </c>
      <c r="D1433" t="s">
        <v>179</v>
      </c>
      <c r="E1433">
        <v>6499774</v>
      </c>
      <c r="F1433" t="s">
        <v>88</v>
      </c>
      <c r="G1433" t="s">
        <v>203</v>
      </c>
      <c r="H1433" t="s">
        <v>236</v>
      </c>
      <c r="I1433" s="4">
        <v>100638.28079999999</v>
      </c>
      <c r="J1433" s="4">
        <v>1006382.808</v>
      </c>
      <c r="K1433" s="4">
        <v>-43346.076000000001</v>
      </c>
      <c r="L1433" s="4">
        <v>10</v>
      </c>
    </row>
    <row r="1434" spans="1:12">
      <c r="A1434" t="s">
        <v>92</v>
      </c>
      <c r="B1434" s="10">
        <v>45545</v>
      </c>
      <c r="C1434" s="18">
        <f t="shared" si="22"/>
        <v>9</v>
      </c>
      <c r="D1434" t="s">
        <v>179</v>
      </c>
      <c r="E1434">
        <v>6499774</v>
      </c>
      <c r="F1434" t="s">
        <v>88</v>
      </c>
      <c r="G1434" t="s">
        <v>203</v>
      </c>
      <c r="H1434" t="s">
        <v>241</v>
      </c>
      <c r="I1434" s="4">
        <v>125766.4408</v>
      </c>
      <c r="J1434" s="4">
        <v>1257664.4080000001</v>
      </c>
      <c r="K1434" s="4">
        <v>-56538.36</v>
      </c>
      <c r="L1434" s="4">
        <v>10</v>
      </c>
    </row>
    <row r="1435" spans="1:12">
      <c r="A1435" t="s">
        <v>92</v>
      </c>
      <c r="B1435" s="10">
        <v>45545</v>
      </c>
      <c r="C1435" s="18">
        <f t="shared" si="22"/>
        <v>9</v>
      </c>
      <c r="D1435" t="s">
        <v>179</v>
      </c>
      <c r="E1435">
        <v>6700752</v>
      </c>
      <c r="F1435" t="s">
        <v>89</v>
      </c>
      <c r="G1435" t="s">
        <v>203</v>
      </c>
      <c r="H1435" t="s">
        <v>230</v>
      </c>
      <c r="I1435" s="4">
        <v>100638.28079999999</v>
      </c>
      <c r="J1435" s="4">
        <v>1006382.808</v>
      </c>
      <c r="K1435" s="4">
        <v>-43346.076000000001</v>
      </c>
      <c r="L1435" s="4">
        <v>10</v>
      </c>
    </row>
    <row r="1436" spans="1:12">
      <c r="A1436" t="s">
        <v>92</v>
      </c>
      <c r="B1436" s="10">
        <v>45546</v>
      </c>
      <c r="C1436" s="18">
        <f t="shared" si="22"/>
        <v>9</v>
      </c>
      <c r="D1436" t="s">
        <v>179</v>
      </c>
      <c r="E1436">
        <v>6682776</v>
      </c>
      <c r="F1436" t="s">
        <v>87</v>
      </c>
      <c r="G1436" t="s">
        <v>203</v>
      </c>
      <c r="H1436" t="s">
        <v>236</v>
      </c>
      <c r="I1436" s="4">
        <v>100638.28079999999</v>
      </c>
      <c r="J1436" s="4">
        <v>603829.68479999993</v>
      </c>
      <c r="L1436" s="4">
        <v>6</v>
      </c>
    </row>
    <row r="1437" spans="1:12">
      <c r="A1437" t="s">
        <v>92</v>
      </c>
      <c r="B1437" s="10">
        <v>45546</v>
      </c>
      <c r="C1437" s="18">
        <f t="shared" si="22"/>
        <v>9</v>
      </c>
      <c r="D1437" t="s">
        <v>179</v>
      </c>
      <c r="E1437">
        <v>6682776</v>
      </c>
      <c r="F1437" t="s">
        <v>87</v>
      </c>
      <c r="G1437" t="s">
        <v>203</v>
      </c>
      <c r="H1437" t="s">
        <v>230</v>
      </c>
      <c r="I1437" s="4">
        <v>100638.28079999999</v>
      </c>
      <c r="J1437" s="4">
        <v>402553.12319999997</v>
      </c>
      <c r="L1437" s="4">
        <v>4</v>
      </c>
    </row>
    <row r="1438" spans="1:12">
      <c r="A1438" t="s">
        <v>92</v>
      </c>
      <c r="B1438" s="10">
        <v>45546</v>
      </c>
      <c r="C1438" s="18">
        <f t="shared" si="22"/>
        <v>9</v>
      </c>
      <c r="D1438" t="s">
        <v>179</v>
      </c>
      <c r="E1438">
        <v>6684266</v>
      </c>
      <c r="F1438" t="s">
        <v>89</v>
      </c>
      <c r="G1438" t="s">
        <v>203</v>
      </c>
      <c r="H1438" t="s">
        <v>241</v>
      </c>
      <c r="I1438" s="4">
        <v>125766.4408</v>
      </c>
      <c r="J1438" s="4">
        <v>503065.76319999999</v>
      </c>
      <c r="K1438" s="4">
        <v>-22615.344000000001</v>
      </c>
      <c r="L1438" s="4">
        <v>4</v>
      </c>
    </row>
    <row r="1439" spans="1:12">
      <c r="A1439" t="s">
        <v>92</v>
      </c>
      <c r="B1439" s="10">
        <v>45554</v>
      </c>
      <c r="C1439" s="18">
        <f t="shared" si="22"/>
        <v>9</v>
      </c>
      <c r="D1439" t="s">
        <v>179</v>
      </c>
      <c r="E1439">
        <v>6704058</v>
      </c>
      <c r="F1439" t="s">
        <v>87</v>
      </c>
      <c r="G1439" t="s">
        <v>203</v>
      </c>
      <c r="H1439" t="s">
        <v>245</v>
      </c>
      <c r="I1439" s="4">
        <v>100638.28079999999</v>
      </c>
      <c r="J1439" s="4">
        <v>805106.24639999995</v>
      </c>
      <c r="K1439" s="4">
        <v>-34676.860799999995</v>
      </c>
      <c r="L1439" s="4">
        <v>8</v>
      </c>
    </row>
    <row r="1440" spans="1:12">
      <c r="A1440" t="s">
        <v>92</v>
      </c>
      <c r="B1440" s="10">
        <v>45554</v>
      </c>
      <c r="C1440" s="18">
        <f t="shared" si="22"/>
        <v>9</v>
      </c>
      <c r="D1440" t="s">
        <v>179</v>
      </c>
      <c r="E1440">
        <v>6704058</v>
      </c>
      <c r="F1440" t="s">
        <v>87</v>
      </c>
      <c r="G1440" t="s">
        <v>203</v>
      </c>
      <c r="H1440" t="s">
        <v>237</v>
      </c>
      <c r="I1440" s="4">
        <v>125766.4408</v>
      </c>
      <c r="J1440" s="4">
        <v>503065.76319999999</v>
      </c>
      <c r="K1440" s="4">
        <v>-22615.344000000001</v>
      </c>
      <c r="L1440" s="4">
        <v>4</v>
      </c>
    </row>
    <row r="1441" spans="1:12">
      <c r="A1441" t="s">
        <v>92</v>
      </c>
      <c r="B1441" s="10">
        <v>45554</v>
      </c>
      <c r="C1441" s="18">
        <f t="shared" si="22"/>
        <v>9</v>
      </c>
      <c r="D1441" t="s">
        <v>179</v>
      </c>
      <c r="E1441">
        <v>6704058</v>
      </c>
      <c r="F1441" t="s">
        <v>87</v>
      </c>
      <c r="G1441" t="s">
        <v>203</v>
      </c>
      <c r="H1441" t="s">
        <v>233</v>
      </c>
      <c r="I1441" s="4">
        <v>120735.78316800001</v>
      </c>
      <c r="J1441" s="4">
        <v>482943.13267200004</v>
      </c>
      <c r="K1441" s="4">
        <v>-22615.344000000001</v>
      </c>
      <c r="L1441" s="4">
        <v>4</v>
      </c>
    </row>
    <row r="1442" spans="1:12">
      <c r="A1442" t="s">
        <v>92</v>
      </c>
      <c r="B1442" s="10">
        <v>45554</v>
      </c>
      <c r="C1442" s="18">
        <f t="shared" si="22"/>
        <v>9</v>
      </c>
      <c r="D1442" t="s">
        <v>179</v>
      </c>
      <c r="E1442">
        <v>6684690</v>
      </c>
      <c r="F1442" t="s">
        <v>88</v>
      </c>
      <c r="G1442" t="s">
        <v>203</v>
      </c>
      <c r="H1442" t="s">
        <v>245</v>
      </c>
      <c r="I1442" s="4">
        <v>100638.28079999999</v>
      </c>
      <c r="J1442" s="4">
        <v>603829.68479999993</v>
      </c>
      <c r="K1442" s="4">
        <v>-26007.645599999996</v>
      </c>
      <c r="L1442" s="4">
        <v>6</v>
      </c>
    </row>
    <row r="1443" spans="1:12">
      <c r="A1443" t="s">
        <v>92</v>
      </c>
      <c r="B1443" s="10">
        <v>45554</v>
      </c>
      <c r="C1443" s="18">
        <f t="shared" si="22"/>
        <v>9</v>
      </c>
      <c r="D1443" t="s">
        <v>179</v>
      </c>
      <c r="E1443">
        <v>6499774</v>
      </c>
      <c r="F1443" t="s">
        <v>88</v>
      </c>
      <c r="G1443" t="s">
        <v>203</v>
      </c>
      <c r="H1443" t="s">
        <v>245</v>
      </c>
      <c r="I1443" s="4">
        <v>100638.28079999999</v>
      </c>
      <c r="J1443" s="4">
        <v>1006382.808</v>
      </c>
      <c r="K1443" s="4">
        <v>-43346.076000000001</v>
      </c>
      <c r="L1443" s="4">
        <v>10</v>
      </c>
    </row>
    <row r="1444" spans="1:12">
      <c r="A1444" t="s">
        <v>92</v>
      </c>
      <c r="B1444" s="10">
        <v>45557</v>
      </c>
      <c r="C1444" s="18">
        <f t="shared" si="22"/>
        <v>9</v>
      </c>
      <c r="D1444" t="s">
        <v>179</v>
      </c>
      <c r="E1444">
        <v>6684817</v>
      </c>
      <c r="F1444" t="s">
        <v>90</v>
      </c>
      <c r="G1444" t="s">
        <v>203</v>
      </c>
      <c r="H1444" t="s">
        <v>245</v>
      </c>
      <c r="I1444" s="4">
        <v>100638.28079999999</v>
      </c>
      <c r="J1444" s="4">
        <v>805106.24639999995</v>
      </c>
      <c r="K1444" s="4">
        <v>-34676.860799999995</v>
      </c>
      <c r="L1444" s="4">
        <v>8</v>
      </c>
    </row>
    <row r="1445" spans="1:12">
      <c r="A1445" t="s">
        <v>92</v>
      </c>
      <c r="B1445" s="10">
        <v>45557</v>
      </c>
      <c r="C1445" s="18">
        <f t="shared" si="22"/>
        <v>9</v>
      </c>
      <c r="D1445" t="s">
        <v>179</v>
      </c>
      <c r="E1445">
        <v>6684817</v>
      </c>
      <c r="F1445" t="s">
        <v>90</v>
      </c>
      <c r="G1445" t="s">
        <v>203</v>
      </c>
      <c r="H1445" t="s">
        <v>237</v>
      </c>
      <c r="I1445" s="4">
        <v>125766.4408</v>
      </c>
      <c r="J1445" s="4">
        <v>125766.4408</v>
      </c>
      <c r="K1445" s="4">
        <v>-5653.8360000000002</v>
      </c>
      <c r="L1445" s="4">
        <v>1</v>
      </c>
    </row>
    <row r="1446" spans="1:12">
      <c r="A1446" t="s">
        <v>92</v>
      </c>
      <c r="B1446" s="10">
        <v>45557</v>
      </c>
      <c r="C1446" s="18">
        <f t="shared" si="22"/>
        <v>9</v>
      </c>
      <c r="D1446" t="s">
        <v>179</v>
      </c>
      <c r="E1446">
        <v>6684817</v>
      </c>
      <c r="F1446" t="s">
        <v>90</v>
      </c>
      <c r="G1446" t="s">
        <v>203</v>
      </c>
      <c r="H1446" t="s">
        <v>233</v>
      </c>
      <c r="I1446" s="4">
        <v>120735.78316800001</v>
      </c>
      <c r="J1446" s="4">
        <v>120735.78316800001</v>
      </c>
      <c r="K1446" s="4">
        <v>-5653.8360000000002</v>
      </c>
      <c r="L1446" s="4">
        <v>1</v>
      </c>
    </row>
    <row r="1447" spans="1:12">
      <c r="A1447" t="s">
        <v>92</v>
      </c>
      <c r="B1447" s="10">
        <v>45557</v>
      </c>
      <c r="C1447" s="18">
        <f t="shared" si="22"/>
        <v>9</v>
      </c>
      <c r="D1447" t="s">
        <v>179</v>
      </c>
      <c r="E1447">
        <v>6684817</v>
      </c>
      <c r="F1447" t="s">
        <v>90</v>
      </c>
      <c r="G1447" t="s">
        <v>203</v>
      </c>
      <c r="H1447" t="s">
        <v>231</v>
      </c>
      <c r="I1447" s="4">
        <v>125766.4408</v>
      </c>
      <c r="J1447" s="4">
        <v>125766.4408</v>
      </c>
      <c r="K1447" s="4">
        <v>-5653.8360000000002</v>
      </c>
      <c r="L1447" s="4">
        <v>1</v>
      </c>
    </row>
    <row r="1448" spans="1:12">
      <c r="A1448" t="s">
        <v>92</v>
      </c>
      <c r="B1448" s="10">
        <v>45565</v>
      </c>
      <c r="C1448" s="18">
        <f t="shared" si="22"/>
        <v>9</v>
      </c>
      <c r="D1448" t="s">
        <v>179</v>
      </c>
      <c r="E1448">
        <v>6700655</v>
      </c>
      <c r="F1448" t="s">
        <v>90</v>
      </c>
      <c r="G1448" t="s">
        <v>203</v>
      </c>
      <c r="H1448" t="s">
        <v>245</v>
      </c>
      <c r="I1448" s="4">
        <v>100638.28079999999</v>
      </c>
      <c r="J1448" s="4">
        <v>201276.56159999999</v>
      </c>
      <c r="K1448" s="4">
        <v>-8669.2151999999987</v>
      </c>
      <c r="L1448" s="4">
        <v>2</v>
      </c>
    </row>
    <row r="1449" spans="1:12">
      <c r="A1449" t="s">
        <v>92</v>
      </c>
      <c r="B1449" s="10">
        <v>45565</v>
      </c>
      <c r="C1449" s="18">
        <f t="shared" si="22"/>
        <v>9</v>
      </c>
      <c r="D1449" t="s">
        <v>179</v>
      </c>
      <c r="E1449">
        <v>6700802</v>
      </c>
      <c r="F1449" t="s">
        <v>87</v>
      </c>
      <c r="G1449" t="s">
        <v>203</v>
      </c>
      <c r="H1449" t="s">
        <v>242</v>
      </c>
      <c r="I1449" s="4">
        <v>100638.28079999999</v>
      </c>
      <c r="J1449" s="4">
        <v>1006382.808</v>
      </c>
      <c r="K1449" s="4">
        <v>-43346.076000000001</v>
      </c>
      <c r="L1449" s="4">
        <v>10</v>
      </c>
    </row>
    <row r="1450" spans="1:12">
      <c r="A1450" t="s">
        <v>92</v>
      </c>
      <c r="B1450" s="10">
        <v>45565</v>
      </c>
      <c r="C1450" s="18">
        <f t="shared" si="22"/>
        <v>9</v>
      </c>
      <c r="D1450" t="s">
        <v>179</v>
      </c>
      <c r="E1450">
        <v>6700802</v>
      </c>
      <c r="F1450" t="s">
        <v>87</v>
      </c>
      <c r="G1450" t="s">
        <v>203</v>
      </c>
      <c r="H1450" t="s">
        <v>240</v>
      </c>
      <c r="I1450" s="4">
        <v>100638.28079999999</v>
      </c>
      <c r="J1450" s="4">
        <v>1006382.808</v>
      </c>
      <c r="K1450" s="4">
        <v>-43346.076000000001</v>
      </c>
      <c r="L1450" s="4">
        <v>10</v>
      </c>
    </row>
    <row r="1451" spans="1:12">
      <c r="A1451" t="s">
        <v>92</v>
      </c>
      <c r="B1451" s="10">
        <v>45565</v>
      </c>
      <c r="C1451" s="18">
        <f t="shared" si="22"/>
        <v>9</v>
      </c>
      <c r="D1451" t="s">
        <v>179</v>
      </c>
      <c r="E1451">
        <v>6700802</v>
      </c>
      <c r="F1451" t="s">
        <v>87</v>
      </c>
      <c r="G1451" t="s">
        <v>203</v>
      </c>
      <c r="H1451" t="s">
        <v>238</v>
      </c>
      <c r="I1451" s="4">
        <v>95606.36675999999</v>
      </c>
      <c r="J1451" s="4">
        <v>956063.66759999993</v>
      </c>
      <c r="K1451" s="4">
        <v>-43346.076000000001</v>
      </c>
      <c r="L1451" s="4">
        <v>10</v>
      </c>
    </row>
    <row r="1452" spans="1:12">
      <c r="A1452" t="s">
        <v>92</v>
      </c>
      <c r="B1452" s="10">
        <v>45565</v>
      </c>
      <c r="C1452" s="18">
        <f t="shared" si="22"/>
        <v>9</v>
      </c>
      <c r="D1452" t="s">
        <v>179</v>
      </c>
      <c r="E1452">
        <v>6681936</v>
      </c>
      <c r="F1452" t="s">
        <v>88</v>
      </c>
      <c r="G1452" t="s">
        <v>203</v>
      </c>
      <c r="H1452" t="s">
        <v>234</v>
      </c>
      <c r="I1452" s="4">
        <v>100638.28079999999</v>
      </c>
      <c r="J1452" s="4">
        <v>1006382.808</v>
      </c>
      <c r="K1452" s="4">
        <v>-43346.076000000001</v>
      </c>
      <c r="L1452" s="4">
        <v>10</v>
      </c>
    </row>
    <row r="1453" spans="1:12">
      <c r="A1453" t="s">
        <v>92</v>
      </c>
      <c r="B1453" s="10">
        <v>45565</v>
      </c>
      <c r="C1453" s="18">
        <f t="shared" si="22"/>
        <v>9</v>
      </c>
      <c r="D1453" t="s">
        <v>179</v>
      </c>
      <c r="E1453">
        <v>6681936</v>
      </c>
      <c r="F1453" t="s">
        <v>88</v>
      </c>
      <c r="G1453" t="s">
        <v>203</v>
      </c>
      <c r="H1453" t="s">
        <v>229</v>
      </c>
      <c r="I1453" s="4">
        <v>125766.4408</v>
      </c>
      <c r="J1453" s="4">
        <v>1257664.4080000001</v>
      </c>
      <c r="K1453" s="4">
        <v>-56538.36</v>
      </c>
      <c r="L1453" s="4">
        <v>10</v>
      </c>
    </row>
    <row r="1454" spans="1:12">
      <c r="A1454" t="s">
        <v>93</v>
      </c>
      <c r="B1454" s="10">
        <v>45537</v>
      </c>
      <c r="C1454" s="18">
        <f t="shared" si="22"/>
        <v>9</v>
      </c>
      <c r="D1454" t="s">
        <v>184</v>
      </c>
      <c r="E1454">
        <v>4879013</v>
      </c>
      <c r="F1454" t="s">
        <v>88</v>
      </c>
      <c r="G1454" t="s">
        <v>203</v>
      </c>
      <c r="H1454" t="s">
        <v>240</v>
      </c>
      <c r="I1454" s="4">
        <v>100638.28079999999</v>
      </c>
      <c r="J1454" s="4">
        <v>201276.56159999999</v>
      </c>
      <c r="L1454" s="4">
        <v>2</v>
      </c>
    </row>
    <row r="1455" spans="1:12">
      <c r="A1455" t="s">
        <v>93</v>
      </c>
      <c r="B1455" s="10">
        <v>45537</v>
      </c>
      <c r="C1455" s="18">
        <f t="shared" si="22"/>
        <v>9</v>
      </c>
      <c r="D1455" t="s">
        <v>184</v>
      </c>
      <c r="E1455">
        <v>4879013</v>
      </c>
      <c r="F1455" t="s">
        <v>88</v>
      </c>
      <c r="G1455" t="s">
        <v>203</v>
      </c>
      <c r="H1455" t="s">
        <v>234</v>
      </c>
      <c r="I1455" s="4">
        <v>100638.28079999999</v>
      </c>
      <c r="J1455" s="4">
        <v>201276.56159999999</v>
      </c>
      <c r="L1455" s="4">
        <v>2</v>
      </c>
    </row>
    <row r="1456" spans="1:12">
      <c r="A1456" t="s">
        <v>93</v>
      </c>
      <c r="B1456" s="10">
        <v>45537</v>
      </c>
      <c r="C1456" s="18">
        <f t="shared" si="22"/>
        <v>9</v>
      </c>
      <c r="D1456" t="s">
        <v>184</v>
      </c>
      <c r="E1456">
        <v>4879013</v>
      </c>
      <c r="F1456" t="s">
        <v>88</v>
      </c>
      <c r="G1456" t="s">
        <v>203</v>
      </c>
      <c r="H1456" t="s">
        <v>232</v>
      </c>
      <c r="I1456" s="4">
        <v>100638.28079999999</v>
      </c>
      <c r="J1456" s="4">
        <v>201276.56159999999</v>
      </c>
      <c r="L1456" s="4">
        <v>2</v>
      </c>
    </row>
    <row r="1457" spans="1:12">
      <c r="A1457" t="s">
        <v>93</v>
      </c>
      <c r="B1457" s="10">
        <v>45537</v>
      </c>
      <c r="C1457" s="18">
        <f t="shared" si="22"/>
        <v>9</v>
      </c>
      <c r="D1457" t="s">
        <v>184</v>
      </c>
      <c r="E1457">
        <v>4879013</v>
      </c>
      <c r="F1457" t="s">
        <v>88</v>
      </c>
      <c r="G1457" t="s">
        <v>203</v>
      </c>
      <c r="H1457" t="s">
        <v>239</v>
      </c>
      <c r="I1457" s="4">
        <v>125766.4408</v>
      </c>
      <c r="J1457" s="4">
        <v>377299.3224</v>
      </c>
      <c r="L1457" s="4">
        <v>3</v>
      </c>
    </row>
    <row r="1458" spans="1:12">
      <c r="A1458" t="s">
        <v>93</v>
      </c>
      <c r="B1458" s="10">
        <v>45537</v>
      </c>
      <c r="C1458" s="18">
        <f t="shared" si="22"/>
        <v>9</v>
      </c>
      <c r="D1458" t="s">
        <v>184</v>
      </c>
      <c r="E1458">
        <v>4879013</v>
      </c>
      <c r="F1458" t="s">
        <v>88</v>
      </c>
      <c r="G1458" t="s">
        <v>203</v>
      </c>
      <c r="H1458" t="s">
        <v>237</v>
      </c>
      <c r="I1458" s="4">
        <v>125766.4408</v>
      </c>
      <c r="J1458" s="4">
        <v>377299.3224</v>
      </c>
      <c r="L1458" s="4">
        <v>3</v>
      </c>
    </row>
    <row r="1459" spans="1:12">
      <c r="A1459" t="s">
        <v>93</v>
      </c>
      <c r="B1459" s="10">
        <v>45537</v>
      </c>
      <c r="C1459" s="18">
        <f t="shared" si="22"/>
        <v>9</v>
      </c>
      <c r="D1459" t="s">
        <v>184</v>
      </c>
      <c r="E1459">
        <v>4879013</v>
      </c>
      <c r="F1459" t="s">
        <v>88</v>
      </c>
      <c r="G1459" t="s">
        <v>203</v>
      </c>
      <c r="H1459" t="s">
        <v>229</v>
      </c>
      <c r="I1459" s="4">
        <v>125766.4408</v>
      </c>
      <c r="J1459" s="4">
        <v>377299.3224</v>
      </c>
      <c r="L1459" s="4">
        <v>3</v>
      </c>
    </row>
    <row r="1460" spans="1:12">
      <c r="A1460" t="s">
        <v>93</v>
      </c>
      <c r="B1460" s="10">
        <v>45537</v>
      </c>
      <c r="C1460" s="18">
        <f t="shared" si="22"/>
        <v>9</v>
      </c>
      <c r="D1460" t="s">
        <v>184</v>
      </c>
      <c r="E1460">
        <v>4879013</v>
      </c>
      <c r="F1460" t="s">
        <v>88</v>
      </c>
      <c r="G1460" t="s">
        <v>204</v>
      </c>
      <c r="H1460" t="s">
        <v>214</v>
      </c>
      <c r="I1460" s="4">
        <v>119484.4008</v>
      </c>
      <c r="J1460" s="4">
        <v>1194844.0079999999</v>
      </c>
      <c r="L1460" s="4">
        <v>10</v>
      </c>
    </row>
    <row r="1461" spans="1:12">
      <c r="A1461" t="s">
        <v>93</v>
      </c>
      <c r="B1461" s="10">
        <v>45537</v>
      </c>
      <c r="C1461" s="18">
        <f t="shared" si="22"/>
        <v>9</v>
      </c>
      <c r="D1461" t="s">
        <v>184</v>
      </c>
      <c r="E1461">
        <v>4878925</v>
      </c>
      <c r="F1461" t="s">
        <v>89</v>
      </c>
      <c r="G1461" t="s">
        <v>203</v>
      </c>
      <c r="H1461" t="s">
        <v>237</v>
      </c>
      <c r="I1461" s="4">
        <v>125766.4408</v>
      </c>
      <c r="J1461" s="4">
        <v>251532.88159999999</v>
      </c>
      <c r="L1461" s="4">
        <v>2</v>
      </c>
    </row>
    <row r="1462" spans="1:12">
      <c r="A1462" t="s">
        <v>93</v>
      </c>
      <c r="B1462" s="10">
        <v>45537</v>
      </c>
      <c r="C1462" s="18">
        <f t="shared" si="22"/>
        <v>9</v>
      </c>
      <c r="D1462" t="s">
        <v>184</v>
      </c>
      <c r="E1462">
        <v>4878925</v>
      </c>
      <c r="F1462" t="s">
        <v>89</v>
      </c>
      <c r="G1462" t="s">
        <v>203</v>
      </c>
      <c r="H1462" t="s">
        <v>233</v>
      </c>
      <c r="I1462" s="4">
        <v>120735.78316800001</v>
      </c>
      <c r="J1462" s="4">
        <v>241471.56633600002</v>
      </c>
      <c r="L1462" s="4">
        <v>2</v>
      </c>
    </row>
    <row r="1463" spans="1:12">
      <c r="A1463" t="s">
        <v>93</v>
      </c>
      <c r="B1463" s="10">
        <v>45537</v>
      </c>
      <c r="C1463" s="18">
        <f t="shared" si="22"/>
        <v>9</v>
      </c>
      <c r="D1463" t="s">
        <v>184</v>
      </c>
      <c r="E1463">
        <v>4878925</v>
      </c>
      <c r="F1463" t="s">
        <v>89</v>
      </c>
      <c r="G1463" t="s">
        <v>203</v>
      </c>
      <c r="H1463" t="s">
        <v>229</v>
      </c>
      <c r="I1463" s="4">
        <v>125766.4408</v>
      </c>
      <c r="J1463" s="4">
        <v>251532.88159999999</v>
      </c>
      <c r="L1463" s="4">
        <v>2</v>
      </c>
    </row>
    <row r="1464" spans="1:12">
      <c r="A1464" t="s">
        <v>93</v>
      </c>
      <c r="B1464" s="10">
        <v>45538</v>
      </c>
      <c r="C1464" s="18">
        <f t="shared" si="22"/>
        <v>9</v>
      </c>
      <c r="D1464" t="s">
        <v>184</v>
      </c>
      <c r="E1464">
        <v>4873371</v>
      </c>
      <c r="F1464" t="s">
        <v>87</v>
      </c>
      <c r="G1464" t="s">
        <v>203</v>
      </c>
      <c r="H1464" t="s">
        <v>240</v>
      </c>
      <c r="I1464" s="4">
        <v>100638.28079999999</v>
      </c>
      <c r="J1464" s="4">
        <v>402553.12319999997</v>
      </c>
      <c r="L1464" s="4">
        <v>4</v>
      </c>
    </row>
    <row r="1465" spans="1:12">
      <c r="A1465" t="s">
        <v>93</v>
      </c>
      <c r="B1465" s="10">
        <v>45538</v>
      </c>
      <c r="C1465" s="18">
        <f t="shared" si="22"/>
        <v>9</v>
      </c>
      <c r="D1465" t="s">
        <v>184</v>
      </c>
      <c r="E1465">
        <v>4873371</v>
      </c>
      <c r="F1465" t="s">
        <v>87</v>
      </c>
      <c r="G1465" t="s">
        <v>203</v>
      </c>
      <c r="H1465" t="s">
        <v>234</v>
      </c>
      <c r="I1465" s="4">
        <v>100638.28079999999</v>
      </c>
      <c r="J1465" s="4">
        <v>201276.56159999999</v>
      </c>
      <c r="L1465" s="4">
        <v>2</v>
      </c>
    </row>
    <row r="1466" spans="1:12">
      <c r="A1466" t="s">
        <v>93</v>
      </c>
      <c r="B1466" s="10">
        <v>45538</v>
      </c>
      <c r="C1466" s="18">
        <f t="shared" si="22"/>
        <v>9</v>
      </c>
      <c r="D1466" t="s">
        <v>184</v>
      </c>
      <c r="E1466">
        <v>4873371</v>
      </c>
      <c r="F1466" t="s">
        <v>87</v>
      </c>
      <c r="G1466" t="s">
        <v>203</v>
      </c>
      <c r="H1466" t="s">
        <v>232</v>
      </c>
      <c r="I1466" s="4">
        <v>100638.28079999999</v>
      </c>
      <c r="J1466" s="4">
        <v>201276.56159999999</v>
      </c>
      <c r="L1466" s="4">
        <v>2</v>
      </c>
    </row>
    <row r="1467" spans="1:12">
      <c r="A1467" t="s">
        <v>93</v>
      </c>
      <c r="B1467" s="10">
        <v>45539</v>
      </c>
      <c r="C1467" s="18">
        <f t="shared" si="22"/>
        <v>9</v>
      </c>
      <c r="D1467" t="s">
        <v>184</v>
      </c>
      <c r="E1467">
        <v>4879013</v>
      </c>
      <c r="F1467" t="s">
        <v>88</v>
      </c>
      <c r="G1467" t="s">
        <v>203</v>
      </c>
      <c r="H1467" t="s">
        <v>234</v>
      </c>
      <c r="I1467" s="4">
        <v>100638.28079999999</v>
      </c>
      <c r="J1467" s="4">
        <v>201276.56159999999</v>
      </c>
      <c r="L1467" s="4">
        <v>2</v>
      </c>
    </row>
    <row r="1468" spans="1:12">
      <c r="A1468" t="s">
        <v>93</v>
      </c>
      <c r="B1468" s="10">
        <v>45539</v>
      </c>
      <c r="C1468" s="18">
        <f t="shared" si="22"/>
        <v>9</v>
      </c>
      <c r="D1468" t="s">
        <v>184</v>
      </c>
      <c r="E1468">
        <v>4879013</v>
      </c>
      <c r="F1468" t="s">
        <v>88</v>
      </c>
      <c r="G1468" t="s">
        <v>203</v>
      </c>
      <c r="H1468" t="s">
        <v>232</v>
      </c>
      <c r="I1468" s="4">
        <v>100638.28079999999</v>
      </c>
      <c r="J1468" s="4">
        <v>201276.56159999999</v>
      </c>
      <c r="L1468" s="4">
        <v>2</v>
      </c>
    </row>
    <row r="1469" spans="1:12">
      <c r="A1469" t="s">
        <v>93</v>
      </c>
      <c r="B1469" s="10">
        <v>45539</v>
      </c>
      <c r="C1469" s="18">
        <f t="shared" si="22"/>
        <v>9</v>
      </c>
      <c r="D1469" t="s">
        <v>184</v>
      </c>
      <c r="E1469">
        <v>6080130</v>
      </c>
      <c r="F1469" t="s">
        <v>87</v>
      </c>
      <c r="G1469" t="s">
        <v>203</v>
      </c>
      <c r="H1469" t="s">
        <v>240</v>
      </c>
      <c r="I1469" s="4">
        <v>100638.28079999999</v>
      </c>
      <c r="J1469" s="4">
        <v>201276.56159999999</v>
      </c>
      <c r="L1469" s="4">
        <v>2</v>
      </c>
    </row>
    <row r="1470" spans="1:12">
      <c r="A1470" t="s">
        <v>93</v>
      </c>
      <c r="B1470" s="10">
        <v>45539</v>
      </c>
      <c r="C1470" s="18">
        <f t="shared" si="22"/>
        <v>9</v>
      </c>
      <c r="D1470" t="s">
        <v>184</v>
      </c>
      <c r="E1470">
        <v>6080130</v>
      </c>
      <c r="F1470" t="s">
        <v>87</v>
      </c>
      <c r="G1470" t="s">
        <v>203</v>
      </c>
      <c r="H1470" t="s">
        <v>234</v>
      </c>
      <c r="I1470" s="4">
        <v>100638.28079999999</v>
      </c>
      <c r="J1470" s="4">
        <v>201276.56159999999</v>
      </c>
      <c r="L1470" s="4">
        <v>2</v>
      </c>
    </row>
    <row r="1471" spans="1:12">
      <c r="A1471" t="s">
        <v>93</v>
      </c>
      <c r="B1471" s="10">
        <v>45539</v>
      </c>
      <c r="C1471" s="18">
        <f t="shared" si="22"/>
        <v>9</v>
      </c>
      <c r="D1471" t="s">
        <v>184</v>
      </c>
      <c r="E1471">
        <v>6080130</v>
      </c>
      <c r="F1471" t="s">
        <v>87</v>
      </c>
      <c r="G1471" t="s">
        <v>203</v>
      </c>
      <c r="H1471" t="s">
        <v>232</v>
      </c>
      <c r="I1471" s="4">
        <v>100638.28079999999</v>
      </c>
      <c r="J1471" s="4">
        <v>201276.56159999999</v>
      </c>
      <c r="L1471" s="4">
        <v>2</v>
      </c>
    </row>
    <row r="1472" spans="1:12">
      <c r="A1472" t="s">
        <v>93</v>
      </c>
      <c r="B1472" s="10">
        <v>45539</v>
      </c>
      <c r="C1472" s="18">
        <f t="shared" si="22"/>
        <v>9</v>
      </c>
      <c r="D1472" t="s">
        <v>184</v>
      </c>
      <c r="E1472">
        <v>6080130</v>
      </c>
      <c r="F1472" t="s">
        <v>87</v>
      </c>
      <c r="G1472" t="s">
        <v>203</v>
      </c>
      <c r="H1472" t="s">
        <v>239</v>
      </c>
      <c r="I1472" s="4">
        <v>125766.4408</v>
      </c>
      <c r="J1472" s="4">
        <v>251532.88159999999</v>
      </c>
      <c r="L1472" s="4">
        <v>2</v>
      </c>
    </row>
    <row r="1473" spans="1:12">
      <c r="A1473" t="s">
        <v>93</v>
      </c>
      <c r="B1473" s="10">
        <v>45539</v>
      </c>
      <c r="C1473" s="18">
        <f t="shared" si="22"/>
        <v>9</v>
      </c>
      <c r="D1473" t="s">
        <v>184</v>
      </c>
      <c r="E1473">
        <v>4876560</v>
      </c>
      <c r="F1473" t="s">
        <v>87</v>
      </c>
      <c r="G1473" t="s">
        <v>203</v>
      </c>
      <c r="H1473" t="s">
        <v>240</v>
      </c>
      <c r="I1473" s="4">
        <v>100638.28079999999</v>
      </c>
      <c r="J1473" s="4">
        <v>201276.56159999999</v>
      </c>
      <c r="L1473" s="4">
        <v>2</v>
      </c>
    </row>
    <row r="1474" spans="1:12">
      <c r="A1474" t="s">
        <v>93</v>
      </c>
      <c r="B1474" s="10">
        <v>45539</v>
      </c>
      <c r="C1474" s="18">
        <f t="shared" ref="C1474:C1537" si="23">MONTH(B1474)</f>
        <v>9</v>
      </c>
      <c r="D1474" t="s">
        <v>184</v>
      </c>
      <c r="E1474">
        <v>4876560</v>
      </c>
      <c r="F1474" t="s">
        <v>87</v>
      </c>
      <c r="G1474" t="s">
        <v>203</v>
      </c>
      <c r="H1474" t="s">
        <v>234</v>
      </c>
      <c r="I1474" s="4">
        <v>100638.28079999999</v>
      </c>
      <c r="J1474" s="4">
        <v>201276.56159999999</v>
      </c>
      <c r="L1474" s="4">
        <v>2</v>
      </c>
    </row>
    <row r="1475" spans="1:12">
      <c r="A1475" t="s">
        <v>93</v>
      </c>
      <c r="B1475" s="10">
        <v>45539</v>
      </c>
      <c r="C1475" s="18">
        <f t="shared" si="23"/>
        <v>9</v>
      </c>
      <c r="D1475" t="s">
        <v>184</v>
      </c>
      <c r="E1475">
        <v>4876560</v>
      </c>
      <c r="F1475" t="s">
        <v>87</v>
      </c>
      <c r="G1475" t="s">
        <v>203</v>
      </c>
      <c r="H1475" t="s">
        <v>232</v>
      </c>
      <c r="I1475" s="4">
        <v>100638.28079999999</v>
      </c>
      <c r="J1475" s="4">
        <v>201276.56159999999</v>
      </c>
      <c r="L1475" s="4">
        <v>2</v>
      </c>
    </row>
    <row r="1476" spans="1:12">
      <c r="A1476" t="s">
        <v>93</v>
      </c>
      <c r="B1476" s="10">
        <v>45539</v>
      </c>
      <c r="C1476" s="18">
        <f t="shared" si="23"/>
        <v>9</v>
      </c>
      <c r="D1476" t="s">
        <v>184</v>
      </c>
      <c r="E1476">
        <v>4876560</v>
      </c>
      <c r="F1476" t="s">
        <v>87</v>
      </c>
      <c r="G1476" t="s">
        <v>203</v>
      </c>
      <c r="H1476" t="s">
        <v>239</v>
      </c>
      <c r="I1476" s="4">
        <v>125766.4408</v>
      </c>
      <c r="J1476" s="4">
        <v>251532.88159999999</v>
      </c>
      <c r="L1476" s="4">
        <v>2</v>
      </c>
    </row>
    <row r="1477" spans="1:12">
      <c r="A1477" t="s">
        <v>93</v>
      </c>
      <c r="B1477" s="10">
        <v>45539</v>
      </c>
      <c r="C1477" s="18">
        <f t="shared" si="23"/>
        <v>9</v>
      </c>
      <c r="D1477" t="s">
        <v>184</v>
      </c>
      <c r="E1477">
        <v>4876560</v>
      </c>
      <c r="F1477" t="s">
        <v>87</v>
      </c>
      <c r="G1477" t="s">
        <v>203</v>
      </c>
      <c r="H1477" t="s">
        <v>237</v>
      </c>
      <c r="I1477" s="4">
        <v>125766.4408</v>
      </c>
      <c r="J1477" s="4">
        <v>251532.88159999999</v>
      </c>
      <c r="L1477" s="4">
        <v>2</v>
      </c>
    </row>
    <row r="1478" spans="1:12">
      <c r="A1478" t="s">
        <v>93</v>
      </c>
      <c r="B1478" s="10">
        <v>45539</v>
      </c>
      <c r="C1478" s="18">
        <f t="shared" si="23"/>
        <v>9</v>
      </c>
      <c r="D1478" t="s">
        <v>184</v>
      </c>
      <c r="E1478">
        <v>4876560</v>
      </c>
      <c r="F1478" t="s">
        <v>87</v>
      </c>
      <c r="G1478" t="s">
        <v>203</v>
      </c>
      <c r="H1478" t="s">
        <v>233</v>
      </c>
      <c r="I1478" s="4">
        <v>120735.78316800001</v>
      </c>
      <c r="J1478" s="4">
        <v>241471.56633600002</v>
      </c>
      <c r="L1478" s="4">
        <v>2</v>
      </c>
    </row>
    <row r="1479" spans="1:12">
      <c r="A1479" t="s">
        <v>93</v>
      </c>
      <c r="B1479" s="10">
        <v>45540</v>
      </c>
      <c r="C1479" s="18">
        <f t="shared" si="23"/>
        <v>9</v>
      </c>
      <c r="D1479" t="s">
        <v>184</v>
      </c>
      <c r="E1479">
        <v>4877273</v>
      </c>
      <c r="F1479" t="s">
        <v>87</v>
      </c>
      <c r="G1479" t="s">
        <v>203</v>
      </c>
      <c r="H1479" t="s">
        <v>239</v>
      </c>
      <c r="I1479" s="4">
        <v>125766.4408</v>
      </c>
      <c r="J1479" s="4">
        <v>251532.88159999999</v>
      </c>
      <c r="L1479" s="4">
        <v>2</v>
      </c>
    </row>
    <row r="1480" spans="1:12">
      <c r="A1480" t="s">
        <v>93</v>
      </c>
      <c r="B1480" s="10">
        <v>45540</v>
      </c>
      <c r="C1480" s="18">
        <f t="shared" si="23"/>
        <v>9</v>
      </c>
      <c r="D1480" t="s">
        <v>184</v>
      </c>
      <c r="E1480">
        <v>4877273</v>
      </c>
      <c r="F1480" t="s">
        <v>87</v>
      </c>
      <c r="G1480" t="s">
        <v>203</v>
      </c>
      <c r="H1480" t="s">
        <v>237</v>
      </c>
      <c r="I1480" s="4">
        <v>125766.4408</v>
      </c>
      <c r="J1480" s="4">
        <v>251532.88159999999</v>
      </c>
      <c r="L1480" s="4">
        <v>2</v>
      </c>
    </row>
    <row r="1481" spans="1:12">
      <c r="A1481" t="s">
        <v>93</v>
      </c>
      <c r="B1481" s="10">
        <v>45540</v>
      </c>
      <c r="C1481" s="18">
        <f t="shared" si="23"/>
        <v>9</v>
      </c>
      <c r="D1481" t="s">
        <v>184</v>
      </c>
      <c r="E1481">
        <v>4877273</v>
      </c>
      <c r="F1481" t="s">
        <v>87</v>
      </c>
      <c r="G1481" t="s">
        <v>203</v>
      </c>
      <c r="H1481" t="s">
        <v>233</v>
      </c>
      <c r="I1481" s="4">
        <v>120735.78316800001</v>
      </c>
      <c r="J1481" s="4">
        <v>241471.56633600002</v>
      </c>
      <c r="L1481" s="4">
        <v>2</v>
      </c>
    </row>
    <row r="1482" spans="1:12">
      <c r="A1482" t="s">
        <v>93</v>
      </c>
      <c r="B1482" s="10">
        <v>45540</v>
      </c>
      <c r="C1482" s="18">
        <f t="shared" si="23"/>
        <v>9</v>
      </c>
      <c r="D1482" t="s">
        <v>184</v>
      </c>
      <c r="E1482">
        <v>4877273</v>
      </c>
      <c r="F1482" t="s">
        <v>87</v>
      </c>
      <c r="G1482" t="s">
        <v>203</v>
      </c>
      <c r="H1482" t="s">
        <v>229</v>
      </c>
      <c r="I1482" s="4">
        <v>125766.4408</v>
      </c>
      <c r="J1482" s="4">
        <v>251532.88159999999</v>
      </c>
      <c r="L1482" s="4">
        <v>2</v>
      </c>
    </row>
    <row r="1483" spans="1:12">
      <c r="A1483" t="s">
        <v>93</v>
      </c>
      <c r="B1483" s="10">
        <v>45541</v>
      </c>
      <c r="C1483" s="18">
        <f t="shared" si="23"/>
        <v>9</v>
      </c>
      <c r="D1483" t="s">
        <v>184</v>
      </c>
      <c r="E1483">
        <v>4874206</v>
      </c>
      <c r="F1483" t="s">
        <v>90</v>
      </c>
      <c r="G1483" t="s">
        <v>203</v>
      </c>
      <c r="H1483" t="s">
        <v>234</v>
      </c>
      <c r="I1483" s="4">
        <v>100638.28079999999</v>
      </c>
      <c r="J1483" s="4">
        <v>1006382.808</v>
      </c>
      <c r="L1483" s="4">
        <v>10</v>
      </c>
    </row>
    <row r="1484" spans="1:12">
      <c r="A1484" t="s">
        <v>93</v>
      </c>
      <c r="B1484" s="10">
        <v>45542</v>
      </c>
      <c r="C1484" s="18">
        <f t="shared" si="23"/>
        <v>9</v>
      </c>
      <c r="D1484" t="s">
        <v>158</v>
      </c>
      <c r="E1484">
        <v>4875999</v>
      </c>
      <c r="F1484" t="s">
        <v>90</v>
      </c>
      <c r="G1484" t="s">
        <v>203</v>
      </c>
      <c r="H1484" t="s">
        <v>232</v>
      </c>
      <c r="I1484" s="4">
        <v>100638.28079999999</v>
      </c>
      <c r="J1484" s="4">
        <v>805106.24639999995</v>
      </c>
      <c r="L1484" s="4">
        <v>8</v>
      </c>
    </row>
    <row r="1485" spans="1:12">
      <c r="A1485" t="s">
        <v>93</v>
      </c>
      <c r="B1485" s="10">
        <v>45542</v>
      </c>
      <c r="C1485" s="18">
        <f t="shared" si="23"/>
        <v>9</v>
      </c>
      <c r="D1485" t="s">
        <v>158</v>
      </c>
      <c r="E1485">
        <v>4875999</v>
      </c>
      <c r="F1485" t="s">
        <v>90</v>
      </c>
      <c r="G1485" t="s">
        <v>203</v>
      </c>
      <c r="H1485" t="s">
        <v>237</v>
      </c>
      <c r="I1485" s="4">
        <v>125766.4408</v>
      </c>
      <c r="J1485" s="4">
        <v>503065.76319999999</v>
      </c>
      <c r="L1485" s="4">
        <v>4</v>
      </c>
    </row>
    <row r="1486" spans="1:12">
      <c r="A1486" t="s">
        <v>93</v>
      </c>
      <c r="B1486" s="10">
        <v>45542</v>
      </c>
      <c r="C1486" s="18">
        <f t="shared" si="23"/>
        <v>9</v>
      </c>
      <c r="D1486" t="s">
        <v>158</v>
      </c>
      <c r="E1486">
        <v>4875999</v>
      </c>
      <c r="F1486" t="s">
        <v>90</v>
      </c>
      <c r="G1486" t="s">
        <v>203</v>
      </c>
      <c r="H1486" t="s">
        <v>233</v>
      </c>
      <c r="I1486" s="4">
        <v>120735.78316800001</v>
      </c>
      <c r="J1486" s="4">
        <v>482943.13267200004</v>
      </c>
      <c r="L1486" s="4">
        <v>4</v>
      </c>
    </row>
    <row r="1487" spans="1:12">
      <c r="A1487" t="s">
        <v>93</v>
      </c>
      <c r="B1487" s="10">
        <v>45542</v>
      </c>
      <c r="C1487" s="18">
        <f t="shared" si="23"/>
        <v>9</v>
      </c>
      <c r="D1487" t="s">
        <v>158</v>
      </c>
      <c r="E1487">
        <v>4875999</v>
      </c>
      <c r="F1487" t="s">
        <v>90</v>
      </c>
      <c r="G1487" t="s">
        <v>203</v>
      </c>
      <c r="H1487" t="s">
        <v>229</v>
      </c>
      <c r="I1487" s="4">
        <v>125766.4408</v>
      </c>
      <c r="J1487" s="4">
        <v>503065.76319999999</v>
      </c>
      <c r="L1487" s="4">
        <v>4</v>
      </c>
    </row>
    <row r="1488" spans="1:12">
      <c r="A1488" t="s">
        <v>93</v>
      </c>
      <c r="B1488" s="10">
        <v>45545</v>
      </c>
      <c r="C1488" s="18">
        <f t="shared" si="23"/>
        <v>9</v>
      </c>
      <c r="D1488" t="s">
        <v>184</v>
      </c>
      <c r="E1488">
        <v>4876321</v>
      </c>
      <c r="F1488" t="s">
        <v>87</v>
      </c>
      <c r="G1488" t="s">
        <v>203</v>
      </c>
      <c r="H1488" t="s">
        <v>235</v>
      </c>
      <c r="I1488" s="4">
        <v>125766.4408</v>
      </c>
      <c r="J1488" s="4">
        <v>377299.3224</v>
      </c>
      <c r="L1488" s="4">
        <v>3</v>
      </c>
    </row>
    <row r="1489" spans="1:12">
      <c r="A1489" t="s">
        <v>93</v>
      </c>
      <c r="B1489" s="10">
        <v>45548</v>
      </c>
      <c r="C1489" s="18">
        <f t="shared" si="23"/>
        <v>9</v>
      </c>
      <c r="D1489" t="s">
        <v>184</v>
      </c>
      <c r="E1489">
        <v>4874206</v>
      </c>
      <c r="F1489" t="s">
        <v>90</v>
      </c>
      <c r="G1489" t="s">
        <v>203</v>
      </c>
      <c r="H1489" t="s">
        <v>224</v>
      </c>
      <c r="I1489" s="4">
        <v>100638.28079999999</v>
      </c>
      <c r="J1489" s="4">
        <v>402553.12319999997</v>
      </c>
      <c r="L1489" s="4">
        <v>4</v>
      </c>
    </row>
    <row r="1490" spans="1:12">
      <c r="A1490" t="s">
        <v>93</v>
      </c>
      <c r="B1490" s="10">
        <v>45548</v>
      </c>
      <c r="C1490" s="18">
        <f t="shared" si="23"/>
        <v>9</v>
      </c>
      <c r="D1490" t="s">
        <v>184</v>
      </c>
      <c r="E1490">
        <v>4874206</v>
      </c>
      <c r="F1490" t="s">
        <v>90</v>
      </c>
      <c r="G1490" t="s">
        <v>203</v>
      </c>
      <c r="H1490" t="s">
        <v>239</v>
      </c>
      <c r="I1490" s="4">
        <v>125766.4408</v>
      </c>
      <c r="J1490" s="4">
        <v>251532.88159999999</v>
      </c>
      <c r="L1490" s="4">
        <v>2</v>
      </c>
    </row>
    <row r="1491" spans="1:12">
      <c r="A1491" t="s">
        <v>93</v>
      </c>
      <c r="B1491" s="10">
        <v>45548</v>
      </c>
      <c r="C1491" s="18">
        <f t="shared" si="23"/>
        <v>9</v>
      </c>
      <c r="D1491" t="s">
        <v>184</v>
      </c>
      <c r="E1491">
        <v>4874206</v>
      </c>
      <c r="F1491" t="s">
        <v>90</v>
      </c>
      <c r="G1491" t="s">
        <v>203</v>
      </c>
      <c r="H1491" t="s">
        <v>231</v>
      </c>
      <c r="I1491" s="4">
        <v>125766.4408</v>
      </c>
      <c r="J1491" s="4">
        <v>251532.88159999999</v>
      </c>
      <c r="L1491" s="4">
        <v>2</v>
      </c>
    </row>
    <row r="1492" spans="1:12">
      <c r="A1492" t="s">
        <v>93</v>
      </c>
      <c r="B1492" s="10">
        <v>45549</v>
      </c>
      <c r="C1492" s="18">
        <f t="shared" si="23"/>
        <v>9</v>
      </c>
      <c r="D1492" t="s">
        <v>184</v>
      </c>
      <c r="E1492">
        <v>4879013</v>
      </c>
      <c r="F1492" t="s">
        <v>88</v>
      </c>
      <c r="G1492" t="s">
        <v>203</v>
      </c>
      <c r="H1492" t="s">
        <v>239</v>
      </c>
      <c r="I1492" s="4">
        <v>125766.4408</v>
      </c>
      <c r="J1492" s="4">
        <v>503065.76319999999</v>
      </c>
      <c r="L1492" s="4">
        <v>4</v>
      </c>
    </row>
    <row r="1493" spans="1:12">
      <c r="A1493" t="s">
        <v>93</v>
      </c>
      <c r="B1493" s="10">
        <v>45550</v>
      </c>
      <c r="C1493" s="18">
        <f t="shared" si="23"/>
        <v>9</v>
      </c>
      <c r="D1493" t="s">
        <v>184</v>
      </c>
      <c r="E1493">
        <v>4879013</v>
      </c>
      <c r="F1493" t="s">
        <v>88</v>
      </c>
      <c r="G1493" t="s">
        <v>203</v>
      </c>
      <c r="H1493" t="s">
        <v>242</v>
      </c>
      <c r="I1493" s="4">
        <v>100638.28079999999</v>
      </c>
      <c r="J1493" s="4">
        <v>201276.56159999999</v>
      </c>
      <c r="L1493" s="4">
        <v>2</v>
      </c>
    </row>
    <row r="1494" spans="1:12">
      <c r="A1494" t="s">
        <v>93</v>
      </c>
      <c r="B1494" s="10">
        <v>45550</v>
      </c>
      <c r="C1494" s="18">
        <f t="shared" si="23"/>
        <v>9</v>
      </c>
      <c r="D1494" t="s">
        <v>184</v>
      </c>
      <c r="E1494">
        <v>4879013</v>
      </c>
      <c r="F1494" t="s">
        <v>88</v>
      </c>
      <c r="G1494" t="s">
        <v>203</v>
      </c>
      <c r="H1494" t="s">
        <v>240</v>
      </c>
      <c r="I1494" s="4">
        <v>100638.28079999999</v>
      </c>
      <c r="J1494" s="4">
        <v>201276.56159999999</v>
      </c>
      <c r="L1494" s="4">
        <v>2</v>
      </c>
    </row>
    <row r="1495" spans="1:12">
      <c r="A1495" t="s">
        <v>93</v>
      </c>
      <c r="B1495" s="10">
        <v>45553</v>
      </c>
      <c r="C1495" s="18">
        <f t="shared" si="23"/>
        <v>9</v>
      </c>
      <c r="D1495" t="s">
        <v>184</v>
      </c>
      <c r="E1495">
        <v>4873457</v>
      </c>
      <c r="F1495" t="s">
        <v>90</v>
      </c>
      <c r="G1495" t="s">
        <v>203</v>
      </c>
      <c r="H1495" t="s">
        <v>242</v>
      </c>
      <c r="I1495" s="4">
        <v>100638.28079999999</v>
      </c>
      <c r="J1495" s="4">
        <v>603829.68479999993</v>
      </c>
      <c r="L1495" s="4">
        <v>6</v>
      </c>
    </row>
    <row r="1496" spans="1:12">
      <c r="A1496" t="s">
        <v>93</v>
      </c>
      <c r="B1496" s="10">
        <v>45553</v>
      </c>
      <c r="C1496" s="18">
        <f t="shared" si="23"/>
        <v>9</v>
      </c>
      <c r="D1496" t="s">
        <v>184</v>
      </c>
      <c r="E1496">
        <v>4873457</v>
      </c>
      <c r="F1496" t="s">
        <v>90</v>
      </c>
      <c r="G1496" t="s">
        <v>203</v>
      </c>
      <c r="H1496" t="s">
        <v>240</v>
      </c>
      <c r="I1496" s="4">
        <v>100638.28079999999</v>
      </c>
      <c r="J1496" s="4">
        <v>603829.68479999993</v>
      </c>
      <c r="L1496" s="4">
        <v>6</v>
      </c>
    </row>
    <row r="1497" spans="1:12">
      <c r="A1497" t="s">
        <v>93</v>
      </c>
      <c r="B1497" s="10">
        <v>45553</v>
      </c>
      <c r="C1497" s="18">
        <f t="shared" si="23"/>
        <v>9</v>
      </c>
      <c r="D1497" t="s">
        <v>184</v>
      </c>
      <c r="E1497">
        <v>4873457</v>
      </c>
      <c r="F1497" t="s">
        <v>90</v>
      </c>
      <c r="G1497" t="s">
        <v>203</v>
      </c>
      <c r="H1497" t="s">
        <v>235</v>
      </c>
      <c r="I1497" s="4">
        <v>125766.4408</v>
      </c>
      <c r="J1497" s="4">
        <v>628832.20400000003</v>
      </c>
      <c r="L1497" s="4">
        <v>5</v>
      </c>
    </row>
    <row r="1498" spans="1:12">
      <c r="A1498" t="s">
        <v>93</v>
      </c>
      <c r="B1498" s="10">
        <v>45553</v>
      </c>
      <c r="C1498" s="18">
        <f t="shared" si="23"/>
        <v>9</v>
      </c>
      <c r="D1498" t="s">
        <v>184</v>
      </c>
      <c r="E1498">
        <v>4873457</v>
      </c>
      <c r="F1498" t="s">
        <v>90</v>
      </c>
      <c r="G1498" t="s">
        <v>203</v>
      </c>
      <c r="H1498" t="s">
        <v>231</v>
      </c>
      <c r="I1498" s="4">
        <v>125766.4408</v>
      </c>
      <c r="J1498" s="4">
        <v>628832.20400000003</v>
      </c>
      <c r="L1498" s="4">
        <v>5</v>
      </c>
    </row>
    <row r="1499" spans="1:12">
      <c r="A1499" t="s">
        <v>93</v>
      </c>
      <c r="B1499" s="10">
        <v>45555</v>
      </c>
      <c r="C1499" s="18">
        <f t="shared" si="23"/>
        <v>9</v>
      </c>
      <c r="D1499" t="s">
        <v>184</v>
      </c>
      <c r="E1499">
        <v>4873780</v>
      </c>
      <c r="F1499" t="s">
        <v>87</v>
      </c>
      <c r="G1499" t="s">
        <v>203</v>
      </c>
      <c r="H1499" t="s">
        <v>242</v>
      </c>
      <c r="I1499" s="4">
        <v>100638.28079999999</v>
      </c>
      <c r="J1499" s="4">
        <v>201276.56159999999</v>
      </c>
      <c r="L1499" s="4">
        <v>2</v>
      </c>
    </row>
    <row r="1500" spans="1:12">
      <c r="A1500" t="s">
        <v>93</v>
      </c>
      <c r="B1500" s="10">
        <v>45555</v>
      </c>
      <c r="C1500" s="18">
        <f t="shared" si="23"/>
        <v>9</v>
      </c>
      <c r="D1500" t="s">
        <v>184</v>
      </c>
      <c r="E1500">
        <v>4873780</v>
      </c>
      <c r="F1500" t="s">
        <v>87</v>
      </c>
      <c r="G1500" t="s">
        <v>203</v>
      </c>
      <c r="H1500" t="s">
        <v>240</v>
      </c>
      <c r="I1500" s="4">
        <v>100638.28079999999</v>
      </c>
      <c r="J1500" s="4">
        <v>201276.56159999999</v>
      </c>
      <c r="L1500" s="4">
        <v>2</v>
      </c>
    </row>
    <row r="1501" spans="1:12">
      <c r="A1501" t="s">
        <v>93</v>
      </c>
      <c r="B1501" s="10">
        <v>45555</v>
      </c>
      <c r="C1501" s="18">
        <f t="shared" si="23"/>
        <v>9</v>
      </c>
      <c r="D1501" t="s">
        <v>184</v>
      </c>
      <c r="E1501">
        <v>4873780</v>
      </c>
      <c r="F1501" t="s">
        <v>87</v>
      </c>
      <c r="G1501" t="s">
        <v>203</v>
      </c>
      <c r="H1501" t="s">
        <v>230</v>
      </c>
      <c r="I1501" s="4">
        <v>100638.28079999999</v>
      </c>
      <c r="J1501" s="4">
        <v>402553.12319999997</v>
      </c>
      <c r="L1501" s="4">
        <v>4</v>
      </c>
    </row>
    <row r="1502" spans="1:12">
      <c r="A1502" t="s">
        <v>93</v>
      </c>
      <c r="B1502" s="10">
        <v>45555</v>
      </c>
      <c r="C1502" s="18">
        <f t="shared" si="23"/>
        <v>9</v>
      </c>
      <c r="D1502" t="s">
        <v>184</v>
      </c>
      <c r="E1502">
        <v>4873780</v>
      </c>
      <c r="F1502" t="s">
        <v>87</v>
      </c>
      <c r="G1502" t="s">
        <v>203</v>
      </c>
      <c r="H1502" t="s">
        <v>224</v>
      </c>
      <c r="I1502" s="4">
        <v>100638.28079999999</v>
      </c>
      <c r="J1502" s="4">
        <v>201276.56159999999</v>
      </c>
      <c r="L1502" s="4">
        <v>2</v>
      </c>
    </row>
    <row r="1503" spans="1:12">
      <c r="A1503" t="s">
        <v>93</v>
      </c>
      <c r="B1503" s="10">
        <v>45555</v>
      </c>
      <c r="C1503" s="18">
        <f t="shared" si="23"/>
        <v>9</v>
      </c>
      <c r="D1503" t="s">
        <v>184</v>
      </c>
      <c r="E1503">
        <v>4873780</v>
      </c>
      <c r="F1503" t="s">
        <v>87</v>
      </c>
      <c r="G1503" t="s">
        <v>203</v>
      </c>
      <c r="H1503" t="s">
        <v>237</v>
      </c>
      <c r="I1503" s="4">
        <v>125766.4408</v>
      </c>
      <c r="J1503" s="4">
        <v>251532.88159999999</v>
      </c>
      <c r="L1503" s="4">
        <v>2</v>
      </c>
    </row>
    <row r="1504" spans="1:12">
      <c r="A1504" t="s">
        <v>93</v>
      </c>
      <c r="B1504" s="10">
        <v>45555</v>
      </c>
      <c r="C1504" s="18">
        <f t="shared" si="23"/>
        <v>9</v>
      </c>
      <c r="D1504" t="s">
        <v>184</v>
      </c>
      <c r="E1504">
        <v>4873780</v>
      </c>
      <c r="F1504" t="s">
        <v>87</v>
      </c>
      <c r="G1504" t="s">
        <v>203</v>
      </c>
      <c r="H1504" t="s">
        <v>235</v>
      </c>
      <c r="I1504" s="4">
        <v>125766.4408</v>
      </c>
      <c r="J1504" s="4">
        <v>251532.88159999999</v>
      </c>
      <c r="L1504" s="4">
        <v>2</v>
      </c>
    </row>
    <row r="1505" spans="1:12">
      <c r="A1505" t="s">
        <v>93</v>
      </c>
      <c r="B1505" s="10">
        <v>45555</v>
      </c>
      <c r="C1505" s="18">
        <f t="shared" si="23"/>
        <v>9</v>
      </c>
      <c r="D1505" t="s">
        <v>184</v>
      </c>
      <c r="E1505">
        <v>4873780</v>
      </c>
      <c r="F1505" t="s">
        <v>87</v>
      </c>
      <c r="G1505" t="s">
        <v>203</v>
      </c>
      <c r="H1505" t="s">
        <v>233</v>
      </c>
      <c r="I1505" s="4">
        <v>120735.78316800001</v>
      </c>
      <c r="J1505" s="4">
        <v>241471.56633600002</v>
      </c>
      <c r="L1505" s="4">
        <v>2</v>
      </c>
    </row>
    <row r="1506" spans="1:12">
      <c r="A1506" t="s">
        <v>93</v>
      </c>
      <c r="B1506" s="10">
        <v>45555</v>
      </c>
      <c r="C1506" s="18">
        <f t="shared" si="23"/>
        <v>9</v>
      </c>
      <c r="D1506" t="s">
        <v>184</v>
      </c>
      <c r="E1506">
        <v>4873780</v>
      </c>
      <c r="F1506" t="s">
        <v>87</v>
      </c>
      <c r="G1506" t="s">
        <v>203</v>
      </c>
      <c r="H1506" t="s">
        <v>231</v>
      </c>
      <c r="I1506" s="4">
        <v>125766.4408</v>
      </c>
      <c r="J1506" s="4">
        <v>251532.88159999999</v>
      </c>
      <c r="L1506" s="4">
        <v>2</v>
      </c>
    </row>
    <row r="1507" spans="1:12">
      <c r="A1507" t="s">
        <v>93</v>
      </c>
      <c r="B1507" s="10">
        <v>45555</v>
      </c>
      <c r="C1507" s="18">
        <f t="shared" si="23"/>
        <v>9</v>
      </c>
      <c r="D1507" t="s">
        <v>184</v>
      </c>
      <c r="E1507">
        <v>4873785</v>
      </c>
      <c r="F1507" t="s">
        <v>87</v>
      </c>
      <c r="G1507" t="s">
        <v>203</v>
      </c>
      <c r="H1507" t="s">
        <v>242</v>
      </c>
      <c r="I1507" s="4">
        <v>100638.28079999999</v>
      </c>
      <c r="J1507" s="4">
        <v>402553.12319999997</v>
      </c>
      <c r="L1507" s="4">
        <v>4</v>
      </c>
    </row>
    <row r="1508" spans="1:12">
      <c r="A1508" t="s">
        <v>93</v>
      </c>
      <c r="B1508" s="10">
        <v>45555</v>
      </c>
      <c r="C1508" s="18">
        <f t="shared" si="23"/>
        <v>9</v>
      </c>
      <c r="D1508" t="s">
        <v>184</v>
      </c>
      <c r="E1508">
        <v>4873785</v>
      </c>
      <c r="F1508" t="s">
        <v>87</v>
      </c>
      <c r="G1508" t="s">
        <v>203</v>
      </c>
      <c r="H1508" t="s">
        <v>240</v>
      </c>
      <c r="I1508" s="4">
        <v>100638.28079999999</v>
      </c>
      <c r="J1508" s="4">
        <v>402553.12319999997</v>
      </c>
      <c r="L1508" s="4">
        <v>4</v>
      </c>
    </row>
    <row r="1509" spans="1:12">
      <c r="A1509" t="s">
        <v>93</v>
      </c>
      <c r="B1509" s="10">
        <v>45555</v>
      </c>
      <c r="C1509" s="18">
        <f t="shared" si="23"/>
        <v>9</v>
      </c>
      <c r="D1509" t="s">
        <v>184</v>
      </c>
      <c r="E1509">
        <v>4873785</v>
      </c>
      <c r="F1509" t="s">
        <v>87</v>
      </c>
      <c r="G1509" t="s">
        <v>203</v>
      </c>
      <c r="H1509" t="s">
        <v>230</v>
      </c>
      <c r="I1509" s="4">
        <v>100638.28079999999</v>
      </c>
      <c r="J1509" s="4">
        <v>402553.12319999997</v>
      </c>
      <c r="L1509" s="4">
        <v>4</v>
      </c>
    </row>
    <row r="1510" spans="1:12">
      <c r="A1510" t="s">
        <v>93</v>
      </c>
      <c r="B1510" s="10">
        <v>45555</v>
      </c>
      <c r="C1510" s="18">
        <f t="shared" si="23"/>
        <v>9</v>
      </c>
      <c r="D1510" t="s">
        <v>184</v>
      </c>
      <c r="E1510">
        <v>4873785</v>
      </c>
      <c r="F1510" t="s">
        <v>87</v>
      </c>
      <c r="G1510" t="s">
        <v>203</v>
      </c>
      <c r="H1510" t="s">
        <v>224</v>
      </c>
      <c r="I1510" s="4">
        <v>100638.28079999999</v>
      </c>
      <c r="J1510" s="4">
        <v>402553.12319999997</v>
      </c>
      <c r="L1510" s="4">
        <v>4</v>
      </c>
    </row>
    <row r="1511" spans="1:12">
      <c r="A1511" t="s">
        <v>93</v>
      </c>
      <c r="B1511" s="10">
        <v>45555</v>
      </c>
      <c r="C1511" s="18">
        <f t="shared" si="23"/>
        <v>9</v>
      </c>
      <c r="D1511" t="s">
        <v>184</v>
      </c>
      <c r="E1511">
        <v>4873795</v>
      </c>
      <c r="F1511" t="s">
        <v>87</v>
      </c>
      <c r="G1511" t="s">
        <v>203</v>
      </c>
      <c r="H1511" t="s">
        <v>242</v>
      </c>
      <c r="I1511" s="4">
        <v>100638.28079999999</v>
      </c>
      <c r="J1511" s="4">
        <v>201276.56159999999</v>
      </c>
      <c r="L1511" s="4">
        <v>2</v>
      </c>
    </row>
    <row r="1512" spans="1:12">
      <c r="A1512" t="s">
        <v>93</v>
      </c>
      <c r="B1512" s="10">
        <v>45555</v>
      </c>
      <c r="C1512" s="18">
        <f t="shared" si="23"/>
        <v>9</v>
      </c>
      <c r="D1512" t="s">
        <v>184</v>
      </c>
      <c r="E1512">
        <v>4873795</v>
      </c>
      <c r="F1512" t="s">
        <v>87</v>
      </c>
      <c r="G1512" t="s">
        <v>203</v>
      </c>
      <c r="H1512" t="s">
        <v>240</v>
      </c>
      <c r="I1512" s="4">
        <v>100638.28079999999</v>
      </c>
      <c r="J1512" s="4">
        <v>201276.56159999999</v>
      </c>
      <c r="L1512" s="4">
        <v>2</v>
      </c>
    </row>
    <row r="1513" spans="1:12">
      <c r="A1513" t="s">
        <v>93</v>
      </c>
      <c r="B1513" s="10">
        <v>45555</v>
      </c>
      <c r="C1513" s="18">
        <f t="shared" si="23"/>
        <v>9</v>
      </c>
      <c r="D1513" t="s">
        <v>184</v>
      </c>
      <c r="E1513">
        <v>4873795</v>
      </c>
      <c r="F1513" t="s">
        <v>87</v>
      </c>
      <c r="G1513" t="s">
        <v>203</v>
      </c>
      <c r="H1513" t="s">
        <v>230</v>
      </c>
      <c r="I1513" s="4">
        <v>100638.28079999999</v>
      </c>
      <c r="J1513" s="4">
        <v>201276.56159999999</v>
      </c>
      <c r="L1513" s="4">
        <v>2</v>
      </c>
    </row>
    <row r="1514" spans="1:12">
      <c r="A1514" t="s">
        <v>93</v>
      </c>
      <c r="B1514" s="10">
        <v>45555</v>
      </c>
      <c r="C1514" s="18">
        <f t="shared" si="23"/>
        <v>9</v>
      </c>
      <c r="D1514" t="s">
        <v>184</v>
      </c>
      <c r="E1514">
        <v>4873795</v>
      </c>
      <c r="F1514" t="s">
        <v>87</v>
      </c>
      <c r="G1514" t="s">
        <v>203</v>
      </c>
      <c r="H1514" t="s">
        <v>224</v>
      </c>
      <c r="I1514" s="4">
        <v>100638.28079999999</v>
      </c>
      <c r="J1514" s="4">
        <v>201276.56159999999</v>
      </c>
      <c r="L1514" s="4">
        <v>2</v>
      </c>
    </row>
    <row r="1515" spans="1:12">
      <c r="A1515" t="s">
        <v>93</v>
      </c>
      <c r="B1515" s="10">
        <v>45555</v>
      </c>
      <c r="C1515" s="18">
        <f t="shared" si="23"/>
        <v>9</v>
      </c>
      <c r="D1515" t="s">
        <v>184</v>
      </c>
      <c r="E1515">
        <v>4873795</v>
      </c>
      <c r="F1515" t="s">
        <v>87</v>
      </c>
      <c r="G1515" t="s">
        <v>203</v>
      </c>
      <c r="H1515" t="s">
        <v>235</v>
      </c>
      <c r="I1515" s="4">
        <v>125766.4408</v>
      </c>
      <c r="J1515" s="4">
        <v>251532.88159999999</v>
      </c>
      <c r="L1515" s="4">
        <v>2</v>
      </c>
    </row>
    <row r="1516" spans="1:12">
      <c r="A1516" t="s">
        <v>93</v>
      </c>
      <c r="B1516" s="10">
        <v>45555</v>
      </c>
      <c r="C1516" s="18">
        <f t="shared" si="23"/>
        <v>9</v>
      </c>
      <c r="D1516" t="s">
        <v>184</v>
      </c>
      <c r="E1516">
        <v>4873795</v>
      </c>
      <c r="F1516" t="s">
        <v>87</v>
      </c>
      <c r="G1516" t="s">
        <v>203</v>
      </c>
      <c r="H1516" t="s">
        <v>233</v>
      </c>
      <c r="I1516" s="4">
        <v>120735.78316800001</v>
      </c>
      <c r="J1516" s="4">
        <v>241471.56633600002</v>
      </c>
      <c r="L1516" s="4">
        <v>2</v>
      </c>
    </row>
    <row r="1517" spans="1:12">
      <c r="A1517" t="s">
        <v>93</v>
      </c>
      <c r="B1517" s="10">
        <v>45555</v>
      </c>
      <c r="C1517" s="18">
        <f t="shared" si="23"/>
        <v>9</v>
      </c>
      <c r="D1517" t="s">
        <v>184</v>
      </c>
      <c r="E1517">
        <v>4873795</v>
      </c>
      <c r="F1517" t="s">
        <v>87</v>
      </c>
      <c r="G1517" t="s">
        <v>203</v>
      </c>
      <c r="H1517" t="s">
        <v>231</v>
      </c>
      <c r="I1517" s="4">
        <v>125766.4408</v>
      </c>
      <c r="J1517" s="4">
        <v>251532.88159999999</v>
      </c>
      <c r="L1517" s="4">
        <v>2</v>
      </c>
    </row>
    <row r="1518" spans="1:12">
      <c r="A1518" t="s">
        <v>93</v>
      </c>
      <c r="B1518" s="10">
        <v>45561</v>
      </c>
      <c r="C1518" s="18">
        <f t="shared" si="23"/>
        <v>9</v>
      </c>
      <c r="D1518" t="s">
        <v>157</v>
      </c>
      <c r="E1518">
        <v>4873794</v>
      </c>
      <c r="F1518" t="s">
        <v>87</v>
      </c>
      <c r="G1518" t="s">
        <v>203</v>
      </c>
      <c r="H1518" t="s">
        <v>242</v>
      </c>
      <c r="I1518" s="4">
        <v>100638.28079999999</v>
      </c>
      <c r="J1518" s="4">
        <v>402553.12319999997</v>
      </c>
      <c r="L1518" s="4">
        <v>4</v>
      </c>
    </row>
    <row r="1519" spans="1:12">
      <c r="A1519" t="s">
        <v>93</v>
      </c>
      <c r="B1519" s="10">
        <v>45561</v>
      </c>
      <c r="C1519" s="18">
        <f t="shared" si="23"/>
        <v>9</v>
      </c>
      <c r="D1519" t="s">
        <v>157</v>
      </c>
      <c r="E1519">
        <v>4873794</v>
      </c>
      <c r="F1519" t="s">
        <v>87</v>
      </c>
      <c r="G1519" t="s">
        <v>203</v>
      </c>
      <c r="H1519" t="s">
        <v>240</v>
      </c>
      <c r="I1519" s="4">
        <v>100638.28079999999</v>
      </c>
      <c r="J1519" s="4">
        <v>402553.12319999997</v>
      </c>
      <c r="L1519" s="4">
        <v>4</v>
      </c>
    </row>
    <row r="1520" spans="1:12">
      <c r="A1520" t="s">
        <v>93</v>
      </c>
      <c r="B1520" s="10">
        <v>45561</v>
      </c>
      <c r="C1520" s="18">
        <f t="shared" si="23"/>
        <v>9</v>
      </c>
      <c r="D1520" t="s">
        <v>157</v>
      </c>
      <c r="E1520">
        <v>4873794</v>
      </c>
      <c r="F1520" t="s">
        <v>87</v>
      </c>
      <c r="G1520" t="s">
        <v>203</v>
      </c>
      <c r="H1520" t="s">
        <v>235</v>
      </c>
      <c r="I1520" s="4">
        <v>125766.4408</v>
      </c>
      <c r="J1520" s="4">
        <v>503065.76319999999</v>
      </c>
      <c r="L1520" s="4">
        <v>4</v>
      </c>
    </row>
    <row r="1521" spans="1:12">
      <c r="A1521" t="s">
        <v>93</v>
      </c>
      <c r="B1521" s="10">
        <v>45561</v>
      </c>
      <c r="C1521" s="18">
        <f t="shared" si="23"/>
        <v>9</v>
      </c>
      <c r="D1521" t="s">
        <v>157</v>
      </c>
      <c r="E1521">
        <v>4873794</v>
      </c>
      <c r="F1521" t="s">
        <v>87</v>
      </c>
      <c r="G1521" t="s">
        <v>203</v>
      </c>
      <c r="H1521" t="s">
        <v>231</v>
      </c>
      <c r="I1521" s="4">
        <v>125766.4408</v>
      </c>
      <c r="J1521" s="4">
        <v>503065.76319999999</v>
      </c>
      <c r="L1521" s="4">
        <v>4</v>
      </c>
    </row>
    <row r="1522" spans="1:12">
      <c r="A1522" t="s">
        <v>93</v>
      </c>
      <c r="B1522" s="10">
        <v>45562</v>
      </c>
      <c r="C1522" s="18">
        <f t="shared" si="23"/>
        <v>9</v>
      </c>
      <c r="D1522" t="s">
        <v>184</v>
      </c>
      <c r="E1522">
        <v>6080700</v>
      </c>
      <c r="F1522" t="s">
        <v>87</v>
      </c>
      <c r="G1522" t="s">
        <v>203</v>
      </c>
      <c r="H1522" t="s">
        <v>242</v>
      </c>
      <c r="I1522" s="4">
        <v>100638.28079999999</v>
      </c>
      <c r="J1522" s="4">
        <v>201276.56159999999</v>
      </c>
      <c r="L1522" s="4">
        <v>2</v>
      </c>
    </row>
    <row r="1523" spans="1:12">
      <c r="A1523" t="s">
        <v>93</v>
      </c>
      <c r="B1523" s="10">
        <v>45562</v>
      </c>
      <c r="C1523" s="18">
        <f t="shared" si="23"/>
        <v>9</v>
      </c>
      <c r="D1523" t="s">
        <v>184</v>
      </c>
      <c r="E1523">
        <v>6080700</v>
      </c>
      <c r="F1523" t="s">
        <v>87</v>
      </c>
      <c r="G1523" t="s">
        <v>203</v>
      </c>
      <c r="H1523" t="s">
        <v>230</v>
      </c>
      <c r="I1523" s="4">
        <v>100638.28079999999</v>
      </c>
      <c r="J1523" s="4">
        <v>201276.56159999999</v>
      </c>
      <c r="L1523" s="4">
        <v>2</v>
      </c>
    </row>
    <row r="1524" spans="1:12">
      <c r="A1524" t="s">
        <v>93</v>
      </c>
      <c r="B1524" s="10">
        <v>45562</v>
      </c>
      <c r="C1524" s="18">
        <f t="shared" si="23"/>
        <v>9</v>
      </c>
      <c r="D1524" t="s">
        <v>184</v>
      </c>
      <c r="E1524">
        <v>6080700</v>
      </c>
      <c r="F1524" t="s">
        <v>87</v>
      </c>
      <c r="G1524" t="s">
        <v>203</v>
      </c>
      <c r="H1524" t="s">
        <v>224</v>
      </c>
      <c r="I1524" s="4">
        <v>100638.28079999999</v>
      </c>
      <c r="J1524" s="4">
        <v>201276.56159999999</v>
      </c>
      <c r="L1524" s="4">
        <v>2</v>
      </c>
    </row>
    <row r="1525" spans="1:12">
      <c r="A1525" t="s">
        <v>93</v>
      </c>
      <c r="B1525" s="10">
        <v>45563</v>
      </c>
      <c r="C1525" s="18">
        <f t="shared" si="23"/>
        <v>9</v>
      </c>
      <c r="D1525" t="s">
        <v>184</v>
      </c>
      <c r="E1525">
        <v>4874056</v>
      </c>
      <c r="F1525" t="s">
        <v>87</v>
      </c>
      <c r="G1525" t="s">
        <v>203</v>
      </c>
      <c r="H1525" t="s">
        <v>242</v>
      </c>
      <c r="I1525" s="4">
        <v>100638.28079999999</v>
      </c>
      <c r="J1525" s="4">
        <v>201276.56159999999</v>
      </c>
      <c r="L1525" s="4">
        <v>2</v>
      </c>
    </row>
    <row r="1526" spans="1:12">
      <c r="A1526" t="s">
        <v>93</v>
      </c>
      <c r="B1526" s="10">
        <v>45563</v>
      </c>
      <c r="C1526" s="18">
        <f t="shared" si="23"/>
        <v>9</v>
      </c>
      <c r="D1526" t="s">
        <v>184</v>
      </c>
      <c r="E1526">
        <v>4874056</v>
      </c>
      <c r="F1526" t="s">
        <v>87</v>
      </c>
      <c r="G1526" t="s">
        <v>203</v>
      </c>
      <c r="H1526" t="s">
        <v>240</v>
      </c>
      <c r="I1526" s="4">
        <v>100638.28079999999</v>
      </c>
      <c r="J1526" s="4">
        <v>201276.56159999999</v>
      </c>
      <c r="L1526" s="4">
        <v>2</v>
      </c>
    </row>
    <row r="1527" spans="1:12">
      <c r="A1527" t="s">
        <v>93</v>
      </c>
      <c r="B1527" s="10">
        <v>45563</v>
      </c>
      <c r="C1527" s="18">
        <f t="shared" si="23"/>
        <v>9</v>
      </c>
      <c r="D1527" t="s">
        <v>184</v>
      </c>
      <c r="E1527">
        <v>4874056</v>
      </c>
      <c r="F1527" t="s">
        <v>87</v>
      </c>
      <c r="G1527" t="s">
        <v>203</v>
      </c>
      <c r="H1527" t="s">
        <v>230</v>
      </c>
      <c r="I1527" s="4">
        <v>100638.28079999999</v>
      </c>
      <c r="J1527" s="4">
        <v>201276.56159999999</v>
      </c>
      <c r="L1527" s="4">
        <v>2</v>
      </c>
    </row>
    <row r="1528" spans="1:12">
      <c r="A1528" t="s">
        <v>93</v>
      </c>
      <c r="B1528" s="10">
        <v>45563</v>
      </c>
      <c r="C1528" s="18">
        <f t="shared" si="23"/>
        <v>9</v>
      </c>
      <c r="D1528" t="s">
        <v>184</v>
      </c>
      <c r="E1528">
        <v>4878925</v>
      </c>
      <c r="F1528" t="s">
        <v>89</v>
      </c>
      <c r="G1528" t="s">
        <v>203</v>
      </c>
      <c r="H1528" t="s">
        <v>242</v>
      </c>
      <c r="I1528" s="4">
        <v>100638.28079999999</v>
      </c>
      <c r="J1528" s="4">
        <v>201276.56159999999</v>
      </c>
      <c r="L1528" s="4">
        <v>2</v>
      </c>
    </row>
    <row r="1529" spans="1:12">
      <c r="A1529" t="s">
        <v>93</v>
      </c>
      <c r="B1529" s="10">
        <v>45563</v>
      </c>
      <c r="C1529" s="18">
        <f t="shared" si="23"/>
        <v>9</v>
      </c>
      <c r="D1529" t="s">
        <v>184</v>
      </c>
      <c r="E1529">
        <v>4878925</v>
      </c>
      <c r="F1529" t="s">
        <v>89</v>
      </c>
      <c r="G1529" t="s">
        <v>203</v>
      </c>
      <c r="H1529" t="s">
        <v>240</v>
      </c>
      <c r="I1529" s="4">
        <v>100638.28079999999</v>
      </c>
      <c r="J1529" s="4">
        <v>201276.56159999999</v>
      </c>
      <c r="L1529" s="4">
        <v>2</v>
      </c>
    </row>
    <row r="1530" spans="1:12">
      <c r="A1530" t="s">
        <v>93</v>
      </c>
      <c r="B1530" s="10">
        <v>45563</v>
      </c>
      <c r="C1530" s="18">
        <f t="shared" si="23"/>
        <v>9</v>
      </c>
      <c r="D1530" t="s">
        <v>184</v>
      </c>
      <c r="E1530">
        <v>4878925</v>
      </c>
      <c r="F1530" t="s">
        <v>89</v>
      </c>
      <c r="G1530" t="s">
        <v>203</v>
      </c>
      <c r="H1530" t="s">
        <v>230</v>
      </c>
      <c r="I1530" s="4">
        <v>100638.28079999999</v>
      </c>
      <c r="J1530" s="4">
        <v>201276.56159999999</v>
      </c>
      <c r="L1530" s="4">
        <v>2</v>
      </c>
    </row>
    <row r="1531" spans="1:12">
      <c r="A1531" t="s">
        <v>93</v>
      </c>
      <c r="B1531" s="10">
        <v>45563</v>
      </c>
      <c r="C1531" s="18">
        <f t="shared" si="23"/>
        <v>9</v>
      </c>
      <c r="D1531" t="s">
        <v>184</v>
      </c>
      <c r="E1531">
        <v>4878925</v>
      </c>
      <c r="F1531" t="s">
        <v>89</v>
      </c>
      <c r="G1531" t="s">
        <v>203</v>
      </c>
      <c r="H1531" t="s">
        <v>224</v>
      </c>
      <c r="I1531" s="4">
        <v>100638.28079999999</v>
      </c>
      <c r="J1531" s="4">
        <v>201276.56159999999</v>
      </c>
      <c r="L1531" s="4">
        <v>2</v>
      </c>
    </row>
    <row r="1532" spans="1:12">
      <c r="A1532" t="s">
        <v>93</v>
      </c>
      <c r="B1532" s="10">
        <v>45564</v>
      </c>
      <c r="C1532" s="18">
        <f t="shared" si="23"/>
        <v>9</v>
      </c>
      <c r="D1532" t="s">
        <v>184</v>
      </c>
      <c r="E1532">
        <v>4874206</v>
      </c>
      <c r="F1532" t="s">
        <v>90</v>
      </c>
      <c r="G1532" t="s">
        <v>203</v>
      </c>
      <c r="H1532" t="s">
        <v>242</v>
      </c>
      <c r="I1532" s="4">
        <v>100638.28079999999</v>
      </c>
      <c r="J1532" s="4">
        <v>402553.12319999997</v>
      </c>
      <c r="L1532" s="4">
        <v>4</v>
      </c>
    </row>
    <row r="1533" spans="1:12">
      <c r="A1533" t="s">
        <v>93</v>
      </c>
      <c r="B1533" s="10">
        <v>45564</v>
      </c>
      <c r="C1533" s="18">
        <f t="shared" si="23"/>
        <v>9</v>
      </c>
      <c r="D1533" t="s">
        <v>184</v>
      </c>
      <c r="E1533">
        <v>4874206</v>
      </c>
      <c r="F1533" t="s">
        <v>90</v>
      </c>
      <c r="G1533" t="s">
        <v>203</v>
      </c>
      <c r="H1533" t="s">
        <v>240</v>
      </c>
      <c r="I1533" s="4">
        <v>100638.28079999999</v>
      </c>
      <c r="J1533" s="4">
        <v>201276.56159999999</v>
      </c>
      <c r="L1533" s="4">
        <v>2</v>
      </c>
    </row>
    <row r="1534" spans="1:12">
      <c r="A1534" t="s">
        <v>93</v>
      </c>
      <c r="B1534" s="10">
        <v>45564</v>
      </c>
      <c r="C1534" s="18">
        <f t="shared" si="23"/>
        <v>9</v>
      </c>
      <c r="D1534" t="s">
        <v>184</v>
      </c>
      <c r="E1534">
        <v>4874206</v>
      </c>
      <c r="F1534" t="s">
        <v>90</v>
      </c>
      <c r="G1534" t="s">
        <v>203</v>
      </c>
      <c r="H1534" t="s">
        <v>230</v>
      </c>
      <c r="I1534" s="4">
        <v>100638.28079999999</v>
      </c>
      <c r="J1534" s="4">
        <v>201276.56159999999</v>
      </c>
      <c r="L1534" s="4">
        <v>2</v>
      </c>
    </row>
    <row r="1535" spans="1:12">
      <c r="A1535" t="s">
        <v>93</v>
      </c>
      <c r="B1535" s="10">
        <v>45564</v>
      </c>
      <c r="C1535" s="18">
        <f t="shared" si="23"/>
        <v>9</v>
      </c>
      <c r="D1535" t="s">
        <v>184</v>
      </c>
      <c r="E1535">
        <v>4874206</v>
      </c>
      <c r="F1535" t="s">
        <v>90</v>
      </c>
      <c r="G1535" t="s">
        <v>203</v>
      </c>
      <c r="H1535" t="s">
        <v>224</v>
      </c>
      <c r="I1535" s="4">
        <v>100638.28079999999</v>
      </c>
      <c r="J1535" s="4">
        <v>201276.56159999999</v>
      </c>
      <c r="L1535" s="4">
        <v>2</v>
      </c>
    </row>
    <row r="1536" spans="1:12">
      <c r="A1536" t="s">
        <v>94</v>
      </c>
      <c r="B1536" s="10">
        <v>45542</v>
      </c>
      <c r="C1536" s="18">
        <f t="shared" si="23"/>
        <v>9</v>
      </c>
      <c r="D1536" t="s">
        <v>150</v>
      </c>
      <c r="E1536">
        <v>4875835</v>
      </c>
      <c r="F1536" t="s">
        <v>90</v>
      </c>
      <c r="G1536" t="s">
        <v>203</v>
      </c>
      <c r="H1536" t="s">
        <v>244</v>
      </c>
      <c r="I1536" s="4">
        <v>125766.4408</v>
      </c>
      <c r="J1536" s="4">
        <v>1257664.4080000001</v>
      </c>
      <c r="L1536" s="4">
        <v>10</v>
      </c>
    </row>
    <row r="1537" spans="1:12">
      <c r="A1537" t="s">
        <v>94</v>
      </c>
      <c r="B1537" s="10">
        <v>45542</v>
      </c>
      <c r="C1537" s="18">
        <f t="shared" si="23"/>
        <v>9</v>
      </c>
      <c r="D1537" t="s">
        <v>150</v>
      </c>
      <c r="E1537">
        <v>4875835</v>
      </c>
      <c r="F1537" t="s">
        <v>90</v>
      </c>
      <c r="G1537" t="s">
        <v>203</v>
      </c>
      <c r="H1537" t="s">
        <v>237</v>
      </c>
      <c r="I1537" s="4">
        <v>125766.4408</v>
      </c>
      <c r="J1537" s="4">
        <v>1257664.4080000001</v>
      </c>
      <c r="L1537" s="4">
        <v>10</v>
      </c>
    </row>
    <row r="1538" spans="1:12">
      <c r="A1538" t="s">
        <v>94</v>
      </c>
      <c r="B1538" s="10">
        <v>45542</v>
      </c>
      <c r="C1538" s="18">
        <f t="shared" ref="C1538:C1601" si="24">MONTH(B1538)</f>
        <v>9</v>
      </c>
      <c r="D1538" t="s">
        <v>150</v>
      </c>
      <c r="E1538">
        <v>4875835</v>
      </c>
      <c r="F1538" t="s">
        <v>90</v>
      </c>
      <c r="G1538" t="s">
        <v>203</v>
      </c>
      <c r="H1538" t="s">
        <v>235</v>
      </c>
      <c r="I1538" s="4">
        <v>125766.4408</v>
      </c>
      <c r="J1538" s="4">
        <v>1257664.4080000001</v>
      </c>
      <c r="L1538" s="4">
        <v>10</v>
      </c>
    </row>
    <row r="1539" spans="1:12">
      <c r="A1539" t="s">
        <v>94</v>
      </c>
      <c r="B1539" s="10">
        <v>45544</v>
      </c>
      <c r="C1539" s="18">
        <f t="shared" si="24"/>
        <v>9</v>
      </c>
      <c r="D1539" t="s">
        <v>150</v>
      </c>
      <c r="E1539">
        <v>4875847</v>
      </c>
      <c r="F1539" t="s">
        <v>90</v>
      </c>
      <c r="G1539" t="s">
        <v>203</v>
      </c>
      <c r="H1539" t="s">
        <v>236</v>
      </c>
      <c r="I1539" s="4">
        <v>100638.28079999999</v>
      </c>
      <c r="J1539" s="4">
        <v>201276.56159999999</v>
      </c>
      <c r="L1539" s="4">
        <v>2</v>
      </c>
    </row>
    <row r="1540" spans="1:12">
      <c r="A1540" t="s">
        <v>94</v>
      </c>
      <c r="B1540" s="10">
        <v>45544</v>
      </c>
      <c r="C1540" s="18">
        <f t="shared" si="24"/>
        <v>9</v>
      </c>
      <c r="D1540" t="s">
        <v>150</v>
      </c>
      <c r="E1540">
        <v>4875847</v>
      </c>
      <c r="F1540" t="s">
        <v>90</v>
      </c>
      <c r="G1540" t="s">
        <v>203</v>
      </c>
      <c r="H1540" t="s">
        <v>232</v>
      </c>
      <c r="I1540" s="4">
        <v>100638.28079999999</v>
      </c>
      <c r="J1540" s="4">
        <v>201276.56159999999</v>
      </c>
      <c r="L1540" s="4">
        <v>2</v>
      </c>
    </row>
    <row r="1541" spans="1:12">
      <c r="A1541" t="s">
        <v>94</v>
      </c>
      <c r="B1541" s="10">
        <v>45544</v>
      </c>
      <c r="C1541" s="18">
        <f t="shared" si="24"/>
        <v>9</v>
      </c>
      <c r="D1541" t="s">
        <v>150</v>
      </c>
      <c r="E1541">
        <v>4875847</v>
      </c>
      <c r="F1541" t="s">
        <v>90</v>
      </c>
      <c r="G1541" t="s">
        <v>203</v>
      </c>
      <c r="H1541" t="s">
        <v>224</v>
      </c>
      <c r="I1541" s="4">
        <v>100638.28079999999</v>
      </c>
      <c r="J1541" s="4">
        <v>1006382.808</v>
      </c>
      <c r="L1541" s="4">
        <v>10</v>
      </c>
    </row>
    <row r="1542" spans="1:12">
      <c r="A1542" t="s">
        <v>94</v>
      </c>
      <c r="B1542" s="10">
        <v>45546</v>
      </c>
      <c r="C1542" s="18">
        <f t="shared" si="24"/>
        <v>9</v>
      </c>
      <c r="D1542" t="s">
        <v>150</v>
      </c>
      <c r="E1542">
        <v>4876291</v>
      </c>
      <c r="F1542" t="s">
        <v>87</v>
      </c>
      <c r="G1542" t="s">
        <v>203</v>
      </c>
      <c r="H1542" t="s">
        <v>241</v>
      </c>
      <c r="I1542" s="4">
        <v>125766.4408</v>
      </c>
      <c r="J1542" s="4">
        <v>1257664.4080000001</v>
      </c>
      <c r="K1542" s="4">
        <v>-45230.688000000002</v>
      </c>
      <c r="L1542" s="4">
        <v>10</v>
      </c>
    </row>
    <row r="1543" spans="1:12">
      <c r="A1543" t="s">
        <v>94</v>
      </c>
      <c r="B1543" s="10">
        <v>45552</v>
      </c>
      <c r="C1543" s="18">
        <f t="shared" si="24"/>
        <v>9</v>
      </c>
      <c r="D1543" t="s">
        <v>150</v>
      </c>
      <c r="E1543">
        <v>4875833</v>
      </c>
      <c r="F1543" t="s">
        <v>90</v>
      </c>
      <c r="G1543" t="s">
        <v>203</v>
      </c>
      <c r="H1543" t="s">
        <v>233</v>
      </c>
      <c r="I1543" s="4">
        <v>120735.78316800001</v>
      </c>
      <c r="J1543" s="4">
        <v>1207357.8316800001</v>
      </c>
      <c r="K1543" s="4">
        <v>-56538.36</v>
      </c>
      <c r="L1543" s="4">
        <v>10</v>
      </c>
    </row>
    <row r="1544" spans="1:12">
      <c r="A1544" t="s">
        <v>94</v>
      </c>
      <c r="B1544" s="10">
        <v>45556</v>
      </c>
      <c r="C1544" s="18">
        <f t="shared" si="24"/>
        <v>9</v>
      </c>
      <c r="D1544" t="s">
        <v>150</v>
      </c>
      <c r="E1544">
        <v>4876291</v>
      </c>
      <c r="F1544" t="s">
        <v>87</v>
      </c>
      <c r="G1544" t="s">
        <v>203</v>
      </c>
      <c r="H1544" t="s">
        <v>242</v>
      </c>
      <c r="I1544" s="4">
        <v>100638.28079999999</v>
      </c>
      <c r="J1544" s="4">
        <v>1006382.808</v>
      </c>
      <c r="K1544" s="4">
        <v>-34676.860799999995</v>
      </c>
      <c r="L1544" s="4">
        <v>10</v>
      </c>
    </row>
    <row r="1545" spans="1:12">
      <c r="A1545" t="s">
        <v>94</v>
      </c>
      <c r="B1545" s="10">
        <v>45556</v>
      </c>
      <c r="C1545" s="18">
        <f t="shared" si="24"/>
        <v>9</v>
      </c>
      <c r="D1545" t="s">
        <v>150</v>
      </c>
      <c r="E1545">
        <v>4876291</v>
      </c>
      <c r="F1545" t="s">
        <v>87</v>
      </c>
      <c r="G1545" t="s">
        <v>203</v>
      </c>
      <c r="H1545" t="s">
        <v>237</v>
      </c>
      <c r="I1545" s="4">
        <v>125766.4408</v>
      </c>
      <c r="J1545" s="4">
        <v>503065.76319999999</v>
      </c>
      <c r="K1545" s="4">
        <v>-18092.2752</v>
      </c>
      <c r="L1545" s="4">
        <v>4</v>
      </c>
    </row>
    <row r="1546" spans="1:12">
      <c r="A1546" t="s">
        <v>94</v>
      </c>
      <c r="B1546" s="10">
        <v>45556</v>
      </c>
      <c r="C1546" s="18">
        <f t="shared" si="24"/>
        <v>9</v>
      </c>
      <c r="D1546" t="s">
        <v>150</v>
      </c>
      <c r="E1546">
        <v>4876291</v>
      </c>
      <c r="F1546" t="s">
        <v>87</v>
      </c>
      <c r="G1546" t="s">
        <v>203</v>
      </c>
      <c r="H1546" t="s">
        <v>231</v>
      </c>
      <c r="I1546" s="4">
        <v>125766.4408</v>
      </c>
      <c r="J1546" s="4">
        <v>251532.88159999999</v>
      </c>
      <c r="K1546" s="4">
        <v>-9046.1376</v>
      </c>
      <c r="L1546" s="4">
        <v>2</v>
      </c>
    </row>
    <row r="1547" spans="1:12">
      <c r="A1547" t="s">
        <v>94</v>
      </c>
      <c r="B1547" s="10">
        <v>45556</v>
      </c>
      <c r="C1547" s="18">
        <f t="shared" si="24"/>
        <v>9</v>
      </c>
      <c r="D1547" t="s">
        <v>150</v>
      </c>
      <c r="E1547">
        <v>4875833</v>
      </c>
      <c r="F1547" t="s">
        <v>90</v>
      </c>
      <c r="G1547" t="s">
        <v>203</v>
      </c>
      <c r="H1547" t="s">
        <v>229</v>
      </c>
      <c r="I1547" s="4">
        <v>125766.4408</v>
      </c>
      <c r="J1547" s="4">
        <v>754598.64480000001</v>
      </c>
      <c r="K1547" s="4">
        <v>-33923.016000000003</v>
      </c>
      <c r="L1547" s="4">
        <v>6</v>
      </c>
    </row>
    <row r="1548" spans="1:12">
      <c r="A1548" t="s">
        <v>94</v>
      </c>
      <c r="B1548" s="10">
        <v>45556</v>
      </c>
      <c r="C1548" s="18">
        <f t="shared" si="24"/>
        <v>9</v>
      </c>
      <c r="D1548" t="s">
        <v>150</v>
      </c>
      <c r="E1548">
        <v>4875835</v>
      </c>
      <c r="F1548" t="s">
        <v>90</v>
      </c>
      <c r="G1548" t="s">
        <v>203</v>
      </c>
      <c r="H1548" t="s">
        <v>242</v>
      </c>
      <c r="I1548" s="4">
        <v>100638.28079999999</v>
      </c>
      <c r="J1548" s="4">
        <v>2012765.6159999999</v>
      </c>
      <c r="L1548" s="4">
        <v>20</v>
      </c>
    </row>
    <row r="1549" spans="1:12">
      <c r="A1549" t="s">
        <v>95</v>
      </c>
      <c r="B1549" s="10">
        <v>45539</v>
      </c>
      <c r="C1549" s="18">
        <f t="shared" si="24"/>
        <v>9</v>
      </c>
      <c r="D1549" t="s">
        <v>188</v>
      </c>
      <c r="E1549">
        <v>4876241</v>
      </c>
      <c r="F1549" t="s">
        <v>89</v>
      </c>
      <c r="G1549" t="s">
        <v>203</v>
      </c>
      <c r="H1549" t="s">
        <v>230</v>
      </c>
      <c r="I1549" s="4">
        <v>100638.28079999999</v>
      </c>
      <c r="J1549" s="4">
        <v>1006382.808</v>
      </c>
      <c r="L1549" s="4">
        <v>10</v>
      </c>
    </row>
    <row r="1550" spans="1:12">
      <c r="A1550" t="s">
        <v>95</v>
      </c>
      <c r="B1550" s="10">
        <v>45540</v>
      </c>
      <c r="C1550" s="18">
        <f t="shared" si="24"/>
        <v>9</v>
      </c>
      <c r="D1550" t="s">
        <v>188</v>
      </c>
      <c r="E1550">
        <v>4876393</v>
      </c>
      <c r="F1550" t="s">
        <v>87</v>
      </c>
      <c r="G1550" t="s">
        <v>203</v>
      </c>
      <c r="H1550" t="s">
        <v>224</v>
      </c>
      <c r="I1550" s="4">
        <v>100638.28079999999</v>
      </c>
      <c r="J1550" s="4">
        <v>603829.68479999993</v>
      </c>
      <c r="L1550" s="4">
        <v>6</v>
      </c>
    </row>
    <row r="1551" spans="1:12">
      <c r="A1551" t="s">
        <v>95</v>
      </c>
      <c r="B1551" s="10">
        <v>45542</v>
      </c>
      <c r="C1551" s="18">
        <f t="shared" si="24"/>
        <v>9</v>
      </c>
      <c r="D1551" t="s">
        <v>188</v>
      </c>
      <c r="E1551">
        <v>4876241</v>
      </c>
      <c r="F1551" t="s">
        <v>89</v>
      </c>
      <c r="G1551" t="s">
        <v>203</v>
      </c>
      <c r="H1551" t="s">
        <v>240</v>
      </c>
      <c r="I1551" s="4">
        <v>100638.28079999999</v>
      </c>
      <c r="J1551" s="4">
        <v>2012765.6159999999</v>
      </c>
      <c r="L1551" s="4">
        <v>20</v>
      </c>
    </row>
    <row r="1552" spans="1:12">
      <c r="A1552" t="s">
        <v>95</v>
      </c>
      <c r="B1552" s="10">
        <v>45542</v>
      </c>
      <c r="C1552" s="18">
        <f t="shared" si="24"/>
        <v>9</v>
      </c>
      <c r="D1552" t="s">
        <v>188</v>
      </c>
      <c r="E1552">
        <v>4876465</v>
      </c>
      <c r="F1552" t="s">
        <v>87</v>
      </c>
      <c r="G1552" t="s">
        <v>203</v>
      </c>
      <c r="H1552" t="s">
        <v>236</v>
      </c>
      <c r="I1552" s="4">
        <v>100638.28079999999</v>
      </c>
      <c r="J1552" s="4">
        <v>402553.12319999997</v>
      </c>
      <c r="L1552" s="4">
        <v>4</v>
      </c>
    </row>
    <row r="1553" spans="1:12">
      <c r="A1553" t="s">
        <v>95</v>
      </c>
      <c r="B1553" s="10">
        <v>45544</v>
      </c>
      <c r="C1553" s="18">
        <f t="shared" si="24"/>
        <v>9</v>
      </c>
      <c r="D1553" t="s">
        <v>188</v>
      </c>
      <c r="E1553">
        <v>4876241</v>
      </c>
      <c r="F1553" t="s">
        <v>89</v>
      </c>
      <c r="G1553" t="s">
        <v>203</v>
      </c>
      <c r="H1553" t="s">
        <v>236</v>
      </c>
      <c r="I1553" s="4">
        <v>100638.28079999999</v>
      </c>
      <c r="J1553" s="4">
        <v>603829.68479999993</v>
      </c>
      <c r="L1553" s="4">
        <v>6</v>
      </c>
    </row>
    <row r="1554" spans="1:12">
      <c r="A1554" t="s">
        <v>95</v>
      </c>
      <c r="B1554" s="10">
        <v>45545</v>
      </c>
      <c r="C1554" s="18">
        <f t="shared" si="24"/>
        <v>9</v>
      </c>
      <c r="D1554" t="s">
        <v>188</v>
      </c>
      <c r="E1554">
        <v>4878040</v>
      </c>
      <c r="F1554" t="s">
        <v>88</v>
      </c>
      <c r="G1554" t="s">
        <v>203</v>
      </c>
      <c r="H1554" t="s">
        <v>236</v>
      </c>
      <c r="I1554" s="4">
        <v>100638.28079999999</v>
      </c>
      <c r="J1554" s="4">
        <v>503191.40399999998</v>
      </c>
      <c r="L1554" s="4">
        <v>5</v>
      </c>
    </row>
    <row r="1555" spans="1:12">
      <c r="A1555" t="s">
        <v>95</v>
      </c>
      <c r="B1555" s="10">
        <v>45546</v>
      </c>
      <c r="C1555" s="18">
        <f t="shared" si="24"/>
        <v>9</v>
      </c>
      <c r="D1555" t="s">
        <v>188</v>
      </c>
      <c r="E1555">
        <v>4877327</v>
      </c>
      <c r="F1555" t="s">
        <v>90</v>
      </c>
      <c r="G1555" t="s">
        <v>203</v>
      </c>
      <c r="H1555" t="s">
        <v>236</v>
      </c>
      <c r="I1555" s="4">
        <v>100638.28079999999</v>
      </c>
      <c r="J1555" s="4">
        <v>201276.56159999999</v>
      </c>
      <c r="L1555" s="4">
        <v>2</v>
      </c>
    </row>
    <row r="1556" spans="1:12">
      <c r="A1556" t="s">
        <v>95</v>
      </c>
      <c r="B1556" s="10">
        <v>45547</v>
      </c>
      <c r="C1556" s="18">
        <f t="shared" si="24"/>
        <v>9</v>
      </c>
      <c r="D1556" t="s">
        <v>188</v>
      </c>
      <c r="E1556">
        <v>4876182</v>
      </c>
      <c r="F1556" t="s">
        <v>90</v>
      </c>
      <c r="G1556" t="s">
        <v>203</v>
      </c>
      <c r="H1556" t="s">
        <v>223</v>
      </c>
      <c r="I1556" s="4">
        <v>100638.28079999999</v>
      </c>
      <c r="J1556" s="4">
        <v>402553.12319999997</v>
      </c>
      <c r="L1556" s="4">
        <v>4</v>
      </c>
    </row>
    <row r="1557" spans="1:12">
      <c r="A1557" t="s">
        <v>95</v>
      </c>
      <c r="B1557" s="10">
        <v>45549</v>
      </c>
      <c r="C1557" s="18">
        <f t="shared" si="24"/>
        <v>9</v>
      </c>
      <c r="D1557" t="s">
        <v>188</v>
      </c>
      <c r="E1557">
        <v>4876604</v>
      </c>
      <c r="F1557" t="s">
        <v>87</v>
      </c>
      <c r="G1557" t="s">
        <v>203</v>
      </c>
      <c r="H1557" t="s">
        <v>223</v>
      </c>
      <c r="I1557" s="4">
        <v>100638.28079999999</v>
      </c>
      <c r="J1557" s="4">
        <v>201276.56159999999</v>
      </c>
      <c r="L1557" s="4">
        <v>2</v>
      </c>
    </row>
    <row r="1558" spans="1:12">
      <c r="A1558" t="s">
        <v>95</v>
      </c>
      <c r="B1558" s="10">
        <v>45549</v>
      </c>
      <c r="C1558" s="18">
        <f t="shared" si="24"/>
        <v>9</v>
      </c>
      <c r="D1558" t="s">
        <v>188</v>
      </c>
      <c r="E1558">
        <v>4878866</v>
      </c>
      <c r="F1558" t="s">
        <v>87</v>
      </c>
      <c r="G1558" t="s">
        <v>203</v>
      </c>
      <c r="H1558" t="s">
        <v>236</v>
      </c>
      <c r="I1558" s="4">
        <v>100638.28079999999</v>
      </c>
      <c r="J1558" s="4">
        <v>301914.84239999996</v>
      </c>
      <c r="L1558" s="4">
        <v>3</v>
      </c>
    </row>
    <row r="1559" spans="1:12">
      <c r="A1559" t="s">
        <v>95</v>
      </c>
      <c r="B1559" s="10">
        <v>45549</v>
      </c>
      <c r="C1559" s="18">
        <f t="shared" si="24"/>
        <v>9</v>
      </c>
      <c r="D1559" t="s">
        <v>188</v>
      </c>
      <c r="E1559">
        <v>4878040</v>
      </c>
      <c r="F1559" t="s">
        <v>88</v>
      </c>
      <c r="G1559" t="s">
        <v>203</v>
      </c>
      <c r="H1559" t="s">
        <v>236</v>
      </c>
      <c r="I1559" s="4">
        <v>100638.28079999999</v>
      </c>
      <c r="J1559" s="4">
        <v>603829.68479999993</v>
      </c>
      <c r="L1559" s="4">
        <v>6</v>
      </c>
    </row>
    <row r="1560" spans="1:12">
      <c r="A1560" t="s">
        <v>95</v>
      </c>
      <c r="B1560" s="10">
        <v>45550</v>
      </c>
      <c r="C1560" s="18">
        <f t="shared" si="24"/>
        <v>9</v>
      </c>
      <c r="D1560" t="s">
        <v>188</v>
      </c>
      <c r="E1560">
        <v>4877018</v>
      </c>
      <c r="F1560" t="s">
        <v>89</v>
      </c>
      <c r="G1560" t="s">
        <v>203</v>
      </c>
      <c r="H1560" t="s">
        <v>223</v>
      </c>
      <c r="I1560" s="4">
        <v>100638.28079999999</v>
      </c>
      <c r="J1560" s="4">
        <v>3019148.4239999996</v>
      </c>
      <c r="L1560" s="4">
        <v>30</v>
      </c>
    </row>
    <row r="1561" spans="1:12">
      <c r="A1561" t="s">
        <v>95</v>
      </c>
      <c r="B1561" s="10">
        <v>45551</v>
      </c>
      <c r="C1561" s="18">
        <f t="shared" si="24"/>
        <v>9</v>
      </c>
      <c r="D1561" t="s">
        <v>188</v>
      </c>
      <c r="E1561">
        <v>4877183</v>
      </c>
      <c r="F1561" t="s">
        <v>90</v>
      </c>
      <c r="G1561" t="s">
        <v>203</v>
      </c>
      <c r="H1561" t="s">
        <v>236</v>
      </c>
      <c r="I1561" s="4">
        <v>100638.28079999999</v>
      </c>
      <c r="J1561" s="4">
        <v>201276.56159999999</v>
      </c>
      <c r="L1561" s="4">
        <v>2</v>
      </c>
    </row>
    <row r="1562" spans="1:12">
      <c r="A1562" t="s">
        <v>95</v>
      </c>
      <c r="B1562" s="10">
        <v>45551</v>
      </c>
      <c r="C1562" s="18">
        <f t="shared" si="24"/>
        <v>9</v>
      </c>
      <c r="D1562" t="s">
        <v>188</v>
      </c>
      <c r="E1562">
        <v>4876549</v>
      </c>
      <c r="F1562" t="s">
        <v>87</v>
      </c>
      <c r="G1562" t="s">
        <v>203</v>
      </c>
      <c r="H1562" t="s">
        <v>236</v>
      </c>
      <c r="I1562" s="4">
        <v>100638.28079999999</v>
      </c>
      <c r="J1562" s="4">
        <v>603829.68479999993</v>
      </c>
      <c r="L1562" s="4">
        <v>6</v>
      </c>
    </row>
    <row r="1563" spans="1:12">
      <c r="A1563" t="s">
        <v>95</v>
      </c>
      <c r="B1563" s="10">
        <v>45552</v>
      </c>
      <c r="C1563" s="18">
        <f t="shared" si="24"/>
        <v>9</v>
      </c>
      <c r="D1563" t="s">
        <v>188</v>
      </c>
      <c r="E1563">
        <v>4878777</v>
      </c>
      <c r="F1563" t="s">
        <v>87</v>
      </c>
      <c r="G1563" t="s">
        <v>203</v>
      </c>
      <c r="H1563" t="s">
        <v>228</v>
      </c>
      <c r="I1563" s="4">
        <v>100638.28079999999</v>
      </c>
      <c r="J1563" s="4">
        <v>805106.24639999995</v>
      </c>
      <c r="K1563" s="4">
        <v>-34676.860799999995</v>
      </c>
      <c r="L1563" s="4">
        <v>8</v>
      </c>
    </row>
    <row r="1564" spans="1:12">
      <c r="A1564" t="s">
        <v>95</v>
      </c>
      <c r="B1564" s="10">
        <v>45552</v>
      </c>
      <c r="C1564" s="18">
        <f t="shared" si="24"/>
        <v>9</v>
      </c>
      <c r="D1564" t="s">
        <v>188</v>
      </c>
      <c r="E1564">
        <v>6080791</v>
      </c>
      <c r="F1564" t="s">
        <v>87</v>
      </c>
      <c r="G1564" t="s">
        <v>203</v>
      </c>
      <c r="H1564" t="s">
        <v>228</v>
      </c>
      <c r="I1564" s="4">
        <v>100638.28079999999</v>
      </c>
      <c r="J1564" s="4">
        <v>201276.56159999999</v>
      </c>
      <c r="L1564" s="4">
        <v>2</v>
      </c>
    </row>
    <row r="1565" spans="1:12">
      <c r="A1565" t="s">
        <v>95</v>
      </c>
      <c r="B1565" s="10">
        <v>45552</v>
      </c>
      <c r="C1565" s="18">
        <f t="shared" si="24"/>
        <v>9</v>
      </c>
      <c r="D1565" t="s">
        <v>188</v>
      </c>
      <c r="E1565">
        <v>4878040</v>
      </c>
      <c r="F1565" t="s">
        <v>88</v>
      </c>
      <c r="G1565" t="s">
        <v>203</v>
      </c>
      <c r="H1565" t="s">
        <v>231</v>
      </c>
      <c r="I1565" s="4">
        <v>125766.4408</v>
      </c>
      <c r="J1565" s="4">
        <v>125766.4408</v>
      </c>
      <c r="L1565" s="4">
        <v>1</v>
      </c>
    </row>
    <row r="1566" spans="1:12">
      <c r="A1566" t="s">
        <v>95</v>
      </c>
      <c r="B1566" s="10">
        <v>45553</v>
      </c>
      <c r="C1566" s="18">
        <f t="shared" si="24"/>
        <v>9</v>
      </c>
      <c r="D1566" t="s">
        <v>146</v>
      </c>
      <c r="E1566">
        <v>4877018</v>
      </c>
      <c r="F1566" t="s">
        <v>89</v>
      </c>
      <c r="G1566" t="s">
        <v>203</v>
      </c>
      <c r="H1566" t="s">
        <v>236</v>
      </c>
      <c r="I1566" s="4">
        <v>100638.28079999999</v>
      </c>
      <c r="J1566" s="4">
        <v>603829.68479999993</v>
      </c>
      <c r="L1566" s="4">
        <v>6</v>
      </c>
    </row>
    <row r="1567" spans="1:12">
      <c r="A1567" t="s">
        <v>95</v>
      </c>
      <c r="B1567" s="10">
        <v>45556</v>
      </c>
      <c r="C1567" s="18">
        <f t="shared" si="24"/>
        <v>9</v>
      </c>
      <c r="D1567" t="s">
        <v>188</v>
      </c>
      <c r="E1567">
        <v>6080791</v>
      </c>
      <c r="F1567" t="s">
        <v>87</v>
      </c>
      <c r="G1567" t="s">
        <v>203</v>
      </c>
      <c r="H1567" t="s">
        <v>224</v>
      </c>
      <c r="I1567" s="4">
        <v>100638.28079999999</v>
      </c>
      <c r="J1567" s="4">
        <v>402553.12319999997</v>
      </c>
      <c r="L1567" s="4">
        <v>4</v>
      </c>
    </row>
    <row r="1568" spans="1:12">
      <c r="A1568" t="s">
        <v>95</v>
      </c>
      <c r="B1568" s="10">
        <v>45556</v>
      </c>
      <c r="C1568" s="18">
        <f t="shared" si="24"/>
        <v>9</v>
      </c>
      <c r="D1568" t="s">
        <v>188</v>
      </c>
      <c r="E1568">
        <v>4878866</v>
      </c>
      <c r="F1568" t="s">
        <v>87</v>
      </c>
      <c r="G1568" t="s">
        <v>203</v>
      </c>
      <c r="H1568" t="s">
        <v>223</v>
      </c>
      <c r="I1568" s="4">
        <v>100638.28079999999</v>
      </c>
      <c r="J1568" s="4">
        <v>301914.84239999996</v>
      </c>
      <c r="L1568" s="4">
        <v>3</v>
      </c>
    </row>
    <row r="1569" spans="1:12">
      <c r="A1569" t="s">
        <v>95</v>
      </c>
      <c r="B1569" s="10">
        <v>45556</v>
      </c>
      <c r="C1569" s="18">
        <f t="shared" si="24"/>
        <v>9</v>
      </c>
      <c r="D1569" t="s">
        <v>188</v>
      </c>
      <c r="E1569">
        <v>4876465</v>
      </c>
      <c r="F1569" t="s">
        <v>87</v>
      </c>
      <c r="G1569" t="s">
        <v>203</v>
      </c>
      <c r="H1569" t="s">
        <v>224</v>
      </c>
      <c r="I1569" s="4">
        <v>100638.28079999999</v>
      </c>
      <c r="J1569" s="4">
        <v>402553.12319999997</v>
      </c>
      <c r="L1569" s="4">
        <v>4</v>
      </c>
    </row>
    <row r="1570" spans="1:12">
      <c r="A1570" t="s">
        <v>95</v>
      </c>
      <c r="B1570" s="10">
        <v>45557</v>
      </c>
      <c r="C1570" s="18">
        <f t="shared" si="24"/>
        <v>9</v>
      </c>
      <c r="D1570" t="s">
        <v>185</v>
      </c>
      <c r="E1570">
        <v>4876549</v>
      </c>
      <c r="F1570" t="s">
        <v>87</v>
      </c>
      <c r="G1570" t="s">
        <v>203</v>
      </c>
      <c r="H1570" t="s">
        <v>230</v>
      </c>
      <c r="I1570" s="4">
        <v>100638.28079999999</v>
      </c>
      <c r="J1570" s="4">
        <v>2012765.6159999999</v>
      </c>
      <c r="L1570" s="4">
        <v>20</v>
      </c>
    </row>
    <row r="1571" spans="1:12">
      <c r="A1571" t="s">
        <v>95</v>
      </c>
      <c r="B1571" s="10">
        <v>45557</v>
      </c>
      <c r="C1571" s="18">
        <f t="shared" si="24"/>
        <v>9</v>
      </c>
      <c r="D1571" t="s">
        <v>188</v>
      </c>
      <c r="E1571">
        <v>6080198</v>
      </c>
      <c r="F1571" t="s">
        <v>87</v>
      </c>
      <c r="G1571" t="s">
        <v>203</v>
      </c>
      <c r="H1571" t="s">
        <v>230</v>
      </c>
      <c r="I1571" s="4">
        <v>100638.28079999999</v>
      </c>
      <c r="J1571" s="4">
        <v>603829.68479999993</v>
      </c>
      <c r="L1571" s="4">
        <v>6</v>
      </c>
    </row>
    <row r="1572" spans="1:12">
      <c r="A1572" t="s">
        <v>95</v>
      </c>
      <c r="B1572" s="10">
        <v>45558</v>
      </c>
      <c r="C1572" s="18">
        <f t="shared" si="24"/>
        <v>9</v>
      </c>
      <c r="D1572" t="s">
        <v>188</v>
      </c>
      <c r="E1572">
        <v>4877018</v>
      </c>
      <c r="F1572" t="s">
        <v>89</v>
      </c>
      <c r="G1572" t="s">
        <v>203</v>
      </c>
      <c r="H1572" t="s">
        <v>230</v>
      </c>
      <c r="I1572" s="4">
        <v>100638.28079999999</v>
      </c>
      <c r="J1572" s="4">
        <v>402553.12319999997</v>
      </c>
      <c r="L1572" s="4">
        <v>4</v>
      </c>
    </row>
    <row r="1573" spans="1:12">
      <c r="A1573" t="s">
        <v>95</v>
      </c>
      <c r="B1573" s="10">
        <v>45558</v>
      </c>
      <c r="C1573" s="18">
        <f t="shared" si="24"/>
        <v>9</v>
      </c>
      <c r="D1573" t="s">
        <v>188</v>
      </c>
      <c r="E1573">
        <v>4877018</v>
      </c>
      <c r="F1573" t="s">
        <v>89</v>
      </c>
      <c r="G1573" t="s">
        <v>203</v>
      </c>
      <c r="H1573" t="s">
        <v>224</v>
      </c>
      <c r="I1573" s="4">
        <v>100638.28079999999</v>
      </c>
      <c r="J1573" s="4">
        <v>1610212.4927999999</v>
      </c>
      <c r="L1573" s="4">
        <v>16</v>
      </c>
    </row>
    <row r="1574" spans="1:12">
      <c r="A1574" t="s">
        <v>95</v>
      </c>
      <c r="B1574" s="10">
        <v>45559</v>
      </c>
      <c r="C1574" s="18">
        <f t="shared" si="24"/>
        <v>9</v>
      </c>
      <c r="D1574" t="s">
        <v>188</v>
      </c>
      <c r="E1574">
        <v>4878040</v>
      </c>
      <c r="F1574" t="s">
        <v>88</v>
      </c>
      <c r="G1574" t="s">
        <v>203</v>
      </c>
      <c r="H1574" t="s">
        <v>240</v>
      </c>
      <c r="I1574" s="4">
        <v>100638.28079999999</v>
      </c>
      <c r="J1574" s="4">
        <v>100638.28079999999</v>
      </c>
      <c r="L1574" s="4">
        <v>1</v>
      </c>
    </row>
    <row r="1575" spans="1:12">
      <c r="A1575" t="s">
        <v>108</v>
      </c>
      <c r="B1575" s="10">
        <v>45538</v>
      </c>
      <c r="C1575" s="18">
        <f t="shared" si="24"/>
        <v>9</v>
      </c>
      <c r="D1575" t="s">
        <v>198</v>
      </c>
      <c r="E1575">
        <v>4878051</v>
      </c>
      <c r="F1575" t="s">
        <v>90</v>
      </c>
      <c r="G1575" t="s">
        <v>203</v>
      </c>
      <c r="H1575" t="s">
        <v>234</v>
      </c>
      <c r="I1575" s="4">
        <v>100638.28079999999</v>
      </c>
      <c r="J1575" s="4">
        <v>201276.56159999999</v>
      </c>
      <c r="L1575" s="4">
        <v>2</v>
      </c>
    </row>
    <row r="1576" spans="1:12">
      <c r="A1576" t="s">
        <v>108</v>
      </c>
      <c r="B1576" s="10">
        <v>45558</v>
      </c>
      <c r="C1576" s="18">
        <f t="shared" si="24"/>
        <v>9</v>
      </c>
      <c r="D1576" t="s">
        <v>199</v>
      </c>
      <c r="E1576">
        <v>6080235</v>
      </c>
      <c r="F1576" t="s">
        <v>89</v>
      </c>
      <c r="G1576" t="s">
        <v>203</v>
      </c>
      <c r="H1576" t="s">
        <v>234</v>
      </c>
      <c r="I1576" s="4">
        <v>100638.28079999999</v>
      </c>
      <c r="J1576" s="4">
        <v>100638.28079999999</v>
      </c>
      <c r="K1576" s="4">
        <v>-2600.7645600000001</v>
      </c>
      <c r="L1576" s="4">
        <v>1</v>
      </c>
    </row>
    <row r="1577" spans="1:12">
      <c r="A1577" t="s">
        <v>108</v>
      </c>
      <c r="B1577" s="10">
        <v>45558</v>
      </c>
      <c r="C1577" s="18">
        <f t="shared" si="24"/>
        <v>9</v>
      </c>
      <c r="D1577" t="s">
        <v>199</v>
      </c>
      <c r="E1577">
        <v>6080235</v>
      </c>
      <c r="F1577" t="s">
        <v>89</v>
      </c>
      <c r="G1577" t="s">
        <v>203</v>
      </c>
      <c r="H1577" t="s">
        <v>241</v>
      </c>
      <c r="I1577" s="4">
        <v>125766.4408</v>
      </c>
      <c r="J1577" s="4">
        <v>125766.4408</v>
      </c>
      <c r="K1577" s="4">
        <v>-3392.3016000000002</v>
      </c>
      <c r="L1577" s="4">
        <v>1</v>
      </c>
    </row>
    <row r="1578" spans="1:12">
      <c r="A1578" t="s">
        <v>108</v>
      </c>
      <c r="B1578" s="10">
        <v>45558</v>
      </c>
      <c r="C1578" s="18">
        <f t="shared" si="24"/>
        <v>9</v>
      </c>
      <c r="D1578" t="s">
        <v>199</v>
      </c>
      <c r="E1578">
        <v>6080235</v>
      </c>
      <c r="F1578" t="s">
        <v>89</v>
      </c>
      <c r="G1578" t="s">
        <v>203</v>
      </c>
      <c r="H1578" t="s">
        <v>231</v>
      </c>
      <c r="I1578" s="4">
        <v>125766.4408</v>
      </c>
      <c r="J1578" s="4">
        <v>125766.4408</v>
      </c>
      <c r="K1578" s="4">
        <v>-3392.3016000000002</v>
      </c>
      <c r="L1578" s="4">
        <v>1</v>
      </c>
    </row>
    <row r="1579" spans="1:12">
      <c r="A1579" t="s">
        <v>108</v>
      </c>
      <c r="B1579" s="10">
        <v>45560</v>
      </c>
      <c r="C1579" s="18">
        <f t="shared" si="24"/>
        <v>9</v>
      </c>
      <c r="D1579" t="s">
        <v>199</v>
      </c>
      <c r="E1579">
        <v>4878051</v>
      </c>
      <c r="F1579" t="s">
        <v>90</v>
      </c>
      <c r="G1579" t="s">
        <v>203</v>
      </c>
      <c r="H1579" t="s">
        <v>234</v>
      </c>
      <c r="I1579" s="4">
        <v>100638.28079999999</v>
      </c>
      <c r="J1579" s="4">
        <v>402553.12319999997</v>
      </c>
      <c r="L1579" s="4">
        <v>4</v>
      </c>
    </row>
    <row r="1580" spans="1:12">
      <c r="A1580" t="s">
        <v>108</v>
      </c>
      <c r="B1580" s="10">
        <v>45560</v>
      </c>
      <c r="C1580" s="18">
        <f t="shared" si="24"/>
        <v>9</v>
      </c>
      <c r="D1580" t="s">
        <v>199</v>
      </c>
      <c r="E1580">
        <v>4878051</v>
      </c>
      <c r="F1580" t="s">
        <v>90</v>
      </c>
      <c r="G1580" t="s">
        <v>203</v>
      </c>
      <c r="H1580" t="s">
        <v>241</v>
      </c>
      <c r="I1580" s="4">
        <v>125766.4408</v>
      </c>
      <c r="J1580" s="4">
        <v>251532.88159999999</v>
      </c>
      <c r="L1580" s="4">
        <v>2</v>
      </c>
    </row>
    <row r="1581" spans="1:12">
      <c r="A1581" t="s">
        <v>108</v>
      </c>
      <c r="B1581" s="10">
        <v>45560</v>
      </c>
      <c r="C1581" s="18">
        <f t="shared" si="24"/>
        <v>9</v>
      </c>
      <c r="D1581" t="s">
        <v>199</v>
      </c>
      <c r="E1581">
        <v>4878051</v>
      </c>
      <c r="F1581" t="s">
        <v>90</v>
      </c>
      <c r="G1581" t="s">
        <v>203</v>
      </c>
      <c r="H1581" t="s">
        <v>231</v>
      </c>
      <c r="I1581" s="4">
        <v>125766.4408</v>
      </c>
      <c r="J1581" s="4">
        <v>251532.88159999999</v>
      </c>
      <c r="L1581" s="4">
        <v>2</v>
      </c>
    </row>
    <row r="1582" spans="1:12">
      <c r="A1582" t="s">
        <v>106</v>
      </c>
      <c r="B1582" s="10">
        <v>45541</v>
      </c>
      <c r="C1582" s="18">
        <f t="shared" si="24"/>
        <v>9</v>
      </c>
      <c r="D1582" t="s">
        <v>135</v>
      </c>
      <c r="E1582">
        <v>4878723</v>
      </c>
      <c r="F1582" t="s">
        <v>90</v>
      </c>
      <c r="G1582" t="s">
        <v>203</v>
      </c>
      <c r="H1582" t="s">
        <v>245</v>
      </c>
      <c r="I1582" s="4">
        <v>100638.28079999999</v>
      </c>
      <c r="J1582" s="4">
        <v>503191.40399999998</v>
      </c>
      <c r="L1582" s="4">
        <v>5</v>
      </c>
    </row>
    <row r="1583" spans="1:12">
      <c r="A1583" t="s">
        <v>106</v>
      </c>
      <c r="B1583" s="10">
        <v>45541</v>
      </c>
      <c r="C1583" s="18">
        <f t="shared" si="24"/>
        <v>9</v>
      </c>
      <c r="D1583" t="s">
        <v>135</v>
      </c>
      <c r="E1583">
        <v>4876577</v>
      </c>
      <c r="F1583" t="s">
        <v>87</v>
      </c>
      <c r="G1583" t="s">
        <v>203</v>
      </c>
      <c r="H1583" t="s">
        <v>244</v>
      </c>
      <c r="I1583" s="4">
        <v>125766.4408</v>
      </c>
      <c r="J1583" s="4">
        <v>1257664.4080000001</v>
      </c>
      <c r="L1583" s="4">
        <v>10</v>
      </c>
    </row>
    <row r="1584" spans="1:12">
      <c r="A1584" t="s">
        <v>106</v>
      </c>
      <c r="B1584" s="10">
        <v>45541</v>
      </c>
      <c r="C1584" s="18">
        <f t="shared" si="24"/>
        <v>9</v>
      </c>
      <c r="D1584" t="s">
        <v>135</v>
      </c>
      <c r="E1584">
        <v>4872948</v>
      </c>
      <c r="F1584" t="s">
        <v>88</v>
      </c>
      <c r="G1584" t="s">
        <v>203</v>
      </c>
      <c r="H1584" t="s">
        <v>245</v>
      </c>
      <c r="I1584" s="4">
        <v>100638.28079999999</v>
      </c>
      <c r="J1584" s="4">
        <v>402553.12319999997</v>
      </c>
      <c r="L1584" s="4">
        <v>4</v>
      </c>
    </row>
    <row r="1585" spans="1:12">
      <c r="A1585" t="s">
        <v>106</v>
      </c>
      <c r="B1585" s="10">
        <v>45541</v>
      </c>
      <c r="C1585" s="18">
        <f t="shared" si="24"/>
        <v>9</v>
      </c>
      <c r="D1585" t="s">
        <v>135</v>
      </c>
      <c r="E1585">
        <v>4872948</v>
      </c>
      <c r="F1585" t="s">
        <v>88</v>
      </c>
      <c r="G1585" t="s">
        <v>203</v>
      </c>
      <c r="H1585" t="s">
        <v>240</v>
      </c>
      <c r="I1585" s="4">
        <v>100638.28079999999</v>
      </c>
      <c r="J1585" s="4">
        <v>805106.24639999995</v>
      </c>
      <c r="L1585" s="4">
        <v>8</v>
      </c>
    </row>
    <row r="1586" spans="1:12">
      <c r="A1586" t="s">
        <v>106</v>
      </c>
      <c r="B1586" s="10">
        <v>45541</v>
      </c>
      <c r="C1586" s="18">
        <f t="shared" si="24"/>
        <v>9</v>
      </c>
      <c r="D1586" t="s">
        <v>135</v>
      </c>
      <c r="E1586">
        <v>4872948</v>
      </c>
      <c r="F1586" t="s">
        <v>88</v>
      </c>
      <c r="G1586" t="s">
        <v>203</v>
      </c>
      <c r="H1586" t="s">
        <v>244</v>
      </c>
      <c r="I1586" s="4">
        <v>125766.4408</v>
      </c>
      <c r="J1586" s="4">
        <v>1257664.4080000001</v>
      </c>
      <c r="L1586" s="4">
        <v>10</v>
      </c>
    </row>
    <row r="1587" spans="1:12">
      <c r="A1587" t="s">
        <v>106</v>
      </c>
      <c r="B1587" s="10">
        <v>45541</v>
      </c>
      <c r="C1587" s="18">
        <f t="shared" si="24"/>
        <v>9</v>
      </c>
      <c r="D1587" t="s">
        <v>135</v>
      </c>
      <c r="E1587">
        <v>6080798</v>
      </c>
      <c r="F1587" t="s">
        <v>88</v>
      </c>
      <c r="G1587" t="s">
        <v>204</v>
      </c>
      <c r="H1587" t="s">
        <v>217</v>
      </c>
      <c r="I1587" s="4">
        <v>78022.936799999996</v>
      </c>
      <c r="J1587" s="4">
        <v>2106619.2936</v>
      </c>
      <c r="L1587" s="4">
        <v>27</v>
      </c>
    </row>
    <row r="1588" spans="1:12">
      <c r="A1588" t="s">
        <v>106</v>
      </c>
      <c r="B1588" s="10">
        <v>45541</v>
      </c>
      <c r="C1588" s="18">
        <f t="shared" si="24"/>
        <v>9</v>
      </c>
      <c r="D1588" t="s">
        <v>135</v>
      </c>
      <c r="E1588">
        <v>4872613</v>
      </c>
      <c r="F1588" t="s">
        <v>88</v>
      </c>
      <c r="G1588" t="s">
        <v>203</v>
      </c>
      <c r="H1588" t="s">
        <v>245</v>
      </c>
      <c r="I1588" s="4">
        <v>100638.28079999999</v>
      </c>
      <c r="J1588" s="4">
        <v>603829.68479999993</v>
      </c>
      <c r="L1588" s="4">
        <v>6</v>
      </c>
    </row>
    <row r="1589" spans="1:12">
      <c r="A1589" t="s">
        <v>106</v>
      </c>
      <c r="B1589" s="10">
        <v>45541</v>
      </c>
      <c r="C1589" s="18">
        <f t="shared" si="24"/>
        <v>9</v>
      </c>
      <c r="D1589" t="s">
        <v>135</v>
      </c>
      <c r="E1589">
        <v>4873291</v>
      </c>
      <c r="F1589" t="s">
        <v>89</v>
      </c>
      <c r="G1589" t="s">
        <v>203</v>
      </c>
      <c r="H1589" t="s">
        <v>240</v>
      </c>
      <c r="I1589" s="4">
        <v>100638.28079999999</v>
      </c>
      <c r="J1589" s="4">
        <v>1207659.3695999999</v>
      </c>
      <c r="L1589" s="4">
        <v>12</v>
      </c>
    </row>
    <row r="1590" spans="1:12">
      <c r="A1590" t="s">
        <v>106</v>
      </c>
      <c r="B1590" s="10">
        <v>45541</v>
      </c>
      <c r="C1590" s="18">
        <f t="shared" si="24"/>
        <v>9</v>
      </c>
      <c r="D1590" t="s">
        <v>135</v>
      </c>
      <c r="E1590">
        <v>4873291</v>
      </c>
      <c r="F1590" t="s">
        <v>89</v>
      </c>
      <c r="G1590" t="s">
        <v>203</v>
      </c>
      <c r="H1590" t="s">
        <v>244</v>
      </c>
      <c r="I1590" s="4">
        <v>125766.4408</v>
      </c>
      <c r="J1590" s="4">
        <v>1257664.4080000001</v>
      </c>
      <c r="L1590" s="4">
        <v>10</v>
      </c>
    </row>
    <row r="1591" spans="1:12">
      <c r="A1591" t="s">
        <v>106</v>
      </c>
      <c r="B1591" s="10">
        <v>45541</v>
      </c>
      <c r="C1591" s="18">
        <f t="shared" si="24"/>
        <v>9</v>
      </c>
      <c r="D1591" t="s">
        <v>135</v>
      </c>
      <c r="E1591">
        <v>4873291</v>
      </c>
      <c r="F1591" t="s">
        <v>89</v>
      </c>
      <c r="G1591" t="s">
        <v>203</v>
      </c>
      <c r="H1591" t="s">
        <v>237</v>
      </c>
      <c r="I1591" s="4">
        <v>125766.4408</v>
      </c>
      <c r="J1591" s="4">
        <v>503065.76319999999</v>
      </c>
      <c r="L1591" s="4">
        <v>4</v>
      </c>
    </row>
    <row r="1592" spans="1:12">
      <c r="A1592" t="s">
        <v>106</v>
      </c>
      <c r="B1592" s="10">
        <v>45541</v>
      </c>
      <c r="C1592" s="18">
        <f t="shared" si="24"/>
        <v>9</v>
      </c>
      <c r="D1592" t="s">
        <v>135</v>
      </c>
      <c r="E1592">
        <v>4872947</v>
      </c>
      <c r="F1592" t="s">
        <v>88</v>
      </c>
      <c r="G1592" t="s">
        <v>203</v>
      </c>
      <c r="H1592" t="s">
        <v>245</v>
      </c>
      <c r="I1592" s="4">
        <v>100638.28079999999</v>
      </c>
      <c r="J1592" s="4">
        <v>1006382.808</v>
      </c>
      <c r="L1592" s="4">
        <v>10</v>
      </c>
    </row>
    <row r="1593" spans="1:12">
      <c r="A1593" t="s">
        <v>106</v>
      </c>
      <c r="B1593" s="10">
        <v>45541</v>
      </c>
      <c r="C1593" s="18">
        <f t="shared" si="24"/>
        <v>9</v>
      </c>
      <c r="D1593" t="s">
        <v>135</v>
      </c>
      <c r="E1593">
        <v>4872947</v>
      </c>
      <c r="F1593" t="s">
        <v>88</v>
      </c>
      <c r="G1593" t="s">
        <v>203</v>
      </c>
      <c r="H1593" t="s">
        <v>240</v>
      </c>
      <c r="I1593" s="4">
        <v>100638.28079999999</v>
      </c>
      <c r="J1593" s="4">
        <v>1006382.808</v>
      </c>
      <c r="L1593" s="4">
        <v>10</v>
      </c>
    </row>
    <row r="1594" spans="1:12">
      <c r="A1594" t="s">
        <v>106</v>
      </c>
      <c r="B1594" s="10">
        <v>45541</v>
      </c>
      <c r="C1594" s="18">
        <f t="shared" si="24"/>
        <v>9</v>
      </c>
      <c r="D1594" t="s">
        <v>135</v>
      </c>
      <c r="E1594">
        <v>4872966</v>
      </c>
      <c r="F1594" t="s">
        <v>87</v>
      </c>
      <c r="G1594" t="s">
        <v>204</v>
      </c>
      <c r="H1594" t="s">
        <v>216</v>
      </c>
      <c r="I1594" s="4">
        <v>113202.36079999999</v>
      </c>
      <c r="J1594" s="4">
        <v>1132023.608</v>
      </c>
      <c r="L1594" s="4">
        <v>10</v>
      </c>
    </row>
    <row r="1595" spans="1:12">
      <c r="A1595" t="s">
        <v>106</v>
      </c>
      <c r="B1595" s="10">
        <v>45544</v>
      </c>
      <c r="C1595" s="18">
        <f t="shared" si="24"/>
        <v>9</v>
      </c>
      <c r="D1595" t="s">
        <v>135</v>
      </c>
      <c r="E1595">
        <v>4873827</v>
      </c>
      <c r="F1595" t="s">
        <v>88</v>
      </c>
      <c r="G1595" t="s">
        <v>204</v>
      </c>
      <c r="H1595" t="s">
        <v>212</v>
      </c>
      <c r="I1595" s="4">
        <v>62946.040799999995</v>
      </c>
      <c r="J1595" s="4">
        <v>755352.48959999997</v>
      </c>
      <c r="L1595" s="4">
        <v>12</v>
      </c>
    </row>
    <row r="1596" spans="1:12">
      <c r="A1596" t="s">
        <v>106</v>
      </c>
      <c r="B1596" s="10">
        <v>45546</v>
      </c>
      <c r="C1596" s="18">
        <f t="shared" si="24"/>
        <v>9</v>
      </c>
      <c r="D1596" t="s">
        <v>135</v>
      </c>
      <c r="E1596">
        <v>4873753</v>
      </c>
      <c r="F1596" t="s">
        <v>88</v>
      </c>
      <c r="G1596" t="s">
        <v>204</v>
      </c>
      <c r="H1596" t="s">
        <v>218</v>
      </c>
      <c r="I1596" s="4">
        <v>71740.896800000002</v>
      </c>
      <c r="J1596" s="4">
        <v>286963.58720000001</v>
      </c>
      <c r="L1596" s="4">
        <v>4</v>
      </c>
    </row>
    <row r="1597" spans="1:12">
      <c r="A1597" t="s">
        <v>106</v>
      </c>
      <c r="B1597" s="10">
        <v>45546</v>
      </c>
      <c r="C1597" s="18">
        <f t="shared" si="24"/>
        <v>9</v>
      </c>
      <c r="D1597" t="s">
        <v>135</v>
      </c>
      <c r="E1597">
        <v>4873753</v>
      </c>
      <c r="F1597" t="s">
        <v>88</v>
      </c>
      <c r="G1597" t="s">
        <v>204</v>
      </c>
      <c r="H1597" t="s">
        <v>216</v>
      </c>
      <c r="I1597" s="4">
        <v>113202.36079999999</v>
      </c>
      <c r="J1597" s="4">
        <v>679214.16479999991</v>
      </c>
      <c r="L1597" s="4">
        <v>6</v>
      </c>
    </row>
    <row r="1598" spans="1:12">
      <c r="A1598" t="s">
        <v>106</v>
      </c>
      <c r="B1598" s="10">
        <v>45548</v>
      </c>
      <c r="C1598" s="18">
        <f t="shared" si="24"/>
        <v>9</v>
      </c>
      <c r="D1598" t="s">
        <v>135</v>
      </c>
      <c r="E1598">
        <v>4878723</v>
      </c>
      <c r="F1598" t="s">
        <v>90</v>
      </c>
      <c r="G1598" t="s">
        <v>203</v>
      </c>
      <c r="H1598" t="s">
        <v>242</v>
      </c>
      <c r="I1598" s="4">
        <v>100638.28079999999</v>
      </c>
      <c r="J1598" s="4">
        <v>1006382.808</v>
      </c>
      <c r="L1598" s="4">
        <v>10</v>
      </c>
    </row>
    <row r="1599" spans="1:12">
      <c r="A1599" t="s">
        <v>106</v>
      </c>
      <c r="B1599" s="10">
        <v>45548</v>
      </c>
      <c r="C1599" s="18">
        <f t="shared" si="24"/>
        <v>9</v>
      </c>
      <c r="D1599" t="s">
        <v>135</v>
      </c>
      <c r="E1599">
        <v>4878723</v>
      </c>
      <c r="F1599" t="s">
        <v>90</v>
      </c>
      <c r="G1599" t="s">
        <v>203</v>
      </c>
      <c r="H1599" t="s">
        <v>240</v>
      </c>
      <c r="I1599" s="4">
        <v>100638.28079999999</v>
      </c>
      <c r="J1599" s="4">
        <v>1006382.808</v>
      </c>
      <c r="L1599" s="4">
        <v>10</v>
      </c>
    </row>
    <row r="1600" spans="1:12">
      <c r="A1600" t="s">
        <v>106</v>
      </c>
      <c r="B1600" s="10">
        <v>45548</v>
      </c>
      <c r="C1600" s="18">
        <f t="shared" si="24"/>
        <v>9</v>
      </c>
      <c r="D1600" t="s">
        <v>135</v>
      </c>
      <c r="E1600">
        <v>4878723</v>
      </c>
      <c r="F1600" t="s">
        <v>90</v>
      </c>
      <c r="G1600" t="s">
        <v>203</v>
      </c>
      <c r="H1600" t="s">
        <v>236</v>
      </c>
      <c r="I1600" s="4">
        <v>100638.28079999999</v>
      </c>
      <c r="J1600" s="4">
        <v>1006382.808</v>
      </c>
      <c r="L1600" s="4">
        <v>10</v>
      </c>
    </row>
    <row r="1601" spans="1:12">
      <c r="A1601" t="s">
        <v>106</v>
      </c>
      <c r="B1601" s="10">
        <v>45548</v>
      </c>
      <c r="C1601" s="18">
        <f t="shared" si="24"/>
        <v>9</v>
      </c>
      <c r="D1601" t="s">
        <v>135</v>
      </c>
      <c r="E1601">
        <v>4878723</v>
      </c>
      <c r="F1601" t="s">
        <v>90</v>
      </c>
      <c r="G1601" t="s">
        <v>203</v>
      </c>
      <c r="H1601" t="s">
        <v>230</v>
      </c>
      <c r="I1601" s="4">
        <v>100638.28079999999</v>
      </c>
      <c r="J1601" s="4">
        <v>1006382.808</v>
      </c>
      <c r="L1601" s="4">
        <v>10</v>
      </c>
    </row>
    <row r="1602" spans="1:12">
      <c r="A1602" t="s">
        <v>106</v>
      </c>
      <c r="B1602" s="10">
        <v>45548</v>
      </c>
      <c r="C1602" s="18">
        <f t="shared" ref="C1602:C1665" si="25">MONTH(B1602)</f>
        <v>9</v>
      </c>
      <c r="D1602" t="s">
        <v>135</v>
      </c>
      <c r="E1602">
        <v>4878723</v>
      </c>
      <c r="F1602" t="s">
        <v>90</v>
      </c>
      <c r="G1602" t="s">
        <v>203</v>
      </c>
      <c r="H1602" t="s">
        <v>223</v>
      </c>
      <c r="I1602" s="4">
        <v>100638.28079999999</v>
      </c>
      <c r="J1602" s="4">
        <v>1006382.808</v>
      </c>
      <c r="L1602" s="4">
        <v>10</v>
      </c>
    </row>
    <row r="1603" spans="1:12">
      <c r="A1603" t="s">
        <v>106</v>
      </c>
      <c r="B1603" s="10">
        <v>45548</v>
      </c>
      <c r="C1603" s="18">
        <f t="shared" si="25"/>
        <v>9</v>
      </c>
      <c r="D1603" t="s">
        <v>135</v>
      </c>
      <c r="E1603">
        <v>4878582</v>
      </c>
      <c r="F1603" t="s">
        <v>90</v>
      </c>
      <c r="G1603" t="s">
        <v>203</v>
      </c>
      <c r="H1603" t="s">
        <v>242</v>
      </c>
      <c r="I1603" s="4">
        <v>100638.28079999999</v>
      </c>
      <c r="J1603" s="4">
        <v>201276.56159999999</v>
      </c>
      <c r="L1603" s="4">
        <v>2</v>
      </c>
    </row>
    <row r="1604" spans="1:12">
      <c r="A1604" t="s">
        <v>106</v>
      </c>
      <c r="B1604" s="10">
        <v>45548</v>
      </c>
      <c r="C1604" s="18">
        <f t="shared" si="25"/>
        <v>9</v>
      </c>
      <c r="D1604" t="s">
        <v>135</v>
      </c>
      <c r="E1604">
        <v>4878582</v>
      </c>
      <c r="F1604" t="s">
        <v>90</v>
      </c>
      <c r="G1604" t="s">
        <v>203</v>
      </c>
      <c r="H1604" t="s">
        <v>240</v>
      </c>
      <c r="I1604" s="4">
        <v>100638.28079999999</v>
      </c>
      <c r="J1604" s="4">
        <v>201276.56159999999</v>
      </c>
      <c r="L1604" s="4">
        <v>2</v>
      </c>
    </row>
    <row r="1605" spans="1:12">
      <c r="A1605" t="s">
        <v>106</v>
      </c>
      <c r="B1605" s="10">
        <v>45548</v>
      </c>
      <c r="C1605" s="18">
        <f t="shared" si="25"/>
        <v>9</v>
      </c>
      <c r="D1605" t="s">
        <v>135</v>
      </c>
      <c r="E1605">
        <v>4878582</v>
      </c>
      <c r="F1605" t="s">
        <v>90</v>
      </c>
      <c r="G1605" t="s">
        <v>203</v>
      </c>
      <c r="H1605" t="s">
        <v>236</v>
      </c>
      <c r="I1605" s="4">
        <v>100638.28079999999</v>
      </c>
      <c r="J1605" s="4">
        <v>201276.56159999999</v>
      </c>
      <c r="L1605" s="4">
        <v>2</v>
      </c>
    </row>
    <row r="1606" spans="1:12">
      <c r="A1606" t="s">
        <v>106</v>
      </c>
      <c r="B1606" s="10">
        <v>45548</v>
      </c>
      <c r="C1606" s="18">
        <f t="shared" si="25"/>
        <v>9</v>
      </c>
      <c r="D1606" t="s">
        <v>135</v>
      </c>
      <c r="E1606">
        <v>4878582</v>
      </c>
      <c r="F1606" t="s">
        <v>90</v>
      </c>
      <c r="G1606" t="s">
        <v>203</v>
      </c>
      <c r="H1606" t="s">
        <v>230</v>
      </c>
      <c r="I1606" s="4">
        <v>100638.28079999999</v>
      </c>
      <c r="J1606" s="4">
        <v>201276.56159999999</v>
      </c>
      <c r="L1606" s="4">
        <v>2</v>
      </c>
    </row>
    <row r="1607" spans="1:12">
      <c r="A1607" t="s">
        <v>106</v>
      </c>
      <c r="B1607" s="10">
        <v>45548</v>
      </c>
      <c r="C1607" s="18">
        <f t="shared" si="25"/>
        <v>9</v>
      </c>
      <c r="D1607" t="s">
        <v>135</v>
      </c>
      <c r="E1607">
        <v>4878582</v>
      </c>
      <c r="F1607" t="s">
        <v>90</v>
      </c>
      <c r="G1607" t="s">
        <v>203</v>
      </c>
      <c r="H1607" t="s">
        <v>223</v>
      </c>
      <c r="I1607" s="4">
        <v>100638.28079999999</v>
      </c>
      <c r="J1607" s="4">
        <v>201276.56159999999</v>
      </c>
      <c r="L1607" s="4">
        <v>2</v>
      </c>
    </row>
    <row r="1608" spans="1:12">
      <c r="A1608" t="s">
        <v>106</v>
      </c>
      <c r="B1608" s="10">
        <v>45548</v>
      </c>
      <c r="C1608" s="18">
        <f t="shared" si="25"/>
        <v>9</v>
      </c>
      <c r="D1608" t="s">
        <v>135</v>
      </c>
      <c r="E1608">
        <v>4873753</v>
      </c>
      <c r="F1608" t="s">
        <v>88</v>
      </c>
      <c r="G1608" t="s">
        <v>203</v>
      </c>
      <c r="H1608" t="s">
        <v>242</v>
      </c>
      <c r="I1608" s="4">
        <v>100638.28079999999</v>
      </c>
      <c r="J1608" s="4">
        <v>2012765.6159999999</v>
      </c>
      <c r="L1608" s="4">
        <v>20</v>
      </c>
    </row>
    <row r="1609" spans="1:12">
      <c r="A1609" t="s">
        <v>106</v>
      </c>
      <c r="B1609" s="10">
        <v>45548</v>
      </c>
      <c r="C1609" s="18">
        <f t="shared" si="25"/>
        <v>9</v>
      </c>
      <c r="D1609" t="s">
        <v>135</v>
      </c>
      <c r="E1609">
        <v>4873753</v>
      </c>
      <c r="F1609" t="s">
        <v>88</v>
      </c>
      <c r="G1609" t="s">
        <v>203</v>
      </c>
      <c r="H1609" t="s">
        <v>240</v>
      </c>
      <c r="I1609" s="4">
        <v>100638.28079999999</v>
      </c>
      <c r="J1609" s="4">
        <v>2012765.6159999999</v>
      </c>
      <c r="L1609" s="4">
        <v>20</v>
      </c>
    </row>
    <row r="1610" spans="1:12">
      <c r="A1610" t="s">
        <v>106</v>
      </c>
      <c r="B1610" s="10">
        <v>45548</v>
      </c>
      <c r="C1610" s="18">
        <f t="shared" si="25"/>
        <v>9</v>
      </c>
      <c r="D1610" t="s">
        <v>135</v>
      </c>
      <c r="E1610">
        <v>4873753</v>
      </c>
      <c r="F1610" t="s">
        <v>88</v>
      </c>
      <c r="G1610" t="s">
        <v>203</v>
      </c>
      <c r="H1610" t="s">
        <v>236</v>
      </c>
      <c r="I1610" s="4">
        <v>100638.28079999999</v>
      </c>
      <c r="J1610" s="4">
        <v>1811489.0543999998</v>
      </c>
      <c r="L1610" s="4">
        <v>18</v>
      </c>
    </row>
    <row r="1611" spans="1:12">
      <c r="A1611" t="s">
        <v>106</v>
      </c>
      <c r="B1611" s="10">
        <v>45548</v>
      </c>
      <c r="C1611" s="18">
        <f t="shared" si="25"/>
        <v>9</v>
      </c>
      <c r="D1611" t="s">
        <v>135</v>
      </c>
      <c r="E1611">
        <v>4873753</v>
      </c>
      <c r="F1611" t="s">
        <v>88</v>
      </c>
      <c r="G1611" t="s">
        <v>203</v>
      </c>
      <c r="H1611" t="s">
        <v>230</v>
      </c>
      <c r="I1611" s="4">
        <v>100638.28079999999</v>
      </c>
      <c r="J1611" s="4">
        <v>2012765.6159999999</v>
      </c>
      <c r="L1611" s="4">
        <v>20</v>
      </c>
    </row>
    <row r="1612" spans="1:12">
      <c r="A1612" t="s">
        <v>106</v>
      </c>
      <c r="B1612" s="10">
        <v>45548</v>
      </c>
      <c r="C1612" s="18">
        <f t="shared" si="25"/>
        <v>9</v>
      </c>
      <c r="D1612" t="s">
        <v>135</v>
      </c>
      <c r="E1612">
        <v>4873753</v>
      </c>
      <c r="F1612" t="s">
        <v>88</v>
      </c>
      <c r="G1612" t="s">
        <v>203</v>
      </c>
      <c r="H1612" t="s">
        <v>223</v>
      </c>
      <c r="I1612" s="4">
        <v>100638.28079999999</v>
      </c>
      <c r="J1612" s="4">
        <v>2214042.1776000001</v>
      </c>
      <c r="L1612" s="4">
        <v>22</v>
      </c>
    </row>
    <row r="1613" spans="1:12">
      <c r="A1613" t="s">
        <v>106</v>
      </c>
      <c r="B1613" s="10">
        <v>45549</v>
      </c>
      <c r="C1613" s="18">
        <f t="shared" si="25"/>
        <v>9</v>
      </c>
      <c r="D1613" t="s">
        <v>135</v>
      </c>
      <c r="E1613">
        <v>4876331</v>
      </c>
      <c r="F1613" t="s">
        <v>89</v>
      </c>
      <c r="G1613" t="s">
        <v>203</v>
      </c>
      <c r="H1613" t="s">
        <v>242</v>
      </c>
      <c r="I1613" s="4">
        <v>100638.28079999999</v>
      </c>
      <c r="J1613" s="4">
        <v>1006382.808</v>
      </c>
      <c r="L1613" s="4">
        <v>10</v>
      </c>
    </row>
    <row r="1614" spans="1:12">
      <c r="A1614" t="s">
        <v>106</v>
      </c>
      <c r="B1614" s="10">
        <v>45549</v>
      </c>
      <c r="C1614" s="18">
        <f t="shared" si="25"/>
        <v>9</v>
      </c>
      <c r="D1614" t="s">
        <v>135</v>
      </c>
      <c r="E1614">
        <v>4876331</v>
      </c>
      <c r="F1614" t="s">
        <v>89</v>
      </c>
      <c r="G1614" t="s">
        <v>203</v>
      </c>
      <c r="H1614" t="s">
        <v>230</v>
      </c>
      <c r="I1614" s="4">
        <v>100638.28079999999</v>
      </c>
      <c r="J1614" s="4">
        <v>1006382.808</v>
      </c>
      <c r="L1614" s="4">
        <v>10</v>
      </c>
    </row>
    <row r="1615" spans="1:12">
      <c r="A1615" t="s">
        <v>106</v>
      </c>
      <c r="B1615" s="10">
        <v>45549</v>
      </c>
      <c r="C1615" s="18">
        <f t="shared" si="25"/>
        <v>9</v>
      </c>
      <c r="D1615" t="s">
        <v>135</v>
      </c>
      <c r="E1615">
        <v>4876331</v>
      </c>
      <c r="F1615" t="s">
        <v>89</v>
      </c>
      <c r="G1615" t="s">
        <v>203</v>
      </c>
      <c r="H1615" t="s">
        <v>223</v>
      </c>
      <c r="I1615" s="4">
        <v>100638.28079999999</v>
      </c>
      <c r="J1615" s="4">
        <v>1006382.808</v>
      </c>
      <c r="L1615" s="4">
        <v>10</v>
      </c>
    </row>
    <row r="1616" spans="1:12">
      <c r="A1616" t="s">
        <v>106</v>
      </c>
      <c r="B1616" s="10">
        <v>45549</v>
      </c>
      <c r="C1616" s="18">
        <f t="shared" si="25"/>
        <v>9</v>
      </c>
      <c r="D1616" t="s">
        <v>135</v>
      </c>
      <c r="E1616">
        <v>4872948</v>
      </c>
      <c r="F1616" t="s">
        <v>88</v>
      </c>
      <c r="G1616" t="s">
        <v>203</v>
      </c>
      <c r="H1616" t="s">
        <v>242</v>
      </c>
      <c r="I1616" s="4">
        <v>100638.28079999999</v>
      </c>
      <c r="J1616" s="4">
        <v>1006382.808</v>
      </c>
      <c r="L1616" s="4">
        <v>10</v>
      </c>
    </row>
    <row r="1617" spans="1:12">
      <c r="A1617" t="s">
        <v>106</v>
      </c>
      <c r="B1617" s="10">
        <v>45549</v>
      </c>
      <c r="C1617" s="18">
        <f t="shared" si="25"/>
        <v>9</v>
      </c>
      <c r="D1617" t="s">
        <v>135</v>
      </c>
      <c r="E1617">
        <v>4872948</v>
      </c>
      <c r="F1617" t="s">
        <v>88</v>
      </c>
      <c r="G1617" t="s">
        <v>203</v>
      </c>
      <c r="H1617" t="s">
        <v>240</v>
      </c>
      <c r="I1617" s="4">
        <v>100638.28079999999</v>
      </c>
      <c r="J1617" s="4">
        <v>1006382.808</v>
      </c>
      <c r="L1617" s="4">
        <v>10</v>
      </c>
    </row>
    <row r="1618" spans="1:12">
      <c r="A1618" t="s">
        <v>106</v>
      </c>
      <c r="B1618" s="10">
        <v>45549</v>
      </c>
      <c r="C1618" s="18">
        <f t="shared" si="25"/>
        <v>9</v>
      </c>
      <c r="D1618" t="s">
        <v>135</v>
      </c>
      <c r="E1618">
        <v>4872948</v>
      </c>
      <c r="F1618" t="s">
        <v>88</v>
      </c>
      <c r="G1618" t="s">
        <v>203</v>
      </c>
      <c r="H1618" t="s">
        <v>230</v>
      </c>
      <c r="I1618" s="4">
        <v>100638.28079999999</v>
      </c>
      <c r="J1618" s="4">
        <v>1006382.808</v>
      </c>
      <c r="L1618" s="4">
        <v>10</v>
      </c>
    </row>
    <row r="1619" spans="1:12">
      <c r="A1619" t="s">
        <v>106</v>
      </c>
      <c r="B1619" s="10">
        <v>45549</v>
      </c>
      <c r="C1619" s="18">
        <f t="shared" si="25"/>
        <v>9</v>
      </c>
      <c r="D1619" t="s">
        <v>135</v>
      </c>
      <c r="E1619">
        <v>4875762</v>
      </c>
      <c r="F1619" t="s">
        <v>88</v>
      </c>
      <c r="G1619" t="s">
        <v>203</v>
      </c>
      <c r="H1619" t="s">
        <v>242</v>
      </c>
      <c r="I1619" s="4">
        <v>100638.28079999999</v>
      </c>
      <c r="J1619" s="4">
        <v>805106.24639999995</v>
      </c>
      <c r="L1619" s="4">
        <v>8</v>
      </c>
    </row>
    <row r="1620" spans="1:12">
      <c r="A1620" t="s">
        <v>106</v>
      </c>
      <c r="B1620" s="10">
        <v>45549</v>
      </c>
      <c r="C1620" s="18">
        <f t="shared" si="25"/>
        <v>9</v>
      </c>
      <c r="D1620" t="s">
        <v>135</v>
      </c>
      <c r="E1620">
        <v>4875762</v>
      </c>
      <c r="F1620" t="s">
        <v>88</v>
      </c>
      <c r="G1620" t="s">
        <v>203</v>
      </c>
      <c r="H1620" t="s">
        <v>240</v>
      </c>
      <c r="I1620" s="4">
        <v>100638.28079999999</v>
      </c>
      <c r="J1620" s="4">
        <v>603829.68479999993</v>
      </c>
      <c r="L1620" s="4">
        <v>6</v>
      </c>
    </row>
    <row r="1621" spans="1:12">
      <c r="A1621" t="s">
        <v>106</v>
      </c>
      <c r="B1621" s="10">
        <v>45549</v>
      </c>
      <c r="C1621" s="18">
        <f t="shared" si="25"/>
        <v>9</v>
      </c>
      <c r="D1621" t="s">
        <v>135</v>
      </c>
      <c r="E1621">
        <v>4875762</v>
      </c>
      <c r="F1621" t="s">
        <v>88</v>
      </c>
      <c r="G1621" t="s">
        <v>203</v>
      </c>
      <c r="H1621" t="s">
        <v>230</v>
      </c>
      <c r="I1621" s="4">
        <v>100638.28079999999</v>
      </c>
      <c r="J1621" s="4">
        <v>603829.68479999993</v>
      </c>
      <c r="L1621" s="4">
        <v>6</v>
      </c>
    </row>
    <row r="1622" spans="1:12">
      <c r="A1622" t="s">
        <v>106</v>
      </c>
      <c r="B1622" s="10">
        <v>45551</v>
      </c>
      <c r="C1622" s="18">
        <f t="shared" si="25"/>
        <v>9</v>
      </c>
      <c r="D1622" t="s">
        <v>135</v>
      </c>
      <c r="E1622">
        <v>4872839</v>
      </c>
      <c r="F1622" t="s">
        <v>89</v>
      </c>
      <c r="G1622" t="s">
        <v>203</v>
      </c>
      <c r="H1622" t="s">
        <v>242</v>
      </c>
      <c r="I1622" s="4">
        <v>100638.28079999999</v>
      </c>
      <c r="J1622" s="4">
        <v>201276.56159999999</v>
      </c>
      <c r="L1622" s="4">
        <v>2</v>
      </c>
    </row>
    <row r="1623" spans="1:12">
      <c r="A1623" t="s">
        <v>106</v>
      </c>
      <c r="B1623" s="10">
        <v>45551</v>
      </c>
      <c r="C1623" s="18">
        <f t="shared" si="25"/>
        <v>9</v>
      </c>
      <c r="D1623" t="s">
        <v>135</v>
      </c>
      <c r="E1623">
        <v>4872839</v>
      </c>
      <c r="F1623" t="s">
        <v>89</v>
      </c>
      <c r="G1623" t="s">
        <v>203</v>
      </c>
      <c r="H1623" t="s">
        <v>240</v>
      </c>
      <c r="I1623" s="4">
        <v>100638.28079999999</v>
      </c>
      <c r="J1623" s="4">
        <v>201276.56159999999</v>
      </c>
      <c r="L1623" s="4">
        <v>2</v>
      </c>
    </row>
    <row r="1624" spans="1:12">
      <c r="A1624" t="s">
        <v>106</v>
      </c>
      <c r="B1624" s="10">
        <v>45551</v>
      </c>
      <c r="C1624" s="18">
        <f t="shared" si="25"/>
        <v>9</v>
      </c>
      <c r="D1624" t="s">
        <v>135</v>
      </c>
      <c r="E1624">
        <v>4872839</v>
      </c>
      <c r="F1624" t="s">
        <v>89</v>
      </c>
      <c r="G1624" t="s">
        <v>203</v>
      </c>
      <c r="H1624" t="s">
        <v>230</v>
      </c>
      <c r="I1624" s="4">
        <v>100638.28079999999</v>
      </c>
      <c r="J1624" s="4">
        <v>201276.56159999999</v>
      </c>
      <c r="L1624" s="4">
        <v>2</v>
      </c>
    </row>
    <row r="1625" spans="1:12">
      <c r="A1625" t="s">
        <v>106</v>
      </c>
      <c r="B1625" s="10">
        <v>45551</v>
      </c>
      <c r="C1625" s="18">
        <f t="shared" si="25"/>
        <v>9</v>
      </c>
      <c r="D1625" t="s">
        <v>135</v>
      </c>
      <c r="E1625">
        <v>4872839</v>
      </c>
      <c r="F1625" t="s">
        <v>89</v>
      </c>
      <c r="G1625" t="s">
        <v>203</v>
      </c>
      <c r="H1625" t="s">
        <v>223</v>
      </c>
      <c r="I1625" s="4">
        <v>100638.28079999999</v>
      </c>
      <c r="J1625" s="4">
        <v>201276.56159999999</v>
      </c>
      <c r="L1625" s="4">
        <v>2</v>
      </c>
    </row>
    <row r="1626" spans="1:12">
      <c r="A1626" t="s">
        <v>106</v>
      </c>
      <c r="B1626" s="10">
        <v>45551</v>
      </c>
      <c r="C1626" s="18">
        <f t="shared" si="25"/>
        <v>9</v>
      </c>
      <c r="D1626" t="s">
        <v>135</v>
      </c>
      <c r="E1626">
        <v>4872613</v>
      </c>
      <c r="F1626" t="s">
        <v>88</v>
      </c>
      <c r="G1626" t="s">
        <v>203</v>
      </c>
      <c r="H1626" t="s">
        <v>242</v>
      </c>
      <c r="I1626" s="4">
        <v>100638.28079999999</v>
      </c>
      <c r="J1626" s="4">
        <v>402553.12319999997</v>
      </c>
      <c r="L1626" s="4">
        <v>4</v>
      </c>
    </row>
    <row r="1627" spans="1:12">
      <c r="A1627" t="s">
        <v>106</v>
      </c>
      <c r="B1627" s="10">
        <v>45551</v>
      </c>
      <c r="C1627" s="18">
        <f t="shared" si="25"/>
        <v>9</v>
      </c>
      <c r="D1627" t="s">
        <v>135</v>
      </c>
      <c r="E1627">
        <v>4872613</v>
      </c>
      <c r="F1627" t="s">
        <v>88</v>
      </c>
      <c r="G1627" t="s">
        <v>203</v>
      </c>
      <c r="H1627" t="s">
        <v>240</v>
      </c>
      <c r="I1627" s="4">
        <v>100638.28079999999</v>
      </c>
      <c r="J1627" s="4">
        <v>402553.12319999997</v>
      </c>
      <c r="L1627" s="4">
        <v>4</v>
      </c>
    </row>
    <row r="1628" spans="1:12">
      <c r="A1628" t="s">
        <v>106</v>
      </c>
      <c r="B1628" s="10">
        <v>45551</v>
      </c>
      <c r="C1628" s="18">
        <f t="shared" si="25"/>
        <v>9</v>
      </c>
      <c r="D1628" t="s">
        <v>135</v>
      </c>
      <c r="E1628">
        <v>4872613</v>
      </c>
      <c r="F1628" t="s">
        <v>88</v>
      </c>
      <c r="G1628" t="s">
        <v>203</v>
      </c>
      <c r="H1628" t="s">
        <v>230</v>
      </c>
      <c r="I1628" s="4">
        <v>100638.28079999999</v>
      </c>
      <c r="J1628" s="4">
        <v>402553.12319999997</v>
      </c>
      <c r="L1628" s="4">
        <v>4</v>
      </c>
    </row>
    <row r="1629" spans="1:12">
      <c r="A1629" t="s">
        <v>106</v>
      </c>
      <c r="B1629" s="10">
        <v>45551</v>
      </c>
      <c r="C1629" s="18">
        <f t="shared" si="25"/>
        <v>9</v>
      </c>
      <c r="D1629" t="s">
        <v>135</v>
      </c>
      <c r="E1629">
        <v>4872613</v>
      </c>
      <c r="F1629" t="s">
        <v>88</v>
      </c>
      <c r="G1629" t="s">
        <v>203</v>
      </c>
      <c r="H1629" t="s">
        <v>223</v>
      </c>
      <c r="I1629" s="4">
        <v>100638.28079999999</v>
      </c>
      <c r="J1629" s="4">
        <v>402553.12319999997</v>
      </c>
      <c r="L1629" s="4">
        <v>4</v>
      </c>
    </row>
    <row r="1630" spans="1:12">
      <c r="A1630" t="s">
        <v>106</v>
      </c>
      <c r="B1630" s="10">
        <v>45553</v>
      </c>
      <c r="C1630" s="18">
        <f t="shared" si="25"/>
        <v>9</v>
      </c>
      <c r="D1630" t="s">
        <v>135</v>
      </c>
      <c r="E1630">
        <v>4875961</v>
      </c>
      <c r="F1630" t="s">
        <v>90</v>
      </c>
      <c r="G1630" t="s">
        <v>204</v>
      </c>
      <c r="H1630" t="s">
        <v>218</v>
      </c>
      <c r="I1630" s="4">
        <v>71740.896800000002</v>
      </c>
      <c r="J1630" s="4">
        <v>573927.17440000002</v>
      </c>
      <c r="L1630" s="4">
        <v>8</v>
      </c>
    </row>
    <row r="1631" spans="1:12">
      <c r="A1631" t="s">
        <v>106</v>
      </c>
      <c r="B1631" s="10">
        <v>45553</v>
      </c>
      <c r="C1631" s="18">
        <f t="shared" si="25"/>
        <v>9</v>
      </c>
      <c r="D1631" t="s">
        <v>135</v>
      </c>
      <c r="E1631">
        <v>4875961</v>
      </c>
      <c r="F1631" t="s">
        <v>90</v>
      </c>
      <c r="G1631" t="s">
        <v>204</v>
      </c>
      <c r="H1631" t="s">
        <v>214</v>
      </c>
      <c r="I1631" s="4">
        <v>119484.4008</v>
      </c>
      <c r="J1631" s="4">
        <v>1553297.2104</v>
      </c>
      <c r="L1631" s="4">
        <v>13</v>
      </c>
    </row>
    <row r="1632" spans="1:12">
      <c r="A1632" t="s">
        <v>106</v>
      </c>
      <c r="B1632" s="10">
        <v>45554</v>
      </c>
      <c r="C1632" s="18">
        <f t="shared" si="25"/>
        <v>9</v>
      </c>
      <c r="D1632" t="s">
        <v>135</v>
      </c>
      <c r="E1632">
        <v>4873827</v>
      </c>
      <c r="F1632" t="s">
        <v>88</v>
      </c>
      <c r="G1632" t="s">
        <v>203</v>
      </c>
      <c r="H1632" t="s">
        <v>242</v>
      </c>
      <c r="I1632" s="4">
        <v>100638.28079999999</v>
      </c>
      <c r="J1632" s="4">
        <v>402553.12319999997</v>
      </c>
      <c r="L1632" s="4">
        <v>4</v>
      </c>
    </row>
    <row r="1633" spans="1:12">
      <c r="A1633" t="s">
        <v>106</v>
      </c>
      <c r="B1633" s="10">
        <v>45554</v>
      </c>
      <c r="C1633" s="18">
        <f t="shared" si="25"/>
        <v>9</v>
      </c>
      <c r="D1633" t="s">
        <v>135</v>
      </c>
      <c r="E1633">
        <v>4873827</v>
      </c>
      <c r="F1633" t="s">
        <v>88</v>
      </c>
      <c r="G1633" t="s">
        <v>203</v>
      </c>
      <c r="H1633" t="s">
        <v>240</v>
      </c>
      <c r="I1633" s="4">
        <v>100638.28079999999</v>
      </c>
      <c r="J1633" s="4">
        <v>402553.12319999997</v>
      </c>
      <c r="L1633" s="4">
        <v>4</v>
      </c>
    </row>
    <row r="1634" spans="1:12">
      <c r="A1634" t="s">
        <v>106</v>
      </c>
      <c r="B1634" s="10">
        <v>45554</v>
      </c>
      <c r="C1634" s="18">
        <f t="shared" si="25"/>
        <v>9</v>
      </c>
      <c r="D1634" t="s">
        <v>135</v>
      </c>
      <c r="E1634">
        <v>4873827</v>
      </c>
      <c r="F1634" t="s">
        <v>88</v>
      </c>
      <c r="G1634" t="s">
        <v>203</v>
      </c>
      <c r="H1634" t="s">
        <v>230</v>
      </c>
      <c r="I1634" s="4">
        <v>100638.28079999999</v>
      </c>
      <c r="J1634" s="4">
        <v>402553.12319999997</v>
      </c>
      <c r="L1634" s="4">
        <v>4</v>
      </c>
    </row>
    <row r="1635" spans="1:12">
      <c r="A1635" t="s">
        <v>106</v>
      </c>
      <c r="B1635" s="10">
        <v>45554</v>
      </c>
      <c r="C1635" s="18">
        <f t="shared" si="25"/>
        <v>9</v>
      </c>
      <c r="D1635" t="s">
        <v>135</v>
      </c>
      <c r="E1635">
        <v>4873827</v>
      </c>
      <c r="F1635" t="s">
        <v>88</v>
      </c>
      <c r="G1635" t="s">
        <v>203</v>
      </c>
      <c r="H1635" t="s">
        <v>223</v>
      </c>
      <c r="I1635" s="4">
        <v>100638.28079999999</v>
      </c>
      <c r="J1635" s="4">
        <v>402553.12319999997</v>
      </c>
      <c r="L1635" s="4">
        <v>4</v>
      </c>
    </row>
    <row r="1636" spans="1:12">
      <c r="A1636" t="s">
        <v>106</v>
      </c>
      <c r="B1636" s="10">
        <v>45554</v>
      </c>
      <c r="C1636" s="18">
        <f t="shared" si="25"/>
        <v>9</v>
      </c>
      <c r="D1636" t="s">
        <v>135</v>
      </c>
      <c r="E1636">
        <v>4873753</v>
      </c>
      <c r="F1636" t="s">
        <v>88</v>
      </c>
      <c r="G1636" t="s">
        <v>203</v>
      </c>
      <c r="H1636" t="s">
        <v>242</v>
      </c>
      <c r="I1636" s="4">
        <v>100638.28079999999</v>
      </c>
      <c r="J1636" s="4">
        <v>402553.12319999997</v>
      </c>
      <c r="L1636" s="4">
        <v>4</v>
      </c>
    </row>
    <row r="1637" spans="1:12">
      <c r="A1637" t="s">
        <v>106</v>
      </c>
      <c r="B1637" s="10">
        <v>45554</v>
      </c>
      <c r="C1637" s="18">
        <f t="shared" si="25"/>
        <v>9</v>
      </c>
      <c r="D1637" t="s">
        <v>135</v>
      </c>
      <c r="E1637">
        <v>4873753</v>
      </c>
      <c r="F1637" t="s">
        <v>88</v>
      </c>
      <c r="G1637" t="s">
        <v>203</v>
      </c>
      <c r="H1637" t="s">
        <v>240</v>
      </c>
      <c r="I1637" s="4">
        <v>100638.28079999999</v>
      </c>
      <c r="J1637" s="4">
        <v>402553.12319999997</v>
      </c>
      <c r="L1637" s="4">
        <v>4</v>
      </c>
    </row>
    <row r="1638" spans="1:12">
      <c r="A1638" t="s">
        <v>106</v>
      </c>
      <c r="B1638" s="10">
        <v>45554</v>
      </c>
      <c r="C1638" s="18">
        <f t="shared" si="25"/>
        <v>9</v>
      </c>
      <c r="D1638" t="s">
        <v>135</v>
      </c>
      <c r="E1638">
        <v>4873753</v>
      </c>
      <c r="F1638" t="s">
        <v>88</v>
      </c>
      <c r="G1638" t="s">
        <v>203</v>
      </c>
      <c r="H1638" t="s">
        <v>230</v>
      </c>
      <c r="I1638" s="4">
        <v>100638.28079999999</v>
      </c>
      <c r="J1638" s="4">
        <v>402553.12319999997</v>
      </c>
      <c r="L1638" s="4">
        <v>4</v>
      </c>
    </row>
    <row r="1639" spans="1:12">
      <c r="A1639" t="s">
        <v>106</v>
      </c>
      <c r="B1639" s="10">
        <v>45555</v>
      </c>
      <c r="C1639" s="18">
        <f t="shared" si="25"/>
        <v>9</v>
      </c>
      <c r="D1639" t="s">
        <v>135</v>
      </c>
      <c r="E1639">
        <v>6088435</v>
      </c>
      <c r="F1639" t="s">
        <v>90</v>
      </c>
      <c r="G1639" t="s">
        <v>203</v>
      </c>
      <c r="H1639" t="s">
        <v>242</v>
      </c>
      <c r="I1639" s="4">
        <v>100638.28079999999</v>
      </c>
      <c r="J1639" s="4">
        <v>1006382.808</v>
      </c>
      <c r="L1639" s="4">
        <v>10</v>
      </c>
    </row>
    <row r="1640" spans="1:12">
      <c r="A1640" t="s">
        <v>106</v>
      </c>
      <c r="B1640" s="10">
        <v>45555</v>
      </c>
      <c r="C1640" s="18">
        <f t="shared" si="25"/>
        <v>9</v>
      </c>
      <c r="D1640" t="s">
        <v>135</v>
      </c>
      <c r="E1640">
        <v>6088435</v>
      </c>
      <c r="F1640" t="s">
        <v>90</v>
      </c>
      <c r="G1640" t="s">
        <v>203</v>
      </c>
      <c r="H1640" t="s">
        <v>230</v>
      </c>
      <c r="I1640" s="4">
        <v>100638.28079999999</v>
      </c>
      <c r="J1640" s="4">
        <v>1006382.808</v>
      </c>
      <c r="L1640" s="4">
        <v>10</v>
      </c>
    </row>
    <row r="1641" spans="1:12">
      <c r="A1641" t="s">
        <v>106</v>
      </c>
      <c r="B1641" s="10">
        <v>45555</v>
      </c>
      <c r="C1641" s="18">
        <f t="shared" si="25"/>
        <v>9</v>
      </c>
      <c r="D1641" t="s">
        <v>135</v>
      </c>
      <c r="E1641">
        <v>6088435</v>
      </c>
      <c r="F1641" t="s">
        <v>90</v>
      </c>
      <c r="G1641" t="s">
        <v>203</v>
      </c>
      <c r="H1641" t="s">
        <v>223</v>
      </c>
      <c r="I1641" s="4">
        <v>100638.28079999999</v>
      </c>
      <c r="J1641" s="4">
        <v>1006382.808</v>
      </c>
      <c r="L1641" s="4">
        <v>10</v>
      </c>
    </row>
    <row r="1642" spans="1:12">
      <c r="A1642" t="s">
        <v>106</v>
      </c>
      <c r="B1642" s="10">
        <v>45557</v>
      </c>
      <c r="C1642" s="18">
        <f t="shared" si="25"/>
        <v>9</v>
      </c>
      <c r="D1642" t="s">
        <v>135</v>
      </c>
      <c r="E1642">
        <v>4872844</v>
      </c>
      <c r="F1642" t="s">
        <v>88</v>
      </c>
      <c r="G1642" t="s">
        <v>203</v>
      </c>
      <c r="H1642" t="s">
        <v>242</v>
      </c>
      <c r="I1642" s="4">
        <v>100638.28079999999</v>
      </c>
      <c r="J1642" s="4">
        <v>402553.12319999997</v>
      </c>
      <c r="L1642" s="4">
        <v>4</v>
      </c>
    </row>
    <row r="1643" spans="1:12">
      <c r="A1643" t="s">
        <v>106</v>
      </c>
      <c r="B1643" s="10">
        <v>45557</v>
      </c>
      <c r="C1643" s="18">
        <f t="shared" si="25"/>
        <v>9</v>
      </c>
      <c r="D1643" t="s">
        <v>135</v>
      </c>
      <c r="E1643">
        <v>4872844</v>
      </c>
      <c r="F1643" t="s">
        <v>88</v>
      </c>
      <c r="G1643" t="s">
        <v>203</v>
      </c>
      <c r="H1643" t="s">
        <v>240</v>
      </c>
      <c r="I1643" s="4">
        <v>100638.28079999999</v>
      </c>
      <c r="J1643" s="4">
        <v>402553.12319999997</v>
      </c>
      <c r="L1643" s="4">
        <v>4</v>
      </c>
    </row>
    <row r="1644" spans="1:12">
      <c r="A1644" t="s">
        <v>106</v>
      </c>
      <c r="B1644" s="10">
        <v>45557</v>
      </c>
      <c r="C1644" s="18">
        <f t="shared" si="25"/>
        <v>9</v>
      </c>
      <c r="D1644" t="s">
        <v>135</v>
      </c>
      <c r="E1644">
        <v>4872844</v>
      </c>
      <c r="F1644" t="s">
        <v>88</v>
      </c>
      <c r="G1644" t="s">
        <v>203</v>
      </c>
      <c r="H1644" t="s">
        <v>230</v>
      </c>
      <c r="I1644" s="4">
        <v>100638.28079999999</v>
      </c>
      <c r="J1644" s="4">
        <v>402553.12319999997</v>
      </c>
      <c r="L1644" s="4">
        <v>4</v>
      </c>
    </row>
    <row r="1645" spans="1:12">
      <c r="A1645" t="s">
        <v>106</v>
      </c>
      <c r="B1645" s="10">
        <v>45557</v>
      </c>
      <c r="C1645" s="18">
        <f t="shared" si="25"/>
        <v>9</v>
      </c>
      <c r="D1645" t="s">
        <v>135</v>
      </c>
      <c r="E1645">
        <v>4872844</v>
      </c>
      <c r="F1645" t="s">
        <v>88</v>
      </c>
      <c r="G1645" t="s">
        <v>203</v>
      </c>
      <c r="H1645" t="s">
        <v>231</v>
      </c>
      <c r="I1645" s="4">
        <v>125766.4408</v>
      </c>
      <c r="J1645" s="4">
        <v>503065.76319999999</v>
      </c>
      <c r="L1645" s="4">
        <v>4</v>
      </c>
    </row>
    <row r="1646" spans="1:12">
      <c r="A1646" t="s">
        <v>106</v>
      </c>
      <c r="B1646" s="10">
        <v>45557</v>
      </c>
      <c r="C1646" s="18">
        <f t="shared" si="25"/>
        <v>9</v>
      </c>
      <c r="D1646" t="s">
        <v>135</v>
      </c>
      <c r="E1646">
        <v>4875961</v>
      </c>
      <c r="F1646" t="s">
        <v>90</v>
      </c>
      <c r="G1646" t="s">
        <v>204</v>
      </c>
      <c r="H1646" t="s">
        <v>217</v>
      </c>
      <c r="I1646" s="4">
        <v>78022.936799999996</v>
      </c>
      <c r="J1646" s="4">
        <v>156045.87359999999</v>
      </c>
      <c r="L1646" s="4">
        <v>2</v>
      </c>
    </row>
    <row r="1647" spans="1:12">
      <c r="A1647" t="s">
        <v>106</v>
      </c>
      <c r="B1647" s="10">
        <v>45557</v>
      </c>
      <c r="C1647" s="18">
        <f t="shared" si="25"/>
        <v>9</v>
      </c>
      <c r="D1647" t="s">
        <v>135</v>
      </c>
      <c r="E1647">
        <v>4875961</v>
      </c>
      <c r="F1647" t="s">
        <v>90</v>
      </c>
      <c r="G1647" t="s">
        <v>204</v>
      </c>
      <c r="H1647" t="s">
        <v>213</v>
      </c>
      <c r="I1647" s="4">
        <v>119484.4008</v>
      </c>
      <c r="J1647" s="4">
        <v>238968.80160000001</v>
      </c>
      <c r="L1647" s="4">
        <v>2</v>
      </c>
    </row>
    <row r="1648" spans="1:12">
      <c r="A1648" t="s">
        <v>106</v>
      </c>
      <c r="B1648" s="10">
        <v>45558</v>
      </c>
      <c r="C1648" s="18">
        <f t="shared" si="25"/>
        <v>9</v>
      </c>
      <c r="D1648" t="s">
        <v>135</v>
      </c>
      <c r="E1648">
        <v>4878723</v>
      </c>
      <c r="F1648" t="s">
        <v>90</v>
      </c>
      <c r="G1648" t="s">
        <v>203</v>
      </c>
      <c r="H1648" t="s">
        <v>231</v>
      </c>
      <c r="I1648" s="4">
        <v>125766.4408</v>
      </c>
      <c r="J1648" s="4">
        <v>754598.64480000001</v>
      </c>
      <c r="L1648" s="4">
        <v>6</v>
      </c>
    </row>
    <row r="1649" spans="1:12">
      <c r="A1649" t="s">
        <v>106</v>
      </c>
      <c r="B1649" s="10">
        <v>45558</v>
      </c>
      <c r="C1649" s="18">
        <f t="shared" si="25"/>
        <v>9</v>
      </c>
      <c r="D1649" t="s">
        <v>135</v>
      </c>
      <c r="E1649">
        <v>4873204</v>
      </c>
      <c r="F1649" t="s">
        <v>88</v>
      </c>
      <c r="G1649" t="s">
        <v>203</v>
      </c>
      <c r="H1649" t="s">
        <v>231</v>
      </c>
      <c r="I1649" s="4">
        <v>125766.4408</v>
      </c>
      <c r="J1649" s="4">
        <v>251532.88159999999</v>
      </c>
      <c r="L1649" s="4">
        <v>2</v>
      </c>
    </row>
    <row r="1650" spans="1:12">
      <c r="A1650" t="s">
        <v>106</v>
      </c>
      <c r="B1650" s="10">
        <v>45558</v>
      </c>
      <c r="C1650" s="18">
        <f t="shared" si="25"/>
        <v>9</v>
      </c>
      <c r="D1650" t="s">
        <v>135</v>
      </c>
      <c r="E1650">
        <v>4872613</v>
      </c>
      <c r="F1650" t="s">
        <v>88</v>
      </c>
      <c r="G1650" t="s">
        <v>203</v>
      </c>
      <c r="H1650" t="s">
        <v>242</v>
      </c>
      <c r="I1650" s="4">
        <v>100638.28079999999</v>
      </c>
      <c r="J1650" s="4">
        <v>402553.12319999997</v>
      </c>
      <c r="L1650" s="4">
        <v>4</v>
      </c>
    </row>
    <row r="1651" spans="1:12">
      <c r="A1651" t="s">
        <v>106</v>
      </c>
      <c r="B1651" s="10">
        <v>45558</v>
      </c>
      <c r="C1651" s="18">
        <f t="shared" si="25"/>
        <v>9</v>
      </c>
      <c r="D1651" t="s">
        <v>135</v>
      </c>
      <c r="E1651">
        <v>4872613</v>
      </c>
      <c r="F1651" t="s">
        <v>88</v>
      </c>
      <c r="G1651" t="s">
        <v>203</v>
      </c>
      <c r="H1651" t="s">
        <v>240</v>
      </c>
      <c r="I1651" s="4">
        <v>100638.28079999999</v>
      </c>
      <c r="J1651" s="4">
        <v>402553.12319999997</v>
      </c>
      <c r="L1651" s="4">
        <v>4</v>
      </c>
    </row>
    <row r="1652" spans="1:12">
      <c r="A1652" t="s">
        <v>106</v>
      </c>
      <c r="B1652" s="10">
        <v>45558</v>
      </c>
      <c r="C1652" s="18">
        <f t="shared" si="25"/>
        <v>9</v>
      </c>
      <c r="D1652" t="s">
        <v>135</v>
      </c>
      <c r="E1652">
        <v>4872613</v>
      </c>
      <c r="F1652" t="s">
        <v>88</v>
      </c>
      <c r="G1652" t="s">
        <v>203</v>
      </c>
      <c r="H1652" t="s">
        <v>230</v>
      </c>
      <c r="I1652" s="4">
        <v>100638.28079999999</v>
      </c>
      <c r="J1652" s="4">
        <v>402553.12319999997</v>
      </c>
      <c r="L1652" s="4">
        <v>4</v>
      </c>
    </row>
    <row r="1653" spans="1:12">
      <c r="A1653" t="s">
        <v>106</v>
      </c>
      <c r="B1653" s="10">
        <v>45560</v>
      </c>
      <c r="C1653" s="18">
        <f t="shared" si="25"/>
        <v>9</v>
      </c>
      <c r="D1653" t="s">
        <v>135</v>
      </c>
      <c r="E1653">
        <v>4876339</v>
      </c>
      <c r="F1653" t="s">
        <v>90</v>
      </c>
      <c r="G1653" t="s">
        <v>203</v>
      </c>
      <c r="H1653" t="s">
        <v>242</v>
      </c>
      <c r="I1653" s="4">
        <v>100638.28079999999</v>
      </c>
      <c r="J1653" s="4">
        <v>201276.56159999999</v>
      </c>
      <c r="L1653" s="4">
        <v>2</v>
      </c>
    </row>
    <row r="1654" spans="1:12">
      <c r="A1654" t="s">
        <v>106</v>
      </c>
      <c r="B1654" s="10">
        <v>45560</v>
      </c>
      <c r="C1654" s="18">
        <f t="shared" si="25"/>
        <v>9</v>
      </c>
      <c r="D1654" t="s">
        <v>135</v>
      </c>
      <c r="E1654">
        <v>4876339</v>
      </c>
      <c r="F1654" t="s">
        <v>90</v>
      </c>
      <c r="G1654" t="s">
        <v>203</v>
      </c>
      <c r="H1654" t="s">
        <v>230</v>
      </c>
      <c r="I1654" s="4">
        <v>100638.28079999999</v>
      </c>
      <c r="J1654" s="4">
        <v>201276.56159999999</v>
      </c>
      <c r="L1654" s="4">
        <v>2</v>
      </c>
    </row>
    <row r="1655" spans="1:12">
      <c r="A1655" t="s">
        <v>106</v>
      </c>
      <c r="B1655" s="10">
        <v>45560</v>
      </c>
      <c r="C1655" s="18">
        <f t="shared" si="25"/>
        <v>9</v>
      </c>
      <c r="D1655" t="s">
        <v>135</v>
      </c>
      <c r="E1655">
        <v>4876339</v>
      </c>
      <c r="F1655" t="s">
        <v>90</v>
      </c>
      <c r="G1655" t="s">
        <v>203</v>
      </c>
      <c r="H1655" t="s">
        <v>223</v>
      </c>
      <c r="I1655" s="4">
        <v>100638.28079999999</v>
      </c>
      <c r="J1655" s="4">
        <v>201276.56159999999</v>
      </c>
      <c r="L1655" s="4">
        <v>2</v>
      </c>
    </row>
    <row r="1656" spans="1:12">
      <c r="A1656" t="s">
        <v>106</v>
      </c>
      <c r="B1656" s="10">
        <v>45560</v>
      </c>
      <c r="C1656" s="18">
        <f t="shared" si="25"/>
        <v>9</v>
      </c>
      <c r="D1656" t="s">
        <v>135</v>
      </c>
      <c r="E1656">
        <v>4876339</v>
      </c>
      <c r="F1656" t="s">
        <v>90</v>
      </c>
      <c r="G1656" t="s">
        <v>203</v>
      </c>
      <c r="H1656" t="s">
        <v>231</v>
      </c>
      <c r="I1656" s="4">
        <v>125766.4408</v>
      </c>
      <c r="J1656" s="4">
        <v>251532.88159999999</v>
      </c>
      <c r="L1656" s="4">
        <v>2</v>
      </c>
    </row>
    <row r="1657" spans="1:12">
      <c r="A1657" t="s">
        <v>106</v>
      </c>
      <c r="B1657" s="10">
        <v>45560</v>
      </c>
      <c r="C1657" s="18">
        <f t="shared" si="25"/>
        <v>9</v>
      </c>
      <c r="D1657" t="s">
        <v>135</v>
      </c>
      <c r="E1657">
        <v>4872613</v>
      </c>
      <c r="F1657" t="s">
        <v>88</v>
      </c>
      <c r="G1657" t="s">
        <v>203</v>
      </c>
      <c r="H1657" t="s">
        <v>231</v>
      </c>
      <c r="I1657" s="4">
        <v>125766.4408</v>
      </c>
      <c r="J1657" s="4">
        <v>251532.88159999999</v>
      </c>
      <c r="L1657" s="4">
        <v>2</v>
      </c>
    </row>
    <row r="1658" spans="1:12">
      <c r="A1658" t="s">
        <v>106</v>
      </c>
      <c r="B1658" s="10">
        <v>45561</v>
      </c>
      <c r="C1658" s="18">
        <f t="shared" si="25"/>
        <v>9</v>
      </c>
      <c r="D1658" t="s">
        <v>135</v>
      </c>
      <c r="E1658">
        <v>7129410</v>
      </c>
      <c r="F1658" t="s">
        <v>90</v>
      </c>
      <c r="G1658" t="s">
        <v>203</v>
      </c>
      <c r="H1658" t="s">
        <v>223</v>
      </c>
      <c r="I1658" s="4">
        <v>100638.28079999999</v>
      </c>
      <c r="J1658" s="4">
        <v>201276.56159999999</v>
      </c>
      <c r="L1658" s="4">
        <v>2</v>
      </c>
    </row>
    <row r="1659" spans="1:12">
      <c r="A1659" t="s">
        <v>106</v>
      </c>
      <c r="B1659" s="10">
        <v>45561</v>
      </c>
      <c r="C1659" s="18">
        <f t="shared" si="25"/>
        <v>9</v>
      </c>
      <c r="D1659" t="s">
        <v>135</v>
      </c>
      <c r="E1659">
        <v>7129410</v>
      </c>
      <c r="F1659" t="s">
        <v>90</v>
      </c>
      <c r="G1659" t="s">
        <v>203</v>
      </c>
      <c r="H1659" t="s">
        <v>231</v>
      </c>
      <c r="I1659" s="4">
        <v>125766.4408</v>
      </c>
      <c r="J1659" s="4">
        <v>251532.88159999999</v>
      </c>
      <c r="L1659" s="4">
        <v>2</v>
      </c>
    </row>
    <row r="1660" spans="1:12">
      <c r="A1660" t="s">
        <v>106</v>
      </c>
      <c r="B1660" s="10">
        <v>45562</v>
      </c>
      <c r="C1660" s="18">
        <f t="shared" si="25"/>
        <v>9</v>
      </c>
      <c r="D1660" t="s">
        <v>135</v>
      </c>
      <c r="E1660">
        <v>6088435</v>
      </c>
      <c r="F1660" t="s">
        <v>90</v>
      </c>
      <c r="G1660" t="s">
        <v>203</v>
      </c>
      <c r="H1660" t="s">
        <v>242</v>
      </c>
      <c r="I1660" s="4">
        <v>100638.28079999999</v>
      </c>
      <c r="J1660" s="4">
        <v>402553.12319999997</v>
      </c>
      <c r="L1660" s="4">
        <v>4</v>
      </c>
    </row>
    <row r="1661" spans="1:12">
      <c r="A1661" t="s">
        <v>106</v>
      </c>
      <c r="B1661" s="10">
        <v>45562</v>
      </c>
      <c r="C1661" s="18">
        <f t="shared" si="25"/>
        <v>9</v>
      </c>
      <c r="D1661" t="s">
        <v>135</v>
      </c>
      <c r="E1661">
        <v>6088435</v>
      </c>
      <c r="F1661" t="s">
        <v>90</v>
      </c>
      <c r="G1661" t="s">
        <v>203</v>
      </c>
      <c r="H1661" t="s">
        <v>230</v>
      </c>
      <c r="I1661" s="4">
        <v>100638.28079999999</v>
      </c>
      <c r="J1661" s="4">
        <v>603829.68479999993</v>
      </c>
      <c r="L1661" s="4">
        <v>6</v>
      </c>
    </row>
    <row r="1662" spans="1:12">
      <c r="A1662" t="s">
        <v>106</v>
      </c>
      <c r="B1662" s="10">
        <v>45562</v>
      </c>
      <c r="C1662" s="18">
        <f t="shared" si="25"/>
        <v>9</v>
      </c>
      <c r="D1662" t="s">
        <v>135</v>
      </c>
      <c r="E1662">
        <v>6088435</v>
      </c>
      <c r="F1662" t="s">
        <v>90</v>
      </c>
      <c r="G1662" t="s">
        <v>203</v>
      </c>
      <c r="H1662" t="s">
        <v>223</v>
      </c>
      <c r="I1662" s="4">
        <v>100638.28079999999</v>
      </c>
      <c r="J1662" s="4">
        <v>603829.68479999993</v>
      </c>
      <c r="L1662" s="4">
        <v>6</v>
      </c>
    </row>
    <row r="1663" spans="1:12">
      <c r="A1663" t="s">
        <v>106</v>
      </c>
      <c r="B1663" s="10">
        <v>45563</v>
      </c>
      <c r="C1663" s="18">
        <f t="shared" si="25"/>
        <v>9</v>
      </c>
      <c r="D1663" t="s">
        <v>135</v>
      </c>
      <c r="E1663">
        <v>4872949</v>
      </c>
      <c r="F1663" t="s">
        <v>89</v>
      </c>
      <c r="G1663" t="s">
        <v>203</v>
      </c>
      <c r="H1663" t="s">
        <v>242</v>
      </c>
      <c r="I1663" s="4">
        <v>100638.28079999999</v>
      </c>
      <c r="J1663" s="4">
        <v>201276.56159999999</v>
      </c>
      <c r="L1663" s="4">
        <v>2</v>
      </c>
    </row>
    <row r="1664" spans="1:12">
      <c r="A1664" t="s">
        <v>106</v>
      </c>
      <c r="B1664" s="10">
        <v>45563</v>
      </c>
      <c r="C1664" s="18">
        <f t="shared" si="25"/>
        <v>9</v>
      </c>
      <c r="D1664" t="s">
        <v>135</v>
      </c>
      <c r="E1664">
        <v>4872949</v>
      </c>
      <c r="F1664" t="s">
        <v>89</v>
      </c>
      <c r="G1664" t="s">
        <v>203</v>
      </c>
      <c r="H1664" t="s">
        <v>230</v>
      </c>
      <c r="I1664" s="4">
        <v>100638.28079999999</v>
      </c>
      <c r="J1664" s="4">
        <v>201276.56159999999</v>
      </c>
      <c r="L1664" s="4">
        <v>2</v>
      </c>
    </row>
    <row r="1665" spans="1:12">
      <c r="A1665" t="s">
        <v>106</v>
      </c>
      <c r="B1665" s="10">
        <v>45563</v>
      </c>
      <c r="C1665" s="18">
        <f t="shared" si="25"/>
        <v>9</v>
      </c>
      <c r="D1665" t="s">
        <v>135</v>
      </c>
      <c r="E1665">
        <v>4872949</v>
      </c>
      <c r="F1665" t="s">
        <v>89</v>
      </c>
      <c r="G1665" t="s">
        <v>203</v>
      </c>
      <c r="H1665" t="s">
        <v>223</v>
      </c>
      <c r="I1665" s="4">
        <v>100638.28079999999</v>
      </c>
      <c r="J1665" s="4">
        <v>603829.68479999993</v>
      </c>
      <c r="L1665" s="4">
        <v>6</v>
      </c>
    </row>
    <row r="1666" spans="1:12">
      <c r="A1666" t="s">
        <v>106</v>
      </c>
      <c r="B1666" s="10">
        <v>45563</v>
      </c>
      <c r="C1666" s="18">
        <f t="shared" ref="C1666:C1729" si="26">MONTH(B1666)</f>
        <v>9</v>
      </c>
      <c r="D1666" t="s">
        <v>135</v>
      </c>
      <c r="E1666">
        <v>4872949</v>
      </c>
      <c r="F1666" t="s">
        <v>89</v>
      </c>
      <c r="G1666" t="s">
        <v>203</v>
      </c>
      <c r="H1666" t="s">
        <v>231</v>
      </c>
      <c r="I1666" s="4">
        <v>125766.4408</v>
      </c>
      <c r="J1666" s="4">
        <v>251532.88159999999</v>
      </c>
      <c r="L1666" s="4">
        <v>2</v>
      </c>
    </row>
    <row r="1667" spans="1:12">
      <c r="A1667" t="s">
        <v>106</v>
      </c>
      <c r="B1667" s="10">
        <v>45564</v>
      </c>
      <c r="C1667" s="18">
        <f t="shared" si="26"/>
        <v>9</v>
      </c>
      <c r="D1667" t="s">
        <v>135</v>
      </c>
      <c r="E1667">
        <v>4878797</v>
      </c>
      <c r="F1667" t="s">
        <v>88</v>
      </c>
      <c r="G1667" t="s">
        <v>204</v>
      </c>
      <c r="H1667" t="s">
        <v>212</v>
      </c>
      <c r="I1667" s="4">
        <v>62946.040799999995</v>
      </c>
      <c r="J1667" s="4">
        <v>251784.16319999998</v>
      </c>
      <c r="L1667" s="4">
        <v>4</v>
      </c>
    </row>
    <row r="1668" spans="1:12">
      <c r="A1668" t="s">
        <v>105</v>
      </c>
      <c r="B1668" s="10">
        <v>45506</v>
      </c>
      <c r="C1668" s="18">
        <f t="shared" si="26"/>
        <v>8</v>
      </c>
      <c r="D1668" t="s">
        <v>129</v>
      </c>
      <c r="E1668">
        <v>6137985</v>
      </c>
      <c r="F1668" t="s">
        <v>8</v>
      </c>
      <c r="G1668" t="s">
        <v>203</v>
      </c>
      <c r="H1668" t="s">
        <v>224</v>
      </c>
      <c r="I1668" s="4">
        <v>100638.28079999999</v>
      </c>
      <c r="J1668" s="4">
        <v>201276.56159999999</v>
      </c>
      <c r="L1668" s="4">
        <v>2</v>
      </c>
    </row>
    <row r="1669" spans="1:12">
      <c r="A1669" t="s">
        <v>105</v>
      </c>
      <c r="B1669" s="10">
        <v>45506</v>
      </c>
      <c r="C1669" s="18">
        <f t="shared" si="26"/>
        <v>8</v>
      </c>
      <c r="D1669" t="s">
        <v>129</v>
      </c>
      <c r="E1669">
        <v>6137985</v>
      </c>
      <c r="F1669" t="s">
        <v>8</v>
      </c>
      <c r="G1669" t="s">
        <v>203</v>
      </c>
      <c r="H1669" t="s">
        <v>223</v>
      </c>
      <c r="I1669" s="4">
        <v>100638.28079999999</v>
      </c>
      <c r="J1669" s="4">
        <v>201276.56159999999</v>
      </c>
      <c r="L1669" s="4">
        <v>2</v>
      </c>
    </row>
    <row r="1670" spans="1:12">
      <c r="A1670" t="s">
        <v>105</v>
      </c>
      <c r="B1670" s="10">
        <v>45506</v>
      </c>
      <c r="C1670" s="18">
        <f t="shared" si="26"/>
        <v>8</v>
      </c>
      <c r="D1670" t="s">
        <v>129</v>
      </c>
      <c r="E1670">
        <v>6080725</v>
      </c>
      <c r="F1670" t="s">
        <v>8</v>
      </c>
      <c r="G1670" t="s">
        <v>203</v>
      </c>
      <c r="H1670" t="s">
        <v>232</v>
      </c>
      <c r="I1670" s="4">
        <v>100638.28079999999</v>
      </c>
      <c r="J1670" s="4">
        <v>201276.56159999999</v>
      </c>
      <c r="L1670" s="4">
        <v>2</v>
      </c>
    </row>
    <row r="1671" spans="1:12">
      <c r="A1671" t="s">
        <v>105</v>
      </c>
      <c r="B1671" s="10">
        <v>45506</v>
      </c>
      <c r="C1671" s="18">
        <f t="shared" si="26"/>
        <v>8</v>
      </c>
      <c r="D1671" t="s">
        <v>129</v>
      </c>
      <c r="E1671">
        <v>6080725</v>
      </c>
      <c r="F1671" t="s">
        <v>8</v>
      </c>
      <c r="G1671" t="s">
        <v>203</v>
      </c>
      <c r="H1671" t="s">
        <v>224</v>
      </c>
      <c r="I1671" s="4">
        <v>100638.28079999999</v>
      </c>
      <c r="J1671" s="4">
        <v>201276.56159999999</v>
      </c>
      <c r="L1671" s="4">
        <v>2</v>
      </c>
    </row>
    <row r="1672" spans="1:12">
      <c r="A1672" t="s">
        <v>105</v>
      </c>
      <c r="B1672" s="10">
        <v>45506</v>
      </c>
      <c r="C1672" s="18">
        <f t="shared" si="26"/>
        <v>8</v>
      </c>
      <c r="D1672" t="s">
        <v>129</v>
      </c>
      <c r="E1672">
        <v>6080725</v>
      </c>
      <c r="F1672" t="s">
        <v>8</v>
      </c>
      <c r="G1672" t="s">
        <v>203</v>
      </c>
      <c r="H1672" t="s">
        <v>223</v>
      </c>
      <c r="I1672" s="4">
        <v>100638.28079999999</v>
      </c>
      <c r="J1672" s="4">
        <v>201276.56159999999</v>
      </c>
      <c r="L1672" s="4">
        <v>2</v>
      </c>
    </row>
    <row r="1673" spans="1:12">
      <c r="A1673" t="s">
        <v>105</v>
      </c>
      <c r="B1673" s="10">
        <v>45510</v>
      </c>
      <c r="C1673" s="18">
        <f t="shared" si="26"/>
        <v>8</v>
      </c>
      <c r="D1673" t="s">
        <v>129</v>
      </c>
      <c r="E1673">
        <v>4877720</v>
      </c>
      <c r="F1673" t="s">
        <v>8</v>
      </c>
      <c r="G1673" t="s">
        <v>203</v>
      </c>
      <c r="H1673" t="s">
        <v>228</v>
      </c>
      <c r="I1673" s="4">
        <v>100638.28079999999</v>
      </c>
      <c r="J1673" s="4">
        <v>201276.56159999999</v>
      </c>
      <c r="L1673" s="4">
        <v>2</v>
      </c>
    </row>
    <row r="1674" spans="1:12">
      <c r="A1674" t="s">
        <v>105</v>
      </c>
      <c r="B1674" s="10">
        <v>45510</v>
      </c>
      <c r="C1674" s="18">
        <f t="shared" si="26"/>
        <v>8</v>
      </c>
      <c r="D1674" t="s">
        <v>129</v>
      </c>
      <c r="E1674">
        <v>4877720</v>
      </c>
      <c r="F1674" t="s">
        <v>8</v>
      </c>
      <c r="G1674" t="s">
        <v>203</v>
      </c>
      <c r="H1674" t="s">
        <v>226</v>
      </c>
      <c r="I1674" s="4">
        <v>100638.28079999999</v>
      </c>
      <c r="J1674" s="4">
        <v>201276.56159999999</v>
      </c>
      <c r="L1674" s="4">
        <v>2</v>
      </c>
    </row>
    <row r="1675" spans="1:12">
      <c r="A1675" t="s">
        <v>105</v>
      </c>
      <c r="B1675" s="10">
        <v>45510</v>
      </c>
      <c r="C1675" s="18">
        <f t="shared" si="26"/>
        <v>8</v>
      </c>
      <c r="D1675" t="s">
        <v>129</v>
      </c>
      <c r="E1675">
        <v>4873979</v>
      </c>
      <c r="F1675" t="s">
        <v>8</v>
      </c>
      <c r="G1675" t="s">
        <v>203</v>
      </c>
      <c r="H1675" t="s">
        <v>242</v>
      </c>
      <c r="I1675" s="4">
        <v>100638.28079999999</v>
      </c>
      <c r="J1675" s="4">
        <v>201276.56159999999</v>
      </c>
      <c r="L1675" s="4">
        <v>2</v>
      </c>
    </row>
    <row r="1676" spans="1:12">
      <c r="A1676" t="s">
        <v>105</v>
      </c>
      <c r="B1676" s="10">
        <v>45510</v>
      </c>
      <c r="C1676" s="18">
        <f t="shared" si="26"/>
        <v>8</v>
      </c>
      <c r="D1676" t="s">
        <v>129</v>
      </c>
      <c r="E1676">
        <v>4873979</v>
      </c>
      <c r="F1676" t="s">
        <v>8</v>
      </c>
      <c r="G1676" t="s">
        <v>203</v>
      </c>
      <c r="H1676" t="s">
        <v>228</v>
      </c>
      <c r="I1676" s="4">
        <v>100638.28079999999</v>
      </c>
      <c r="J1676" s="4">
        <v>201276.56159999999</v>
      </c>
      <c r="L1676" s="4">
        <v>2</v>
      </c>
    </row>
    <row r="1677" spans="1:12">
      <c r="A1677" t="s">
        <v>105</v>
      </c>
      <c r="B1677" s="10">
        <v>45510</v>
      </c>
      <c r="C1677" s="18">
        <f t="shared" si="26"/>
        <v>8</v>
      </c>
      <c r="D1677" t="s">
        <v>129</v>
      </c>
      <c r="E1677">
        <v>4873979</v>
      </c>
      <c r="F1677" t="s">
        <v>8</v>
      </c>
      <c r="G1677" t="s">
        <v>203</v>
      </c>
      <c r="H1677" t="s">
        <v>223</v>
      </c>
      <c r="I1677" s="4">
        <v>100638.28079999999</v>
      </c>
      <c r="J1677" s="4">
        <v>201276.56159999999</v>
      </c>
      <c r="L1677" s="4">
        <v>2</v>
      </c>
    </row>
    <row r="1678" spans="1:12">
      <c r="A1678" t="s">
        <v>105</v>
      </c>
      <c r="B1678" s="10">
        <v>45510</v>
      </c>
      <c r="C1678" s="18">
        <f t="shared" si="26"/>
        <v>8</v>
      </c>
      <c r="D1678" t="s">
        <v>129</v>
      </c>
      <c r="E1678">
        <v>4873979</v>
      </c>
      <c r="F1678" t="s">
        <v>8</v>
      </c>
      <c r="G1678" t="s">
        <v>203</v>
      </c>
      <c r="H1678" t="s">
        <v>244</v>
      </c>
      <c r="I1678" s="4">
        <v>125766.4408</v>
      </c>
      <c r="J1678" s="4">
        <v>125766.4408</v>
      </c>
      <c r="L1678" s="4">
        <v>1</v>
      </c>
    </row>
    <row r="1679" spans="1:12">
      <c r="A1679" t="s">
        <v>105</v>
      </c>
      <c r="B1679" s="10">
        <v>45512</v>
      </c>
      <c r="C1679" s="18">
        <f t="shared" si="26"/>
        <v>8</v>
      </c>
      <c r="D1679" t="s">
        <v>186</v>
      </c>
      <c r="E1679">
        <v>6080604</v>
      </c>
      <c r="F1679" t="s">
        <v>8</v>
      </c>
      <c r="G1679" t="s">
        <v>204</v>
      </c>
      <c r="H1679" t="s">
        <v>216</v>
      </c>
      <c r="I1679" s="4">
        <v>113202.36079999999</v>
      </c>
      <c r="J1679" s="4">
        <v>226404.72159999999</v>
      </c>
      <c r="L1679" s="4">
        <v>2</v>
      </c>
    </row>
    <row r="1680" spans="1:12">
      <c r="A1680" t="s">
        <v>105</v>
      </c>
      <c r="B1680" s="10">
        <v>45513</v>
      </c>
      <c r="C1680" s="18">
        <f t="shared" si="26"/>
        <v>8</v>
      </c>
      <c r="D1680" t="s">
        <v>129</v>
      </c>
      <c r="E1680">
        <v>4877720</v>
      </c>
      <c r="F1680" t="s">
        <v>8</v>
      </c>
      <c r="G1680" t="s">
        <v>203</v>
      </c>
      <c r="H1680" t="s">
        <v>240</v>
      </c>
      <c r="I1680" s="4">
        <v>100638.28079999999</v>
      </c>
      <c r="J1680" s="4">
        <v>603829.68479999993</v>
      </c>
      <c r="L1680" s="4">
        <v>6</v>
      </c>
    </row>
    <row r="1681" spans="1:12">
      <c r="A1681" t="s">
        <v>105</v>
      </c>
      <c r="B1681" s="10">
        <v>45513</v>
      </c>
      <c r="C1681" s="18">
        <f t="shared" si="26"/>
        <v>8</v>
      </c>
      <c r="D1681" t="s">
        <v>129</v>
      </c>
      <c r="E1681">
        <v>4877720</v>
      </c>
      <c r="F1681" t="s">
        <v>8</v>
      </c>
      <c r="G1681" t="s">
        <v>203</v>
      </c>
      <c r="H1681" t="s">
        <v>236</v>
      </c>
      <c r="I1681" s="4">
        <v>100638.28079999999</v>
      </c>
      <c r="J1681" s="4">
        <v>603829.68479999993</v>
      </c>
      <c r="L1681" s="4">
        <v>6</v>
      </c>
    </row>
    <row r="1682" spans="1:12">
      <c r="A1682" t="s">
        <v>105</v>
      </c>
      <c r="B1682" s="10">
        <v>45513</v>
      </c>
      <c r="C1682" s="18">
        <f t="shared" si="26"/>
        <v>8</v>
      </c>
      <c r="D1682" t="s">
        <v>129</v>
      </c>
      <c r="E1682">
        <v>4877720</v>
      </c>
      <c r="F1682" t="s">
        <v>8</v>
      </c>
      <c r="G1682" t="s">
        <v>203</v>
      </c>
      <c r="H1682" t="s">
        <v>244</v>
      </c>
      <c r="I1682" s="4">
        <v>125766.4408</v>
      </c>
      <c r="J1682" s="4">
        <v>125766.4408</v>
      </c>
      <c r="L1682" s="4">
        <v>1</v>
      </c>
    </row>
    <row r="1683" spans="1:12">
      <c r="A1683" t="s">
        <v>105</v>
      </c>
      <c r="B1683" s="10">
        <v>45513</v>
      </c>
      <c r="C1683" s="18">
        <f t="shared" si="26"/>
        <v>8</v>
      </c>
      <c r="D1683" t="s">
        <v>129</v>
      </c>
      <c r="E1683">
        <v>4873979</v>
      </c>
      <c r="F1683" t="s">
        <v>8</v>
      </c>
      <c r="G1683" t="s">
        <v>203</v>
      </c>
      <c r="H1683" t="s">
        <v>229</v>
      </c>
      <c r="I1683" s="4">
        <v>125766.4408</v>
      </c>
      <c r="J1683" s="4">
        <v>125766.4408</v>
      </c>
      <c r="L1683" s="4">
        <v>1</v>
      </c>
    </row>
    <row r="1684" spans="1:12">
      <c r="A1684" t="s">
        <v>105</v>
      </c>
      <c r="B1684" s="10">
        <v>45516</v>
      </c>
      <c r="C1684" s="18">
        <f t="shared" si="26"/>
        <v>8</v>
      </c>
      <c r="D1684" t="s">
        <v>186</v>
      </c>
      <c r="E1684">
        <v>6080604</v>
      </c>
      <c r="F1684" t="s">
        <v>8</v>
      </c>
      <c r="G1684" t="s">
        <v>206</v>
      </c>
      <c r="H1684" t="s">
        <v>249</v>
      </c>
      <c r="I1684" s="4">
        <v>17715.352800000001</v>
      </c>
      <c r="J1684" s="4">
        <v>708614.11199999996</v>
      </c>
      <c r="L1684" s="4">
        <v>40</v>
      </c>
    </row>
    <row r="1685" spans="1:12">
      <c r="A1685" t="s">
        <v>105</v>
      </c>
      <c r="B1685" s="10">
        <v>45516</v>
      </c>
      <c r="C1685" s="18">
        <f t="shared" si="26"/>
        <v>8</v>
      </c>
      <c r="D1685" t="s">
        <v>186</v>
      </c>
      <c r="E1685">
        <v>4876669</v>
      </c>
      <c r="F1685" t="s">
        <v>8</v>
      </c>
      <c r="G1685" t="s">
        <v>202</v>
      </c>
      <c r="H1685" t="s">
        <v>255</v>
      </c>
      <c r="I1685" s="4">
        <v>72489.71596799999</v>
      </c>
      <c r="J1685" s="4">
        <v>38709508.326911993</v>
      </c>
      <c r="K1685" s="4">
        <v>-2016120.22536</v>
      </c>
      <c r="L1685" s="4">
        <v>534</v>
      </c>
    </row>
    <row r="1686" spans="1:12">
      <c r="A1686" t="s">
        <v>105</v>
      </c>
      <c r="B1686" s="10">
        <v>45518</v>
      </c>
      <c r="C1686" s="18">
        <f t="shared" si="26"/>
        <v>8</v>
      </c>
      <c r="D1686" t="s">
        <v>129</v>
      </c>
      <c r="E1686">
        <v>4876376</v>
      </c>
      <c r="F1686" t="s">
        <v>8</v>
      </c>
      <c r="G1686" t="s">
        <v>203</v>
      </c>
      <c r="H1686" t="s">
        <v>241</v>
      </c>
      <c r="I1686" s="4">
        <v>125766.4408</v>
      </c>
      <c r="J1686" s="4">
        <v>125766.4408</v>
      </c>
      <c r="L1686" s="4">
        <v>1</v>
      </c>
    </row>
    <row r="1687" spans="1:12">
      <c r="A1687" t="s">
        <v>105</v>
      </c>
      <c r="B1687" s="10">
        <v>45518</v>
      </c>
      <c r="C1687" s="18">
        <f t="shared" si="26"/>
        <v>8</v>
      </c>
      <c r="D1687" t="s">
        <v>129</v>
      </c>
      <c r="E1687">
        <v>4876376</v>
      </c>
      <c r="F1687" t="s">
        <v>8</v>
      </c>
      <c r="G1687" t="s">
        <v>203</v>
      </c>
      <c r="H1687" t="s">
        <v>237</v>
      </c>
      <c r="I1687" s="4">
        <v>125766.4408</v>
      </c>
      <c r="J1687" s="4">
        <v>125766.4408</v>
      </c>
      <c r="L1687" s="4">
        <v>1</v>
      </c>
    </row>
    <row r="1688" spans="1:12">
      <c r="A1688" t="s">
        <v>105</v>
      </c>
      <c r="B1688" s="10">
        <v>45518</v>
      </c>
      <c r="C1688" s="18">
        <f t="shared" si="26"/>
        <v>8</v>
      </c>
      <c r="D1688" t="s">
        <v>129</v>
      </c>
      <c r="E1688">
        <v>4876376</v>
      </c>
      <c r="F1688" t="s">
        <v>8</v>
      </c>
      <c r="G1688" t="s">
        <v>203</v>
      </c>
      <c r="H1688" t="s">
        <v>233</v>
      </c>
      <c r="I1688" s="4">
        <v>120735.78316800001</v>
      </c>
      <c r="J1688" s="4">
        <v>120735.78316800001</v>
      </c>
      <c r="L1688" s="4">
        <v>1</v>
      </c>
    </row>
    <row r="1689" spans="1:12">
      <c r="A1689" t="s">
        <v>105</v>
      </c>
      <c r="B1689" s="10">
        <v>45518</v>
      </c>
      <c r="C1689" s="18">
        <f t="shared" si="26"/>
        <v>8</v>
      </c>
      <c r="D1689" t="s">
        <v>186</v>
      </c>
      <c r="E1689">
        <v>6080604</v>
      </c>
      <c r="F1689" t="s">
        <v>8</v>
      </c>
      <c r="G1689" t="s">
        <v>202</v>
      </c>
      <c r="H1689" t="s">
        <v>261</v>
      </c>
      <c r="I1689" s="4">
        <v>41587.104800000001</v>
      </c>
      <c r="J1689" s="4">
        <v>166348.4192</v>
      </c>
      <c r="L1689" s="4">
        <v>4</v>
      </c>
    </row>
    <row r="1690" spans="1:12">
      <c r="A1690" t="s">
        <v>105</v>
      </c>
      <c r="B1690" s="10">
        <v>45520</v>
      </c>
      <c r="C1690" s="18">
        <f t="shared" si="26"/>
        <v>8</v>
      </c>
      <c r="D1690" t="s">
        <v>147</v>
      </c>
      <c r="E1690">
        <v>4873221</v>
      </c>
      <c r="F1690" t="s">
        <v>8</v>
      </c>
      <c r="G1690" t="s">
        <v>202</v>
      </c>
      <c r="H1690" t="s">
        <v>258</v>
      </c>
      <c r="I1690" s="4">
        <v>37817.880799999999</v>
      </c>
      <c r="J1690" s="4">
        <v>1512715.2319999998</v>
      </c>
      <c r="L1690" s="4">
        <v>40</v>
      </c>
    </row>
    <row r="1691" spans="1:12">
      <c r="A1691" t="s">
        <v>105</v>
      </c>
      <c r="B1691" s="10">
        <v>45521</v>
      </c>
      <c r="C1691" s="18">
        <f t="shared" si="26"/>
        <v>8</v>
      </c>
      <c r="D1691" t="s">
        <v>132</v>
      </c>
      <c r="E1691">
        <v>6957140</v>
      </c>
      <c r="F1691" t="s">
        <v>8</v>
      </c>
      <c r="G1691" t="s">
        <v>203</v>
      </c>
      <c r="H1691" t="s">
        <v>238</v>
      </c>
      <c r="I1691" s="4">
        <v>95606.36675999999</v>
      </c>
      <c r="J1691" s="4">
        <v>191212.73351999998</v>
      </c>
      <c r="L1691" s="4">
        <v>2</v>
      </c>
    </row>
    <row r="1692" spans="1:12">
      <c r="A1692" t="s">
        <v>105</v>
      </c>
      <c r="B1692" s="10">
        <v>45521</v>
      </c>
      <c r="C1692" s="18">
        <f t="shared" si="26"/>
        <v>8</v>
      </c>
      <c r="D1692" t="s">
        <v>132</v>
      </c>
      <c r="E1692">
        <v>6957140</v>
      </c>
      <c r="F1692" t="s">
        <v>8</v>
      </c>
      <c r="G1692" t="s">
        <v>203</v>
      </c>
      <c r="H1692" t="s">
        <v>234</v>
      </c>
      <c r="I1692" s="4">
        <v>100638.28079999999</v>
      </c>
      <c r="J1692" s="4">
        <v>201276.56159999999</v>
      </c>
      <c r="L1692" s="4">
        <v>2</v>
      </c>
    </row>
    <row r="1693" spans="1:12">
      <c r="A1693" t="s">
        <v>105</v>
      </c>
      <c r="B1693" s="10">
        <v>45521</v>
      </c>
      <c r="C1693" s="18">
        <f t="shared" si="26"/>
        <v>8</v>
      </c>
      <c r="D1693" t="s">
        <v>132</v>
      </c>
      <c r="E1693">
        <v>6957140</v>
      </c>
      <c r="F1693" t="s">
        <v>8</v>
      </c>
      <c r="G1693" t="s">
        <v>203</v>
      </c>
      <c r="H1693" t="s">
        <v>226</v>
      </c>
      <c r="I1693" s="4">
        <v>100638.28079999999</v>
      </c>
      <c r="J1693" s="4">
        <v>201276.56159999999</v>
      </c>
      <c r="L1693" s="4">
        <v>2</v>
      </c>
    </row>
    <row r="1694" spans="1:12">
      <c r="A1694" t="s">
        <v>105</v>
      </c>
      <c r="B1694" s="10">
        <v>45523</v>
      </c>
      <c r="C1694" s="18">
        <f t="shared" si="26"/>
        <v>8</v>
      </c>
      <c r="D1694" t="s">
        <v>186</v>
      </c>
      <c r="E1694">
        <v>6080604</v>
      </c>
      <c r="F1694" t="s">
        <v>8</v>
      </c>
      <c r="G1694" t="s">
        <v>202</v>
      </c>
      <c r="H1694" t="s">
        <v>261</v>
      </c>
      <c r="I1694" s="4">
        <v>41587.104800000001</v>
      </c>
      <c r="J1694" s="4">
        <v>207935.524</v>
      </c>
      <c r="L1694" s="4">
        <v>5</v>
      </c>
    </row>
    <row r="1695" spans="1:12">
      <c r="A1695" t="s">
        <v>105</v>
      </c>
      <c r="B1695" s="10">
        <v>45524</v>
      </c>
      <c r="C1695" s="18">
        <f t="shared" si="26"/>
        <v>8</v>
      </c>
      <c r="D1695" t="s">
        <v>129</v>
      </c>
      <c r="E1695">
        <v>4873979</v>
      </c>
      <c r="F1695" t="s">
        <v>8</v>
      </c>
      <c r="G1695" t="s">
        <v>203</v>
      </c>
      <c r="H1695" t="s">
        <v>230</v>
      </c>
      <c r="I1695" s="4">
        <v>100638.28079999999</v>
      </c>
      <c r="J1695" s="4">
        <v>201276.56159999999</v>
      </c>
      <c r="L1695" s="4">
        <v>2</v>
      </c>
    </row>
    <row r="1696" spans="1:12">
      <c r="A1696" t="s">
        <v>105</v>
      </c>
      <c r="B1696" s="10">
        <v>45524</v>
      </c>
      <c r="C1696" s="18">
        <f t="shared" si="26"/>
        <v>8</v>
      </c>
      <c r="D1696" t="s">
        <v>129</v>
      </c>
      <c r="E1696">
        <v>4873979</v>
      </c>
      <c r="F1696" t="s">
        <v>8</v>
      </c>
      <c r="G1696" t="s">
        <v>203</v>
      </c>
      <c r="H1696" t="s">
        <v>237</v>
      </c>
      <c r="I1696" s="4">
        <v>125766.4408</v>
      </c>
      <c r="J1696" s="4">
        <v>125766.4408</v>
      </c>
      <c r="L1696" s="4">
        <v>1</v>
      </c>
    </row>
    <row r="1697" spans="1:12">
      <c r="A1697" t="s">
        <v>105</v>
      </c>
      <c r="B1697" s="10">
        <v>45524</v>
      </c>
      <c r="C1697" s="18">
        <f t="shared" si="26"/>
        <v>8</v>
      </c>
      <c r="D1697" t="s">
        <v>186</v>
      </c>
      <c r="E1697">
        <v>6080604</v>
      </c>
      <c r="F1697" t="s">
        <v>8</v>
      </c>
      <c r="G1697" t="s">
        <v>206</v>
      </c>
      <c r="H1697" t="s">
        <v>249</v>
      </c>
      <c r="I1697" s="4">
        <v>17715.352800000001</v>
      </c>
      <c r="J1697" s="4">
        <v>1771535.28</v>
      </c>
      <c r="L1697" s="4">
        <v>100</v>
      </c>
    </row>
    <row r="1698" spans="1:12">
      <c r="A1698" t="s">
        <v>105</v>
      </c>
      <c r="B1698" s="10">
        <v>45524</v>
      </c>
      <c r="C1698" s="18">
        <f t="shared" si="26"/>
        <v>8</v>
      </c>
      <c r="D1698" t="s">
        <v>186</v>
      </c>
      <c r="E1698">
        <v>6080604</v>
      </c>
      <c r="F1698" t="s">
        <v>8</v>
      </c>
      <c r="G1698" t="s">
        <v>206</v>
      </c>
      <c r="H1698" t="s">
        <v>209</v>
      </c>
      <c r="I1698" s="4">
        <v>17715.352800000001</v>
      </c>
      <c r="J1698" s="4">
        <v>1771535.28</v>
      </c>
      <c r="L1698" s="4">
        <v>100</v>
      </c>
    </row>
    <row r="1699" spans="1:12">
      <c r="A1699" t="s">
        <v>105</v>
      </c>
      <c r="B1699" s="10">
        <v>45526</v>
      </c>
      <c r="C1699" s="18">
        <f t="shared" si="26"/>
        <v>8</v>
      </c>
      <c r="D1699" t="s">
        <v>129</v>
      </c>
      <c r="E1699">
        <v>4877720</v>
      </c>
      <c r="F1699" t="s">
        <v>8</v>
      </c>
      <c r="G1699" t="s">
        <v>203</v>
      </c>
      <c r="H1699" t="s">
        <v>242</v>
      </c>
      <c r="I1699" s="4">
        <v>100638.28079999999</v>
      </c>
      <c r="J1699" s="4">
        <v>603829.68479999993</v>
      </c>
      <c r="L1699" s="4">
        <v>6</v>
      </c>
    </row>
    <row r="1700" spans="1:12">
      <c r="A1700" t="s">
        <v>105</v>
      </c>
      <c r="B1700" s="10">
        <v>45526</v>
      </c>
      <c r="C1700" s="18">
        <f t="shared" si="26"/>
        <v>8</v>
      </c>
      <c r="D1700" t="s">
        <v>129</v>
      </c>
      <c r="E1700">
        <v>4877720</v>
      </c>
      <c r="F1700" t="s">
        <v>8</v>
      </c>
      <c r="G1700" t="s">
        <v>203</v>
      </c>
      <c r="H1700" t="s">
        <v>234</v>
      </c>
      <c r="I1700" s="4">
        <v>100638.28079999999</v>
      </c>
      <c r="J1700" s="4">
        <v>603829.68479999993</v>
      </c>
      <c r="L1700" s="4">
        <v>6</v>
      </c>
    </row>
    <row r="1701" spans="1:12">
      <c r="A1701" t="s">
        <v>105</v>
      </c>
      <c r="B1701" s="10">
        <v>45526</v>
      </c>
      <c r="C1701" s="18">
        <f t="shared" si="26"/>
        <v>8</v>
      </c>
      <c r="D1701" t="s">
        <v>129</v>
      </c>
      <c r="E1701">
        <v>4877720</v>
      </c>
      <c r="F1701" t="s">
        <v>8</v>
      </c>
      <c r="G1701" t="s">
        <v>203</v>
      </c>
      <c r="H1701" t="s">
        <v>237</v>
      </c>
      <c r="I1701" s="4">
        <v>125766.4408</v>
      </c>
      <c r="J1701" s="4">
        <v>251532.88159999999</v>
      </c>
      <c r="L1701" s="4">
        <v>2</v>
      </c>
    </row>
    <row r="1702" spans="1:12">
      <c r="A1702" t="s">
        <v>105</v>
      </c>
      <c r="B1702" s="10">
        <v>45527</v>
      </c>
      <c r="C1702" s="18">
        <f t="shared" si="26"/>
        <v>8</v>
      </c>
      <c r="D1702" t="s">
        <v>129</v>
      </c>
      <c r="E1702">
        <v>4877720</v>
      </c>
      <c r="F1702" t="s">
        <v>8</v>
      </c>
      <c r="G1702" t="s">
        <v>203</v>
      </c>
      <c r="H1702" t="s">
        <v>242</v>
      </c>
      <c r="I1702" s="4">
        <v>100638.28079999999</v>
      </c>
      <c r="J1702" s="4">
        <v>402553.12319999997</v>
      </c>
      <c r="L1702" s="4">
        <v>4</v>
      </c>
    </row>
    <row r="1703" spans="1:12">
      <c r="A1703" t="s">
        <v>105</v>
      </c>
      <c r="B1703" s="10">
        <v>45527</v>
      </c>
      <c r="C1703" s="18">
        <f t="shared" si="26"/>
        <v>8</v>
      </c>
      <c r="D1703" t="s">
        <v>129</v>
      </c>
      <c r="E1703">
        <v>4877720</v>
      </c>
      <c r="F1703" t="s">
        <v>8</v>
      </c>
      <c r="G1703" t="s">
        <v>203</v>
      </c>
      <c r="H1703" t="s">
        <v>234</v>
      </c>
      <c r="I1703" s="4">
        <v>100638.28079999999</v>
      </c>
      <c r="J1703" s="4">
        <v>402553.12319999997</v>
      </c>
      <c r="L1703" s="4">
        <v>4</v>
      </c>
    </row>
    <row r="1704" spans="1:12">
      <c r="A1704" t="s">
        <v>105</v>
      </c>
      <c r="B1704" s="10">
        <v>45528</v>
      </c>
      <c r="C1704" s="18">
        <f t="shared" si="26"/>
        <v>8</v>
      </c>
      <c r="D1704" t="s">
        <v>130</v>
      </c>
      <c r="E1704">
        <v>6137985</v>
      </c>
      <c r="F1704" t="s">
        <v>8</v>
      </c>
      <c r="G1704" t="s">
        <v>203</v>
      </c>
      <c r="H1704" t="s">
        <v>242</v>
      </c>
      <c r="I1704" s="4">
        <v>100638.28079999999</v>
      </c>
      <c r="J1704" s="4">
        <v>201276.56159999999</v>
      </c>
      <c r="L1704" s="4">
        <v>2</v>
      </c>
    </row>
    <row r="1705" spans="1:12">
      <c r="A1705" t="s">
        <v>105</v>
      </c>
      <c r="B1705" s="10">
        <v>45528</v>
      </c>
      <c r="C1705" s="18">
        <f t="shared" si="26"/>
        <v>8</v>
      </c>
      <c r="D1705" t="s">
        <v>130</v>
      </c>
      <c r="E1705">
        <v>6137985</v>
      </c>
      <c r="F1705" t="s">
        <v>8</v>
      </c>
      <c r="G1705" t="s">
        <v>203</v>
      </c>
      <c r="H1705" t="s">
        <v>234</v>
      </c>
      <c r="I1705" s="4">
        <v>100638.28079999999</v>
      </c>
      <c r="J1705" s="4">
        <v>201276.56159999999</v>
      </c>
      <c r="L1705" s="4">
        <v>2</v>
      </c>
    </row>
    <row r="1706" spans="1:12">
      <c r="A1706" t="s">
        <v>105</v>
      </c>
      <c r="B1706" s="10">
        <v>45530</v>
      </c>
      <c r="C1706" s="18">
        <f t="shared" si="26"/>
        <v>8</v>
      </c>
      <c r="D1706" t="s">
        <v>132</v>
      </c>
      <c r="E1706">
        <v>4878576</v>
      </c>
      <c r="F1706" t="s">
        <v>8</v>
      </c>
      <c r="G1706" t="s">
        <v>203</v>
      </c>
      <c r="H1706" t="s">
        <v>245</v>
      </c>
      <c r="I1706" s="4">
        <v>100638.28079999999</v>
      </c>
      <c r="J1706" s="4">
        <v>201276.56159999999</v>
      </c>
      <c r="L1706" s="4">
        <v>2</v>
      </c>
    </row>
    <row r="1707" spans="1:12">
      <c r="A1707" t="s">
        <v>105</v>
      </c>
      <c r="B1707" s="10">
        <v>45530</v>
      </c>
      <c r="C1707" s="18">
        <f t="shared" si="26"/>
        <v>8</v>
      </c>
      <c r="D1707" t="s">
        <v>132</v>
      </c>
      <c r="E1707">
        <v>4878576</v>
      </c>
      <c r="F1707" t="s">
        <v>8</v>
      </c>
      <c r="G1707" t="s">
        <v>203</v>
      </c>
      <c r="H1707" t="s">
        <v>242</v>
      </c>
      <c r="I1707" s="4">
        <v>100638.28079999999</v>
      </c>
      <c r="J1707" s="4">
        <v>201276.56159999999</v>
      </c>
      <c r="L1707" s="4">
        <v>2</v>
      </c>
    </row>
    <row r="1708" spans="1:12">
      <c r="A1708" t="s">
        <v>105</v>
      </c>
      <c r="B1708" s="10">
        <v>45530</v>
      </c>
      <c r="C1708" s="18">
        <f t="shared" si="26"/>
        <v>8</v>
      </c>
      <c r="D1708" t="s">
        <v>132</v>
      </c>
      <c r="E1708">
        <v>4878576</v>
      </c>
      <c r="F1708" t="s">
        <v>8</v>
      </c>
      <c r="G1708" t="s">
        <v>203</v>
      </c>
      <c r="H1708" t="s">
        <v>236</v>
      </c>
      <c r="I1708" s="4">
        <v>100638.28079999999</v>
      </c>
      <c r="J1708" s="4">
        <v>201276.56159999999</v>
      </c>
      <c r="L1708" s="4">
        <v>2</v>
      </c>
    </row>
    <row r="1709" spans="1:12">
      <c r="A1709" t="s">
        <v>105</v>
      </c>
      <c r="B1709" s="10">
        <v>45530</v>
      </c>
      <c r="C1709" s="18">
        <f t="shared" si="26"/>
        <v>8</v>
      </c>
      <c r="D1709" t="s">
        <v>132</v>
      </c>
      <c r="E1709">
        <v>4878576</v>
      </c>
      <c r="F1709" t="s">
        <v>8</v>
      </c>
      <c r="G1709" t="s">
        <v>203</v>
      </c>
      <c r="H1709" t="s">
        <v>224</v>
      </c>
      <c r="I1709" s="4">
        <v>100638.28079999999</v>
      </c>
      <c r="J1709" s="4">
        <v>201276.56159999999</v>
      </c>
      <c r="L1709" s="4">
        <v>2</v>
      </c>
    </row>
    <row r="1710" spans="1:12">
      <c r="A1710" t="s">
        <v>105</v>
      </c>
      <c r="B1710" s="10">
        <v>45509</v>
      </c>
      <c r="C1710" s="18">
        <f t="shared" si="26"/>
        <v>8</v>
      </c>
      <c r="D1710" t="s">
        <v>116</v>
      </c>
      <c r="E1710">
        <v>4878474</v>
      </c>
      <c r="F1710" t="s">
        <v>8</v>
      </c>
      <c r="G1710" t="s">
        <v>203</v>
      </c>
      <c r="H1710" t="s">
        <v>232</v>
      </c>
      <c r="I1710" s="4">
        <v>100638.28079999999</v>
      </c>
      <c r="J1710" s="4">
        <v>603829.68479999993</v>
      </c>
      <c r="L1710" s="4">
        <v>6</v>
      </c>
    </row>
    <row r="1711" spans="1:12">
      <c r="A1711" t="s">
        <v>105</v>
      </c>
      <c r="B1711" s="10">
        <v>45509</v>
      </c>
      <c r="C1711" s="18">
        <f t="shared" si="26"/>
        <v>8</v>
      </c>
      <c r="D1711" t="s">
        <v>116</v>
      </c>
      <c r="E1711">
        <v>4878474</v>
      </c>
      <c r="F1711" t="s">
        <v>8</v>
      </c>
      <c r="G1711" t="s">
        <v>203</v>
      </c>
      <c r="H1711" t="s">
        <v>230</v>
      </c>
      <c r="I1711" s="4">
        <v>100638.28079999999</v>
      </c>
      <c r="J1711" s="4">
        <v>603829.68479999993</v>
      </c>
      <c r="L1711" s="4">
        <v>6</v>
      </c>
    </row>
    <row r="1712" spans="1:12">
      <c r="A1712" t="s">
        <v>105</v>
      </c>
      <c r="B1712" s="10">
        <v>45509</v>
      </c>
      <c r="C1712" s="18">
        <f t="shared" si="26"/>
        <v>8</v>
      </c>
      <c r="D1712" t="s">
        <v>116</v>
      </c>
      <c r="E1712">
        <v>4878474</v>
      </c>
      <c r="F1712" t="s">
        <v>8</v>
      </c>
      <c r="G1712" t="s">
        <v>203</v>
      </c>
      <c r="H1712" t="s">
        <v>223</v>
      </c>
      <c r="I1712" s="4">
        <v>100638.28079999999</v>
      </c>
      <c r="J1712" s="4">
        <v>603829.68479999993</v>
      </c>
      <c r="L1712" s="4">
        <v>6</v>
      </c>
    </row>
    <row r="1713" spans="1:12">
      <c r="A1713" t="s">
        <v>105</v>
      </c>
      <c r="B1713" s="10">
        <v>45509</v>
      </c>
      <c r="C1713" s="18">
        <f t="shared" si="26"/>
        <v>8</v>
      </c>
      <c r="D1713" t="s">
        <v>116</v>
      </c>
      <c r="E1713">
        <v>4878474</v>
      </c>
      <c r="F1713" t="s">
        <v>8</v>
      </c>
      <c r="G1713" t="s">
        <v>203</v>
      </c>
      <c r="H1713" t="s">
        <v>244</v>
      </c>
      <c r="I1713" s="4">
        <v>125766.4408</v>
      </c>
      <c r="J1713" s="4">
        <v>125766.4408</v>
      </c>
      <c r="L1713" s="4">
        <v>1</v>
      </c>
    </row>
    <row r="1714" spans="1:12">
      <c r="A1714" t="s">
        <v>105</v>
      </c>
      <c r="B1714" s="10">
        <v>45509</v>
      </c>
      <c r="C1714" s="18">
        <f t="shared" si="26"/>
        <v>8</v>
      </c>
      <c r="D1714" t="s">
        <v>116</v>
      </c>
      <c r="E1714">
        <v>4878474</v>
      </c>
      <c r="F1714" t="s">
        <v>8</v>
      </c>
      <c r="G1714" t="s">
        <v>203</v>
      </c>
      <c r="H1714" t="s">
        <v>239</v>
      </c>
      <c r="I1714" s="4">
        <v>125766.4408</v>
      </c>
      <c r="J1714" s="4">
        <v>125766.4408</v>
      </c>
      <c r="L1714" s="4">
        <v>1</v>
      </c>
    </row>
    <row r="1715" spans="1:12">
      <c r="A1715" t="s">
        <v>105</v>
      </c>
      <c r="B1715" s="10">
        <v>45509</v>
      </c>
      <c r="C1715" s="18">
        <f t="shared" si="26"/>
        <v>8</v>
      </c>
      <c r="D1715" t="s">
        <v>116</v>
      </c>
      <c r="E1715">
        <v>4878474</v>
      </c>
      <c r="F1715" t="s">
        <v>8</v>
      </c>
      <c r="G1715" t="s">
        <v>203</v>
      </c>
      <c r="H1715" t="s">
        <v>237</v>
      </c>
      <c r="I1715" s="4">
        <v>125766.4408</v>
      </c>
      <c r="J1715" s="4">
        <v>125766.4408</v>
      </c>
      <c r="L1715" s="4">
        <v>1</v>
      </c>
    </row>
    <row r="1716" spans="1:12">
      <c r="A1716" t="s">
        <v>105</v>
      </c>
      <c r="B1716" s="10">
        <v>45509</v>
      </c>
      <c r="C1716" s="18">
        <f t="shared" si="26"/>
        <v>8</v>
      </c>
      <c r="D1716" t="s">
        <v>116</v>
      </c>
      <c r="E1716">
        <v>4878474</v>
      </c>
      <c r="F1716" t="s">
        <v>8</v>
      </c>
      <c r="G1716" t="s">
        <v>203</v>
      </c>
      <c r="H1716" t="s">
        <v>233</v>
      </c>
      <c r="I1716" s="4">
        <v>120735.78316800001</v>
      </c>
      <c r="J1716" s="4">
        <v>120735.78316800001</v>
      </c>
      <c r="L1716" s="4">
        <v>1</v>
      </c>
    </row>
    <row r="1717" spans="1:12">
      <c r="A1717" t="s">
        <v>105</v>
      </c>
      <c r="B1717" s="10">
        <v>45510</v>
      </c>
      <c r="C1717" s="18">
        <f t="shared" si="26"/>
        <v>8</v>
      </c>
      <c r="D1717" t="s">
        <v>116</v>
      </c>
      <c r="E1717">
        <v>4878432</v>
      </c>
      <c r="F1717" t="s">
        <v>8</v>
      </c>
      <c r="G1717" t="s">
        <v>203</v>
      </c>
      <c r="H1717" t="s">
        <v>235</v>
      </c>
      <c r="I1717" s="4">
        <v>125766.4408</v>
      </c>
      <c r="J1717" s="4">
        <v>628832.20400000003</v>
      </c>
      <c r="L1717" s="4">
        <v>5</v>
      </c>
    </row>
    <row r="1718" spans="1:12">
      <c r="A1718" t="s">
        <v>105</v>
      </c>
      <c r="B1718" s="10">
        <v>45511</v>
      </c>
      <c r="C1718" s="18">
        <f t="shared" si="26"/>
        <v>8</v>
      </c>
      <c r="D1718" t="s">
        <v>116</v>
      </c>
      <c r="E1718">
        <v>4878420</v>
      </c>
      <c r="F1718" t="s">
        <v>8</v>
      </c>
      <c r="G1718" t="s">
        <v>203</v>
      </c>
      <c r="H1718" t="s">
        <v>243</v>
      </c>
      <c r="I1718" s="4">
        <v>100638.28079999999</v>
      </c>
      <c r="J1718" s="4">
        <v>0</v>
      </c>
    </row>
    <row r="1719" spans="1:12">
      <c r="A1719" t="s">
        <v>105</v>
      </c>
      <c r="B1719" s="10">
        <v>45511</v>
      </c>
      <c r="C1719" s="18">
        <f t="shared" si="26"/>
        <v>8</v>
      </c>
      <c r="D1719" t="s">
        <v>116</v>
      </c>
      <c r="E1719">
        <v>4878420</v>
      </c>
      <c r="F1719" t="s">
        <v>8</v>
      </c>
      <c r="G1719" t="s">
        <v>203</v>
      </c>
      <c r="H1719" t="s">
        <v>232</v>
      </c>
      <c r="I1719" s="4">
        <v>100638.28079999999</v>
      </c>
      <c r="J1719" s="4">
        <v>201276.56159999999</v>
      </c>
      <c r="L1719" s="4">
        <v>2</v>
      </c>
    </row>
    <row r="1720" spans="1:12">
      <c r="A1720" t="s">
        <v>105</v>
      </c>
      <c r="B1720" s="10">
        <v>45514</v>
      </c>
      <c r="C1720" s="18">
        <f t="shared" si="26"/>
        <v>8</v>
      </c>
      <c r="D1720" t="s">
        <v>109</v>
      </c>
      <c r="E1720">
        <v>4878250</v>
      </c>
      <c r="F1720" t="s">
        <v>8</v>
      </c>
      <c r="G1720" t="s">
        <v>203</v>
      </c>
      <c r="H1720" t="s">
        <v>243</v>
      </c>
      <c r="I1720" s="4">
        <v>100638.28079999999</v>
      </c>
      <c r="J1720" s="4">
        <v>201276.56159999999</v>
      </c>
      <c r="L1720" s="4">
        <v>2</v>
      </c>
    </row>
    <row r="1721" spans="1:12">
      <c r="A1721" t="s">
        <v>105</v>
      </c>
      <c r="B1721" s="10">
        <v>45514</v>
      </c>
      <c r="C1721" s="18">
        <f t="shared" si="26"/>
        <v>8</v>
      </c>
      <c r="D1721" t="s">
        <v>109</v>
      </c>
      <c r="E1721">
        <v>4878250</v>
      </c>
      <c r="F1721" t="s">
        <v>8</v>
      </c>
      <c r="G1721" t="s">
        <v>203</v>
      </c>
      <c r="H1721" t="s">
        <v>230</v>
      </c>
      <c r="I1721" s="4">
        <v>100638.28079999999</v>
      </c>
      <c r="J1721" s="4">
        <v>201276.56159999999</v>
      </c>
      <c r="L1721" s="4">
        <v>2</v>
      </c>
    </row>
    <row r="1722" spans="1:12">
      <c r="A1722" t="s">
        <v>105</v>
      </c>
      <c r="B1722" s="10">
        <v>45514</v>
      </c>
      <c r="C1722" s="18">
        <f t="shared" si="26"/>
        <v>8</v>
      </c>
      <c r="D1722" t="s">
        <v>109</v>
      </c>
      <c r="E1722">
        <v>4878250</v>
      </c>
      <c r="F1722" t="s">
        <v>8</v>
      </c>
      <c r="G1722" t="s">
        <v>203</v>
      </c>
      <c r="H1722" t="s">
        <v>228</v>
      </c>
      <c r="I1722" s="4">
        <v>100638.28079999999</v>
      </c>
      <c r="J1722" s="4">
        <v>201276.56159999999</v>
      </c>
      <c r="L1722" s="4">
        <v>2</v>
      </c>
    </row>
    <row r="1723" spans="1:12">
      <c r="A1723" t="s">
        <v>105</v>
      </c>
      <c r="B1723" s="10">
        <v>45516</v>
      </c>
      <c r="C1723" s="18">
        <f t="shared" si="26"/>
        <v>8</v>
      </c>
      <c r="D1723" t="s">
        <v>114</v>
      </c>
      <c r="E1723">
        <v>4878077</v>
      </c>
      <c r="F1723" t="s">
        <v>8</v>
      </c>
      <c r="G1723" t="s">
        <v>203</v>
      </c>
      <c r="H1723" t="s">
        <v>230</v>
      </c>
      <c r="I1723" s="4">
        <v>100638.28079999999</v>
      </c>
      <c r="J1723" s="4">
        <v>201276.56159999999</v>
      </c>
      <c r="L1723" s="4">
        <v>2</v>
      </c>
    </row>
    <row r="1724" spans="1:12">
      <c r="A1724" t="s">
        <v>105</v>
      </c>
      <c r="B1724" s="10">
        <v>45519</v>
      </c>
      <c r="C1724" s="18">
        <f t="shared" si="26"/>
        <v>8</v>
      </c>
      <c r="D1724" t="s">
        <v>117</v>
      </c>
      <c r="E1724">
        <v>4879308</v>
      </c>
      <c r="F1724" t="s">
        <v>8</v>
      </c>
      <c r="G1724" t="s">
        <v>203</v>
      </c>
      <c r="H1724" t="s">
        <v>235</v>
      </c>
      <c r="I1724" s="4">
        <v>125766.4408</v>
      </c>
      <c r="J1724" s="4">
        <v>251532.88159999999</v>
      </c>
      <c r="L1724" s="4">
        <v>2</v>
      </c>
    </row>
    <row r="1725" spans="1:12">
      <c r="A1725" t="s">
        <v>105</v>
      </c>
      <c r="B1725" s="10">
        <v>45519</v>
      </c>
      <c r="C1725" s="18">
        <f t="shared" si="26"/>
        <v>8</v>
      </c>
      <c r="D1725" t="s">
        <v>117</v>
      </c>
      <c r="E1725">
        <v>4879308</v>
      </c>
      <c r="F1725" t="s">
        <v>8</v>
      </c>
      <c r="G1725" t="s">
        <v>203</v>
      </c>
      <c r="H1725" t="s">
        <v>229</v>
      </c>
      <c r="I1725" s="4">
        <v>125766.4408</v>
      </c>
      <c r="J1725" s="4">
        <v>251532.88159999999</v>
      </c>
      <c r="L1725" s="4">
        <v>2</v>
      </c>
    </row>
    <row r="1726" spans="1:12">
      <c r="A1726" t="s">
        <v>105</v>
      </c>
      <c r="B1726" s="10">
        <v>45523</v>
      </c>
      <c r="C1726" s="18">
        <f t="shared" si="26"/>
        <v>8</v>
      </c>
      <c r="D1726" t="s">
        <v>111</v>
      </c>
      <c r="E1726">
        <v>4878610</v>
      </c>
      <c r="F1726" t="s">
        <v>8</v>
      </c>
      <c r="G1726" t="s">
        <v>203</v>
      </c>
      <c r="H1726" t="s">
        <v>234</v>
      </c>
      <c r="I1726" s="4">
        <v>100638.28079999999</v>
      </c>
      <c r="J1726" s="4">
        <v>201276.56159999999</v>
      </c>
      <c r="L1726" s="4">
        <v>2</v>
      </c>
    </row>
    <row r="1727" spans="1:12">
      <c r="A1727" t="s">
        <v>105</v>
      </c>
      <c r="B1727" s="10">
        <v>45523</v>
      </c>
      <c r="C1727" s="18">
        <f t="shared" si="26"/>
        <v>8</v>
      </c>
      <c r="D1727" t="s">
        <v>111</v>
      </c>
      <c r="E1727">
        <v>4878610</v>
      </c>
      <c r="F1727" t="s">
        <v>8</v>
      </c>
      <c r="G1727" t="s">
        <v>203</v>
      </c>
      <c r="H1727" t="s">
        <v>228</v>
      </c>
      <c r="I1727" s="4">
        <v>100638.28079999999</v>
      </c>
      <c r="J1727" s="4">
        <v>201276.56159999999</v>
      </c>
      <c r="L1727" s="4">
        <v>2</v>
      </c>
    </row>
    <row r="1728" spans="1:12">
      <c r="A1728" t="s">
        <v>105</v>
      </c>
      <c r="B1728" s="10">
        <v>45523</v>
      </c>
      <c r="C1728" s="18">
        <f t="shared" si="26"/>
        <v>8</v>
      </c>
      <c r="D1728" t="s">
        <v>111</v>
      </c>
      <c r="E1728">
        <v>4878610</v>
      </c>
      <c r="F1728" t="s">
        <v>8</v>
      </c>
      <c r="G1728" t="s">
        <v>203</v>
      </c>
      <c r="H1728" t="s">
        <v>227</v>
      </c>
      <c r="I1728" s="4">
        <v>100638.28079999999</v>
      </c>
      <c r="J1728" s="4">
        <v>201276.56159999999</v>
      </c>
      <c r="L1728" s="4">
        <v>2</v>
      </c>
    </row>
    <row r="1729" spans="1:12">
      <c r="A1729" t="s">
        <v>105</v>
      </c>
      <c r="B1729" s="10">
        <v>45523</v>
      </c>
      <c r="C1729" s="18">
        <f t="shared" si="26"/>
        <v>8</v>
      </c>
      <c r="D1729" t="s">
        <v>116</v>
      </c>
      <c r="E1729">
        <v>4878474</v>
      </c>
      <c r="F1729" t="s">
        <v>8</v>
      </c>
      <c r="G1729" t="s">
        <v>203</v>
      </c>
      <c r="H1729" t="s">
        <v>238</v>
      </c>
      <c r="I1729" s="4">
        <v>95606.36675999999</v>
      </c>
      <c r="J1729" s="4">
        <v>573638.20055999991</v>
      </c>
      <c r="L1729" s="4">
        <v>6</v>
      </c>
    </row>
    <row r="1730" spans="1:12">
      <c r="A1730" t="s">
        <v>105</v>
      </c>
      <c r="B1730" s="10">
        <v>45523</v>
      </c>
      <c r="C1730" s="18">
        <f t="shared" ref="C1730:C1793" si="27">MONTH(B1730)</f>
        <v>8</v>
      </c>
      <c r="D1730" t="s">
        <v>116</v>
      </c>
      <c r="E1730">
        <v>4878474</v>
      </c>
      <c r="F1730" t="s">
        <v>8</v>
      </c>
      <c r="G1730" t="s">
        <v>203</v>
      </c>
      <c r="H1730" t="s">
        <v>234</v>
      </c>
      <c r="I1730" s="4">
        <v>100638.28079999999</v>
      </c>
      <c r="J1730" s="4">
        <v>402553.12319999997</v>
      </c>
      <c r="L1730" s="4">
        <v>4</v>
      </c>
    </row>
    <row r="1731" spans="1:12">
      <c r="A1731" t="s">
        <v>105</v>
      </c>
      <c r="B1731" s="10">
        <v>45523</v>
      </c>
      <c r="C1731" s="18">
        <f t="shared" si="27"/>
        <v>8</v>
      </c>
      <c r="D1731" t="s">
        <v>116</v>
      </c>
      <c r="E1731">
        <v>4878474</v>
      </c>
      <c r="F1731" t="s">
        <v>8</v>
      </c>
      <c r="G1731" t="s">
        <v>203</v>
      </c>
      <c r="H1731" t="s">
        <v>228</v>
      </c>
      <c r="I1731" s="4">
        <v>100638.28079999999</v>
      </c>
      <c r="J1731" s="4">
        <v>402553.12319999997</v>
      </c>
      <c r="L1731" s="4">
        <v>4</v>
      </c>
    </row>
    <row r="1732" spans="1:12">
      <c r="A1732" t="s">
        <v>105</v>
      </c>
      <c r="B1732" s="10">
        <v>45523</v>
      </c>
      <c r="C1732" s="18">
        <f t="shared" si="27"/>
        <v>8</v>
      </c>
      <c r="D1732" t="s">
        <v>116</v>
      </c>
      <c r="E1732">
        <v>4878474</v>
      </c>
      <c r="F1732" t="s">
        <v>8</v>
      </c>
      <c r="G1732" t="s">
        <v>203</v>
      </c>
      <c r="H1732" t="s">
        <v>227</v>
      </c>
      <c r="I1732" s="4">
        <v>100638.28079999999</v>
      </c>
      <c r="J1732" s="4">
        <v>402553.12319999997</v>
      </c>
      <c r="L1732" s="4">
        <v>4</v>
      </c>
    </row>
    <row r="1733" spans="1:12">
      <c r="A1733" t="s">
        <v>105</v>
      </c>
      <c r="B1733" s="10">
        <v>45523</v>
      </c>
      <c r="C1733" s="18">
        <f t="shared" si="27"/>
        <v>8</v>
      </c>
      <c r="D1733" t="s">
        <v>116</v>
      </c>
      <c r="E1733">
        <v>4878474</v>
      </c>
      <c r="F1733" t="s">
        <v>8</v>
      </c>
      <c r="G1733" t="s">
        <v>203</v>
      </c>
      <c r="H1733" t="s">
        <v>241</v>
      </c>
      <c r="I1733" s="4">
        <v>125766.4408</v>
      </c>
      <c r="J1733" s="4">
        <v>628832.20400000003</v>
      </c>
      <c r="L1733" s="4">
        <v>5</v>
      </c>
    </row>
    <row r="1734" spans="1:12">
      <c r="A1734" t="s">
        <v>105</v>
      </c>
      <c r="B1734" s="10">
        <v>45523</v>
      </c>
      <c r="C1734" s="18">
        <f t="shared" si="27"/>
        <v>8</v>
      </c>
      <c r="D1734" t="s">
        <v>116</v>
      </c>
      <c r="E1734">
        <v>4878474</v>
      </c>
      <c r="F1734" t="s">
        <v>8</v>
      </c>
      <c r="G1734" t="s">
        <v>203</v>
      </c>
      <c r="H1734" t="s">
        <v>239</v>
      </c>
      <c r="I1734" s="4">
        <v>125766.4408</v>
      </c>
      <c r="J1734" s="4">
        <v>628832.20400000003</v>
      </c>
      <c r="L1734" s="4">
        <v>5</v>
      </c>
    </row>
    <row r="1735" spans="1:12">
      <c r="A1735" t="s">
        <v>105</v>
      </c>
      <c r="B1735" s="10">
        <v>45523</v>
      </c>
      <c r="C1735" s="18">
        <f t="shared" si="27"/>
        <v>8</v>
      </c>
      <c r="D1735" t="s">
        <v>116</v>
      </c>
      <c r="E1735">
        <v>4878474</v>
      </c>
      <c r="F1735" t="s">
        <v>8</v>
      </c>
      <c r="G1735" t="s">
        <v>203</v>
      </c>
      <c r="H1735" t="s">
        <v>237</v>
      </c>
      <c r="I1735" s="4">
        <v>125766.4408</v>
      </c>
      <c r="J1735" s="4">
        <v>628832.20400000003</v>
      </c>
      <c r="L1735" s="4">
        <v>5</v>
      </c>
    </row>
    <row r="1736" spans="1:12">
      <c r="A1736" t="s">
        <v>105</v>
      </c>
      <c r="B1736" s="10">
        <v>45523</v>
      </c>
      <c r="C1736" s="18">
        <f t="shared" si="27"/>
        <v>8</v>
      </c>
      <c r="D1736" t="s">
        <v>116</v>
      </c>
      <c r="E1736">
        <v>4878474</v>
      </c>
      <c r="F1736" t="s">
        <v>8</v>
      </c>
      <c r="G1736" t="s">
        <v>203</v>
      </c>
      <c r="H1736" t="s">
        <v>235</v>
      </c>
      <c r="I1736" s="4">
        <v>125766.4408</v>
      </c>
      <c r="J1736" s="4">
        <v>628832.20400000003</v>
      </c>
      <c r="L1736" s="4">
        <v>5</v>
      </c>
    </row>
    <row r="1737" spans="1:12">
      <c r="A1737" t="s">
        <v>105</v>
      </c>
      <c r="B1737" s="10">
        <v>45523</v>
      </c>
      <c r="C1737" s="18">
        <f t="shared" si="27"/>
        <v>8</v>
      </c>
      <c r="D1737" t="s">
        <v>116</v>
      </c>
      <c r="E1737">
        <v>4878474</v>
      </c>
      <c r="F1737" t="s">
        <v>8</v>
      </c>
      <c r="G1737" t="s">
        <v>203</v>
      </c>
      <c r="H1737" t="s">
        <v>233</v>
      </c>
      <c r="I1737" s="4">
        <v>120735.78316800001</v>
      </c>
      <c r="J1737" s="4">
        <v>603678.91584000003</v>
      </c>
      <c r="L1737" s="4">
        <v>5</v>
      </c>
    </row>
    <row r="1738" spans="1:12">
      <c r="A1738" t="s">
        <v>105</v>
      </c>
      <c r="B1738" s="10">
        <v>45523</v>
      </c>
      <c r="C1738" s="18">
        <f t="shared" si="27"/>
        <v>8</v>
      </c>
      <c r="D1738" t="s">
        <v>116</v>
      </c>
      <c r="E1738">
        <v>4878474</v>
      </c>
      <c r="F1738" t="s">
        <v>8</v>
      </c>
      <c r="G1738" t="s">
        <v>203</v>
      </c>
      <c r="H1738" t="s">
        <v>231</v>
      </c>
      <c r="I1738" s="4">
        <v>125766.4408</v>
      </c>
      <c r="J1738" s="4">
        <v>628832.20400000003</v>
      </c>
      <c r="L1738" s="4">
        <v>5</v>
      </c>
    </row>
    <row r="1739" spans="1:12">
      <c r="A1739" t="s">
        <v>105</v>
      </c>
      <c r="B1739" s="10">
        <v>45523</v>
      </c>
      <c r="C1739" s="18">
        <f t="shared" si="27"/>
        <v>8</v>
      </c>
      <c r="D1739" t="s">
        <v>116</v>
      </c>
      <c r="E1739">
        <v>4878474</v>
      </c>
      <c r="F1739" t="s">
        <v>8</v>
      </c>
      <c r="G1739" t="s">
        <v>203</v>
      </c>
      <c r="H1739" t="s">
        <v>229</v>
      </c>
      <c r="I1739" s="4">
        <v>125766.4408</v>
      </c>
      <c r="J1739" s="4">
        <v>628832.20400000003</v>
      </c>
      <c r="L1739" s="4">
        <v>5</v>
      </c>
    </row>
    <row r="1740" spans="1:12">
      <c r="A1740" t="s">
        <v>105</v>
      </c>
      <c r="B1740" s="10">
        <v>45526</v>
      </c>
      <c r="C1740" s="18">
        <f t="shared" si="27"/>
        <v>8</v>
      </c>
      <c r="D1740" t="s">
        <v>110</v>
      </c>
      <c r="E1740">
        <v>4878163</v>
      </c>
      <c r="F1740" t="s">
        <v>8</v>
      </c>
      <c r="G1740" t="s">
        <v>203</v>
      </c>
      <c r="H1740" t="s">
        <v>236</v>
      </c>
      <c r="I1740" s="4">
        <v>100638.28079999999</v>
      </c>
      <c r="J1740" s="4">
        <v>1006382.808</v>
      </c>
      <c r="L1740" s="4">
        <v>10</v>
      </c>
    </row>
    <row r="1741" spans="1:12">
      <c r="A1741" t="s">
        <v>105</v>
      </c>
      <c r="B1741" s="10">
        <v>45526</v>
      </c>
      <c r="C1741" s="18">
        <f t="shared" si="27"/>
        <v>8</v>
      </c>
      <c r="D1741" t="s">
        <v>110</v>
      </c>
      <c r="E1741">
        <v>4878163</v>
      </c>
      <c r="F1741" t="s">
        <v>8</v>
      </c>
      <c r="G1741" t="s">
        <v>203</v>
      </c>
      <c r="H1741" t="s">
        <v>232</v>
      </c>
      <c r="I1741" s="4">
        <v>100638.28079999999</v>
      </c>
      <c r="J1741" s="4">
        <v>1006382.808</v>
      </c>
      <c r="L1741" s="4">
        <v>10</v>
      </c>
    </row>
    <row r="1742" spans="1:12">
      <c r="A1742" t="s">
        <v>105</v>
      </c>
      <c r="B1742" s="10">
        <v>45527</v>
      </c>
      <c r="C1742" s="18">
        <f t="shared" si="27"/>
        <v>8</v>
      </c>
      <c r="D1742" t="s">
        <v>116</v>
      </c>
      <c r="E1742">
        <v>4878477</v>
      </c>
      <c r="F1742" t="s">
        <v>8</v>
      </c>
      <c r="G1742" t="s">
        <v>203</v>
      </c>
      <c r="H1742" t="s">
        <v>242</v>
      </c>
      <c r="I1742" s="4">
        <v>100638.28079999999</v>
      </c>
      <c r="J1742" s="4">
        <v>201276.56159999999</v>
      </c>
      <c r="L1742" s="4">
        <v>2</v>
      </c>
    </row>
    <row r="1743" spans="1:12">
      <c r="A1743" t="s">
        <v>105</v>
      </c>
      <c r="B1743" s="10">
        <v>45527</v>
      </c>
      <c r="C1743" s="18">
        <f t="shared" si="27"/>
        <v>8</v>
      </c>
      <c r="D1743" t="s">
        <v>116</v>
      </c>
      <c r="E1743">
        <v>4878477</v>
      </c>
      <c r="F1743" t="s">
        <v>8</v>
      </c>
      <c r="G1743" t="s">
        <v>203</v>
      </c>
      <c r="H1743" t="s">
        <v>234</v>
      </c>
      <c r="I1743" s="4">
        <v>100638.28079999999</v>
      </c>
      <c r="J1743" s="4">
        <v>201276.56159999999</v>
      </c>
      <c r="L1743" s="4">
        <v>2</v>
      </c>
    </row>
    <row r="1744" spans="1:12">
      <c r="A1744" t="s">
        <v>105</v>
      </c>
      <c r="B1744" s="10">
        <v>45527</v>
      </c>
      <c r="C1744" s="18">
        <f t="shared" si="27"/>
        <v>8</v>
      </c>
      <c r="D1744" t="s">
        <v>116</v>
      </c>
      <c r="E1744">
        <v>4878477</v>
      </c>
      <c r="F1744" t="s">
        <v>8</v>
      </c>
      <c r="G1744" t="s">
        <v>203</v>
      </c>
      <c r="H1744" t="s">
        <v>235</v>
      </c>
      <c r="I1744" s="4">
        <v>125766.4408</v>
      </c>
      <c r="J1744" s="4">
        <v>251532.88159999999</v>
      </c>
      <c r="L1744" s="4">
        <v>2</v>
      </c>
    </row>
    <row r="1745" spans="1:12">
      <c r="A1745" t="s">
        <v>105</v>
      </c>
      <c r="B1745" s="10">
        <v>45529</v>
      </c>
      <c r="C1745" s="18">
        <f t="shared" si="27"/>
        <v>8</v>
      </c>
      <c r="D1745" t="s">
        <v>113</v>
      </c>
      <c r="E1745">
        <v>4878755</v>
      </c>
      <c r="F1745" t="s">
        <v>8</v>
      </c>
      <c r="G1745" t="s">
        <v>206</v>
      </c>
      <c r="H1745" t="s">
        <v>251</v>
      </c>
      <c r="I1745" s="4">
        <v>19223.042399999998</v>
      </c>
      <c r="J1745" s="4">
        <v>-19223.042399999998</v>
      </c>
      <c r="L1745" s="4">
        <v>-1</v>
      </c>
    </row>
    <row r="1746" spans="1:12">
      <c r="A1746" t="s">
        <v>105</v>
      </c>
      <c r="B1746" s="10">
        <v>45532</v>
      </c>
      <c r="C1746" s="18">
        <f t="shared" si="27"/>
        <v>8</v>
      </c>
      <c r="D1746" t="s">
        <v>112</v>
      </c>
      <c r="E1746">
        <v>4877565</v>
      </c>
      <c r="F1746" t="s">
        <v>8</v>
      </c>
      <c r="G1746" t="s">
        <v>203</v>
      </c>
      <c r="H1746" t="s">
        <v>230</v>
      </c>
      <c r="I1746" s="4">
        <v>100638.28079999999</v>
      </c>
      <c r="J1746" s="4">
        <v>201276.56159999999</v>
      </c>
      <c r="L1746" s="4">
        <v>2</v>
      </c>
    </row>
    <row r="1747" spans="1:12">
      <c r="A1747" t="s">
        <v>105</v>
      </c>
      <c r="B1747" s="10">
        <v>45533</v>
      </c>
      <c r="C1747" s="18">
        <f t="shared" si="27"/>
        <v>8</v>
      </c>
      <c r="D1747" t="s">
        <v>113</v>
      </c>
      <c r="E1747">
        <v>4878530</v>
      </c>
      <c r="F1747" t="s">
        <v>8</v>
      </c>
      <c r="G1747" t="s">
        <v>203</v>
      </c>
      <c r="H1747" t="s">
        <v>229</v>
      </c>
      <c r="I1747" s="4">
        <v>125766.4408</v>
      </c>
      <c r="J1747" s="4">
        <v>125766.4408</v>
      </c>
      <c r="L1747" s="4">
        <v>1</v>
      </c>
    </row>
    <row r="1748" spans="1:12">
      <c r="A1748" t="s">
        <v>105</v>
      </c>
      <c r="B1748" s="10">
        <v>45533</v>
      </c>
      <c r="C1748" s="18">
        <f t="shared" si="27"/>
        <v>8</v>
      </c>
      <c r="D1748" t="s">
        <v>110</v>
      </c>
      <c r="E1748">
        <v>4878158</v>
      </c>
      <c r="F1748" t="s">
        <v>8</v>
      </c>
      <c r="G1748" t="s">
        <v>203</v>
      </c>
      <c r="H1748" t="s">
        <v>231</v>
      </c>
      <c r="I1748" s="4">
        <v>125766.4408</v>
      </c>
      <c r="J1748" s="4">
        <v>125766.4408</v>
      </c>
      <c r="L1748" s="4">
        <v>1</v>
      </c>
    </row>
    <row r="1749" spans="1:12">
      <c r="A1749" t="s">
        <v>105</v>
      </c>
      <c r="B1749" s="10">
        <v>45534</v>
      </c>
      <c r="C1749" s="18">
        <f t="shared" si="27"/>
        <v>8</v>
      </c>
      <c r="D1749" t="s">
        <v>186</v>
      </c>
      <c r="E1749">
        <v>4877644</v>
      </c>
      <c r="F1749" t="s">
        <v>8</v>
      </c>
      <c r="G1749" t="s">
        <v>206</v>
      </c>
      <c r="H1749" t="s">
        <v>248</v>
      </c>
      <c r="I1749" s="4">
        <v>16207.663200000001</v>
      </c>
      <c r="J1749" s="4">
        <v>324153.26400000002</v>
      </c>
      <c r="L1749" s="4">
        <v>20</v>
      </c>
    </row>
    <row r="1750" spans="1:12">
      <c r="A1750" t="s">
        <v>105</v>
      </c>
      <c r="B1750" s="10">
        <v>45534</v>
      </c>
      <c r="C1750" s="18">
        <f t="shared" si="27"/>
        <v>8</v>
      </c>
      <c r="D1750" t="s">
        <v>186</v>
      </c>
      <c r="E1750">
        <v>4877644</v>
      </c>
      <c r="F1750" t="s">
        <v>8</v>
      </c>
      <c r="G1750" t="s">
        <v>206</v>
      </c>
      <c r="H1750" t="s">
        <v>209</v>
      </c>
      <c r="I1750" s="4">
        <v>17715.352800000001</v>
      </c>
      <c r="J1750" s="4">
        <v>265730.29200000002</v>
      </c>
      <c r="L1750" s="4">
        <v>15</v>
      </c>
    </row>
    <row r="1751" spans="1:12">
      <c r="A1751" t="s">
        <v>107</v>
      </c>
      <c r="B1751" s="10">
        <v>45507</v>
      </c>
      <c r="C1751" s="18">
        <f t="shared" si="27"/>
        <v>8</v>
      </c>
      <c r="D1751" t="s">
        <v>162</v>
      </c>
      <c r="E1751">
        <v>4878188</v>
      </c>
      <c r="F1751" t="s">
        <v>8</v>
      </c>
      <c r="G1751" t="s">
        <v>203</v>
      </c>
      <c r="H1751" t="s">
        <v>244</v>
      </c>
      <c r="I1751" s="4">
        <v>125766.4408</v>
      </c>
      <c r="J1751" s="4">
        <v>251532.88159999999</v>
      </c>
      <c r="K1751" s="4">
        <v>-11307.672</v>
      </c>
      <c r="L1751" s="4">
        <v>2</v>
      </c>
    </row>
    <row r="1752" spans="1:12">
      <c r="A1752" t="s">
        <v>107</v>
      </c>
      <c r="B1752" s="10">
        <v>45507</v>
      </c>
      <c r="C1752" s="18">
        <f t="shared" si="27"/>
        <v>8</v>
      </c>
      <c r="D1752" t="s">
        <v>162</v>
      </c>
      <c r="E1752">
        <v>4878188</v>
      </c>
      <c r="F1752" t="s">
        <v>8</v>
      </c>
      <c r="G1752" t="s">
        <v>203</v>
      </c>
      <c r="H1752" t="s">
        <v>237</v>
      </c>
      <c r="I1752" s="4">
        <v>125766.4408</v>
      </c>
      <c r="J1752" s="4">
        <v>251532.88159999999</v>
      </c>
      <c r="K1752" s="4">
        <v>-11307.672</v>
      </c>
      <c r="L1752" s="4">
        <v>2</v>
      </c>
    </row>
    <row r="1753" spans="1:12">
      <c r="A1753" t="s">
        <v>107</v>
      </c>
      <c r="B1753" s="10">
        <v>45507</v>
      </c>
      <c r="C1753" s="18">
        <f t="shared" si="27"/>
        <v>8</v>
      </c>
      <c r="D1753" t="s">
        <v>162</v>
      </c>
      <c r="E1753">
        <v>4874459</v>
      </c>
      <c r="F1753" t="s">
        <v>8</v>
      </c>
      <c r="G1753" t="s">
        <v>203</v>
      </c>
      <c r="H1753" t="s">
        <v>244</v>
      </c>
      <c r="I1753" s="4">
        <v>125766.4408</v>
      </c>
      <c r="J1753" s="4">
        <v>251532.88159999999</v>
      </c>
      <c r="L1753" s="4">
        <v>2</v>
      </c>
    </row>
    <row r="1754" spans="1:12">
      <c r="A1754" t="s">
        <v>107</v>
      </c>
      <c r="B1754" s="10">
        <v>45507</v>
      </c>
      <c r="C1754" s="18">
        <f t="shared" si="27"/>
        <v>8</v>
      </c>
      <c r="D1754" t="s">
        <v>162</v>
      </c>
      <c r="E1754">
        <v>4874459</v>
      </c>
      <c r="F1754" t="s">
        <v>8</v>
      </c>
      <c r="G1754" t="s">
        <v>203</v>
      </c>
      <c r="H1754" t="s">
        <v>237</v>
      </c>
      <c r="I1754" s="4">
        <v>125766.4408</v>
      </c>
      <c r="J1754" s="4">
        <v>125766.4408</v>
      </c>
      <c r="L1754" s="4">
        <v>1</v>
      </c>
    </row>
    <row r="1755" spans="1:12">
      <c r="A1755" t="s">
        <v>107</v>
      </c>
      <c r="B1755" s="10">
        <v>45511</v>
      </c>
      <c r="C1755" s="18">
        <f t="shared" si="27"/>
        <v>8</v>
      </c>
      <c r="D1755" t="s">
        <v>151</v>
      </c>
      <c r="E1755">
        <v>4876098</v>
      </c>
      <c r="F1755" t="s">
        <v>8</v>
      </c>
      <c r="G1755" t="s">
        <v>202</v>
      </c>
      <c r="H1755" t="s">
        <v>260</v>
      </c>
      <c r="I1755" s="4">
        <v>41587.104800000001</v>
      </c>
      <c r="J1755" s="4">
        <v>4158710.48</v>
      </c>
      <c r="L1755" s="4">
        <v>100</v>
      </c>
    </row>
    <row r="1756" spans="1:12">
      <c r="A1756" t="s">
        <v>107</v>
      </c>
      <c r="B1756" s="10">
        <v>45513</v>
      </c>
      <c r="C1756" s="18">
        <f t="shared" si="27"/>
        <v>8</v>
      </c>
      <c r="D1756" t="s">
        <v>162</v>
      </c>
      <c r="E1756">
        <v>4874459</v>
      </c>
      <c r="F1756" t="s">
        <v>8</v>
      </c>
      <c r="G1756" t="s">
        <v>203</v>
      </c>
      <c r="H1756" t="s">
        <v>244</v>
      </c>
      <c r="I1756" s="4">
        <v>125766.4408</v>
      </c>
      <c r="J1756" s="4">
        <v>125766.4408</v>
      </c>
      <c r="L1756" s="4">
        <v>1</v>
      </c>
    </row>
    <row r="1757" spans="1:12">
      <c r="A1757" t="s">
        <v>107</v>
      </c>
      <c r="B1757" s="10">
        <v>45514</v>
      </c>
      <c r="C1757" s="18">
        <f t="shared" si="27"/>
        <v>8</v>
      </c>
      <c r="D1757" t="s">
        <v>162</v>
      </c>
      <c r="E1757">
        <v>4878665</v>
      </c>
      <c r="F1757" t="s">
        <v>8</v>
      </c>
      <c r="G1757" t="s">
        <v>203</v>
      </c>
      <c r="H1757" t="s">
        <v>240</v>
      </c>
      <c r="I1757" s="4">
        <v>100638.28079999999</v>
      </c>
      <c r="J1757" s="4">
        <v>201276.56159999999</v>
      </c>
      <c r="L1757" s="4">
        <v>2</v>
      </c>
    </row>
    <row r="1758" spans="1:12">
      <c r="A1758" t="s">
        <v>107</v>
      </c>
      <c r="B1758" s="10">
        <v>45514</v>
      </c>
      <c r="C1758" s="18">
        <f t="shared" si="27"/>
        <v>8</v>
      </c>
      <c r="D1758" t="s">
        <v>162</v>
      </c>
      <c r="E1758">
        <v>4878665</v>
      </c>
      <c r="F1758" t="s">
        <v>8</v>
      </c>
      <c r="G1758" t="s">
        <v>203</v>
      </c>
      <c r="H1758" t="s">
        <v>236</v>
      </c>
      <c r="I1758" s="4">
        <v>100638.28079999999</v>
      </c>
      <c r="J1758" s="4">
        <v>201276.56159999999</v>
      </c>
      <c r="L1758" s="4">
        <v>2</v>
      </c>
    </row>
    <row r="1759" spans="1:12">
      <c r="A1759" t="s">
        <v>107</v>
      </c>
      <c r="B1759" s="10">
        <v>45514</v>
      </c>
      <c r="C1759" s="18">
        <f t="shared" si="27"/>
        <v>8</v>
      </c>
      <c r="D1759" t="s">
        <v>162</v>
      </c>
      <c r="E1759">
        <v>4878665</v>
      </c>
      <c r="F1759" t="s">
        <v>8</v>
      </c>
      <c r="G1759" t="s">
        <v>203</v>
      </c>
      <c r="H1759" t="s">
        <v>226</v>
      </c>
      <c r="I1759" s="4">
        <v>100638.28079999999</v>
      </c>
      <c r="J1759" s="4">
        <v>201276.56159999999</v>
      </c>
      <c r="L1759" s="4">
        <v>2</v>
      </c>
    </row>
    <row r="1760" spans="1:12">
      <c r="A1760" t="s">
        <v>107</v>
      </c>
      <c r="B1760" s="10">
        <v>45514</v>
      </c>
      <c r="C1760" s="18">
        <f t="shared" si="27"/>
        <v>8</v>
      </c>
      <c r="D1760" t="s">
        <v>162</v>
      </c>
      <c r="E1760">
        <v>4878665</v>
      </c>
      <c r="F1760" t="s">
        <v>8</v>
      </c>
      <c r="G1760" t="s">
        <v>203</v>
      </c>
      <c r="H1760" t="s">
        <v>231</v>
      </c>
      <c r="I1760" s="4">
        <v>125766.4408</v>
      </c>
      <c r="J1760" s="4">
        <v>125766.4408</v>
      </c>
      <c r="L1760" s="4">
        <v>1</v>
      </c>
    </row>
    <row r="1761" spans="1:12">
      <c r="A1761" t="s">
        <v>107</v>
      </c>
      <c r="B1761" s="10">
        <v>45514</v>
      </c>
      <c r="C1761" s="18">
        <f t="shared" si="27"/>
        <v>8</v>
      </c>
      <c r="D1761" t="s">
        <v>162</v>
      </c>
      <c r="E1761">
        <v>4874459</v>
      </c>
      <c r="F1761" t="s">
        <v>8</v>
      </c>
      <c r="G1761" t="s">
        <v>203</v>
      </c>
      <c r="H1761" t="s">
        <v>240</v>
      </c>
      <c r="I1761" s="4">
        <v>100638.28079999999</v>
      </c>
      <c r="J1761" s="4">
        <v>201276.56159999999</v>
      </c>
      <c r="L1761" s="4">
        <v>2</v>
      </c>
    </row>
    <row r="1762" spans="1:12">
      <c r="A1762" t="s">
        <v>107</v>
      </c>
      <c r="B1762" s="10">
        <v>45514</v>
      </c>
      <c r="C1762" s="18">
        <f t="shared" si="27"/>
        <v>8</v>
      </c>
      <c r="D1762" t="s">
        <v>162</v>
      </c>
      <c r="E1762">
        <v>4874459</v>
      </c>
      <c r="F1762" t="s">
        <v>8</v>
      </c>
      <c r="G1762" t="s">
        <v>203</v>
      </c>
      <c r="H1762" t="s">
        <v>236</v>
      </c>
      <c r="I1762" s="4">
        <v>100638.28079999999</v>
      </c>
      <c r="J1762" s="4">
        <v>201276.56159999999</v>
      </c>
      <c r="L1762" s="4">
        <v>2</v>
      </c>
    </row>
    <row r="1763" spans="1:12">
      <c r="A1763" t="s">
        <v>107</v>
      </c>
      <c r="B1763" s="10">
        <v>45514</v>
      </c>
      <c r="C1763" s="18">
        <f t="shared" si="27"/>
        <v>8</v>
      </c>
      <c r="D1763" t="s">
        <v>162</v>
      </c>
      <c r="E1763">
        <v>4874459</v>
      </c>
      <c r="F1763" t="s">
        <v>8</v>
      </c>
      <c r="G1763" t="s">
        <v>203</v>
      </c>
      <c r="H1763" t="s">
        <v>226</v>
      </c>
      <c r="I1763" s="4">
        <v>100638.28079999999</v>
      </c>
      <c r="J1763" s="4">
        <v>201276.56159999999</v>
      </c>
      <c r="L1763" s="4">
        <v>2</v>
      </c>
    </row>
    <row r="1764" spans="1:12">
      <c r="A1764" t="s">
        <v>107</v>
      </c>
      <c r="B1764" s="10">
        <v>45514</v>
      </c>
      <c r="C1764" s="18">
        <f t="shared" si="27"/>
        <v>8</v>
      </c>
      <c r="D1764" t="s">
        <v>162</v>
      </c>
      <c r="E1764">
        <v>4874459</v>
      </c>
      <c r="F1764" t="s">
        <v>8</v>
      </c>
      <c r="G1764" t="s">
        <v>203</v>
      </c>
      <c r="H1764" t="s">
        <v>244</v>
      </c>
      <c r="I1764" s="4">
        <v>125766.4408</v>
      </c>
      <c r="J1764" s="4">
        <v>251532.88159999999</v>
      </c>
      <c r="L1764" s="4">
        <v>2</v>
      </c>
    </row>
    <row r="1765" spans="1:12">
      <c r="A1765" t="s">
        <v>107</v>
      </c>
      <c r="B1765" s="10">
        <v>45514</v>
      </c>
      <c r="C1765" s="18">
        <f t="shared" si="27"/>
        <v>8</v>
      </c>
      <c r="D1765" t="s">
        <v>162</v>
      </c>
      <c r="E1765">
        <v>4874459</v>
      </c>
      <c r="F1765" t="s">
        <v>8</v>
      </c>
      <c r="G1765" t="s">
        <v>203</v>
      </c>
      <c r="H1765" t="s">
        <v>231</v>
      </c>
      <c r="I1765" s="4">
        <v>125766.4408</v>
      </c>
      <c r="J1765" s="4">
        <v>251532.88159999999</v>
      </c>
      <c r="L1765" s="4">
        <v>2</v>
      </c>
    </row>
    <row r="1766" spans="1:12">
      <c r="A1766" t="s">
        <v>107</v>
      </c>
      <c r="B1766" s="10">
        <v>45514</v>
      </c>
      <c r="C1766" s="18">
        <f t="shared" si="27"/>
        <v>8</v>
      </c>
      <c r="D1766" t="s">
        <v>167</v>
      </c>
      <c r="E1766">
        <v>4875363</v>
      </c>
      <c r="F1766" t="s">
        <v>8</v>
      </c>
      <c r="G1766" t="s">
        <v>203</v>
      </c>
      <c r="H1766" t="s">
        <v>231</v>
      </c>
      <c r="I1766" s="4">
        <v>125766.4408</v>
      </c>
      <c r="J1766" s="4">
        <v>754598.64480000001</v>
      </c>
      <c r="L1766" s="4">
        <v>6</v>
      </c>
    </row>
    <row r="1767" spans="1:12">
      <c r="A1767" t="s">
        <v>107</v>
      </c>
      <c r="B1767" s="10">
        <v>45514</v>
      </c>
      <c r="C1767" s="18">
        <f t="shared" si="27"/>
        <v>8</v>
      </c>
      <c r="D1767" t="s">
        <v>167</v>
      </c>
      <c r="E1767">
        <v>6080081</v>
      </c>
      <c r="F1767" t="s">
        <v>8</v>
      </c>
      <c r="G1767" t="s">
        <v>203</v>
      </c>
      <c r="H1767" t="s">
        <v>240</v>
      </c>
      <c r="I1767" s="4">
        <v>100638.28079999999</v>
      </c>
      <c r="J1767" s="4">
        <v>402553.12319999997</v>
      </c>
      <c r="L1767" s="4">
        <v>4</v>
      </c>
    </row>
    <row r="1768" spans="1:12">
      <c r="A1768" t="s">
        <v>107</v>
      </c>
      <c r="B1768" s="10">
        <v>45514</v>
      </c>
      <c r="C1768" s="18">
        <f t="shared" si="27"/>
        <v>8</v>
      </c>
      <c r="D1768" t="s">
        <v>167</v>
      </c>
      <c r="E1768">
        <v>6080081</v>
      </c>
      <c r="F1768" t="s">
        <v>8</v>
      </c>
      <c r="G1768" t="s">
        <v>203</v>
      </c>
      <c r="H1768" t="s">
        <v>226</v>
      </c>
      <c r="I1768" s="4">
        <v>100638.28079999999</v>
      </c>
      <c r="J1768" s="4">
        <v>402553.12319999997</v>
      </c>
      <c r="L1768" s="4">
        <v>4</v>
      </c>
    </row>
    <row r="1769" spans="1:12">
      <c r="A1769" t="s">
        <v>107</v>
      </c>
      <c r="B1769" s="10">
        <v>45514</v>
      </c>
      <c r="C1769" s="18">
        <f t="shared" si="27"/>
        <v>8</v>
      </c>
      <c r="D1769" t="s">
        <v>167</v>
      </c>
      <c r="E1769">
        <v>4876043</v>
      </c>
      <c r="F1769" t="s">
        <v>8</v>
      </c>
      <c r="G1769" t="s">
        <v>203</v>
      </c>
      <c r="H1769" t="s">
        <v>240</v>
      </c>
      <c r="I1769" s="4">
        <v>100638.28079999999</v>
      </c>
      <c r="J1769" s="4">
        <v>402553.12319999997</v>
      </c>
      <c r="L1769" s="4">
        <v>4</v>
      </c>
    </row>
    <row r="1770" spans="1:12">
      <c r="A1770" t="s">
        <v>107</v>
      </c>
      <c r="B1770" s="10">
        <v>45514</v>
      </c>
      <c r="C1770" s="18">
        <f t="shared" si="27"/>
        <v>8</v>
      </c>
      <c r="D1770" t="s">
        <v>167</v>
      </c>
      <c r="E1770">
        <v>4876043</v>
      </c>
      <c r="F1770" t="s">
        <v>8</v>
      </c>
      <c r="G1770" t="s">
        <v>203</v>
      </c>
      <c r="H1770" t="s">
        <v>236</v>
      </c>
      <c r="I1770" s="4">
        <v>100638.28079999999</v>
      </c>
      <c r="J1770" s="4">
        <v>402553.12319999997</v>
      </c>
      <c r="L1770" s="4">
        <v>4</v>
      </c>
    </row>
    <row r="1771" spans="1:12">
      <c r="A1771" t="s">
        <v>107</v>
      </c>
      <c r="B1771" s="10">
        <v>45514</v>
      </c>
      <c r="C1771" s="18">
        <f t="shared" si="27"/>
        <v>8</v>
      </c>
      <c r="D1771" t="s">
        <v>167</v>
      </c>
      <c r="E1771">
        <v>4876043</v>
      </c>
      <c r="F1771" t="s">
        <v>8</v>
      </c>
      <c r="G1771" t="s">
        <v>203</v>
      </c>
      <c r="H1771" t="s">
        <v>226</v>
      </c>
      <c r="I1771" s="4">
        <v>100638.28079999999</v>
      </c>
      <c r="J1771" s="4">
        <v>402553.12319999997</v>
      </c>
      <c r="L1771" s="4">
        <v>4</v>
      </c>
    </row>
    <row r="1772" spans="1:12">
      <c r="A1772" t="s">
        <v>107</v>
      </c>
      <c r="B1772" s="10">
        <v>45514</v>
      </c>
      <c r="C1772" s="18">
        <f t="shared" si="27"/>
        <v>8</v>
      </c>
      <c r="D1772" t="s">
        <v>171</v>
      </c>
      <c r="E1772">
        <v>6079961</v>
      </c>
      <c r="F1772" t="s">
        <v>8</v>
      </c>
      <c r="G1772" t="s">
        <v>203</v>
      </c>
      <c r="H1772" t="s">
        <v>240</v>
      </c>
      <c r="I1772" s="4">
        <v>100638.28079999999</v>
      </c>
      <c r="J1772" s="4">
        <v>402553.12319999997</v>
      </c>
      <c r="L1772" s="4">
        <v>4</v>
      </c>
    </row>
    <row r="1773" spans="1:12">
      <c r="A1773" t="s">
        <v>107</v>
      </c>
      <c r="B1773" s="10">
        <v>45514</v>
      </c>
      <c r="C1773" s="18">
        <f t="shared" si="27"/>
        <v>8</v>
      </c>
      <c r="D1773" t="s">
        <v>171</v>
      </c>
      <c r="E1773">
        <v>6079961</v>
      </c>
      <c r="F1773" t="s">
        <v>8</v>
      </c>
      <c r="G1773" t="s">
        <v>203</v>
      </c>
      <c r="H1773" t="s">
        <v>236</v>
      </c>
      <c r="I1773" s="4">
        <v>100638.28079999999</v>
      </c>
      <c r="J1773" s="4">
        <v>805106.24639999995</v>
      </c>
      <c r="L1773" s="4">
        <v>8</v>
      </c>
    </row>
    <row r="1774" spans="1:12">
      <c r="A1774" t="s">
        <v>107</v>
      </c>
      <c r="B1774" s="10">
        <v>45514</v>
      </c>
      <c r="C1774" s="18">
        <f t="shared" si="27"/>
        <v>8</v>
      </c>
      <c r="D1774" t="s">
        <v>171</v>
      </c>
      <c r="E1774">
        <v>6079961</v>
      </c>
      <c r="F1774" t="s">
        <v>8</v>
      </c>
      <c r="G1774" t="s">
        <v>203</v>
      </c>
      <c r="H1774" t="s">
        <v>226</v>
      </c>
      <c r="I1774" s="4">
        <v>100638.28079999999</v>
      </c>
      <c r="J1774" s="4">
        <v>201276.56159999999</v>
      </c>
      <c r="L1774" s="4">
        <v>2</v>
      </c>
    </row>
    <row r="1775" spans="1:12">
      <c r="A1775" t="s">
        <v>107</v>
      </c>
      <c r="B1775" s="10">
        <v>45514</v>
      </c>
      <c r="C1775" s="18">
        <f t="shared" si="27"/>
        <v>8</v>
      </c>
      <c r="D1775" t="s">
        <v>171</v>
      </c>
      <c r="E1775">
        <v>6079961</v>
      </c>
      <c r="F1775" t="s">
        <v>8</v>
      </c>
      <c r="G1775" t="s">
        <v>203</v>
      </c>
      <c r="H1775" t="s">
        <v>244</v>
      </c>
      <c r="I1775" s="4">
        <v>125766.4408</v>
      </c>
      <c r="J1775" s="4">
        <v>628832.20400000003</v>
      </c>
      <c r="L1775" s="4">
        <v>5</v>
      </c>
    </row>
    <row r="1776" spans="1:12">
      <c r="A1776" t="s">
        <v>107</v>
      </c>
      <c r="B1776" s="10">
        <v>45515</v>
      </c>
      <c r="C1776" s="18">
        <f t="shared" si="27"/>
        <v>8</v>
      </c>
      <c r="D1776" t="s">
        <v>151</v>
      </c>
      <c r="E1776">
        <v>4876098</v>
      </c>
      <c r="F1776" t="s">
        <v>8</v>
      </c>
      <c r="G1776" t="s">
        <v>202</v>
      </c>
      <c r="H1776" t="s">
        <v>256</v>
      </c>
      <c r="I1776" s="4">
        <v>64202.448800000006</v>
      </c>
      <c r="J1776" s="4">
        <v>3210122.4400000004</v>
      </c>
      <c r="L1776" s="4">
        <v>50</v>
      </c>
    </row>
    <row r="1777" spans="1:12">
      <c r="A1777" t="s">
        <v>107</v>
      </c>
      <c r="B1777" s="10">
        <v>45516</v>
      </c>
      <c r="C1777" s="18">
        <f t="shared" si="27"/>
        <v>8</v>
      </c>
      <c r="D1777" t="s">
        <v>140</v>
      </c>
      <c r="E1777">
        <v>4876550</v>
      </c>
      <c r="F1777" t="s">
        <v>8</v>
      </c>
      <c r="G1777" t="s">
        <v>203</v>
      </c>
      <c r="H1777" t="s">
        <v>236</v>
      </c>
      <c r="I1777" s="4">
        <v>100638.28079999999</v>
      </c>
      <c r="J1777" s="4">
        <v>201276.56159999999</v>
      </c>
      <c r="L1777" s="4">
        <v>2</v>
      </c>
    </row>
    <row r="1778" spans="1:12">
      <c r="A1778" t="s">
        <v>107</v>
      </c>
      <c r="B1778" s="10">
        <v>45516</v>
      </c>
      <c r="C1778" s="18">
        <f t="shared" si="27"/>
        <v>8</v>
      </c>
      <c r="D1778" t="s">
        <v>140</v>
      </c>
      <c r="E1778">
        <v>4876550</v>
      </c>
      <c r="F1778" t="s">
        <v>8</v>
      </c>
      <c r="G1778" t="s">
        <v>203</v>
      </c>
      <c r="H1778" t="s">
        <v>244</v>
      </c>
      <c r="I1778" s="4">
        <v>125766.4408</v>
      </c>
      <c r="J1778" s="4">
        <v>125766.4408</v>
      </c>
      <c r="L1778" s="4">
        <v>1</v>
      </c>
    </row>
    <row r="1779" spans="1:12">
      <c r="A1779" t="s">
        <v>107</v>
      </c>
      <c r="B1779" s="10">
        <v>45516</v>
      </c>
      <c r="C1779" s="18">
        <f t="shared" si="27"/>
        <v>8</v>
      </c>
      <c r="D1779" t="s">
        <v>140</v>
      </c>
      <c r="E1779">
        <v>4876550</v>
      </c>
      <c r="F1779" t="s">
        <v>8</v>
      </c>
      <c r="G1779" t="s">
        <v>203</v>
      </c>
      <c r="H1779" t="s">
        <v>231</v>
      </c>
      <c r="I1779" s="4">
        <v>125766.4408</v>
      </c>
      <c r="J1779" s="4">
        <v>125766.4408</v>
      </c>
      <c r="L1779" s="4">
        <v>1</v>
      </c>
    </row>
    <row r="1780" spans="1:12">
      <c r="A1780" t="s">
        <v>107</v>
      </c>
      <c r="B1780" s="10">
        <v>45519</v>
      </c>
      <c r="C1780" s="18">
        <f t="shared" si="27"/>
        <v>8</v>
      </c>
      <c r="D1780" t="s">
        <v>190</v>
      </c>
      <c r="E1780">
        <v>4879096</v>
      </c>
      <c r="F1780" t="s">
        <v>8</v>
      </c>
      <c r="G1780" t="s">
        <v>203</v>
      </c>
      <c r="H1780" t="s">
        <v>236</v>
      </c>
      <c r="I1780" s="4">
        <v>100638.28079999999</v>
      </c>
      <c r="J1780" s="4">
        <v>603829.68479999993</v>
      </c>
      <c r="K1780" s="4">
        <v>-26007.645599999996</v>
      </c>
      <c r="L1780" s="4">
        <v>6</v>
      </c>
    </row>
    <row r="1781" spans="1:12">
      <c r="A1781" t="s">
        <v>107</v>
      </c>
      <c r="B1781" s="10">
        <v>45519</v>
      </c>
      <c r="C1781" s="18">
        <f t="shared" si="27"/>
        <v>8</v>
      </c>
      <c r="D1781" t="s">
        <v>190</v>
      </c>
      <c r="E1781">
        <v>4879096</v>
      </c>
      <c r="F1781" t="s">
        <v>8</v>
      </c>
      <c r="G1781" t="s">
        <v>203</v>
      </c>
      <c r="H1781" t="s">
        <v>228</v>
      </c>
      <c r="I1781" s="4">
        <v>100638.28079999999</v>
      </c>
      <c r="J1781" s="4">
        <v>1006382.808</v>
      </c>
      <c r="K1781" s="4">
        <v>-43346.076000000001</v>
      </c>
      <c r="L1781" s="4">
        <v>10</v>
      </c>
    </row>
    <row r="1782" spans="1:12">
      <c r="A1782" t="s">
        <v>107</v>
      </c>
      <c r="B1782" s="10">
        <v>45519</v>
      </c>
      <c r="C1782" s="18">
        <f t="shared" si="27"/>
        <v>8</v>
      </c>
      <c r="D1782" t="s">
        <v>190</v>
      </c>
      <c r="E1782">
        <v>4879096</v>
      </c>
      <c r="F1782" t="s">
        <v>8</v>
      </c>
      <c r="G1782" t="s">
        <v>203</v>
      </c>
      <c r="H1782" t="s">
        <v>227</v>
      </c>
      <c r="I1782" s="4">
        <v>100638.28079999999</v>
      </c>
      <c r="J1782" s="4">
        <v>603829.68479999993</v>
      </c>
      <c r="K1782" s="4">
        <v>-26007.645599999996</v>
      </c>
      <c r="L1782" s="4">
        <v>6</v>
      </c>
    </row>
    <row r="1783" spans="1:12">
      <c r="A1783" t="s">
        <v>107</v>
      </c>
      <c r="B1783" s="10">
        <v>45519</v>
      </c>
      <c r="C1783" s="18">
        <f t="shared" si="27"/>
        <v>8</v>
      </c>
      <c r="D1783" t="s">
        <v>190</v>
      </c>
      <c r="E1783">
        <v>4879096</v>
      </c>
      <c r="F1783" t="s">
        <v>8</v>
      </c>
      <c r="G1783" t="s">
        <v>203</v>
      </c>
      <c r="H1783" t="s">
        <v>223</v>
      </c>
      <c r="I1783" s="4">
        <v>100638.28079999999</v>
      </c>
      <c r="J1783" s="4">
        <v>603829.68479999993</v>
      </c>
      <c r="K1783" s="4">
        <v>-26007.645599999996</v>
      </c>
      <c r="L1783" s="4">
        <v>6</v>
      </c>
    </row>
    <row r="1784" spans="1:12">
      <c r="A1784" t="s">
        <v>107</v>
      </c>
      <c r="B1784" s="10">
        <v>45519</v>
      </c>
      <c r="C1784" s="18">
        <f t="shared" si="27"/>
        <v>8</v>
      </c>
      <c r="D1784" t="s">
        <v>190</v>
      </c>
      <c r="E1784">
        <v>4879096</v>
      </c>
      <c r="F1784" t="s">
        <v>8</v>
      </c>
      <c r="G1784" t="s">
        <v>203</v>
      </c>
      <c r="H1784" t="s">
        <v>235</v>
      </c>
      <c r="I1784" s="4">
        <v>125766.4408</v>
      </c>
      <c r="J1784" s="4">
        <v>628832.20400000003</v>
      </c>
      <c r="K1784" s="4">
        <v>-28269.18</v>
      </c>
      <c r="L1784" s="4">
        <v>5</v>
      </c>
    </row>
    <row r="1785" spans="1:12">
      <c r="A1785" t="s">
        <v>107</v>
      </c>
      <c r="B1785" s="10">
        <v>45519</v>
      </c>
      <c r="C1785" s="18">
        <f t="shared" si="27"/>
        <v>8</v>
      </c>
      <c r="D1785" t="s">
        <v>190</v>
      </c>
      <c r="E1785">
        <v>4879096</v>
      </c>
      <c r="F1785" t="s">
        <v>8</v>
      </c>
      <c r="G1785" t="s">
        <v>203</v>
      </c>
      <c r="H1785" t="s">
        <v>231</v>
      </c>
      <c r="I1785" s="4">
        <v>125766.4408</v>
      </c>
      <c r="J1785" s="4">
        <v>628832.20400000003</v>
      </c>
      <c r="K1785" s="4">
        <v>-28269.18</v>
      </c>
      <c r="L1785" s="4">
        <v>5</v>
      </c>
    </row>
    <row r="1786" spans="1:12">
      <c r="A1786" t="s">
        <v>107</v>
      </c>
      <c r="B1786" s="10">
        <v>45519</v>
      </c>
      <c r="C1786" s="18">
        <f t="shared" si="27"/>
        <v>8</v>
      </c>
      <c r="D1786" t="s">
        <v>190</v>
      </c>
      <c r="E1786">
        <v>4879096</v>
      </c>
      <c r="F1786" t="s">
        <v>8</v>
      </c>
      <c r="G1786" t="s">
        <v>203</v>
      </c>
      <c r="H1786" t="s">
        <v>229</v>
      </c>
      <c r="I1786" s="4">
        <v>125766.4408</v>
      </c>
      <c r="J1786" s="4">
        <v>628832.20400000003</v>
      </c>
      <c r="K1786" s="4">
        <v>-28269.18</v>
      </c>
      <c r="L1786" s="4">
        <v>5</v>
      </c>
    </row>
    <row r="1787" spans="1:12">
      <c r="A1787" t="s">
        <v>107</v>
      </c>
      <c r="B1787" s="10">
        <v>45520</v>
      </c>
      <c r="C1787" s="18">
        <f t="shared" si="27"/>
        <v>8</v>
      </c>
      <c r="D1787" t="s">
        <v>162</v>
      </c>
      <c r="E1787">
        <v>4878188</v>
      </c>
      <c r="F1787" t="s">
        <v>8</v>
      </c>
      <c r="G1787" t="s">
        <v>203</v>
      </c>
      <c r="H1787" t="s">
        <v>235</v>
      </c>
      <c r="I1787" s="4">
        <v>125766.4408</v>
      </c>
      <c r="J1787" s="4">
        <v>251532.88159999999</v>
      </c>
      <c r="L1787" s="4">
        <v>2</v>
      </c>
    </row>
    <row r="1788" spans="1:12">
      <c r="A1788" t="s">
        <v>107</v>
      </c>
      <c r="B1788" s="10">
        <v>45520</v>
      </c>
      <c r="C1788" s="18">
        <f t="shared" si="27"/>
        <v>8</v>
      </c>
      <c r="D1788" t="s">
        <v>162</v>
      </c>
      <c r="E1788">
        <v>4878188</v>
      </c>
      <c r="F1788" t="s">
        <v>8</v>
      </c>
      <c r="G1788" t="s">
        <v>203</v>
      </c>
      <c r="H1788" t="s">
        <v>231</v>
      </c>
      <c r="I1788" s="4">
        <v>125766.4408</v>
      </c>
      <c r="J1788" s="4">
        <v>251532.88159999999</v>
      </c>
      <c r="L1788" s="4">
        <v>2</v>
      </c>
    </row>
    <row r="1789" spans="1:12">
      <c r="A1789" t="s">
        <v>107</v>
      </c>
      <c r="B1789" s="10">
        <v>45520</v>
      </c>
      <c r="C1789" s="18">
        <f t="shared" si="27"/>
        <v>8</v>
      </c>
      <c r="D1789" t="s">
        <v>162</v>
      </c>
      <c r="E1789">
        <v>4878188</v>
      </c>
      <c r="F1789" t="s">
        <v>8</v>
      </c>
      <c r="G1789" t="s">
        <v>203</v>
      </c>
      <c r="H1789" t="s">
        <v>229</v>
      </c>
      <c r="I1789" s="4">
        <v>125766.4408</v>
      </c>
      <c r="J1789" s="4">
        <v>251532.88159999999</v>
      </c>
      <c r="L1789" s="4">
        <v>2</v>
      </c>
    </row>
    <row r="1790" spans="1:12">
      <c r="A1790" t="s">
        <v>107</v>
      </c>
      <c r="B1790" s="10">
        <v>45520</v>
      </c>
      <c r="C1790" s="18">
        <f t="shared" si="27"/>
        <v>8</v>
      </c>
      <c r="D1790" t="s">
        <v>162</v>
      </c>
      <c r="E1790">
        <v>4878665</v>
      </c>
      <c r="F1790" t="s">
        <v>8</v>
      </c>
      <c r="G1790" t="s">
        <v>203</v>
      </c>
      <c r="H1790" t="s">
        <v>236</v>
      </c>
      <c r="I1790" s="4">
        <v>100638.28079999999</v>
      </c>
      <c r="J1790" s="4">
        <v>201276.56159999999</v>
      </c>
      <c r="L1790" s="4">
        <v>2</v>
      </c>
    </row>
    <row r="1791" spans="1:12">
      <c r="A1791" t="s">
        <v>107</v>
      </c>
      <c r="B1791" s="10">
        <v>45520</v>
      </c>
      <c r="C1791" s="18">
        <f t="shared" si="27"/>
        <v>8</v>
      </c>
      <c r="D1791" t="s">
        <v>162</v>
      </c>
      <c r="E1791">
        <v>4878665</v>
      </c>
      <c r="F1791" t="s">
        <v>8</v>
      </c>
      <c r="G1791" t="s">
        <v>203</v>
      </c>
      <c r="H1791" t="s">
        <v>228</v>
      </c>
      <c r="I1791" s="4">
        <v>100638.28079999999</v>
      </c>
      <c r="J1791" s="4">
        <v>201276.56159999999</v>
      </c>
      <c r="L1791" s="4">
        <v>2</v>
      </c>
    </row>
    <row r="1792" spans="1:12">
      <c r="A1792" t="s">
        <v>107</v>
      </c>
      <c r="B1792" s="10">
        <v>45520</v>
      </c>
      <c r="C1792" s="18">
        <f t="shared" si="27"/>
        <v>8</v>
      </c>
      <c r="D1792" t="s">
        <v>162</v>
      </c>
      <c r="E1792">
        <v>4878665</v>
      </c>
      <c r="F1792" t="s">
        <v>8</v>
      </c>
      <c r="G1792" t="s">
        <v>203</v>
      </c>
      <c r="H1792" t="s">
        <v>223</v>
      </c>
      <c r="I1792" s="4">
        <v>100638.28079999999</v>
      </c>
      <c r="J1792" s="4">
        <v>201276.56159999999</v>
      </c>
      <c r="L1792" s="4">
        <v>2</v>
      </c>
    </row>
    <row r="1793" spans="1:12">
      <c r="A1793" t="s">
        <v>107</v>
      </c>
      <c r="B1793" s="10">
        <v>45520</v>
      </c>
      <c r="C1793" s="18">
        <f t="shared" si="27"/>
        <v>8</v>
      </c>
      <c r="D1793" t="s">
        <v>162</v>
      </c>
      <c r="E1793">
        <v>4878665</v>
      </c>
      <c r="F1793" t="s">
        <v>8</v>
      </c>
      <c r="G1793" t="s">
        <v>203</v>
      </c>
      <c r="H1793" t="s">
        <v>231</v>
      </c>
      <c r="I1793" s="4">
        <v>125766.4408</v>
      </c>
      <c r="J1793" s="4">
        <v>251532.88159999999</v>
      </c>
      <c r="L1793" s="4">
        <v>2</v>
      </c>
    </row>
    <row r="1794" spans="1:12">
      <c r="A1794" t="s">
        <v>107</v>
      </c>
      <c r="B1794" s="10">
        <v>45520</v>
      </c>
      <c r="C1794" s="18">
        <f t="shared" ref="C1794:C1857" si="28">MONTH(B1794)</f>
        <v>8</v>
      </c>
      <c r="D1794" t="s">
        <v>162</v>
      </c>
      <c r="E1794">
        <v>4878665</v>
      </c>
      <c r="F1794" t="s">
        <v>8</v>
      </c>
      <c r="G1794" t="s">
        <v>203</v>
      </c>
      <c r="H1794" t="s">
        <v>229</v>
      </c>
      <c r="I1794" s="4">
        <v>125766.4408</v>
      </c>
      <c r="J1794" s="4">
        <v>251532.88159999999</v>
      </c>
      <c r="L1794" s="4">
        <v>2</v>
      </c>
    </row>
    <row r="1795" spans="1:12">
      <c r="A1795" t="s">
        <v>107</v>
      </c>
      <c r="B1795" s="10">
        <v>45520</v>
      </c>
      <c r="C1795" s="18">
        <f t="shared" si="28"/>
        <v>8</v>
      </c>
      <c r="D1795" t="s">
        <v>162</v>
      </c>
      <c r="E1795">
        <v>4874459</v>
      </c>
      <c r="F1795" t="s">
        <v>8</v>
      </c>
      <c r="G1795" t="s">
        <v>203</v>
      </c>
      <c r="H1795" t="s">
        <v>228</v>
      </c>
      <c r="I1795" s="4">
        <v>100638.28079999999</v>
      </c>
      <c r="J1795" s="4">
        <v>201276.56159999999</v>
      </c>
      <c r="L1795" s="4">
        <v>2</v>
      </c>
    </row>
    <row r="1796" spans="1:12">
      <c r="A1796" t="s">
        <v>107</v>
      </c>
      <c r="B1796" s="10">
        <v>45520</v>
      </c>
      <c r="C1796" s="18">
        <f t="shared" si="28"/>
        <v>8</v>
      </c>
      <c r="D1796" t="s">
        <v>162</v>
      </c>
      <c r="E1796">
        <v>4874459</v>
      </c>
      <c r="F1796" t="s">
        <v>8</v>
      </c>
      <c r="G1796" t="s">
        <v>203</v>
      </c>
      <c r="H1796" t="s">
        <v>223</v>
      </c>
      <c r="I1796" s="4">
        <v>100638.28079999999</v>
      </c>
      <c r="J1796" s="4">
        <v>201276.56159999999</v>
      </c>
      <c r="L1796" s="4">
        <v>2</v>
      </c>
    </row>
    <row r="1797" spans="1:12">
      <c r="A1797" t="s">
        <v>107</v>
      </c>
      <c r="B1797" s="10">
        <v>45521</v>
      </c>
      <c r="C1797" s="18">
        <f t="shared" si="28"/>
        <v>8</v>
      </c>
      <c r="D1797" t="s">
        <v>171</v>
      </c>
      <c r="E1797">
        <v>4875729</v>
      </c>
      <c r="F1797" t="s">
        <v>8</v>
      </c>
      <c r="G1797" t="s">
        <v>203</v>
      </c>
      <c r="H1797" t="s">
        <v>236</v>
      </c>
      <c r="I1797" s="4">
        <v>100638.28079999999</v>
      </c>
      <c r="J1797" s="4">
        <v>201276.56159999999</v>
      </c>
      <c r="L1797" s="4">
        <v>2</v>
      </c>
    </row>
    <row r="1798" spans="1:12">
      <c r="A1798" t="s">
        <v>107</v>
      </c>
      <c r="B1798" s="10">
        <v>45521</v>
      </c>
      <c r="C1798" s="18">
        <f t="shared" si="28"/>
        <v>8</v>
      </c>
      <c r="D1798" t="s">
        <v>171</v>
      </c>
      <c r="E1798">
        <v>4875729</v>
      </c>
      <c r="F1798" t="s">
        <v>8</v>
      </c>
      <c r="G1798" t="s">
        <v>203</v>
      </c>
      <c r="H1798" t="s">
        <v>228</v>
      </c>
      <c r="I1798" s="4">
        <v>100638.28079999999</v>
      </c>
      <c r="J1798" s="4">
        <v>201276.56159999999</v>
      </c>
      <c r="L1798" s="4">
        <v>2</v>
      </c>
    </row>
    <row r="1799" spans="1:12">
      <c r="A1799" t="s">
        <v>107</v>
      </c>
      <c r="B1799" s="10">
        <v>45523</v>
      </c>
      <c r="C1799" s="18">
        <f t="shared" si="28"/>
        <v>8</v>
      </c>
      <c r="D1799" t="s">
        <v>140</v>
      </c>
      <c r="E1799">
        <v>4874346</v>
      </c>
      <c r="F1799" t="s">
        <v>8</v>
      </c>
      <c r="G1799" t="s">
        <v>203</v>
      </c>
      <c r="H1799" t="s">
        <v>244</v>
      </c>
      <c r="I1799" s="4">
        <v>125766.4408</v>
      </c>
      <c r="J1799" s="4">
        <v>251532.88159999999</v>
      </c>
      <c r="L1799" s="4">
        <v>2</v>
      </c>
    </row>
    <row r="1800" spans="1:12">
      <c r="A1800" t="s">
        <v>107</v>
      </c>
      <c r="B1800" s="10">
        <v>45523</v>
      </c>
      <c r="C1800" s="18">
        <f t="shared" si="28"/>
        <v>8</v>
      </c>
      <c r="D1800" t="s">
        <v>140</v>
      </c>
      <c r="E1800">
        <v>4874346</v>
      </c>
      <c r="F1800" t="s">
        <v>8</v>
      </c>
      <c r="G1800" t="s">
        <v>203</v>
      </c>
      <c r="H1800" t="s">
        <v>235</v>
      </c>
      <c r="I1800" s="4">
        <v>125766.4408</v>
      </c>
      <c r="J1800" s="4">
        <v>251532.88159999999</v>
      </c>
      <c r="L1800" s="4">
        <v>2</v>
      </c>
    </row>
    <row r="1801" spans="1:12">
      <c r="A1801" t="s">
        <v>107</v>
      </c>
      <c r="B1801" s="10">
        <v>45523</v>
      </c>
      <c r="C1801" s="18">
        <f t="shared" si="28"/>
        <v>8</v>
      </c>
      <c r="D1801" t="s">
        <v>140</v>
      </c>
      <c r="E1801">
        <v>4874346</v>
      </c>
      <c r="F1801" t="s">
        <v>8</v>
      </c>
      <c r="G1801" t="s">
        <v>203</v>
      </c>
      <c r="H1801" t="s">
        <v>231</v>
      </c>
      <c r="I1801" s="4">
        <v>125766.4408</v>
      </c>
      <c r="J1801" s="4">
        <v>125766.4408</v>
      </c>
      <c r="L1801" s="4">
        <v>1</v>
      </c>
    </row>
    <row r="1802" spans="1:12">
      <c r="A1802" t="s">
        <v>107</v>
      </c>
      <c r="B1802" s="10">
        <v>45523</v>
      </c>
      <c r="C1802" s="18">
        <f t="shared" si="28"/>
        <v>8</v>
      </c>
      <c r="D1802" t="s">
        <v>140</v>
      </c>
      <c r="E1802">
        <v>4874346</v>
      </c>
      <c r="F1802" t="s">
        <v>8</v>
      </c>
      <c r="G1802" t="s">
        <v>203</v>
      </c>
      <c r="H1802" t="s">
        <v>229</v>
      </c>
      <c r="I1802" s="4">
        <v>125766.4408</v>
      </c>
      <c r="J1802" s="4">
        <v>125766.4408</v>
      </c>
      <c r="L1802" s="4">
        <v>1</v>
      </c>
    </row>
    <row r="1803" spans="1:12">
      <c r="A1803" t="s">
        <v>107</v>
      </c>
      <c r="B1803" s="10">
        <v>45523</v>
      </c>
      <c r="C1803" s="18">
        <f t="shared" si="28"/>
        <v>8</v>
      </c>
      <c r="D1803" t="s">
        <v>167</v>
      </c>
      <c r="E1803">
        <v>4875363</v>
      </c>
      <c r="F1803" t="s">
        <v>8</v>
      </c>
      <c r="G1803" t="s">
        <v>203</v>
      </c>
      <c r="H1803" t="s">
        <v>236</v>
      </c>
      <c r="I1803" s="4">
        <v>100638.28079999999</v>
      </c>
      <c r="J1803" s="4">
        <v>201276.56159999999</v>
      </c>
      <c r="L1803" s="4">
        <v>2</v>
      </c>
    </row>
    <row r="1804" spans="1:12">
      <c r="A1804" t="s">
        <v>107</v>
      </c>
      <c r="B1804" s="10">
        <v>45523</v>
      </c>
      <c r="C1804" s="18">
        <f t="shared" si="28"/>
        <v>8</v>
      </c>
      <c r="D1804" t="s">
        <v>167</v>
      </c>
      <c r="E1804">
        <v>4875363</v>
      </c>
      <c r="F1804" t="s">
        <v>8</v>
      </c>
      <c r="G1804" t="s">
        <v>203</v>
      </c>
      <c r="H1804" t="s">
        <v>228</v>
      </c>
      <c r="I1804" s="4">
        <v>100638.28079999999</v>
      </c>
      <c r="J1804" s="4">
        <v>805106.24639999995</v>
      </c>
      <c r="L1804" s="4">
        <v>8</v>
      </c>
    </row>
    <row r="1805" spans="1:12">
      <c r="A1805" t="s">
        <v>107</v>
      </c>
      <c r="B1805" s="10">
        <v>45523</v>
      </c>
      <c r="C1805" s="18">
        <f t="shared" si="28"/>
        <v>8</v>
      </c>
      <c r="D1805" t="s">
        <v>167</v>
      </c>
      <c r="E1805">
        <v>4875363</v>
      </c>
      <c r="F1805" t="s">
        <v>8</v>
      </c>
      <c r="G1805" t="s">
        <v>203</v>
      </c>
      <c r="H1805" t="s">
        <v>227</v>
      </c>
      <c r="I1805" s="4">
        <v>100638.28079999999</v>
      </c>
      <c r="J1805" s="4">
        <v>805106.24639999995</v>
      </c>
      <c r="L1805" s="4">
        <v>8</v>
      </c>
    </row>
    <row r="1806" spans="1:12">
      <c r="A1806" t="s">
        <v>107</v>
      </c>
      <c r="B1806" s="10">
        <v>45523</v>
      </c>
      <c r="C1806" s="18">
        <f t="shared" si="28"/>
        <v>8</v>
      </c>
      <c r="D1806" t="s">
        <v>167</v>
      </c>
      <c r="E1806">
        <v>4875363</v>
      </c>
      <c r="F1806" t="s">
        <v>8</v>
      </c>
      <c r="G1806" t="s">
        <v>203</v>
      </c>
      <c r="H1806" t="s">
        <v>235</v>
      </c>
      <c r="I1806" s="4">
        <v>125766.4408</v>
      </c>
      <c r="J1806" s="4">
        <v>125766.4408</v>
      </c>
      <c r="L1806" s="4">
        <v>1</v>
      </c>
    </row>
    <row r="1807" spans="1:12">
      <c r="A1807" t="s">
        <v>107</v>
      </c>
      <c r="B1807" s="10">
        <v>45524</v>
      </c>
      <c r="C1807" s="18">
        <f t="shared" si="28"/>
        <v>8</v>
      </c>
      <c r="D1807" t="s">
        <v>187</v>
      </c>
      <c r="E1807">
        <v>4876600</v>
      </c>
      <c r="F1807" t="s">
        <v>8</v>
      </c>
      <c r="G1807" t="s">
        <v>203</v>
      </c>
      <c r="H1807" t="s">
        <v>228</v>
      </c>
      <c r="I1807" s="4">
        <v>100638.28079999999</v>
      </c>
      <c r="J1807" s="4">
        <v>603829.68479999993</v>
      </c>
      <c r="L1807" s="4">
        <v>6</v>
      </c>
    </row>
    <row r="1808" spans="1:12">
      <c r="A1808" t="s">
        <v>107</v>
      </c>
      <c r="B1808" s="10">
        <v>45524</v>
      </c>
      <c r="C1808" s="18">
        <f t="shared" si="28"/>
        <v>8</v>
      </c>
      <c r="D1808" t="s">
        <v>187</v>
      </c>
      <c r="E1808">
        <v>4876600</v>
      </c>
      <c r="F1808" t="s">
        <v>8</v>
      </c>
      <c r="G1808" t="s">
        <v>203</v>
      </c>
      <c r="H1808" t="s">
        <v>227</v>
      </c>
      <c r="I1808" s="4">
        <v>100638.28079999999</v>
      </c>
      <c r="J1808" s="4">
        <v>603829.68479999993</v>
      </c>
      <c r="L1808" s="4">
        <v>6</v>
      </c>
    </row>
    <row r="1809" spans="1:12">
      <c r="A1809" t="s">
        <v>107</v>
      </c>
      <c r="B1809" s="10">
        <v>45525</v>
      </c>
      <c r="C1809" s="18">
        <f t="shared" si="28"/>
        <v>8</v>
      </c>
      <c r="D1809" t="s">
        <v>183</v>
      </c>
      <c r="E1809">
        <v>4874448</v>
      </c>
      <c r="F1809" t="s">
        <v>8</v>
      </c>
      <c r="G1809" t="s">
        <v>202</v>
      </c>
      <c r="H1809" t="s">
        <v>258</v>
      </c>
      <c r="I1809" s="4">
        <v>37817.880799999999</v>
      </c>
      <c r="J1809" s="4">
        <v>378178.80799999996</v>
      </c>
      <c r="L1809" s="4">
        <v>10</v>
      </c>
    </row>
    <row r="1810" spans="1:12">
      <c r="A1810" t="s">
        <v>107</v>
      </c>
      <c r="B1810" s="10">
        <v>45528</v>
      </c>
      <c r="C1810" s="18">
        <f t="shared" si="28"/>
        <v>8</v>
      </c>
      <c r="D1810" t="s">
        <v>162</v>
      </c>
      <c r="E1810">
        <v>4878665</v>
      </c>
      <c r="F1810" t="s">
        <v>8</v>
      </c>
      <c r="G1810" t="s">
        <v>203</v>
      </c>
      <c r="H1810" t="s">
        <v>244</v>
      </c>
      <c r="I1810" s="4">
        <v>125766.4408</v>
      </c>
      <c r="J1810" s="4">
        <v>251532.88159999999</v>
      </c>
      <c r="L1810" s="4">
        <v>2</v>
      </c>
    </row>
    <row r="1811" spans="1:12">
      <c r="A1811" t="s">
        <v>107</v>
      </c>
      <c r="B1811" s="10">
        <v>45528</v>
      </c>
      <c r="C1811" s="18">
        <f t="shared" si="28"/>
        <v>8</v>
      </c>
      <c r="D1811" t="s">
        <v>162</v>
      </c>
      <c r="E1811">
        <v>4878665</v>
      </c>
      <c r="F1811" t="s">
        <v>8</v>
      </c>
      <c r="G1811" t="s">
        <v>203</v>
      </c>
      <c r="H1811" t="s">
        <v>239</v>
      </c>
      <c r="I1811" s="4">
        <v>125766.4408</v>
      </c>
      <c r="J1811" s="4">
        <v>125766.4408</v>
      </c>
      <c r="L1811" s="4">
        <v>1</v>
      </c>
    </row>
    <row r="1812" spans="1:12">
      <c r="A1812" t="s">
        <v>107</v>
      </c>
      <c r="B1812" s="10">
        <v>45528</v>
      </c>
      <c r="C1812" s="18">
        <f t="shared" si="28"/>
        <v>8</v>
      </c>
      <c r="D1812" t="s">
        <v>162</v>
      </c>
      <c r="E1812">
        <v>4878665</v>
      </c>
      <c r="F1812" t="s">
        <v>8</v>
      </c>
      <c r="G1812" t="s">
        <v>203</v>
      </c>
      <c r="H1812" t="s">
        <v>237</v>
      </c>
      <c r="I1812" s="4">
        <v>125766.4408</v>
      </c>
      <c r="J1812" s="4">
        <v>125766.4408</v>
      </c>
      <c r="L1812" s="4">
        <v>1</v>
      </c>
    </row>
    <row r="1813" spans="1:12">
      <c r="A1813" t="s">
        <v>107</v>
      </c>
      <c r="B1813" s="10">
        <v>45528</v>
      </c>
      <c r="C1813" s="18">
        <f t="shared" si="28"/>
        <v>8</v>
      </c>
      <c r="D1813" t="s">
        <v>162</v>
      </c>
      <c r="E1813">
        <v>4878665</v>
      </c>
      <c r="F1813" t="s">
        <v>8</v>
      </c>
      <c r="G1813" t="s">
        <v>203</v>
      </c>
      <c r="H1813" t="s">
        <v>233</v>
      </c>
      <c r="I1813" s="4">
        <v>120735.78316800001</v>
      </c>
      <c r="J1813" s="4">
        <v>241471.56633600002</v>
      </c>
      <c r="L1813" s="4">
        <v>2</v>
      </c>
    </row>
    <row r="1814" spans="1:12">
      <c r="A1814" t="s">
        <v>107</v>
      </c>
      <c r="B1814" s="10">
        <v>45528</v>
      </c>
      <c r="C1814" s="18">
        <f t="shared" si="28"/>
        <v>8</v>
      </c>
      <c r="D1814" t="s">
        <v>167</v>
      </c>
      <c r="E1814">
        <v>4875363</v>
      </c>
      <c r="F1814" t="s">
        <v>8</v>
      </c>
      <c r="G1814" t="s">
        <v>203</v>
      </c>
      <c r="H1814" t="s">
        <v>236</v>
      </c>
      <c r="I1814" s="4">
        <v>100638.28079999999</v>
      </c>
      <c r="J1814" s="4">
        <v>402553.12319999997</v>
      </c>
      <c r="L1814" s="4">
        <v>4</v>
      </c>
    </row>
    <row r="1815" spans="1:12">
      <c r="A1815" t="s">
        <v>107</v>
      </c>
      <c r="B1815" s="10">
        <v>45528</v>
      </c>
      <c r="C1815" s="18">
        <f t="shared" si="28"/>
        <v>8</v>
      </c>
      <c r="D1815" t="s">
        <v>167</v>
      </c>
      <c r="E1815">
        <v>4875363</v>
      </c>
      <c r="F1815" t="s">
        <v>8</v>
      </c>
      <c r="G1815" t="s">
        <v>203</v>
      </c>
      <c r="H1815" t="s">
        <v>232</v>
      </c>
      <c r="I1815" s="4">
        <v>100638.28079999999</v>
      </c>
      <c r="J1815" s="4">
        <v>1006382.808</v>
      </c>
      <c r="L1815" s="4">
        <v>10</v>
      </c>
    </row>
    <row r="1816" spans="1:12">
      <c r="A1816" t="s">
        <v>107</v>
      </c>
      <c r="B1816" s="10">
        <v>45528</v>
      </c>
      <c r="C1816" s="18">
        <f t="shared" si="28"/>
        <v>8</v>
      </c>
      <c r="D1816" t="s">
        <v>167</v>
      </c>
      <c r="E1816">
        <v>4875363</v>
      </c>
      <c r="F1816" t="s">
        <v>8</v>
      </c>
      <c r="G1816" t="s">
        <v>203</v>
      </c>
      <c r="H1816" t="s">
        <v>241</v>
      </c>
      <c r="I1816" s="4">
        <v>125766.4408</v>
      </c>
      <c r="J1816" s="4">
        <v>503065.76319999999</v>
      </c>
      <c r="L1816" s="4">
        <v>4</v>
      </c>
    </row>
    <row r="1817" spans="1:12">
      <c r="A1817" t="s">
        <v>107</v>
      </c>
      <c r="B1817" s="10">
        <v>45528</v>
      </c>
      <c r="C1817" s="18">
        <f t="shared" si="28"/>
        <v>8</v>
      </c>
      <c r="D1817" t="s">
        <v>167</v>
      </c>
      <c r="E1817">
        <v>4875363</v>
      </c>
      <c r="F1817" t="s">
        <v>8</v>
      </c>
      <c r="G1817" t="s">
        <v>203</v>
      </c>
      <c r="H1817" t="s">
        <v>239</v>
      </c>
      <c r="I1817" s="4">
        <v>125766.4408</v>
      </c>
      <c r="J1817" s="4">
        <v>503065.76319999999</v>
      </c>
      <c r="L1817" s="4">
        <v>4</v>
      </c>
    </row>
    <row r="1818" spans="1:12">
      <c r="A1818" t="s">
        <v>107</v>
      </c>
      <c r="B1818" s="10">
        <v>45528</v>
      </c>
      <c r="C1818" s="18">
        <f t="shared" si="28"/>
        <v>8</v>
      </c>
      <c r="D1818" t="s">
        <v>167</v>
      </c>
      <c r="E1818">
        <v>4875363</v>
      </c>
      <c r="F1818" t="s">
        <v>8</v>
      </c>
      <c r="G1818" t="s">
        <v>203</v>
      </c>
      <c r="H1818" t="s">
        <v>237</v>
      </c>
      <c r="I1818" s="4">
        <v>125766.4408</v>
      </c>
      <c r="J1818" s="4">
        <v>628832.20400000003</v>
      </c>
      <c r="L1818" s="4">
        <v>5</v>
      </c>
    </row>
    <row r="1819" spans="1:12">
      <c r="A1819" t="s">
        <v>107</v>
      </c>
      <c r="B1819" s="10">
        <v>45528</v>
      </c>
      <c r="C1819" s="18">
        <f t="shared" si="28"/>
        <v>8</v>
      </c>
      <c r="D1819" t="s">
        <v>167</v>
      </c>
      <c r="E1819">
        <v>4875363</v>
      </c>
      <c r="F1819" t="s">
        <v>8</v>
      </c>
      <c r="G1819" t="s">
        <v>203</v>
      </c>
      <c r="H1819" t="s">
        <v>233</v>
      </c>
      <c r="I1819" s="4">
        <v>120735.78316800001</v>
      </c>
      <c r="J1819" s="4">
        <v>603678.91584000003</v>
      </c>
      <c r="L1819" s="4">
        <v>5</v>
      </c>
    </row>
    <row r="1820" spans="1:12">
      <c r="A1820" t="s">
        <v>107</v>
      </c>
      <c r="B1820" s="10">
        <v>45528</v>
      </c>
      <c r="C1820" s="18">
        <f t="shared" si="28"/>
        <v>8</v>
      </c>
      <c r="D1820" t="s">
        <v>167</v>
      </c>
      <c r="E1820">
        <v>6080081</v>
      </c>
      <c r="F1820" t="s">
        <v>8</v>
      </c>
      <c r="G1820" t="s">
        <v>203</v>
      </c>
      <c r="H1820" t="s">
        <v>239</v>
      </c>
      <c r="I1820" s="4">
        <v>125766.4408</v>
      </c>
      <c r="J1820" s="4">
        <v>251532.88159999999</v>
      </c>
      <c r="L1820" s="4">
        <v>2</v>
      </c>
    </row>
    <row r="1821" spans="1:12">
      <c r="A1821" t="s">
        <v>107</v>
      </c>
      <c r="B1821" s="10">
        <v>45528</v>
      </c>
      <c r="C1821" s="18">
        <f t="shared" si="28"/>
        <v>8</v>
      </c>
      <c r="D1821" t="s">
        <v>167</v>
      </c>
      <c r="E1821">
        <v>6080081</v>
      </c>
      <c r="F1821" t="s">
        <v>8</v>
      </c>
      <c r="G1821" t="s">
        <v>203</v>
      </c>
      <c r="H1821" t="s">
        <v>237</v>
      </c>
      <c r="I1821" s="4">
        <v>125766.4408</v>
      </c>
      <c r="J1821" s="4">
        <v>251532.88159999999</v>
      </c>
      <c r="L1821" s="4">
        <v>2</v>
      </c>
    </row>
    <row r="1822" spans="1:12">
      <c r="A1822" t="s">
        <v>107</v>
      </c>
      <c r="B1822" s="10">
        <v>45531</v>
      </c>
      <c r="C1822" s="18">
        <f t="shared" si="28"/>
        <v>8</v>
      </c>
      <c r="D1822" t="s">
        <v>187</v>
      </c>
      <c r="E1822">
        <v>4875358</v>
      </c>
      <c r="F1822" t="s">
        <v>8</v>
      </c>
      <c r="G1822" t="s">
        <v>203</v>
      </c>
      <c r="H1822" t="s">
        <v>232</v>
      </c>
      <c r="I1822" s="4">
        <v>100638.28079999999</v>
      </c>
      <c r="J1822" s="4">
        <v>1006382.808</v>
      </c>
      <c r="L1822" s="4">
        <v>10</v>
      </c>
    </row>
    <row r="1823" spans="1:12">
      <c r="A1823" t="s">
        <v>107</v>
      </c>
      <c r="B1823" s="10">
        <v>45531</v>
      </c>
      <c r="C1823" s="18">
        <f t="shared" si="28"/>
        <v>8</v>
      </c>
      <c r="D1823" t="s">
        <v>187</v>
      </c>
      <c r="E1823">
        <v>4875358</v>
      </c>
      <c r="F1823" t="s">
        <v>8</v>
      </c>
      <c r="G1823" t="s">
        <v>203</v>
      </c>
      <c r="H1823" t="s">
        <v>241</v>
      </c>
      <c r="I1823" s="4">
        <v>125766.4408</v>
      </c>
      <c r="J1823" s="4">
        <v>125766.4408</v>
      </c>
      <c r="L1823" s="4">
        <v>1</v>
      </c>
    </row>
    <row r="1824" spans="1:12">
      <c r="A1824" t="s">
        <v>107</v>
      </c>
      <c r="B1824" s="10">
        <v>45531</v>
      </c>
      <c r="C1824" s="18">
        <f t="shared" si="28"/>
        <v>8</v>
      </c>
      <c r="D1824" t="s">
        <v>187</v>
      </c>
      <c r="E1824">
        <v>4876600</v>
      </c>
      <c r="F1824" t="s">
        <v>8</v>
      </c>
      <c r="G1824" t="s">
        <v>203</v>
      </c>
      <c r="H1824" t="s">
        <v>236</v>
      </c>
      <c r="I1824" s="4">
        <v>100638.28079999999</v>
      </c>
      <c r="J1824" s="4">
        <v>402553.12319999997</v>
      </c>
      <c r="L1824" s="4">
        <v>4</v>
      </c>
    </row>
    <row r="1825" spans="1:12">
      <c r="A1825" t="s">
        <v>107</v>
      </c>
      <c r="B1825" s="10">
        <v>45531</v>
      </c>
      <c r="C1825" s="18">
        <f t="shared" si="28"/>
        <v>8</v>
      </c>
      <c r="D1825" t="s">
        <v>187</v>
      </c>
      <c r="E1825">
        <v>4876600</v>
      </c>
      <c r="F1825" t="s">
        <v>8</v>
      </c>
      <c r="G1825" t="s">
        <v>203</v>
      </c>
      <c r="H1825" t="s">
        <v>232</v>
      </c>
      <c r="I1825" s="4">
        <v>100638.28079999999</v>
      </c>
      <c r="J1825" s="4">
        <v>603829.68479999993</v>
      </c>
      <c r="L1825" s="4">
        <v>6</v>
      </c>
    </row>
    <row r="1826" spans="1:12">
      <c r="A1826" t="s">
        <v>107</v>
      </c>
      <c r="B1826" s="10">
        <v>45532</v>
      </c>
      <c r="C1826" s="18">
        <f t="shared" si="28"/>
        <v>8</v>
      </c>
      <c r="D1826" t="s">
        <v>190</v>
      </c>
      <c r="E1826">
        <v>4876143</v>
      </c>
      <c r="F1826" t="s">
        <v>8</v>
      </c>
      <c r="G1826" t="s">
        <v>203</v>
      </c>
      <c r="H1826" t="s">
        <v>232</v>
      </c>
      <c r="I1826" s="4">
        <v>100638.28079999999</v>
      </c>
      <c r="J1826" s="4">
        <v>402553.12319999997</v>
      </c>
      <c r="L1826" s="4">
        <v>4</v>
      </c>
    </row>
    <row r="1827" spans="1:12">
      <c r="A1827" t="s">
        <v>107</v>
      </c>
      <c r="B1827" s="10">
        <v>45532</v>
      </c>
      <c r="C1827" s="18">
        <f t="shared" si="28"/>
        <v>8</v>
      </c>
      <c r="D1827" t="s">
        <v>182</v>
      </c>
      <c r="E1827">
        <v>4876974</v>
      </c>
      <c r="F1827" t="s">
        <v>8</v>
      </c>
      <c r="G1827" t="s">
        <v>203</v>
      </c>
      <c r="H1827" t="s">
        <v>232</v>
      </c>
      <c r="I1827" s="4">
        <v>100638.28079999999</v>
      </c>
      <c r="J1827" s="4">
        <v>201276.56159999999</v>
      </c>
      <c r="L1827" s="4">
        <v>2</v>
      </c>
    </row>
    <row r="1828" spans="1:12">
      <c r="A1828" t="s">
        <v>107</v>
      </c>
      <c r="B1828" s="10">
        <v>45533</v>
      </c>
      <c r="C1828" s="18">
        <f t="shared" si="28"/>
        <v>8</v>
      </c>
      <c r="D1828" t="s">
        <v>190</v>
      </c>
      <c r="E1828">
        <v>4876760</v>
      </c>
      <c r="F1828" t="s">
        <v>8</v>
      </c>
      <c r="G1828" t="s">
        <v>203</v>
      </c>
      <c r="H1828" t="s">
        <v>237</v>
      </c>
      <c r="I1828" s="4">
        <v>125766.4408</v>
      </c>
      <c r="J1828" s="4">
        <v>1257664.4080000001</v>
      </c>
      <c r="K1828" s="4">
        <v>-56538.36</v>
      </c>
      <c r="L1828" s="4">
        <v>10</v>
      </c>
    </row>
    <row r="1829" spans="1:12">
      <c r="A1829" t="s">
        <v>107</v>
      </c>
      <c r="B1829" s="10">
        <v>45534</v>
      </c>
      <c r="C1829" s="18">
        <f t="shared" si="28"/>
        <v>8</v>
      </c>
      <c r="D1829" t="s">
        <v>162</v>
      </c>
      <c r="E1829">
        <v>4876712</v>
      </c>
      <c r="F1829" t="s">
        <v>8</v>
      </c>
      <c r="G1829" t="s">
        <v>203</v>
      </c>
      <c r="H1829" t="s">
        <v>232</v>
      </c>
      <c r="I1829" s="4">
        <v>100638.28079999999</v>
      </c>
      <c r="J1829" s="4">
        <v>402553.12319999997</v>
      </c>
      <c r="L1829" s="4">
        <v>4</v>
      </c>
    </row>
    <row r="1830" spans="1:12">
      <c r="A1830" t="s">
        <v>107</v>
      </c>
      <c r="B1830" s="10">
        <v>45534</v>
      </c>
      <c r="C1830" s="18">
        <f t="shared" si="28"/>
        <v>8</v>
      </c>
      <c r="D1830" t="s">
        <v>162</v>
      </c>
      <c r="E1830">
        <v>4876712</v>
      </c>
      <c r="F1830" t="s">
        <v>8</v>
      </c>
      <c r="G1830" t="s">
        <v>203</v>
      </c>
      <c r="H1830" t="s">
        <v>231</v>
      </c>
      <c r="I1830" s="4">
        <v>125766.4408</v>
      </c>
      <c r="J1830" s="4">
        <v>251532.88159999999</v>
      </c>
      <c r="L1830" s="4">
        <v>2</v>
      </c>
    </row>
    <row r="1831" spans="1:12">
      <c r="A1831" t="s">
        <v>107</v>
      </c>
      <c r="B1831" s="10">
        <v>45534</v>
      </c>
      <c r="C1831" s="18">
        <f t="shared" si="28"/>
        <v>8</v>
      </c>
      <c r="D1831" t="s">
        <v>162</v>
      </c>
      <c r="E1831">
        <v>4878188</v>
      </c>
      <c r="F1831" t="s">
        <v>8</v>
      </c>
      <c r="G1831" t="s">
        <v>203</v>
      </c>
      <c r="H1831" t="s">
        <v>232</v>
      </c>
      <c r="I1831" s="4">
        <v>100638.28079999999</v>
      </c>
      <c r="J1831" s="4">
        <v>805106.24639999995</v>
      </c>
      <c r="L1831" s="4">
        <v>8</v>
      </c>
    </row>
    <row r="1832" spans="1:12">
      <c r="A1832" t="s">
        <v>107</v>
      </c>
      <c r="B1832" s="10">
        <v>45534</v>
      </c>
      <c r="C1832" s="18">
        <f t="shared" si="28"/>
        <v>8</v>
      </c>
      <c r="D1832" t="s">
        <v>162</v>
      </c>
      <c r="E1832">
        <v>4874391</v>
      </c>
      <c r="F1832" t="s">
        <v>8</v>
      </c>
      <c r="G1832" t="s">
        <v>203</v>
      </c>
      <c r="H1832" t="s">
        <v>232</v>
      </c>
      <c r="I1832" s="4">
        <v>100638.28079999999</v>
      </c>
      <c r="J1832" s="4">
        <v>603829.68479999993</v>
      </c>
      <c r="L1832" s="4">
        <v>6</v>
      </c>
    </row>
    <row r="1833" spans="1:12">
      <c r="A1833" t="s">
        <v>107</v>
      </c>
      <c r="B1833" s="10">
        <v>45534</v>
      </c>
      <c r="C1833" s="18">
        <f t="shared" si="28"/>
        <v>8</v>
      </c>
      <c r="D1833" t="s">
        <v>162</v>
      </c>
      <c r="E1833">
        <v>4874391</v>
      </c>
      <c r="F1833" t="s">
        <v>8</v>
      </c>
      <c r="G1833" t="s">
        <v>203</v>
      </c>
      <c r="H1833" t="s">
        <v>235</v>
      </c>
      <c r="I1833" s="4">
        <v>125766.4408</v>
      </c>
      <c r="J1833" s="4">
        <v>251532.88159999999</v>
      </c>
      <c r="L1833" s="4">
        <v>2</v>
      </c>
    </row>
    <row r="1834" spans="1:12">
      <c r="A1834" t="s">
        <v>107</v>
      </c>
      <c r="B1834" s="10">
        <v>45534</v>
      </c>
      <c r="C1834" s="18">
        <f t="shared" si="28"/>
        <v>8</v>
      </c>
      <c r="D1834" t="s">
        <v>162</v>
      </c>
      <c r="E1834">
        <v>4874391</v>
      </c>
      <c r="F1834" t="s">
        <v>8</v>
      </c>
      <c r="G1834" t="s">
        <v>203</v>
      </c>
      <c r="H1834" t="s">
        <v>231</v>
      </c>
      <c r="I1834" s="4">
        <v>125766.4408</v>
      </c>
      <c r="J1834" s="4">
        <v>503065.76319999999</v>
      </c>
      <c r="L1834" s="4">
        <v>4</v>
      </c>
    </row>
    <row r="1835" spans="1:12">
      <c r="A1835" t="s">
        <v>107</v>
      </c>
      <c r="B1835" s="10">
        <v>45534</v>
      </c>
      <c r="C1835" s="18">
        <f t="shared" si="28"/>
        <v>8</v>
      </c>
      <c r="D1835" t="s">
        <v>162</v>
      </c>
      <c r="E1835">
        <v>4878665</v>
      </c>
      <c r="F1835" t="s">
        <v>8</v>
      </c>
      <c r="G1835" t="s">
        <v>203</v>
      </c>
      <c r="H1835" t="s">
        <v>232</v>
      </c>
      <c r="I1835" s="4">
        <v>100638.28079999999</v>
      </c>
      <c r="J1835" s="4">
        <v>402553.12319999997</v>
      </c>
      <c r="L1835" s="4">
        <v>4</v>
      </c>
    </row>
    <row r="1836" spans="1:12">
      <c r="A1836" t="s">
        <v>107</v>
      </c>
      <c r="B1836" s="10">
        <v>45534</v>
      </c>
      <c r="C1836" s="18">
        <f t="shared" si="28"/>
        <v>8</v>
      </c>
      <c r="D1836" t="s">
        <v>162</v>
      </c>
      <c r="E1836">
        <v>4874459</v>
      </c>
      <c r="F1836" t="s">
        <v>8</v>
      </c>
      <c r="G1836" t="s">
        <v>203</v>
      </c>
      <c r="H1836" t="s">
        <v>232</v>
      </c>
      <c r="I1836" s="4">
        <v>100638.28079999999</v>
      </c>
      <c r="J1836" s="4">
        <v>1207659.3695999999</v>
      </c>
      <c r="L1836" s="4">
        <v>12</v>
      </c>
    </row>
    <row r="1837" spans="1:12">
      <c r="A1837" t="s">
        <v>107</v>
      </c>
      <c r="B1837" s="10">
        <v>45534</v>
      </c>
      <c r="C1837" s="18">
        <f t="shared" si="28"/>
        <v>8</v>
      </c>
      <c r="D1837" t="s">
        <v>162</v>
      </c>
      <c r="E1837">
        <v>4874459</v>
      </c>
      <c r="F1837" t="s">
        <v>8</v>
      </c>
      <c r="G1837" t="s">
        <v>203</v>
      </c>
      <c r="H1837" t="s">
        <v>235</v>
      </c>
      <c r="I1837" s="4">
        <v>125766.4408</v>
      </c>
      <c r="J1837" s="4">
        <v>251532.88159999999</v>
      </c>
      <c r="L1837" s="4">
        <v>2</v>
      </c>
    </row>
    <row r="1838" spans="1:12">
      <c r="A1838" t="s">
        <v>107</v>
      </c>
      <c r="B1838" s="10">
        <v>45534</v>
      </c>
      <c r="C1838" s="18">
        <f t="shared" si="28"/>
        <v>8</v>
      </c>
      <c r="D1838" t="s">
        <v>162</v>
      </c>
      <c r="E1838">
        <v>4874459</v>
      </c>
      <c r="F1838" t="s">
        <v>8</v>
      </c>
      <c r="G1838" t="s">
        <v>203</v>
      </c>
      <c r="H1838" t="s">
        <v>231</v>
      </c>
      <c r="I1838" s="4">
        <v>125766.4408</v>
      </c>
      <c r="J1838" s="4">
        <v>503065.76319999999</v>
      </c>
      <c r="L1838" s="4">
        <v>4</v>
      </c>
    </row>
    <row r="1839" spans="1:12">
      <c r="A1839" t="s">
        <v>107</v>
      </c>
      <c r="B1839" s="10">
        <v>45535</v>
      </c>
      <c r="C1839" s="18">
        <f t="shared" si="28"/>
        <v>8</v>
      </c>
      <c r="D1839" t="s">
        <v>167</v>
      </c>
      <c r="E1839">
        <v>4875363</v>
      </c>
      <c r="F1839" t="s">
        <v>8</v>
      </c>
      <c r="G1839" t="s">
        <v>203</v>
      </c>
      <c r="H1839" t="s">
        <v>239</v>
      </c>
      <c r="I1839" s="4">
        <v>125766.4408</v>
      </c>
      <c r="J1839" s="4">
        <v>377299.3224</v>
      </c>
      <c r="L1839" s="4">
        <v>3</v>
      </c>
    </row>
    <row r="1840" spans="1:12">
      <c r="A1840" t="s">
        <v>107</v>
      </c>
      <c r="B1840" s="10">
        <v>45535</v>
      </c>
      <c r="C1840" s="18">
        <f t="shared" si="28"/>
        <v>8</v>
      </c>
      <c r="D1840" t="s">
        <v>167</v>
      </c>
      <c r="E1840">
        <v>4875363</v>
      </c>
      <c r="F1840" t="s">
        <v>8</v>
      </c>
      <c r="G1840" t="s">
        <v>203</v>
      </c>
      <c r="H1840" t="s">
        <v>237</v>
      </c>
      <c r="I1840" s="4">
        <v>125766.4408</v>
      </c>
      <c r="J1840" s="4">
        <v>251532.88159999999</v>
      </c>
      <c r="L1840" s="4">
        <v>2</v>
      </c>
    </row>
    <row r="1841" spans="1:12">
      <c r="A1841" t="s">
        <v>91</v>
      </c>
      <c r="B1841" s="10">
        <v>45506</v>
      </c>
      <c r="C1841" s="18">
        <f t="shared" si="28"/>
        <v>8</v>
      </c>
      <c r="D1841" t="s">
        <v>148</v>
      </c>
      <c r="E1841">
        <v>6474241</v>
      </c>
      <c r="F1841" t="s">
        <v>88</v>
      </c>
      <c r="G1841" t="s">
        <v>203</v>
      </c>
      <c r="H1841" t="s">
        <v>234</v>
      </c>
      <c r="I1841" s="4">
        <v>100638.28079999999</v>
      </c>
      <c r="J1841" s="4">
        <v>2012765.6159999999</v>
      </c>
      <c r="K1841" s="4">
        <v>-86692.152000000002</v>
      </c>
      <c r="L1841" s="4">
        <v>20</v>
      </c>
    </row>
    <row r="1842" spans="1:12">
      <c r="A1842" t="s">
        <v>91</v>
      </c>
      <c r="B1842" s="10">
        <v>45506</v>
      </c>
      <c r="C1842" s="18">
        <f t="shared" si="28"/>
        <v>8</v>
      </c>
      <c r="D1842" t="s">
        <v>148</v>
      </c>
      <c r="E1842">
        <v>6474241</v>
      </c>
      <c r="F1842" t="s">
        <v>88</v>
      </c>
      <c r="G1842" t="s">
        <v>203</v>
      </c>
      <c r="H1842" t="s">
        <v>227</v>
      </c>
      <c r="I1842" s="4">
        <v>100638.28079999999</v>
      </c>
      <c r="J1842" s="4">
        <v>603829.68479999993</v>
      </c>
      <c r="K1842" s="4">
        <v>-26007.645599999996</v>
      </c>
      <c r="L1842" s="4">
        <v>6</v>
      </c>
    </row>
    <row r="1843" spans="1:12">
      <c r="A1843" t="s">
        <v>91</v>
      </c>
      <c r="B1843" s="10">
        <v>45506</v>
      </c>
      <c r="C1843" s="18">
        <f t="shared" si="28"/>
        <v>8</v>
      </c>
      <c r="D1843" t="s">
        <v>148</v>
      </c>
      <c r="E1843">
        <v>6536128</v>
      </c>
      <c r="F1843" t="s">
        <v>90</v>
      </c>
      <c r="G1843" t="s">
        <v>204</v>
      </c>
      <c r="H1843" t="s">
        <v>214</v>
      </c>
      <c r="I1843" s="4">
        <v>119484.4008</v>
      </c>
      <c r="J1843" s="4">
        <v>-1194844.0079999999</v>
      </c>
      <c r="K1843" s="4">
        <v>59679.38</v>
      </c>
      <c r="L1843" s="4">
        <v>-10</v>
      </c>
    </row>
    <row r="1844" spans="1:12">
      <c r="A1844" t="s">
        <v>91</v>
      </c>
      <c r="B1844" s="10">
        <v>45517</v>
      </c>
      <c r="C1844" s="18">
        <f t="shared" si="28"/>
        <v>8</v>
      </c>
      <c r="D1844" t="s">
        <v>148</v>
      </c>
      <c r="E1844">
        <v>6080397</v>
      </c>
      <c r="F1844" t="s">
        <v>88</v>
      </c>
      <c r="G1844" t="s">
        <v>204</v>
      </c>
      <c r="H1844" t="s">
        <v>217</v>
      </c>
      <c r="I1844" s="4">
        <v>78022.936799999996</v>
      </c>
      <c r="J1844" s="4">
        <v>936275.24159999995</v>
      </c>
      <c r="K1844" s="4">
        <v>-42969.153599999998</v>
      </c>
      <c r="L1844" s="4">
        <v>12</v>
      </c>
    </row>
    <row r="1845" spans="1:12">
      <c r="A1845" t="s">
        <v>91</v>
      </c>
      <c r="B1845" s="10">
        <v>45525</v>
      </c>
      <c r="C1845" s="18">
        <f t="shared" si="28"/>
        <v>8</v>
      </c>
      <c r="D1845" t="s">
        <v>148</v>
      </c>
      <c r="E1845">
        <v>6080443</v>
      </c>
      <c r="F1845" t="s">
        <v>88</v>
      </c>
      <c r="G1845" t="s">
        <v>204</v>
      </c>
      <c r="H1845" t="s">
        <v>212</v>
      </c>
      <c r="I1845" s="4">
        <v>62946.040799999995</v>
      </c>
      <c r="J1845" s="4">
        <v>503568.32639999996</v>
      </c>
      <c r="K1845" s="4">
        <v>-15076.895999999999</v>
      </c>
      <c r="L1845" s="4">
        <v>8</v>
      </c>
    </row>
    <row r="1846" spans="1:12">
      <c r="A1846" t="s">
        <v>91</v>
      </c>
      <c r="B1846" s="10">
        <v>45525</v>
      </c>
      <c r="C1846" s="18">
        <f t="shared" si="28"/>
        <v>8</v>
      </c>
      <c r="D1846" t="s">
        <v>148</v>
      </c>
      <c r="E1846">
        <v>6080589</v>
      </c>
      <c r="F1846" t="s">
        <v>87</v>
      </c>
      <c r="G1846" t="s">
        <v>202</v>
      </c>
      <c r="H1846" t="s">
        <v>259</v>
      </c>
      <c r="I1846" s="4">
        <v>30279.432800000002</v>
      </c>
      <c r="J1846" s="4">
        <v>3027943.2800000003</v>
      </c>
      <c r="L1846" s="4">
        <v>100</v>
      </c>
    </row>
    <row r="1847" spans="1:12">
      <c r="A1847" t="s">
        <v>91</v>
      </c>
      <c r="B1847" s="10">
        <v>45534</v>
      </c>
      <c r="C1847" s="18">
        <f t="shared" si="28"/>
        <v>8</v>
      </c>
      <c r="D1847" t="s">
        <v>148</v>
      </c>
      <c r="E1847">
        <v>6536135</v>
      </c>
      <c r="F1847" t="s">
        <v>89</v>
      </c>
      <c r="G1847" t="s">
        <v>204</v>
      </c>
      <c r="H1847" t="s">
        <v>214</v>
      </c>
      <c r="I1847" s="4">
        <v>119484.4008</v>
      </c>
      <c r="J1847" s="4">
        <v>238968.80160000001</v>
      </c>
      <c r="K1847" s="4">
        <v>-11935.876</v>
      </c>
      <c r="L1847" s="4">
        <v>2</v>
      </c>
    </row>
    <row r="1848" spans="1:12">
      <c r="A1848" t="s">
        <v>92</v>
      </c>
      <c r="B1848" s="10">
        <v>45509</v>
      </c>
      <c r="C1848" s="18">
        <f t="shared" si="28"/>
        <v>8</v>
      </c>
      <c r="D1848" t="s">
        <v>179</v>
      </c>
      <c r="E1848">
        <v>6499774</v>
      </c>
      <c r="F1848" t="s">
        <v>88</v>
      </c>
      <c r="G1848" t="s">
        <v>203</v>
      </c>
      <c r="H1848" t="s">
        <v>224</v>
      </c>
      <c r="I1848" s="4">
        <v>100638.28079999999</v>
      </c>
      <c r="J1848" s="4">
        <v>2012765.6159999999</v>
      </c>
      <c r="L1848" s="4">
        <v>20</v>
      </c>
    </row>
    <row r="1849" spans="1:12">
      <c r="A1849" t="s">
        <v>92</v>
      </c>
      <c r="B1849" s="10">
        <v>45510</v>
      </c>
      <c r="C1849" s="18">
        <f t="shared" si="28"/>
        <v>8</v>
      </c>
      <c r="D1849" t="s">
        <v>179</v>
      </c>
      <c r="E1849">
        <v>6700802</v>
      </c>
      <c r="F1849" t="s">
        <v>87</v>
      </c>
      <c r="G1849" t="s">
        <v>203</v>
      </c>
      <c r="H1849" t="s">
        <v>245</v>
      </c>
      <c r="I1849" s="4">
        <v>100638.28079999999</v>
      </c>
      <c r="J1849" s="4">
        <v>2012765.6159999999</v>
      </c>
      <c r="L1849" s="4">
        <v>20</v>
      </c>
    </row>
    <row r="1850" spans="1:12">
      <c r="A1850" t="s">
        <v>92</v>
      </c>
      <c r="B1850" s="10">
        <v>45510</v>
      </c>
      <c r="C1850" s="18">
        <f t="shared" si="28"/>
        <v>8</v>
      </c>
      <c r="D1850" t="s">
        <v>179</v>
      </c>
      <c r="E1850">
        <v>6700770</v>
      </c>
      <c r="F1850" t="s">
        <v>89</v>
      </c>
      <c r="G1850" t="s">
        <v>203</v>
      </c>
      <c r="H1850" t="s">
        <v>245</v>
      </c>
      <c r="I1850" s="4">
        <v>100638.28079999999</v>
      </c>
      <c r="J1850" s="4">
        <v>1006382.808</v>
      </c>
      <c r="L1850" s="4">
        <v>10</v>
      </c>
    </row>
    <row r="1851" spans="1:12">
      <c r="A1851" t="s">
        <v>92</v>
      </c>
      <c r="B1851" s="10">
        <v>45510</v>
      </c>
      <c r="C1851" s="18">
        <f t="shared" si="28"/>
        <v>8</v>
      </c>
      <c r="D1851" t="s">
        <v>179</v>
      </c>
      <c r="E1851">
        <v>6700770</v>
      </c>
      <c r="F1851" t="s">
        <v>89</v>
      </c>
      <c r="G1851" t="s">
        <v>203</v>
      </c>
      <c r="H1851" t="s">
        <v>244</v>
      </c>
      <c r="I1851" s="4">
        <v>125766.4408</v>
      </c>
      <c r="J1851" s="4">
        <v>1131897.9672000001</v>
      </c>
      <c r="L1851" s="4">
        <v>9</v>
      </c>
    </row>
    <row r="1852" spans="1:12">
      <c r="A1852" t="s">
        <v>92</v>
      </c>
      <c r="B1852" s="10">
        <v>45510</v>
      </c>
      <c r="C1852" s="18">
        <f t="shared" si="28"/>
        <v>8</v>
      </c>
      <c r="D1852" t="s">
        <v>179</v>
      </c>
      <c r="E1852">
        <v>6700758</v>
      </c>
      <c r="F1852" t="s">
        <v>88</v>
      </c>
      <c r="G1852" t="s">
        <v>203</v>
      </c>
      <c r="H1852" t="s">
        <v>245</v>
      </c>
      <c r="I1852" s="4">
        <v>100638.28079999999</v>
      </c>
      <c r="J1852" s="4">
        <v>603829.68479999993</v>
      </c>
      <c r="L1852" s="4">
        <v>6</v>
      </c>
    </row>
    <row r="1853" spans="1:12">
      <c r="A1853" t="s">
        <v>92</v>
      </c>
      <c r="B1853" s="10">
        <v>45510</v>
      </c>
      <c r="C1853" s="18">
        <f t="shared" si="28"/>
        <v>8</v>
      </c>
      <c r="D1853" t="s">
        <v>179</v>
      </c>
      <c r="E1853">
        <v>6700758</v>
      </c>
      <c r="F1853" t="s">
        <v>88</v>
      </c>
      <c r="G1853" t="s">
        <v>203</v>
      </c>
      <c r="H1853" t="s">
        <v>244</v>
      </c>
      <c r="I1853" s="4">
        <v>125766.4408</v>
      </c>
      <c r="J1853" s="4">
        <v>754598.64480000001</v>
      </c>
      <c r="L1853" s="4">
        <v>6</v>
      </c>
    </row>
    <row r="1854" spans="1:12">
      <c r="A1854" t="s">
        <v>92</v>
      </c>
      <c r="B1854" s="10">
        <v>45510</v>
      </c>
      <c r="C1854" s="18">
        <f t="shared" si="28"/>
        <v>8</v>
      </c>
      <c r="D1854" t="s">
        <v>179</v>
      </c>
      <c r="E1854">
        <v>6700779</v>
      </c>
      <c r="F1854" t="s">
        <v>90</v>
      </c>
      <c r="G1854" t="s">
        <v>203</v>
      </c>
      <c r="H1854" t="s">
        <v>245</v>
      </c>
      <c r="I1854" s="4">
        <v>100638.28079999999</v>
      </c>
      <c r="J1854" s="4">
        <v>402553.12319999997</v>
      </c>
      <c r="K1854" s="4">
        <v>-17338.430399999997</v>
      </c>
      <c r="L1854" s="4">
        <v>4</v>
      </c>
    </row>
    <row r="1855" spans="1:12">
      <c r="A1855" t="s">
        <v>92</v>
      </c>
      <c r="B1855" s="10">
        <v>45510</v>
      </c>
      <c r="C1855" s="18">
        <f t="shared" si="28"/>
        <v>8</v>
      </c>
      <c r="D1855" t="s">
        <v>179</v>
      </c>
      <c r="E1855">
        <v>6700769</v>
      </c>
      <c r="F1855" t="s">
        <v>88</v>
      </c>
      <c r="G1855" t="s">
        <v>203</v>
      </c>
      <c r="H1855" t="s">
        <v>243</v>
      </c>
      <c r="I1855" s="4">
        <v>100638.28079999999</v>
      </c>
      <c r="J1855" s="4">
        <v>2012765.6159999999</v>
      </c>
      <c r="L1855" s="4">
        <v>20</v>
      </c>
    </row>
    <row r="1856" spans="1:12">
      <c r="A1856" t="s">
        <v>92</v>
      </c>
      <c r="B1856" s="10">
        <v>45510</v>
      </c>
      <c r="C1856" s="18">
        <f t="shared" si="28"/>
        <v>8</v>
      </c>
      <c r="D1856" t="s">
        <v>179</v>
      </c>
      <c r="E1856">
        <v>6700769</v>
      </c>
      <c r="F1856" t="s">
        <v>88</v>
      </c>
      <c r="G1856" t="s">
        <v>203</v>
      </c>
      <c r="H1856" t="s">
        <v>244</v>
      </c>
      <c r="I1856" s="4">
        <v>125766.4408</v>
      </c>
      <c r="J1856" s="4">
        <v>1131897.9672000001</v>
      </c>
      <c r="L1856" s="4">
        <v>9</v>
      </c>
    </row>
    <row r="1857" spans="1:12">
      <c r="A1857" t="s">
        <v>92</v>
      </c>
      <c r="B1857" s="10">
        <v>45510</v>
      </c>
      <c r="C1857" s="18">
        <f t="shared" si="28"/>
        <v>8</v>
      </c>
      <c r="D1857" t="s">
        <v>179</v>
      </c>
      <c r="E1857">
        <v>6700752</v>
      </c>
      <c r="F1857" t="s">
        <v>89</v>
      </c>
      <c r="G1857" t="s">
        <v>203</v>
      </c>
      <c r="H1857" t="s">
        <v>243</v>
      </c>
      <c r="I1857" s="4">
        <v>100638.28079999999</v>
      </c>
      <c r="J1857" s="4">
        <v>1006382.808</v>
      </c>
      <c r="L1857" s="4">
        <v>10</v>
      </c>
    </row>
    <row r="1858" spans="1:12">
      <c r="A1858" t="s">
        <v>92</v>
      </c>
      <c r="B1858" s="10">
        <v>45510</v>
      </c>
      <c r="C1858" s="18">
        <f t="shared" ref="C1858:C1921" si="29">MONTH(B1858)</f>
        <v>8</v>
      </c>
      <c r="D1858" t="s">
        <v>179</v>
      </c>
      <c r="E1858">
        <v>6700752</v>
      </c>
      <c r="F1858" t="s">
        <v>89</v>
      </c>
      <c r="G1858" t="s">
        <v>203</v>
      </c>
      <c r="H1858" t="s">
        <v>244</v>
      </c>
      <c r="I1858" s="4">
        <v>125766.4408</v>
      </c>
      <c r="J1858" s="4">
        <v>628832.20400000003</v>
      </c>
      <c r="L1858" s="4">
        <v>5</v>
      </c>
    </row>
    <row r="1859" spans="1:12">
      <c r="A1859" t="s">
        <v>92</v>
      </c>
      <c r="B1859" s="10">
        <v>45511</v>
      </c>
      <c r="C1859" s="18">
        <f t="shared" si="29"/>
        <v>8</v>
      </c>
      <c r="D1859" t="s">
        <v>179</v>
      </c>
      <c r="E1859">
        <v>6499707</v>
      </c>
      <c r="F1859" t="s">
        <v>88</v>
      </c>
      <c r="G1859" t="s">
        <v>203</v>
      </c>
      <c r="H1859" t="s">
        <v>245</v>
      </c>
      <c r="I1859" s="4">
        <v>100638.28079999999</v>
      </c>
      <c r="J1859" s="4">
        <v>402553.12319999997</v>
      </c>
      <c r="L1859" s="4">
        <v>4</v>
      </c>
    </row>
    <row r="1860" spans="1:12">
      <c r="A1860" t="s">
        <v>92</v>
      </c>
      <c r="B1860" s="10">
        <v>45515</v>
      </c>
      <c r="C1860" s="18">
        <f t="shared" si="29"/>
        <v>8</v>
      </c>
      <c r="D1860" t="s">
        <v>179</v>
      </c>
      <c r="E1860">
        <v>6700787</v>
      </c>
      <c r="F1860" t="s">
        <v>88</v>
      </c>
      <c r="G1860" t="s">
        <v>203</v>
      </c>
      <c r="H1860" t="s">
        <v>243</v>
      </c>
      <c r="I1860" s="4">
        <v>100638.28079999999</v>
      </c>
      <c r="J1860" s="4">
        <v>3019148.4239999996</v>
      </c>
      <c r="K1860" s="4">
        <v>-130038.22799999999</v>
      </c>
      <c r="L1860" s="4">
        <v>30</v>
      </c>
    </row>
    <row r="1861" spans="1:12">
      <c r="A1861" t="s">
        <v>92</v>
      </c>
      <c r="B1861" s="10">
        <v>45515</v>
      </c>
      <c r="C1861" s="18">
        <f t="shared" si="29"/>
        <v>8</v>
      </c>
      <c r="D1861" t="s">
        <v>179</v>
      </c>
      <c r="E1861">
        <v>6700787</v>
      </c>
      <c r="F1861" t="s">
        <v>88</v>
      </c>
      <c r="G1861" t="s">
        <v>203</v>
      </c>
      <c r="H1861" t="s">
        <v>242</v>
      </c>
      <c r="I1861" s="4">
        <v>100638.28079999999</v>
      </c>
      <c r="J1861" s="4">
        <v>6038296.8479999993</v>
      </c>
      <c r="K1861" s="4">
        <v>-260076.45599999998</v>
      </c>
      <c r="L1861" s="4">
        <v>60</v>
      </c>
    </row>
    <row r="1862" spans="1:12">
      <c r="A1862" t="s">
        <v>92</v>
      </c>
      <c r="B1862" s="10">
        <v>45515</v>
      </c>
      <c r="C1862" s="18">
        <f t="shared" si="29"/>
        <v>8</v>
      </c>
      <c r="D1862" t="s">
        <v>179</v>
      </c>
      <c r="E1862">
        <v>6700787</v>
      </c>
      <c r="F1862" t="s">
        <v>88</v>
      </c>
      <c r="G1862" t="s">
        <v>203</v>
      </c>
      <c r="H1862" t="s">
        <v>238</v>
      </c>
      <c r="I1862" s="4">
        <v>95606.36675999999</v>
      </c>
      <c r="J1862" s="4">
        <v>3824254.6703999997</v>
      </c>
      <c r="K1862" s="4">
        <v>-173384.304</v>
      </c>
      <c r="L1862" s="4">
        <v>40</v>
      </c>
    </row>
    <row r="1863" spans="1:12">
      <c r="A1863" t="s">
        <v>92</v>
      </c>
      <c r="B1863" s="10">
        <v>45515</v>
      </c>
      <c r="C1863" s="18">
        <f t="shared" si="29"/>
        <v>8</v>
      </c>
      <c r="D1863" t="s">
        <v>179</v>
      </c>
      <c r="E1863">
        <v>6700787</v>
      </c>
      <c r="F1863" t="s">
        <v>88</v>
      </c>
      <c r="G1863" t="s">
        <v>203</v>
      </c>
      <c r="H1863" t="s">
        <v>236</v>
      </c>
      <c r="I1863" s="4">
        <v>100638.28079999999</v>
      </c>
      <c r="J1863" s="4">
        <v>12076593.695999999</v>
      </c>
      <c r="K1863" s="4">
        <v>-520152.91199999995</v>
      </c>
      <c r="L1863" s="4">
        <v>120</v>
      </c>
    </row>
    <row r="1864" spans="1:12">
      <c r="A1864" t="s">
        <v>92</v>
      </c>
      <c r="B1864" s="10">
        <v>45515</v>
      </c>
      <c r="C1864" s="18">
        <f t="shared" si="29"/>
        <v>8</v>
      </c>
      <c r="D1864" t="s">
        <v>179</v>
      </c>
      <c r="E1864">
        <v>6700787</v>
      </c>
      <c r="F1864" t="s">
        <v>88</v>
      </c>
      <c r="G1864" t="s">
        <v>203</v>
      </c>
      <c r="H1864" t="s">
        <v>234</v>
      </c>
      <c r="I1864" s="4">
        <v>100638.28079999999</v>
      </c>
      <c r="J1864" s="4">
        <v>4025531.2319999998</v>
      </c>
      <c r="K1864" s="4">
        <v>-173384.304</v>
      </c>
      <c r="L1864" s="4">
        <v>40</v>
      </c>
    </row>
    <row r="1865" spans="1:12">
      <c r="A1865" t="s">
        <v>92</v>
      </c>
      <c r="B1865" s="10">
        <v>45515</v>
      </c>
      <c r="C1865" s="18">
        <f t="shared" si="29"/>
        <v>8</v>
      </c>
      <c r="D1865" t="s">
        <v>179</v>
      </c>
      <c r="E1865">
        <v>6700787</v>
      </c>
      <c r="F1865" t="s">
        <v>88</v>
      </c>
      <c r="G1865" t="s">
        <v>203</v>
      </c>
      <c r="H1865" t="s">
        <v>232</v>
      </c>
      <c r="I1865" s="4">
        <v>100638.28079999999</v>
      </c>
      <c r="J1865" s="4">
        <v>3019148.4239999996</v>
      </c>
      <c r="K1865" s="4">
        <v>-130038.22799999999</v>
      </c>
      <c r="L1865" s="4">
        <v>30</v>
      </c>
    </row>
    <row r="1866" spans="1:12">
      <c r="A1866" t="s">
        <v>92</v>
      </c>
      <c r="B1866" s="10">
        <v>45515</v>
      </c>
      <c r="C1866" s="18">
        <f t="shared" si="29"/>
        <v>8</v>
      </c>
      <c r="D1866" t="s">
        <v>179</v>
      </c>
      <c r="E1866">
        <v>6700787</v>
      </c>
      <c r="F1866" t="s">
        <v>88</v>
      </c>
      <c r="G1866" t="s">
        <v>203</v>
      </c>
      <c r="H1866" t="s">
        <v>230</v>
      </c>
      <c r="I1866" s="4">
        <v>100638.28079999999</v>
      </c>
      <c r="J1866" s="4">
        <v>3019148.4239999996</v>
      </c>
      <c r="K1866" s="4">
        <v>-130038.22799999999</v>
      </c>
      <c r="L1866" s="4">
        <v>30</v>
      </c>
    </row>
    <row r="1867" spans="1:12">
      <c r="A1867" t="s">
        <v>92</v>
      </c>
      <c r="B1867" s="10">
        <v>45515</v>
      </c>
      <c r="C1867" s="18">
        <f t="shared" si="29"/>
        <v>8</v>
      </c>
      <c r="D1867" t="s">
        <v>179</v>
      </c>
      <c r="E1867">
        <v>6700787</v>
      </c>
      <c r="F1867" t="s">
        <v>88</v>
      </c>
      <c r="G1867" t="s">
        <v>203</v>
      </c>
      <c r="H1867" t="s">
        <v>244</v>
      </c>
      <c r="I1867" s="4">
        <v>125766.4408</v>
      </c>
      <c r="J1867" s="4">
        <v>6036789.1584000001</v>
      </c>
      <c r="K1867" s="4">
        <v>-271384.12800000003</v>
      </c>
      <c r="L1867" s="4">
        <v>48</v>
      </c>
    </row>
    <row r="1868" spans="1:12">
      <c r="A1868" t="s">
        <v>92</v>
      </c>
      <c r="B1868" s="10">
        <v>45515</v>
      </c>
      <c r="C1868" s="18">
        <f t="shared" si="29"/>
        <v>8</v>
      </c>
      <c r="D1868" t="s">
        <v>179</v>
      </c>
      <c r="E1868">
        <v>6700787</v>
      </c>
      <c r="F1868" t="s">
        <v>88</v>
      </c>
      <c r="G1868" t="s">
        <v>203</v>
      </c>
      <c r="H1868" t="s">
        <v>241</v>
      </c>
      <c r="I1868" s="4">
        <v>125766.4408</v>
      </c>
      <c r="J1868" s="4">
        <v>6791387.8032</v>
      </c>
      <c r="K1868" s="4">
        <v>-305307.14400000003</v>
      </c>
      <c r="L1868" s="4">
        <v>54</v>
      </c>
    </row>
    <row r="1869" spans="1:12">
      <c r="A1869" t="s">
        <v>92</v>
      </c>
      <c r="B1869" s="10">
        <v>45515</v>
      </c>
      <c r="C1869" s="18">
        <f t="shared" si="29"/>
        <v>8</v>
      </c>
      <c r="D1869" t="s">
        <v>179</v>
      </c>
      <c r="E1869">
        <v>6700787</v>
      </c>
      <c r="F1869" t="s">
        <v>88</v>
      </c>
      <c r="G1869" t="s">
        <v>203</v>
      </c>
      <c r="H1869" t="s">
        <v>239</v>
      </c>
      <c r="I1869" s="4">
        <v>125766.4408</v>
      </c>
      <c r="J1869" s="4">
        <v>3898759.6647999999</v>
      </c>
      <c r="K1869" s="4">
        <v>-175268.916</v>
      </c>
      <c r="L1869" s="4">
        <v>31</v>
      </c>
    </row>
    <row r="1870" spans="1:12">
      <c r="A1870" t="s">
        <v>92</v>
      </c>
      <c r="B1870" s="10">
        <v>45515</v>
      </c>
      <c r="C1870" s="18">
        <f t="shared" si="29"/>
        <v>8</v>
      </c>
      <c r="D1870" t="s">
        <v>179</v>
      </c>
      <c r="E1870">
        <v>6700787</v>
      </c>
      <c r="F1870" t="s">
        <v>88</v>
      </c>
      <c r="G1870" t="s">
        <v>203</v>
      </c>
      <c r="H1870" t="s">
        <v>237</v>
      </c>
      <c r="I1870" s="4">
        <v>125766.4408</v>
      </c>
      <c r="J1870" s="4">
        <v>5282190.5136000002</v>
      </c>
      <c r="K1870" s="4">
        <v>-237461.11199999999</v>
      </c>
      <c r="L1870" s="4">
        <v>42</v>
      </c>
    </row>
    <row r="1871" spans="1:12">
      <c r="A1871" t="s">
        <v>92</v>
      </c>
      <c r="B1871" s="10">
        <v>45515</v>
      </c>
      <c r="C1871" s="18">
        <f t="shared" si="29"/>
        <v>8</v>
      </c>
      <c r="D1871" t="s">
        <v>179</v>
      </c>
      <c r="E1871">
        <v>6700787</v>
      </c>
      <c r="F1871" t="s">
        <v>88</v>
      </c>
      <c r="G1871" t="s">
        <v>203</v>
      </c>
      <c r="H1871" t="s">
        <v>235</v>
      </c>
      <c r="I1871" s="4">
        <v>125766.4408</v>
      </c>
      <c r="J1871" s="4">
        <v>628832.20400000003</v>
      </c>
      <c r="K1871" s="4">
        <v>-28269.18</v>
      </c>
      <c r="L1871" s="4">
        <v>5</v>
      </c>
    </row>
    <row r="1872" spans="1:12">
      <c r="A1872" t="s">
        <v>92</v>
      </c>
      <c r="B1872" s="10">
        <v>45518</v>
      </c>
      <c r="C1872" s="18">
        <f t="shared" si="29"/>
        <v>8</v>
      </c>
      <c r="D1872" t="s">
        <v>179</v>
      </c>
      <c r="E1872">
        <v>6700769</v>
      </c>
      <c r="F1872" t="s">
        <v>88</v>
      </c>
      <c r="G1872" t="s">
        <v>203</v>
      </c>
      <c r="H1872" t="s">
        <v>240</v>
      </c>
      <c r="I1872" s="4">
        <v>100638.28079999999</v>
      </c>
      <c r="J1872" s="4">
        <v>5031914.04</v>
      </c>
      <c r="K1872" s="4">
        <v>-216730.38</v>
      </c>
      <c r="L1872" s="4">
        <v>50</v>
      </c>
    </row>
    <row r="1873" spans="1:12">
      <c r="A1873" t="s">
        <v>92</v>
      </c>
      <c r="B1873" s="10">
        <v>45518</v>
      </c>
      <c r="C1873" s="18">
        <f t="shared" si="29"/>
        <v>8</v>
      </c>
      <c r="D1873" t="s">
        <v>179</v>
      </c>
      <c r="E1873">
        <v>6700769</v>
      </c>
      <c r="F1873" t="s">
        <v>88</v>
      </c>
      <c r="G1873" t="s">
        <v>203</v>
      </c>
      <c r="H1873" t="s">
        <v>235</v>
      </c>
      <c r="I1873" s="4">
        <v>125766.4408</v>
      </c>
      <c r="J1873" s="4">
        <v>754598.64480000001</v>
      </c>
      <c r="K1873" s="4">
        <v>-33923.016000000003</v>
      </c>
      <c r="L1873" s="4">
        <v>6</v>
      </c>
    </row>
    <row r="1874" spans="1:12">
      <c r="A1874" t="s">
        <v>92</v>
      </c>
      <c r="B1874" s="10">
        <v>45518</v>
      </c>
      <c r="C1874" s="18">
        <f t="shared" si="29"/>
        <v>8</v>
      </c>
      <c r="D1874" t="s">
        <v>179</v>
      </c>
      <c r="E1874">
        <v>6700769</v>
      </c>
      <c r="F1874" t="s">
        <v>88</v>
      </c>
      <c r="G1874" t="s">
        <v>203</v>
      </c>
      <c r="H1874" t="s">
        <v>233</v>
      </c>
      <c r="I1874" s="4">
        <v>120735.78316800001</v>
      </c>
      <c r="J1874" s="4">
        <v>2414715.6633600001</v>
      </c>
      <c r="K1874" s="4">
        <v>-113076.72</v>
      </c>
      <c r="L1874" s="4">
        <v>20</v>
      </c>
    </row>
    <row r="1875" spans="1:12">
      <c r="A1875" t="s">
        <v>92</v>
      </c>
      <c r="B1875" s="10">
        <v>45518</v>
      </c>
      <c r="C1875" s="18">
        <f t="shared" si="29"/>
        <v>8</v>
      </c>
      <c r="D1875" t="s">
        <v>179</v>
      </c>
      <c r="E1875">
        <v>6700769</v>
      </c>
      <c r="F1875" t="s">
        <v>88</v>
      </c>
      <c r="G1875" t="s">
        <v>203</v>
      </c>
      <c r="H1875" t="s">
        <v>231</v>
      </c>
      <c r="I1875" s="4">
        <v>125766.4408</v>
      </c>
      <c r="J1875" s="4">
        <v>1257664.4080000001</v>
      </c>
      <c r="K1875" s="4">
        <v>-56538.36</v>
      </c>
      <c r="L1875" s="4">
        <v>10</v>
      </c>
    </row>
    <row r="1876" spans="1:12">
      <c r="A1876" t="s">
        <v>92</v>
      </c>
      <c r="B1876" s="10">
        <v>45520</v>
      </c>
      <c r="C1876" s="18">
        <f t="shared" si="29"/>
        <v>8</v>
      </c>
      <c r="D1876" t="s">
        <v>179</v>
      </c>
      <c r="E1876">
        <v>6499774</v>
      </c>
      <c r="F1876" t="s">
        <v>88</v>
      </c>
      <c r="G1876" t="s">
        <v>203</v>
      </c>
      <c r="H1876" t="s">
        <v>240</v>
      </c>
      <c r="I1876" s="4">
        <v>100638.28079999999</v>
      </c>
      <c r="J1876" s="4">
        <v>1006382.808</v>
      </c>
      <c r="K1876" s="4">
        <v>-43346.076000000001</v>
      </c>
      <c r="L1876" s="4">
        <v>10</v>
      </c>
    </row>
    <row r="1877" spans="1:12">
      <c r="A1877" t="s">
        <v>92</v>
      </c>
      <c r="B1877" s="10">
        <v>45520</v>
      </c>
      <c r="C1877" s="18">
        <f t="shared" si="29"/>
        <v>8</v>
      </c>
      <c r="D1877" t="s">
        <v>179</v>
      </c>
      <c r="E1877">
        <v>6499774</v>
      </c>
      <c r="F1877" t="s">
        <v>88</v>
      </c>
      <c r="G1877" t="s">
        <v>203</v>
      </c>
      <c r="H1877" t="s">
        <v>228</v>
      </c>
      <c r="I1877" s="4">
        <v>100638.28079999999</v>
      </c>
      <c r="J1877" s="4">
        <v>805106.24639999995</v>
      </c>
      <c r="K1877" s="4">
        <v>-34676.860799999995</v>
      </c>
      <c r="L1877" s="4">
        <v>8</v>
      </c>
    </row>
    <row r="1878" spans="1:12">
      <c r="A1878" t="s">
        <v>92</v>
      </c>
      <c r="B1878" s="10">
        <v>45520</v>
      </c>
      <c r="C1878" s="18">
        <f t="shared" si="29"/>
        <v>8</v>
      </c>
      <c r="D1878" t="s">
        <v>179</v>
      </c>
      <c r="E1878">
        <v>6499774</v>
      </c>
      <c r="F1878" t="s">
        <v>88</v>
      </c>
      <c r="G1878" t="s">
        <v>203</v>
      </c>
      <c r="H1878" t="s">
        <v>227</v>
      </c>
      <c r="I1878" s="4">
        <v>100638.28079999999</v>
      </c>
      <c r="J1878" s="4">
        <v>201276.56159999999</v>
      </c>
      <c r="K1878" s="4">
        <v>-8669.2151999999987</v>
      </c>
      <c r="L1878" s="4">
        <v>2</v>
      </c>
    </row>
    <row r="1879" spans="1:12">
      <c r="A1879" t="s">
        <v>92</v>
      </c>
      <c r="B1879" s="10">
        <v>45520</v>
      </c>
      <c r="C1879" s="18">
        <f t="shared" si="29"/>
        <v>8</v>
      </c>
      <c r="D1879" t="s">
        <v>179</v>
      </c>
      <c r="E1879">
        <v>6499774</v>
      </c>
      <c r="F1879" t="s">
        <v>88</v>
      </c>
      <c r="G1879" t="s">
        <v>203</v>
      </c>
      <c r="H1879" t="s">
        <v>241</v>
      </c>
      <c r="I1879" s="4">
        <v>125766.4408</v>
      </c>
      <c r="J1879" s="4">
        <v>1257664.4080000001</v>
      </c>
      <c r="K1879" s="4">
        <v>-56538.36</v>
      </c>
      <c r="L1879" s="4">
        <v>10</v>
      </c>
    </row>
    <row r="1880" spans="1:12">
      <c r="A1880" t="s">
        <v>92</v>
      </c>
      <c r="B1880" s="10">
        <v>45520</v>
      </c>
      <c r="C1880" s="18">
        <f t="shared" si="29"/>
        <v>8</v>
      </c>
      <c r="D1880" t="s">
        <v>179</v>
      </c>
      <c r="E1880">
        <v>6499774</v>
      </c>
      <c r="F1880" t="s">
        <v>88</v>
      </c>
      <c r="G1880" t="s">
        <v>203</v>
      </c>
      <c r="H1880" t="s">
        <v>237</v>
      </c>
      <c r="I1880" s="4">
        <v>125766.4408</v>
      </c>
      <c r="J1880" s="4">
        <v>1257664.4080000001</v>
      </c>
      <c r="K1880" s="4">
        <v>-56538.36</v>
      </c>
      <c r="L1880" s="4">
        <v>10</v>
      </c>
    </row>
    <row r="1881" spans="1:12">
      <c r="A1881" t="s">
        <v>92</v>
      </c>
      <c r="B1881" s="10">
        <v>45522</v>
      </c>
      <c r="C1881" s="18">
        <f t="shared" si="29"/>
        <v>8</v>
      </c>
      <c r="D1881" t="s">
        <v>179</v>
      </c>
      <c r="E1881">
        <v>6989741</v>
      </c>
      <c r="F1881" t="s">
        <v>89</v>
      </c>
      <c r="G1881" t="s">
        <v>203</v>
      </c>
      <c r="H1881" t="s">
        <v>227</v>
      </c>
      <c r="I1881" s="4">
        <v>100638.28079999999</v>
      </c>
      <c r="J1881" s="4">
        <v>2012765.6159999999</v>
      </c>
      <c r="K1881" s="4">
        <v>-86692.152000000002</v>
      </c>
      <c r="L1881" s="4">
        <v>20</v>
      </c>
    </row>
    <row r="1882" spans="1:12">
      <c r="A1882" t="s">
        <v>92</v>
      </c>
      <c r="B1882" s="10">
        <v>45522</v>
      </c>
      <c r="C1882" s="18">
        <f t="shared" si="29"/>
        <v>8</v>
      </c>
      <c r="D1882" t="s">
        <v>179</v>
      </c>
      <c r="E1882">
        <v>6989741</v>
      </c>
      <c r="F1882" t="s">
        <v>89</v>
      </c>
      <c r="G1882" t="s">
        <v>203</v>
      </c>
      <c r="H1882" t="s">
        <v>226</v>
      </c>
      <c r="I1882" s="4">
        <v>100638.28079999999</v>
      </c>
      <c r="J1882" s="4">
        <v>1006382.808</v>
      </c>
      <c r="K1882" s="4">
        <v>-43346.076000000001</v>
      </c>
      <c r="L1882" s="4">
        <v>10</v>
      </c>
    </row>
    <row r="1883" spans="1:12">
      <c r="A1883" t="s">
        <v>92</v>
      </c>
      <c r="B1883" s="10">
        <v>45522</v>
      </c>
      <c r="C1883" s="18">
        <f t="shared" si="29"/>
        <v>8</v>
      </c>
      <c r="D1883" t="s">
        <v>179</v>
      </c>
      <c r="E1883">
        <v>6989741</v>
      </c>
      <c r="F1883" t="s">
        <v>89</v>
      </c>
      <c r="G1883" t="s">
        <v>203</v>
      </c>
      <c r="H1883" t="s">
        <v>235</v>
      </c>
      <c r="I1883" s="4">
        <v>125766.4408</v>
      </c>
      <c r="J1883" s="4">
        <v>1257664.4080000001</v>
      </c>
      <c r="K1883" s="4">
        <v>-56538.36</v>
      </c>
      <c r="L1883" s="4">
        <v>10</v>
      </c>
    </row>
    <row r="1884" spans="1:12">
      <c r="A1884" t="s">
        <v>92</v>
      </c>
      <c r="B1884" s="10">
        <v>45522</v>
      </c>
      <c r="C1884" s="18">
        <f t="shared" si="29"/>
        <v>8</v>
      </c>
      <c r="D1884" t="s">
        <v>179</v>
      </c>
      <c r="E1884">
        <v>6989741</v>
      </c>
      <c r="F1884" t="s">
        <v>89</v>
      </c>
      <c r="G1884" t="s">
        <v>203</v>
      </c>
      <c r="H1884" t="s">
        <v>231</v>
      </c>
      <c r="I1884" s="4">
        <v>125766.4408</v>
      </c>
      <c r="J1884" s="4">
        <v>1257664.4080000001</v>
      </c>
      <c r="K1884" s="4">
        <v>-56538.36</v>
      </c>
      <c r="L1884" s="4">
        <v>10</v>
      </c>
    </row>
    <row r="1885" spans="1:12">
      <c r="A1885" t="s">
        <v>92</v>
      </c>
      <c r="B1885" s="10">
        <v>45526</v>
      </c>
      <c r="C1885" s="18">
        <f t="shared" si="29"/>
        <v>8</v>
      </c>
      <c r="D1885" t="s">
        <v>179</v>
      </c>
      <c r="E1885">
        <v>6700794</v>
      </c>
      <c r="F1885" t="s">
        <v>88</v>
      </c>
      <c r="G1885" t="s">
        <v>203</v>
      </c>
      <c r="H1885" t="s">
        <v>234</v>
      </c>
      <c r="I1885" s="4">
        <v>100638.28079999999</v>
      </c>
      <c r="J1885" s="4">
        <v>402553.12319999997</v>
      </c>
      <c r="K1885" s="4">
        <v>-17338.430399999997</v>
      </c>
      <c r="L1885" s="4">
        <v>4</v>
      </c>
    </row>
    <row r="1886" spans="1:12">
      <c r="A1886" t="s">
        <v>92</v>
      </c>
      <c r="B1886" s="10">
        <v>45526</v>
      </c>
      <c r="C1886" s="18">
        <f t="shared" si="29"/>
        <v>8</v>
      </c>
      <c r="D1886" t="s">
        <v>179</v>
      </c>
      <c r="E1886">
        <v>6700794</v>
      </c>
      <c r="F1886" t="s">
        <v>88</v>
      </c>
      <c r="G1886" t="s">
        <v>203</v>
      </c>
      <c r="H1886" t="s">
        <v>230</v>
      </c>
      <c r="I1886" s="4">
        <v>100638.28079999999</v>
      </c>
      <c r="J1886" s="4">
        <v>603829.68479999993</v>
      </c>
      <c r="K1886" s="4">
        <v>-26007.645599999996</v>
      </c>
      <c r="L1886" s="4">
        <v>6</v>
      </c>
    </row>
    <row r="1887" spans="1:12">
      <c r="A1887" t="s">
        <v>92</v>
      </c>
      <c r="B1887" s="10">
        <v>45526</v>
      </c>
      <c r="C1887" s="18">
        <f t="shared" si="29"/>
        <v>8</v>
      </c>
      <c r="D1887" t="s">
        <v>179</v>
      </c>
      <c r="E1887">
        <v>6682776</v>
      </c>
      <c r="F1887" t="s">
        <v>87</v>
      </c>
      <c r="G1887" t="s">
        <v>203</v>
      </c>
      <c r="H1887" t="s">
        <v>238</v>
      </c>
      <c r="I1887" s="4">
        <v>95606.36675999999</v>
      </c>
      <c r="J1887" s="4">
        <v>956063.66759999993</v>
      </c>
      <c r="K1887" s="4">
        <v>-43346.076000000001</v>
      </c>
      <c r="L1887" s="4">
        <v>10</v>
      </c>
    </row>
    <row r="1888" spans="1:12">
      <c r="A1888" t="s">
        <v>92</v>
      </c>
      <c r="B1888" s="10">
        <v>45529</v>
      </c>
      <c r="C1888" s="18">
        <f t="shared" si="29"/>
        <v>8</v>
      </c>
      <c r="D1888" t="s">
        <v>179</v>
      </c>
      <c r="E1888">
        <v>6499707</v>
      </c>
      <c r="F1888" t="s">
        <v>88</v>
      </c>
      <c r="G1888" t="s">
        <v>203</v>
      </c>
      <c r="H1888" t="s">
        <v>230</v>
      </c>
      <c r="I1888" s="4">
        <v>100638.28079999999</v>
      </c>
      <c r="J1888" s="4">
        <v>2012765.6159999999</v>
      </c>
      <c r="L1888" s="4">
        <v>20</v>
      </c>
    </row>
    <row r="1889" spans="1:12">
      <c r="A1889" t="s">
        <v>92</v>
      </c>
      <c r="B1889" s="10">
        <v>45533</v>
      </c>
      <c r="C1889" s="18">
        <f t="shared" si="29"/>
        <v>8</v>
      </c>
      <c r="D1889" t="s">
        <v>179</v>
      </c>
      <c r="E1889">
        <v>6700802</v>
      </c>
      <c r="F1889" t="s">
        <v>87</v>
      </c>
      <c r="G1889" t="s">
        <v>203</v>
      </c>
      <c r="H1889" t="s">
        <v>230</v>
      </c>
      <c r="I1889" s="4">
        <v>100638.28079999999</v>
      </c>
      <c r="J1889" s="4">
        <v>1610212.4927999999</v>
      </c>
      <c r="K1889" s="4">
        <v>-69353.72159999999</v>
      </c>
      <c r="L1889" s="4">
        <v>16</v>
      </c>
    </row>
    <row r="1890" spans="1:12">
      <c r="A1890" t="s">
        <v>93</v>
      </c>
      <c r="B1890" s="10">
        <v>45506</v>
      </c>
      <c r="C1890" s="18">
        <f t="shared" si="29"/>
        <v>8</v>
      </c>
      <c r="D1890" t="s">
        <v>159</v>
      </c>
      <c r="E1890">
        <v>4874206</v>
      </c>
      <c r="F1890" t="s">
        <v>90</v>
      </c>
      <c r="G1890" t="s">
        <v>203</v>
      </c>
      <c r="H1890" t="s">
        <v>240</v>
      </c>
      <c r="I1890" s="4">
        <v>100638.28079999999</v>
      </c>
      <c r="J1890" s="4">
        <v>402553.12319999997</v>
      </c>
      <c r="L1890" s="4">
        <v>4</v>
      </c>
    </row>
    <row r="1891" spans="1:12">
      <c r="A1891" t="s">
        <v>93</v>
      </c>
      <c r="B1891" s="10">
        <v>45506</v>
      </c>
      <c r="C1891" s="18">
        <f t="shared" si="29"/>
        <v>8</v>
      </c>
      <c r="D1891" t="s">
        <v>159</v>
      </c>
      <c r="E1891">
        <v>4874206</v>
      </c>
      <c r="F1891" t="s">
        <v>90</v>
      </c>
      <c r="G1891" t="s">
        <v>203</v>
      </c>
      <c r="H1891" t="s">
        <v>238</v>
      </c>
      <c r="I1891" s="4">
        <v>95606.36675999999</v>
      </c>
      <c r="J1891" s="4">
        <v>382425.46703999996</v>
      </c>
      <c r="L1891" s="4">
        <v>4</v>
      </c>
    </row>
    <row r="1892" spans="1:12">
      <c r="A1892" t="s">
        <v>93</v>
      </c>
      <c r="B1892" s="10">
        <v>45506</v>
      </c>
      <c r="C1892" s="18">
        <f t="shared" si="29"/>
        <v>8</v>
      </c>
      <c r="D1892" t="s">
        <v>159</v>
      </c>
      <c r="E1892">
        <v>4874206</v>
      </c>
      <c r="F1892" t="s">
        <v>90</v>
      </c>
      <c r="G1892" t="s">
        <v>203</v>
      </c>
      <c r="H1892" t="s">
        <v>228</v>
      </c>
      <c r="I1892" s="4">
        <v>100638.28079999999</v>
      </c>
      <c r="J1892" s="4">
        <v>402553.12319999997</v>
      </c>
      <c r="L1892" s="4">
        <v>4</v>
      </c>
    </row>
    <row r="1893" spans="1:12">
      <c r="A1893" t="s">
        <v>93</v>
      </c>
      <c r="B1893" s="10">
        <v>45510</v>
      </c>
      <c r="C1893" s="18">
        <f t="shared" si="29"/>
        <v>8</v>
      </c>
      <c r="D1893" t="s">
        <v>158</v>
      </c>
      <c r="E1893">
        <v>4879013</v>
      </c>
      <c r="F1893" t="s">
        <v>88</v>
      </c>
      <c r="G1893" t="s">
        <v>204</v>
      </c>
      <c r="H1893" t="s">
        <v>221</v>
      </c>
      <c r="I1893" s="4">
        <v>25253.800799999997</v>
      </c>
      <c r="J1893" s="4">
        <v>757614.02399999998</v>
      </c>
      <c r="L1893" s="4">
        <v>30</v>
      </c>
    </row>
    <row r="1894" spans="1:12">
      <c r="A1894" t="s">
        <v>93</v>
      </c>
      <c r="B1894" s="10">
        <v>45517</v>
      </c>
      <c r="C1894" s="18">
        <f t="shared" si="29"/>
        <v>8</v>
      </c>
      <c r="D1894" t="s">
        <v>184</v>
      </c>
      <c r="E1894">
        <v>4874206</v>
      </c>
      <c r="F1894" t="s">
        <v>90</v>
      </c>
      <c r="G1894" t="s">
        <v>203</v>
      </c>
      <c r="H1894" t="s">
        <v>239</v>
      </c>
      <c r="I1894" s="4">
        <v>125766.4408</v>
      </c>
      <c r="J1894" s="4">
        <v>251532.88159999999</v>
      </c>
      <c r="L1894" s="4">
        <v>2</v>
      </c>
    </row>
    <row r="1895" spans="1:12">
      <c r="A1895" t="s">
        <v>93</v>
      </c>
      <c r="B1895" s="10">
        <v>45517</v>
      </c>
      <c r="C1895" s="18">
        <f t="shared" si="29"/>
        <v>8</v>
      </c>
      <c r="D1895" t="s">
        <v>184</v>
      </c>
      <c r="E1895">
        <v>4874206</v>
      </c>
      <c r="F1895" t="s">
        <v>90</v>
      </c>
      <c r="G1895" t="s">
        <v>203</v>
      </c>
      <c r="H1895" t="s">
        <v>237</v>
      </c>
      <c r="I1895" s="4">
        <v>125766.4408</v>
      </c>
      <c r="J1895" s="4">
        <v>251532.88159999999</v>
      </c>
      <c r="L1895" s="4">
        <v>2</v>
      </c>
    </row>
    <row r="1896" spans="1:12">
      <c r="A1896" t="s">
        <v>93</v>
      </c>
      <c r="B1896" s="10">
        <v>45517</v>
      </c>
      <c r="C1896" s="18">
        <f t="shared" si="29"/>
        <v>8</v>
      </c>
      <c r="D1896" t="s">
        <v>184</v>
      </c>
      <c r="E1896">
        <v>4874206</v>
      </c>
      <c r="F1896" t="s">
        <v>90</v>
      </c>
      <c r="G1896" t="s">
        <v>203</v>
      </c>
      <c r="H1896" t="s">
        <v>233</v>
      </c>
      <c r="I1896" s="4">
        <v>120735.78316800001</v>
      </c>
      <c r="J1896" s="4">
        <v>241471.56633600002</v>
      </c>
      <c r="L1896" s="4">
        <v>2</v>
      </c>
    </row>
    <row r="1897" spans="1:12">
      <c r="A1897" t="s">
        <v>93</v>
      </c>
      <c r="B1897" s="10">
        <v>45518</v>
      </c>
      <c r="C1897" s="18">
        <f t="shared" si="29"/>
        <v>8</v>
      </c>
      <c r="D1897" t="s">
        <v>184</v>
      </c>
      <c r="E1897">
        <v>4873785</v>
      </c>
      <c r="F1897" t="s">
        <v>87</v>
      </c>
      <c r="G1897" t="s">
        <v>203</v>
      </c>
      <c r="H1897" t="s">
        <v>242</v>
      </c>
      <c r="I1897" s="4">
        <v>100638.28079999999</v>
      </c>
      <c r="J1897" s="4">
        <v>603829.68479999993</v>
      </c>
      <c r="L1897" s="4">
        <v>6</v>
      </c>
    </row>
    <row r="1898" spans="1:12">
      <c r="A1898" t="s">
        <v>93</v>
      </c>
      <c r="B1898" s="10">
        <v>45518</v>
      </c>
      <c r="C1898" s="18">
        <f t="shared" si="29"/>
        <v>8</v>
      </c>
      <c r="D1898" t="s">
        <v>184</v>
      </c>
      <c r="E1898">
        <v>4873785</v>
      </c>
      <c r="F1898" t="s">
        <v>87</v>
      </c>
      <c r="G1898" t="s">
        <v>203</v>
      </c>
      <c r="H1898" t="s">
        <v>240</v>
      </c>
      <c r="I1898" s="4">
        <v>100638.28079999999</v>
      </c>
      <c r="J1898" s="4">
        <v>603829.68479999993</v>
      </c>
      <c r="L1898" s="4">
        <v>6</v>
      </c>
    </row>
    <row r="1899" spans="1:12">
      <c r="A1899" t="s">
        <v>93</v>
      </c>
      <c r="B1899" s="10">
        <v>45518</v>
      </c>
      <c r="C1899" s="18">
        <f t="shared" si="29"/>
        <v>8</v>
      </c>
      <c r="D1899" t="s">
        <v>184</v>
      </c>
      <c r="E1899">
        <v>4873785</v>
      </c>
      <c r="F1899" t="s">
        <v>87</v>
      </c>
      <c r="G1899" t="s">
        <v>203</v>
      </c>
      <c r="H1899" t="s">
        <v>238</v>
      </c>
      <c r="I1899" s="4">
        <v>95606.36675999999</v>
      </c>
      <c r="J1899" s="4">
        <v>573638.20055999991</v>
      </c>
      <c r="L1899" s="4">
        <v>6</v>
      </c>
    </row>
    <row r="1900" spans="1:12">
      <c r="A1900" t="s">
        <v>93</v>
      </c>
      <c r="B1900" s="10">
        <v>45519</v>
      </c>
      <c r="C1900" s="18">
        <f t="shared" si="29"/>
        <v>8</v>
      </c>
      <c r="D1900" t="s">
        <v>184</v>
      </c>
      <c r="E1900">
        <v>4879013</v>
      </c>
      <c r="F1900" t="s">
        <v>88</v>
      </c>
      <c r="G1900" t="s">
        <v>203</v>
      </c>
      <c r="H1900" t="s">
        <v>242</v>
      </c>
      <c r="I1900" s="4">
        <v>100638.28079999999</v>
      </c>
      <c r="J1900" s="4">
        <v>201276.56159999999</v>
      </c>
      <c r="L1900" s="4">
        <v>2</v>
      </c>
    </row>
    <row r="1901" spans="1:12">
      <c r="A1901" t="s">
        <v>93</v>
      </c>
      <c r="B1901" s="10">
        <v>45519</v>
      </c>
      <c r="C1901" s="18">
        <f t="shared" si="29"/>
        <v>8</v>
      </c>
      <c r="D1901" t="s">
        <v>184</v>
      </c>
      <c r="E1901">
        <v>4879013</v>
      </c>
      <c r="F1901" t="s">
        <v>88</v>
      </c>
      <c r="G1901" t="s">
        <v>203</v>
      </c>
      <c r="H1901" t="s">
        <v>224</v>
      </c>
      <c r="I1901" s="4">
        <v>100638.28079999999</v>
      </c>
      <c r="J1901" s="4">
        <v>201276.56159999999</v>
      </c>
      <c r="L1901" s="4">
        <v>2</v>
      </c>
    </row>
    <row r="1902" spans="1:12">
      <c r="A1902" t="s">
        <v>93</v>
      </c>
      <c r="B1902" s="10">
        <v>45520</v>
      </c>
      <c r="C1902" s="18">
        <f t="shared" si="29"/>
        <v>8</v>
      </c>
      <c r="D1902" t="s">
        <v>184</v>
      </c>
      <c r="E1902">
        <v>4874206</v>
      </c>
      <c r="F1902" t="s">
        <v>90</v>
      </c>
      <c r="G1902" t="s">
        <v>203</v>
      </c>
      <c r="H1902" t="s">
        <v>242</v>
      </c>
      <c r="I1902" s="4">
        <v>100638.28079999999</v>
      </c>
      <c r="J1902" s="4">
        <v>402553.12319999997</v>
      </c>
      <c r="L1902" s="4">
        <v>4</v>
      </c>
    </row>
    <row r="1903" spans="1:12">
      <c r="A1903" t="s">
        <v>93</v>
      </c>
      <c r="B1903" s="10">
        <v>45520</v>
      </c>
      <c r="C1903" s="18">
        <f t="shared" si="29"/>
        <v>8</v>
      </c>
      <c r="D1903" t="s">
        <v>184</v>
      </c>
      <c r="E1903">
        <v>4874206</v>
      </c>
      <c r="F1903" t="s">
        <v>90</v>
      </c>
      <c r="G1903" t="s">
        <v>203</v>
      </c>
      <c r="H1903" t="s">
        <v>240</v>
      </c>
      <c r="I1903" s="4">
        <v>100638.28079999999</v>
      </c>
      <c r="J1903" s="4">
        <v>402553.12319999997</v>
      </c>
      <c r="L1903" s="4">
        <v>4</v>
      </c>
    </row>
    <row r="1904" spans="1:12">
      <c r="A1904" t="s">
        <v>93</v>
      </c>
      <c r="B1904" s="10">
        <v>45520</v>
      </c>
      <c r="C1904" s="18">
        <f t="shared" si="29"/>
        <v>8</v>
      </c>
      <c r="D1904" t="s">
        <v>184</v>
      </c>
      <c r="E1904">
        <v>4874206</v>
      </c>
      <c r="F1904" t="s">
        <v>90</v>
      </c>
      <c r="G1904" t="s">
        <v>203</v>
      </c>
      <c r="H1904" t="s">
        <v>238</v>
      </c>
      <c r="I1904" s="4">
        <v>95606.36675999999</v>
      </c>
      <c r="J1904" s="4">
        <v>191212.73351999998</v>
      </c>
      <c r="L1904" s="4">
        <v>2</v>
      </c>
    </row>
    <row r="1905" spans="1:12">
      <c r="A1905" t="s">
        <v>93</v>
      </c>
      <c r="B1905" s="10">
        <v>45520</v>
      </c>
      <c r="C1905" s="18">
        <f t="shared" si="29"/>
        <v>8</v>
      </c>
      <c r="D1905" t="s">
        <v>184</v>
      </c>
      <c r="E1905">
        <v>4874206</v>
      </c>
      <c r="F1905" t="s">
        <v>90</v>
      </c>
      <c r="G1905" t="s">
        <v>203</v>
      </c>
      <c r="H1905" t="s">
        <v>224</v>
      </c>
      <c r="I1905" s="4">
        <v>100638.28079999999</v>
      </c>
      <c r="J1905" s="4">
        <v>201276.56159999999</v>
      </c>
      <c r="L1905" s="4">
        <v>2</v>
      </c>
    </row>
    <row r="1906" spans="1:12">
      <c r="A1906" t="s">
        <v>93</v>
      </c>
      <c r="B1906" s="10">
        <v>45520</v>
      </c>
      <c r="C1906" s="18">
        <f t="shared" si="29"/>
        <v>8</v>
      </c>
      <c r="D1906" t="s">
        <v>184</v>
      </c>
      <c r="E1906">
        <v>4874206</v>
      </c>
      <c r="F1906" t="s">
        <v>90</v>
      </c>
      <c r="G1906" t="s">
        <v>203</v>
      </c>
      <c r="H1906" t="s">
        <v>239</v>
      </c>
      <c r="I1906" s="4">
        <v>125766.4408</v>
      </c>
      <c r="J1906" s="4">
        <v>251532.88159999999</v>
      </c>
      <c r="L1906" s="4">
        <v>2</v>
      </c>
    </row>
    <row r="1907" spans="1:12">
      <c r="A1907" t="s">
        <v>93</v>
      </c>
      <c r="B1907" s="10">
        <v>45520</v>
      </c>
      <c r="C1907" s="18">
        <f t="shared" si="29"/>
        <v>8</v>
      </c>
      <c r="D1907" t="s">
        <v>184</v>
      </c>
      <c r="E1907">
        <v>4874206</v>
      </c>
      <c r="F1907" t="s">
        <v>90</v>
      </c>
      <c r="G1907" t="s">
        <v>203</v>
      </c>
      <c r="H1907" t="s">
        <v>237</v>
      </c>
      <c r="I1907" s="4">
        <v>125766.4408</v>
      </c>
      <c r="J1907" s="4">
        <v>251532.88159999999</v>
      </c>
      <c r="L1907" s="4">
        <v>2</v>
      </c>
    </row>
    <row r="1908" spans="1:12">
      <c r="A1908" t="s">
        <v>93</v>
      </c>
      <c r="B1908" s="10">
        <v>45520</v>
      </c>
      <c r="C1908" s="18">
        <f t="shared" si="29"/>
        <v>8</v>
      </c>
      <c r="D1908" t="s">
        <v>184</v>
      </c>
      <c r="E1908">
        <v>4874206</v>
      </c>
      <c r="F1908" t="s">
        <v>90</v>
      </c>
      <c r="G1908" t="s">
        <v>203</v>
      </c>
      <c r="H1908" t="s">
        <v>233</v>
      </c>
      <c r="I1908" s="4">
        <v>120735.78316800001</v>
      </c>
      <c r="J1908" s="4">
        <v>241471.56633600002</v>
      </c>
      <c r="L1908" s="4">
        <v>2</v>
      </c>
    </row>
    <row r="1909" spans="1:12">
      <c r="A1909" t="s">
        <v>93</v>
      </c>
      <c r="B1909" s="10">
        <v>45520</v>
      </c>
      <c r="C1909" s="18">
        <f t="shared" si="29"/>
        <v>8</v>
      </c>
      <c r="D1909" t="s">
        <v>184</v>
      </c>
      <c r="E1909">
        <v>4874206</v>
      </c>
      <c r="F1909" t="s">
        <v>90</v>
      </c>
      <c r="G1909" t="s">
        <v>203</v>
      </c>
      <c r="H1909" t="s">
        <v>229</v>
      </c>
      <c r="I1909" s="4">
        <v>125766.4408</v>
      </c>
      <c r="J1909" s="4">
        <v>251532.88159999999</v>
      </c>
      <c r="L1909" s="4">
        <v>2</v>
      </c>
    </row>
    <row r="1910" spans="1:12">
      <c r="A1910" t="s">
        <v>93</v>
      </c>
      <c r="B1910" s="10">
        <v>45520</v>
      </c>
      <c r="C1910" s="18">
        <f t="shared" si="29"/>
        <v>8</v>
      </c>
      <c r="D1910" t="s">
        <v>184</v>
      </c>
      <c r="E1910">
        <v>4873703</v>
      </c>
      <c r="F1910" t="s">
        <v>90</v>
      </c>
      <c r="G1910" t="s">
        <v>203</v>
      </c>
      <c r="H1910" t="s">
        <v>240</v>
      </c>
      <c r="I1910" s="4">
        <v>100638.28079999999</v>
      </c>
      <c r="J1910" s="4">
        <v>201276.56159999999</v>
      </c>
      <c r="L1910" s="4">
        <v>2</v>
      </c>
    </row>
    <row r="1911" spans="1:12">
      <c r="A1911" t="s">
        <v>93</v>
      </c>
      <c r="B1911" s="10">
        <v>45520</v>
      </c>
      <c r="C1911" s="18">
        <f t="shared" si="29"/>
        <v>8</v>
      </c>
      <c r="D1911" t="s">
        <v>184</v>
      </c>
      <c r="E1911">
        <v>4873703</v>
      </c>
      <c r="F1911" t="s">
        <v>90</v>
      </c>
      <c r="G1911" t="s">
        <v>203</v>
      </c>
      <c r="H1911" t="s">
        <v>238</v>
      </c>
      <c r="I1911" s="4">
        <v>95606.36675999999</v>
      </c>
      <c r="J1911" s="4">
        <v>191212.73351999998</v>
      </c>
      <c r="L1911" s="4">
        <v>2</v>
      </c>
    </row>
    <row r="1912" spans="1:12">
      <c r="A1912" t="s">
        <v>93</v>
      </c>
      <c r="B1912" s="10">
        <v>45520</v>
      </c>
      <c r="C1912" s="18">
        <f t="shared" si="29"/>
        <v>8</v>
      </c>
      <c r="D1912" t="s">
        <v>184</v>
      </c>
      <c r="E1912">
        <v>4873703</v>
      </c>
      <c r="F1912" t="s">
        <v>90</v>
      </c>
      <c r="G1912" t="s">
        <v>203</v>
      </c>
      <c r="H1912" t="s">
        <v>224</v>
      </c>
      <c r="I1912" s="4">
        <v>100638.28079999999</v>
      </c>
      <c r="J1912" s="4">
        <v>201276.56159999999</v>
      </c>
      <c r="L1912" s="4">
        <v>2</v>
      </c>
    </row>
    <row r="1913" spans="1:12">
      <c r="A1913" t="s">
        <v>93</v>
      </c>
      <c r="B1913" s="10">
        <v>45521</v>
      </c>
      <c r="C1913" s="18">
        <f t="shared" si="29"/>
        <v>8</v>
      </c>
      <c r="D1913" t="s">
        <v>184</v>
      </c>
      <c r="E1913">
        <v>4876282</v>
      </c>
      <c r="F1913" t="s">
        <v>89</v>
      </c>
      <c r="G1913" t="s">
        <v>203</v>
      </c>
      <c r="H1913" t="s">
        <v>242</v>
      </c>
      <c r="I1913" s="4">
        <v>100638.28079999999</v>
      </c>
      <c r="J1913" s="4">
        <v>201276.56159999999</v>
      </c>
      <c r="L1913" s="4">
        <v>2</v>
      </c>
    </row>
    <row r="1914" spans="1:12">
      <c r="A1914" t="s">
        <v>93</v>
      </c>
      <c r="B1914" s="10">
        <v>45521</v>
      </c>
      <c r="C1914" s="18">
        <f t="shared" si="29"/>
        <v>8</v>
      </c>
      <c r="D1914" t="s">
        <v>184</v>
      </c>
      <c r="E1914">
        <v>4876282</v>
      </c>
      <c r="F1914" t="s">
        <v>89</v>
      </c>
      <c r="G1914" t="s">
        <v>203</v>
      </c>
      <c r="H1914" t="s">
        <v>238</v>
      </c>
      <c r="I1914" s="4">
        <v>95606.36675999999</v>
      </c>
      <c r="J1914" s="4">
        <v>191212.73351999998</v>
      </c>
      <c r="L1914" s="4">
        <v>2</v>
      </c>
    </row>
    <row r="1915" spans="1:12">
      <c r="A1915" t="s">
        <v>93</v>
      </c>
      <c r="B1915" s="10">
        <v>45521</v>
      </c>
      <c r="C1915" s="18">
        <f t="shared" si="29"/>
        <v>8</v>
      </c>
      <c r="D1915" t="s">
        <v>184</v>
      </c>
      <c r="E1915">
        <v>4876282</v>
      </c>
      <c r="F1915" t="s">
        <v>89</v>
      </c>
      <c r="G1915" t="s">
        <v>203</v>
      </c>
      <c r="H1915" t="s">
        <v>228</v>
      </c>
      <c r="I1915" s="4">
        <v>100638.28079999999</v>
      </c>
      <c r="J1915" s="4">
        <v>201276.56159999999</v>
      </c>
      <c r="L1915" s="4">
        <v>2</v>
      </c>
    </row>
    <row r="1916" spans="1:12">
      <c r="A1916" t="s">
        <v>93</v>
      </c>
      <c r="B1916" s="10">
        <v>45521</v>
      </c>
      <c r="C1916" s="18">
        <f t="shared" si="29"/>
        <v>8</v>
      </c>
      <c r="D1916" t="s">
        <v>184</v>
      </c>
      <c r="E1916">
        <v>4876282</v>
      </c>
      <c r="F1916" t="s">
        <v>89</v>
      </c>
      <c r="G1916" t="s">
        <v>203</v>
      </c>
      <c r="H1916" t="s">
        <v>239</v>
      </c>
      <c r="I1916" s="4">
        <v>125766.4408</v>
      </c>
      <c r="J1916" s="4">
        <v>251532.88159999999</v>
      </c>
      <c r="L1916" s="4">
        <v>2</v>
      </c>
    </row>
    <row r="1917" spans="1:12">
      <c r="A1917" t="s">
        <v>93</v>
      </c>
      <c r="B1917" s="10">
        <v>45521</v>
      </c>
      <c r="C1917" s="18">
        <f t="shared" si="29"/>
        <v>8</v>
      </c>
      <c r="D1917" t="s">
        <v>184</v>
      </c>
      <c r="E1917">
        <v>4876282</v>
      </c>
      <c r="F1917" t="s">
        <v>89</v>
      </c>
      <c r="G1917" t="s">
        <v>203</v>
      </c>
      <c r="H1917" t="s">
        <v>237</v>
      </c>
      <c r="I1917" s="4">
        <v>125766.4408</v>
      </c>
      <c r="J1917" s="4">
        <v>251532.88159999999</v>
      </c>
      <c r="L1917" s="4">
        <v>2</v>
      </c>
    </row>
    <row r="1918" spans="1:12">
      <c r="A1918" t="s">
        <v>93</v>
      </c>
      <c r="B1918" s="10">
        <v>45521</v>
      </c>
      <c r="C1918" s="18">
        <f t="shared" si="29"/>
        <v>8</v>
      </c>
      <c r="D1918" t="s">
        <v>184</v>
      </c>
      <c r="E1918">
        <v>4876282</v>
      </c>
      <c r="F1918" t="s">
        <v>89</v>
      </c>
      <c r="G1918" t="s">
        <v>203</v>
      </c>
      <c r="H1918" t="s">
        <v>233</v>
      </c>
      <c r="I1918" s="4">
        <v>120735.78316800001</v>
      </c>
      <c r="J1918" s="4">
        <v>241471.56633600002</v>
      </c>
      <c r="L1918" s="4">
        <v>2</v>
      </c>
    </row>
    <row r="1919" spans="1:12">
      <c r="A1919" t="s">
        <v>93</v>
      </c>
      <c r="B1919" s="10">
        <v>45524</v>
      </c>
      <c r="C1919" s="18">
        <f t="shared" si="29"/>
        <v>8</v>
      </c>
      <c r="D1919" t="s">
        <v>184</v>
      </c>
      <c r="E1919">
        <v>4878925</v>
      </c>
      <c r="F1919" t="s">
        <v>89</v>
      </c>
      <c r="G1919" t="s">
        <v>203</v>
      </c>
      <c r="H1919" t="s">
        <v>242</v>
      </c>
      <c r="I1919" s="4">
        <v>100638.28079999999</v>
      </c>
      <c r="J1919" s="4">
        <v>402553.12319999997</v>
      </c>
      <c r="L1919" s="4">
        <v>4</v>
      </c>
    </row>
    <row r="1920" spans="1:12">
      <c r="A1920" t="s">
        <v>93</v>
      </c>
      <c r="B1920" s="10">
        <v>45524</v>
      </c>
      <c r="C1920" s="18">
        <f t="shared" si="29"/>
        <v>8</v>
      </c>
      <c r="D1920" t="s">
        <v>184</v>
      </c>
      <c r="E1920">
        <v>4878925</v>
      </c>
      <c r="F1920" t="s">
        <v>89</v>
      </c>
      <c r="G1920" t="s">
        <v>203</v>
      </c>
      <c r="H1920" t="s">
        <v>228</v>
      </c>
      <c r="I1920" s="4">
        <v>100638.28079999999</v>
      </c>
      <c r="J1920" s="4">
        <v>402553.12319999997</v>
      </c>
      <c r="L1920" s="4">
        <v>4</v>
      </c>
    </row>
    <row r="1921" spans="1:12">
      <c r="A1921" t="s">
        <v>93</v>
      </c>
      <c r="B1921" s="10">
        <v>45524</v>
      </c>
      <c r="C1921" s="18">
        <f t="shared" si="29"/>
        <v>8</v>
      </c>
      <c r="D1921" t="s">
        <v>184</v>
      </c>
      <c r="E1921">
        <v>4878925</v>
      </c>
      <c r="F1921" t="s">
        <v>89</v>
      </c>
      <c r="G1921" t="s">
        <v>203</v>
      </c>
      <c r="H1921" t="s">
        <v>229</v>
      </c>
      <c r="I1921" s="4">
        <v>125766.4408</v>
      </c>
      <c r="J1921" s="4">
        <v>251532.88159999999</v>
      </c>
      <c r="L1921" s="4">
        <v>2</v>
      </c>
    </row>
    <row r="1922" spans="1:12">
      <c r="A1922" t="s">
        <v>93</v>
      </c>
      <c r="B1922" s="10">
        <v>45530</v>
      </c>
      <c r="C1922" s="18">
        <f t="shared" ref="C1922:C1985" si="30">MONTH(B1922)</f>
        <v>8</v>
      </c>
      <c r="D1922" t="s">
        <v>184</v>
      </c>
      <c r="E1922">
        <v>4874206</v>
      </c>
      <c r="F1922" t="s">
        <v>90</v>
      </c>
      <c r="G1922" t="s">
        <v>203</v>
      </c>
      <c r="H1922" t="s">
        <v>229</v>
      </c>
      <c r="I1922" s="4">
        <v>125766.4408</v>
      </c>
      <c r="J1922" s="4">
        <v>503065.76319999999</v>
      </c>
      <c r="L1922" s="4">
        <v>4</v>
      </c>
    </row>
    <row r="1923" spans="1:12">
      <c r="A1923" t="s">
        <v>93</v>
      </c>
      <c r="B1923" s="10">
        <v>45534</v>
      </c>
      <c r="C1923" s="18">
        <f t="shared" si="30"/>
        <v>8</v>
      </c>
      <c r="D1923" t="s">
        <v>184</v>
      </c>
      <c r="E1923">
        <v>4874206</v>
      </c>
      <c r="F1923" t="s">
        <v>90</v>
      </c>
      <c r="G1923" t="s">
        <v>203</v>
      </c>
      <c r="H1923" t="s">
        <v>224</v>
      </c>
      <c r="I1923" s="4">
        <v>100638.28079999999</v>
      </c>
      <c r="J1923" s="4">
        <v>201276.56159999999</v>
      </c>
      <c r="L1923" s="4">
        <v>2</v>
      </c>
    </row>
    <row r="1924" spans="1:12">
      <c r="A1924" t="s">
        <v>93</v>
      </c>
      <c r="B1924" s="10">
        <v>45535</v>
      </c>
      <c r="C1924" s="18">
        <f t="shared" si="30"/>
        <v>8</v>
      </c>
      <c r="D1924" t="s">
        <v>184</v>
      </c>
      <c r="E1924">
        <v>4874206</v>
      </c>
      <c r="F1924" t="s">
        <v>90</v>
      </c>
      <c r="G1924" t="s">
        <v>203</v>
      </c>
      <c r="H1924" t="s">
        <v>240</v>
      </c>
      <c r="I1924" s="4">
        <v>100638.28079999999</v>
      </c>
      <c r="J1924" s="4">
        <v>402553.12319999997</v>
      </c>
      <c r="L1924" s="4">
        <v>4</v>
      </c>
    </row>
    <row r="1925" spans="1:12">
      <c r="A1925" t="s">
        <v>93</v>
      </c>
      <c r="B1925" s="10">
        <v>45535</v>
      </c>
      <c r="C1925" s="18">
        <f t="shared" si="30"/>
        <v>8</v>
      </c>
      <c r="D1925" t="s">
        <v>184</v>
      </c>
      <c r="E1925">
        <v>4874206</v>
      </c>
      <c r="F1925" t="s">
        <v>90</v>
      </c>
      <c r="G1925" t="s">
        <v>203</v>
      </c>
      <c r="H1925" t="s">
        <v>232</v>
      </c>
      <c r="I1925" s="4">
        <v>100638.28079999999</v>
      </c>
      <c r="J1925" s="4">
        <v>201276.56159999999</v>
      </c>
      <c r="L1925" s="4">
        <v>2</v>
      </c>
    </row>
    <row r="1926" spans="1:12">
      <c r="A1926" t="s">
        <v>94</v>
      </c>
      <c r="B1926" s="10">
        <v>45511</v>
      </c>
      <c r="C1926" s="18">
        <f t="shared" si="30"/>
        <v>8</v>
      </c>
      <c r="D1926" t="s">
        <v>150</v>
      </c>
      <c r="E1926">
        <v>4876170</v>
      </c>
      <c r="F1926" t="s">
        <v>87</v>
      </c>
      <c r="G1926" t="s">
        <v>203</v>
      </c>
      <c r="H1926" t="s">
        <v>236</v>
      </c>
      <c r="I1926" s="4">
        <v>100638.28079999999</v>
      </c>
      <c r="J1926" s="4">
        <v>1006382.808</v>
      </c>
      <c r="L1926" s="4">
        <v>10</v>
      </c>
    </row>
    <row r="1927" spans="1:12">
      <c r="A1927" t="s">
        <v>94</v>
      </c>
      <c r="B1927" s="10">
        <v>45511</v>
      </c>
      <c r="C1927" s="18">
        <f t="shared" si="30"/>
        <v>8</v>
      </c>
      <c r="D1927" t="s">
        <v>150</v>
      </c>
      <c r="E1927">
        <v>4876170</v>
      </c>
      <c r="F1927" t="s">
        <v>87</v>
      </c>
      <c r="G1927" t="s">
        <v>203</v>
      </c>
      <c r="H1927" t="s">
        <v>232</v>
      </c>
      <c r="I1927" s="4">
        <v>100638.28079999999</v>
      </c>
      <c r="J1927" s="4">
        <v>1006382.808</v>
      </c>
      <c r="L1927" s="4">
        <v>10</v>
      </c>
    </row>
    <row r="1928" spans="1:12">
      <c r="A1928" t="s">
        <v>94</v>
      </c>
      <c r="B1928" s="10">
        <v>45511</v>
      </c>
      <c r="C1928" s="18">
        <f t="shared" si="30"/>
        <v>8</v>
      </c>
      <c r="D1928" t="s">
        <v>150</v>
      </c>
      <c r="E1928">
        <v>4876170</v>
      </c>
      <c r="F1928" t="s">
        <v>87</v>
      </c>
      <c r="G1928" t="s">
        <v>203</v>
      </c>
      <c r="H1928" t="s">
        <v>224</v>
      </c>
      <c r="I1928" s="4">
        <v>100638.28079999999</v>
      </c>
      <c r="J1928" s="4">
        <v>1006382.808</v>
      </c>
      <c r="L1928" s="4">
        <v>10</v>
      </c>
    </row>
    <row r="1929" spans="1:12">
      <c r="A1929" t="s">
        <v>94</v>
      </c>
      <c r="B1929" s="10">
        <v>45511</v>
      </c>
      <c r="C1929" s="18">
        <f t="shared" si="30"/>
        <v>8</v>
      </c>
      <c r="D1929" t="s">
        <v>150</v>
      </c>
      <c r="E1929">
        <v>4876170</v>
      </c>
      <c r="F1929" t="s">
        <v>87</v>
      </c>
      <c r="G1929" t="s">
        <v>203</v>
      </c>
      <c r="H1929" t="s">
        <v>223</v>
      </c>
      <c r="I1929" s="4">
        <v>100638.28079999999</v>
      </c>
      <c r="J1929" s="4">
        <v>1006382.808</v>
      </c>
      <c r="L1929" s="4">
        <v>10</v>
      </c>
    </row>
    <row r="1930" spans="1:12">
      <c r="A1930" t="s">
        <v>94</v>
      </c>
      <c r="B1930" s="10">
        <v>45513</v>
      </c>
      <c r="C1930" s="18">
        <f t="shared" si="30"/>
        <v>8</v>
      </c>
      <c r="D1930" t="s">
        <v>150</v>
      </c>
      <c r="E1930">
        <v>4876291</v>
      </c>
      <c r="F1930" t="s">
        <v>87</v>
      </c>
      <c r="G1930" t="s">
        <v>203</v>
      </c>
      <c r="H1930" t="s">
        <v>236</v>
      </c>
      <c r="I1930" s="4">
        <v>100638.28079999999</v>
      </c>
      <c r="J1930" s="4">
        <v>402553.12319999997</v>
      </c>
      <c r="K1930" s="4">
        <v>-13870.744320000002</v>
      </c>
      <c r="L1930" s="4">
        <v>4</v>
      </c>
    </row>
    <row r="1931" spans="1:12">
      <c r="A1931" t="s">
        <v>94</v>
      </c>
      <c r="B1931" s="10">
        <v>45513</v>
      </c>
      <c r="C1931" s="18">
        <f t="shared" si="30"/>
        <v>8</v>
      </c>
      <c r="D1931" t="s">
        <v>150</v>
      </c>
      <c r="E1931">
        <v>4876291</v>
      </c>
      <c r="F1931" t="s">
        <v>87</v>
      </c>
      <c r="G1931" t="s">
        <v>203</v>
      </c>
      <c r="H1931" t="s">
        <v>232</v>
      </c>
      <c r="I1931" s="4">
        <v>100638.28079999999</v>
      </c>
      <c r="J1931" s="4">
        <v>402553.12319999997</v>
      </c>
      <c r="K1931" s="4">
        <v>-13870.744320000002</v>
      </c>
      <c r="L1931" s="4">
        <v>4</v>
      </c>
    </row>
    <row r="1932" spans="1:12">
      <c r="A1932" t="s">
        <v>94</v>
      </c>
      <c r="B1932" s="10">
        <v>45513</v>
      </c>
      <c r="C1932" s="18">
        <f t="shared" si="30"/>
        <v>8</v>
      </c>
      <c r="D1932" t="s">
        <v>150</v>
      </c>
      <c r="E1932">
        <v>4876291</v>
      </c>
      <c r="F1932" t="s">
        <v>87</v>
      </c>
      <c r="G1932" t="s">
        <v>203</v>
      </c>
      <c r="H1932" t="s">
        <v>228</v>
      </c>
      <c r="I1932" s="4">
        <v>100638.28079999999</v>
      </c>
      <c r="J1932" s="4">
        <v>402553.12319999997</v>
      </c>
      <c r="K1932" s="4">
        <v>-13870.744320000002</v>
      </c>
      <c r="L1932" s="4">
        <v>4</v>
      </c>
    </row>
    <row r="1933" spans="1:12">
      <c r="A1933" t="s">
        <v>94</v>
      </c>
      <c r="B1933" s="10">
        <v>45513</v>
      </c>
      <c r="C1933" s="18">
        <f t="shared" si="30"/>
        <v>8</v>
      </c>
      <c r="D1933" t="s">
        <v>150</v>
      </c>
      <c r="E1933">
        <v>4876291</v>
      </c>
      <c r="F1933" t="s">
        <v>87</v>
      </c>
      <c r="G1933" t="s">
        <v>203</v>
      </c>
      <c r="H1933" t="s">
        <v>224</v>
      </c>
      <c r="I1933" s="4">
        <v>100638.28079999999</v>
      </c>
      <c r="J1933" s="4">
        <v>402553.12319999997</v>
      </c>
      <c r="K1933" s="4">
        <v>-13870.744320000002</v>
      </c>
      <c r="L1933" s="4">
        <v>4</v>
      </c>
    </row>
    <row r="1934" spans="1:12">
      <c r="A1934" t="s">
        <v>94</v>
      </c>
      <c r="B1934" s="10">
        <v>45513</v>
      </c>
      <c r="C1934" s="18">
        <f t="shared" si="30"/>
        <v>8</v>
      </c>
      <c r="D1934" t="s">
        <v>150</v>
      </c>
      <c r="E1934">
        <v>4876004</v>
      </c>
      <c r="F1934" t="s">
        <v>90</v>
      </c>
      <c r="G1934" t="s">
        <v>203</v>
      </c>
      <c r="H1934" t="s">
        <v>223</v>
      </c>
      <c r="I1934" s="4">
        <v>100638.28079999999</v>
      </c>
      <c r="J1934" s="4">
        <v>1006382.808</v>
      </c>
      <c r="K1934" s="4">
        <v>-34676.860799999995</v>
      </c>
      <c r="L1934" s="4">
        <v>10</v>
      </c>
    </row>
    <row r="1935" spans="1:12">
      <c r="A1935" t="s">
        <v>94</v>
      </c>
      <c r="B1935" s="10">
        <v>45515</v>
      </c>
      <c r="C1935" s="18">
        <f t="shared" si="30"/>
        <v>8</v>
      </c>
      <c r="D1935" t="s">
        <v>150</v>
      </c>
      <c r="E1935">
        <v>4876215</v>
      </c>
      <c r="F1935" t="s">
        <v>90</v>
      </c>
      <c r="G1935" t="s">
        <v>203</v>
      </c>
      <c r="H1935" t="s">
        <v>232</v>
      </c>
      <c r="I1935" s="4">
        <v>100638.28079999999</v>
      </c>
      <c r="J1935" s="4">
        <v>603829.68479999993</v>
      </c>
      <c r="K1935" s="4">
        <v>-26007.645599999996</v>
      </c>
      <c r="L1935" s="4">
        <v>6</v>
      </c>
    </row>
    <row r="1936" spans="1:12">
      <c r="A1936" t="s">
        <v>94</v>
      </c>
      <c r="B1936" s="10">
        <v>45515</v>
      </c>
      <c r="C1936" s="18">
        <f t="shared" si="30"/>
        <v>8</v>
      </c>
      <c r="D1936" t="s">
        <v>150</v>
      </c>
      <c r="E1936">
        <v>4876215</v>
      </c>
      <c r="F1936" t="s">
        <v>90</v>
      </c>
      <c r="G1936" t="s">
        <v>203</v>
      </c>
      <c r="H1936" t="s">
        <v>224</v>
      </c>
      <c r="I1936" s="4">
        <v>100638.28079999999</v>
      </c>
      <c r="J1936" s="4">
        <v>603829.68479999993</v>
      </c>
      <c r="K1936" s="4">
        <v>-26007.645599999996</v>
      </c>
      <c r="L1936" s="4">
        <v>6</v>
      </c>
    </row>
    <row r="1937" spans="1:12">
      <c r="A1937" t="s">
        <v>94</v>
      </c>
      <c r="B1937" s="10">
        <v>45515</v>
      </c>
      <c r="C1937" s="18">
        <f t="shared" si="30"/>
        <v>8</v>
      </c>
      <c r="D1937" t="s">
        <v>150</v>
      </c>
      <c r="E1937">
        <v>4876215</v>
      </c>
      <c r="F1937" t="s">
        <v>90</v>
      </c>
      <c r="G1937" t="s">
        <v>203</v>
      </c>
      <c r="H1937" t="s">
        <v>223</v>
      </c>
      <c r="I1937" s="4">
        <v>100638.28079999999</v>
      </c>
      <c r="J1937" s="4">
        <v>805106.24639999995</v>
      </c>
      <c r="K1937" s="4">
        <v>-34676.860799999995</v>
      </c>
      <c r="L1937" s="4">
        <v>8</v>
      </c>
    </row>
    <row r="1938" spans="1:12">
      <c r="A1938" t="s">
        <v>94</v>
      </c>
      <c r="B1938" s="10">
        <v>45519</v>
      </c>
      <c r="C1938" s="18">
        <f t="shared" si="30"/>
        <v>8</v>
      </c>
      <c r="D1938" t="s">
        <v>150</v>
      </c>
      <c r="E1938">
        <v>4875835</v>
      </c>
      <c r="F1938" t="s">
        <v>90</v>
      </c>
      <c r="G1938" t="s">
        <v>203</v>
      </c>
      <c r="H1938" t="s">
        <v>228</v>
      </c>
      <c r="I1938" s="4">
        <v>100638.28079999999</v>
      </c>
      <c r="J1938" s="4">
        <v>603829.68479999993</v>
      </c>
      <c r="L1938" s="4">
        <v>6</v>
      </c>
    </row>
    <row r="1939" spans="1:12">
      <c r="A1939" t="s">
        <v>94</v>
      </c>
      <c r="B1939" s="10">
        <v>45519</v>
      </c>
      <c r="C1939" s="18">
        <f t="shared" si="30"/>
        <v>8</v>
      </c>
      <c r="D1939" t="s">
        <v>150</v>
      </c>
      <c r="E1939">
        <v>4875835</v>
      </c>
      <c r="F1939" t="s">
        <v>90</v>
      </c>
      <c r="G1939" t="s">
        <v>203</v>
      </c>
      <c r="H1939" t="s">
        <v>224</v>
      </c>
      <c r="I1939" s="4">
        <v>100638.28079999999</v>
      </c>
      <c r="J1939" s="4">
        <v>402553.12319999997</v>
      </c>
      <c r="L1939" s="4">
        <v>4</v>
      </c>
    </row>
    <row r="1940" spans="1:12">
      <c r="A1940" t="s">
        <v>94</v>
      </c>
      <c r="B1940" s="10">
        <v>45519</v>
      </c>
      <c r="C1940" s="18">
        <f t="shared" si="30"/>
        <v>8</v>
      </c>
      <c r="D1940" t="s">
        <v>150</v>
      </c>
      <c r="E1940">
        <v>4875835</v>
      </c>
      <c r="F1940" t="s">
        <v>90</v>
      </c>
      <c r="G1940" t="s">
        <v>203</v>
      </c>
      <c r="H1940" t="s">
        <v>223</v>
      </c>
      <c r="I1940" s="4">
        <v>100638.28079999999</v>
      </c>
      <c r="J1940" s="4">
        <v>1006382.808</v>
      </c>
      <c r="L1940" s="4">
        <v>10</v>
      </c>
    </row>
    <row r="1941" spans="1:12">
      <c r="A1941" t="s">
        <v>94</v>
      </c>
      <c r="B1941" s="10">
        <v>45520</v>
      </c>
      <c r="C1941" s="18">
        <f t="shared" si="30"/>
        <v>8</v>
      </c>
      <c r="D1941" t="s">
        <v>150</v>
      </c>
      <c r="E1941">
        <v>4876065</v>
      </c>
      <c r="F1941" t="s">
        <v>87</v>
      </c>
      <c r="G1941" t="s">
        <v>203</v>
      </c>
      <c r="H1941" t="s">
        <v>232</v>
      </c>
      <c r="I1941" s="4">
        <v>100638.28079999999</v>
      </c>
      <c r="J1941" s="4">
        <v>201276.56159999999</v>
      </c>
      <c r="K1941" s="4">
        <v>-8669.2151999999987</v>
      </c>
      <c r="L1941" s="4">
        <v>2</v>
      </c>
    </row>
    <row r="1942" spans="1:12">
      <c r="A1942" t="s">
        <v>94</v>
      </c>
      <c r="B1942" s="10">
        <v>45520</v>
      </c>
      <c r="C1942" s="18">
        <f t="shared" si="30"/>
        <v>8</v>
      </c>
      <c r="D1942" t="s">
        <v>150</v>
      </c>
      <c r="E1942">
        <v>4876065</v>
      </c>
      <c r="F1942" t="s">
        <v>87</v>
      </c>
      <c r="G1942" t="s">
        <v>203</v>
      </c>
      <c r="H1942" t="s">
        <v>223</v>
      </c>
      <c r="I1942" s="4">
        <v>100638.28079999999</v>
      </c>
      <c r="J1942" s="4">
        <v>201276.56159999999</v>
      </c>
      <c r="K1942" s="4">
        <v>-8669.2151999999987</v>
      </c>
      <c r="L1942" s="4">
        <v>2</v>
      </c>
    </row>
    <row r="1943" spans="1:12">
      <c r="A1943" t="s">
        <v>94</v>
      </c>
      <c r="B1943" s="10">
        <v>45529</v>
      </c>
      <c r="C1943" s="18">
        <f t="shared" si="30"/>
        <v>8</v>
      </c>
      <c r="D1943" t="s">
        <v>150</v>
      </c>
      <c r="E1943">
        <v>4876291</v>
      </c>
      <c r="F1943" t="s">
        <v>87</v>
      </c>
      <c r="G1943" t="s">
        <v>203</v>
      </c>
      <c r="H1943" t="s">
        <v>236</v>
      </c>
      <c r="I1943" s="4">
        <v>100638.28079999999</v>
      </c>
      <c r="J1943" s="4">
        <v>402553.12319999997</v>
      </c>
      <c r="K1943" s="4">
        <v>-13870.744320000002</v>
      </c>
      <c r="L1943" s="4">
        <v>4</v>
      </c>
    </row>
    <row r="1944" spans="1:12">
      <c r="A1944" t="s">
        <v>94</v>
      </c>
      <c r="B1944" s="10">
        <v>45529</v>
      </c>
      <c r="C1944" s="18">
        <f t="shared" si="30"/>
        <v>8</v>
      </c>
      <c r="D1944" t="s">
        <v>150</v>
      </c>
      <c r="E1944">
        <v>4876291</v>
      </c>
      <c r="F1944" t="s">
        <v>87</v>
      </c>
      <c r="G1944" t="s">
        <v>203</v>
      </c>
      <c r="H1944" t="s">
        <v>232</v>
      </c>
      <c r="I1944" s="4">
        <v>100638.28079999999</v>
      </c>
      <c r="J1944" s="4">
        <v>402553.12319999997</v>
      </c>
      <c r="K1944" s="4">
        <v>-13870.744320000002</v>
      </c>
      <c r="L1944" s="4">
        <v>4</v>
      </c>
    </row>
    <row r="1945" spans="1:12">
      <c r="A1945" t="s">
        <v>94</v>
      </c>
      <c r="B1945" s="10">
        <v>45529</v>
      </c>
      <c r="C1945" s="18">
        <f t="shared" si="30"/>
        <v>8</v>
      </c>
      <c r="D1945" t="s">
        <v>150</v>
      </c>
      <c r="E1945">
        <v>4876291</v>
      </c>
      <c r="F1945" t="s">
        <v>87</v>
      </c>
      <c r="G1945" t="s">
        <v>203</v>
      </c>
      <c r="H1945" t="s">
        <v>224</v>
      </c>
      <c r="I1945" s="4">
        <v>100638.28079999999</v>
      </c>
      <c r="J1945" s="4">
        <v>402553.12319999997</v>
      </c>
      <c r="K1945" s="4">
        <v>-13870.744320000002</v>
      </c>
      <c r="L1945" s="4">
        <v>4</v>
      </c>
    </row>
    <row r="1946" spans="1:12">
      <c r="A1946" t="s">
        <v>94</v>
      </c>
      <c r="B1946" s="10">
        <v>45529</v>
      </c>
      <c r="C1946" s="18">
        <f t="shared" si="30"/>
        <v>8</v>
      </c>
      <c r="D1946" t="s">
        <v>150</v>
      </c>
      <c r="E1946">
        <v>4876291</v>
      </c>
      <c r="F1946" t="s">
        <v>87</v>
      </c>
      <c r="G1946" t="s">
        <v>203</v>
      </c>
      <c r="H1946" t="s">
        <v>223</v>
      </c>
      <c r="I1946" s="4">
        <v>100638.28079999999</v>
      </c>
      <c r="J1946" s="4">
        <v>402553.12319999997</v>
      </c>
      <c r="K1946" s="4">
        <v>-13870.744320000002</v>
      </c>
      <c r="L1946" s="4">
        <v>4</v>
      </c>
    </row>
    <row r="1947" spans="1:12">
      <c r="A1947" t="s">
        <v>94</v>
      </c>
      <c r="B1947" s="10">
        <v>45535</v>
      </c>
      <c r="C1947" s="18">
        <f t="shared" si="30"/>
        <v>8</v>
      </c>
      <c r="D1947" t="s">
        <v>150</v>
      </c>
      <c r="E1947">
        <v>4875833</v>
      </c>
      <c r="F1947" t="s">
        <v>90</v>
      </c>
      <c r="G1947" t="s">
        <v>203</v>
      </c>
      <c r="H1947" t="s">
        <v>232</v>
      </c>
      <c r="I1947" s="4">
        <v>100638.28079999999</v>
      </c>
      <c r="J1947" s="4">
        <v>2012765.6159999999</v>
      </c>
      <c r="K1947" s="4">
        <v>-86692.152000000002</v>
      </c>
      <c r="L1947" s="4">
        <v>20</v>
      </c>
    </row>
    <row r="1948" spans="1:12">
      <c r="A1948" t="s">
        <v>95</v>
      </c>
      <c r="B1948" s="10">
        <v>45505</v>
      </c>
      <c r="C1948" s="18">
        <f t="shared" si="30"/>
        <v>8</v>
      </c>
      <c r="D1948" t="s">
        <v>188</v>
      </c>
      <c r="E1948">
        <v>4877018</v>
      </c>
      <c r="F1948" t="s">
        <v>89</v>
      </c>
      <c r="G1948" t="s">
        <v>203</v>
      </c>
      <c r="H1948" t="s">
        <v>230</v>
      </c>
      <c r="I1948" s="4">
        <v>100638.28079999999</v>
      </c>
      <c r="J1948" s="4">
        <v>201276.56159999999</v>
      </c>
      <c r="L1948" s="4">
        <v>2</v>
      </c>
    </row>
    <row r="1949" spans="1:12">
      <c r="A1949" t="s">
        <v>95</v>
      </c>
      <c r="B1949" s="10">
        <v>45507</v>
      </c>
      <c r="C1949" s="18">
        <f t="shared" si="30"/>
        <v>8</v>
      </c>
      <c r="D1949" t="s">
        <v>188</v>
      </c>
      <c r="E1949">
        <v>4877018</v>
      </c>
      <c r="F1949" t="s">
        <v>89</v>
      </c>
      <c r="G1949" t="s">
        <v>203</v>
      </c>
      <c r="H1949" t="s">
        <v>230</v>
      </c>
      <c r="I1949" s="4">
        <v>100638.28079999999</v>
      </c>
      <c r="J1949" s="4">
        <v>3019148.4239999996</v>
      </c>
      <c r="L1949" s="4">
        <v>30</v>
      </c>
    </row>
    <row r="1950" spans="1:12">
      <c r="A1950" t="s">
        <v>95</v>
      </c>
      <c r="B1950" s="10">
        <v>45507</v>
      </c>
      <c r="C1950" s="18">
        <f t="shared" si="30"/>
        <v>8</v>
      </c>
      <c r="D1950" t="s">
        <v>188</v>
      </c>
      <c r="E1950">
        <v>4877018</v>
      </c>
      <c r="F1950" t="s">
        <v>89</v>
      </c>
      <c r="G1950" t="s">
        <v>203</v>
      </c>
      <c r="H1950" t="s">
        <v>229</v>
      </c>
      <c r="I1950" s="4">
        <v>125766.4408</v>
      </c>
      <c r="J1950" s="4">
        <v>2515328.8160000001</v>
      </c>
      <c r="L1950" s="4">
        <v>20</v>
      </c>
    </row>
    <row r="1951" spans="1:12">
      <c r="A1951" t="s">
        <v>95</v>
      </c>
      <c r="B1951" s="10">
        <v>45508</v>
      </c>
      <c r="C1951" s="18">
        <f t="shared" si="30"/>
        <v>8</v>
      </c>
      <c r="D1951" t="s">
        <v>188</v>
      </c>
      <c r="E1951">
        <v>4878040</v>
      </c>
      <c r="F1951" t="s">
        <v>88</v>
      </c>
      <c r="G1951" t="s">
        <v>203</v>
      </c>
      <c r="H1951" t="s">
        <v>222</v>
      </c>
      <c r="I1951" s="4">
        <v>100638.28079999999</v>
      </c>
      <c r="J1951" s="4">
        <v>201276.56159999999</v>
      </c>
      <c r="L1951" s="4">
        <v>2</v>
      </c>
    </row>
    <row r="1952" spans="1:12">
      <c r="A1952" t="s">
        <v>95</v>
      </c>
      <c r="B1952" s="10">
        <v>45510</v>
      </c>
      <c r="C1952" s="18">
        <f t="shared" si="30"/>
        <v>8</v>
      </c>
      <c r="D1952" t="s">
        <v>192</v>
      </c>
      <c r="E1952">
        <v>4876156</v>
      </c>
      <c r="F1952" t="s">
        <v>87</v>
      </c>
      <c r="G1952" t="s">
        <v>203</v>
      </c>
      <c r="H1952" t="s">
        <v>238</v>
      </c>
      <c r="I1952" s="4">
        <v>95606.36675999999</v>
      </c>
      <c r="J1952" s="4">
        <v>956063.66759999993</v>
      </c>
      <c r="L1952" s="4">
        <v>10</v>
      </c>
    </row>
    <row r="1953" spans="1:12">
      <c r="A1953" t="s">
        <v>95</v>
      </c>
      <c r="B1953" s="10">
        <v>45510</v>
      </c>
      <c r="C1953" s="18">
        <f t="shared" si="30"/>
        <v>8</v>
      </c>
      <c r="D1953" t="s">
        <v>192</v>
      </c>
      <c r="E1953">
        <v>4876156</v>
      </c>
      <c r="F1953" t="s">
        <v>87</v>
      </c>
      <c r="G1953" t="s">
        <v>203</v>
      </c>
      <c r="H1953" t="s">
        <v>229</v>
      </c>
      <c r="I1953" s="4">
        <v>125766.4408</v>
      </c>
      <c r="J1953" s="4">
        <v>754598.64480000001</v>
      </c>
      <c r="L1953" s="4">
        <v>6</v>
      </c>
    </row>
    <row r="1954" spans="1:12">
      <c r="A1954" t="s">
        <v>95</v>
      </c>
      <c r="B1954" s="10">
        <v>45510</v>
      </c>
      <c r="C1954" s="18">
        <f t="shared" si="30"/>
        <v>8</v>
      </c>
      <c r="D1954" t="s">
        <v>192</v>
      </c>
      <c r="E1954">
        <v>4878777</v>
      </c>
      <c r="F1954" t="s">
        <v>87</v>
      </c>
      <c r="G1954" t="s">
        <v>203</v>
      </c>
      <c r="H1954" t="s">
        <v>230</v>
      </c>
      <c r="I1954" s="4">
        <v>100638.28079999999</v>
      </c>
      <c r="J1954" s="4">
        <v>402553.12319999997</v>
      </c>
      <c r="K1954" s="4">
        <v>-17338.430399999997</v>
      </c>
      <c r="L1954" s="4">
        <v>4</v>
      </c>
    </row>
    <row r="1955" spans="1:12">
      <c r="A1955" t="s">
        <v>95</v>
      </c>
      <c r="B1955" s="10">
        <v>45510</v>
      </c>
      <c r="C1955" s="18">
        <f t="shared" si="30"/>
        <v>8</v>
      </c>
      <c r="D1955" t="s">
        <v>192</v>
      </c>
      <c r="E1955">
        <v>4878777</v>
      </c>
      <c r="F1955" t="s">
        <v>87</v>
      </c>
      <c r="G1955" t="s">
        <v>203</v>
      </c>
      <c r="H1955" t="s">
        <v>229</v>
      </c>
      <c r="I1955" s="4">
        <v>125766.4408</v>
      </c>
      <c r="J1955" s="4">
        <v>377299.3224</v>
      </c>
      <c r="K1955" s="4">
        <v>-16961.508000000002</v>
      </c>
      <c r="L1955" s="4">
        <v>3</v>
      </c>
    </row>
    <row r="1956" spans="1:12">
      <c r="A1956" t="s">
        <v>95</v>
      </c>
      <c r="B1956" s="10">
        <v>45511</v>
      </c>
      <c r="C1956" s="18">
        <f t="shared" si="30"/>
        <v>8</v>
      </c>
      <c r="D1956" t="s">
        <v>188</v>
      </c>
      <c r="E1956">
        <v>4876241</v>
      </c>
      <c r="F1956" t="s">
        <v>89</v>
      </c>
      <c r="G1956" t="s">
        <v>203</v>
      </c>
      <c r="H1956" t="s">
        <v>230</v>
      </c>
      <c r="I1956" s="4">
        <v>100638.28079999999</v>
      </c>
      <c r="J1956" s="4">
        <v>603829.68479999993</v>
      </c>
      <c r="L1956" s="4">
        <v>6</v>
      </c>
    </row>
    <row r="1957" spans="1:12">
      <c r="A1957" t="s">
        <v>95</v>
      </c>
      <c r="B1957" s="10">
        <v>45512</v>
      </c>
      <c r="C1957" s="18">
        <f t="shared" si="30"/>
        <v>8</v>
      </c>
      <c r="D1957" t="s">
        <v>188</v>
      </c>
      <c r="E1957">
        <v>4878040</v>
      </c>
      <c r="F1957" t="s">
        <v>88</v>
      </c>
      <c r="G1957" t="s">
        <v>205</v>
      </c>
      <c r="H1957" t="s">
        <v>210</v>
      </c>
      <c r="I1957" s="4">
        <v>7538.4479999999994</v>
      </c>
      <c r="J1957" s="4">
        <v>203538.09599999999</v>
      </c>
      <c r="L1957" s="4">
        <v>27</v>
      </c>
    </row>
    <row r="1958" spans="1:12">
      <c r="A1958" t="s">
        <v>95</v>
      </c>
      <c r="B1958" s="10">
        <v>45514</v>
      </c>
      <c r="C1958" s="18">
        <f t="shared" si="30"/>
        <v>8</v>
      </c>
      <c r="D1958" t="s">
        <v>188</v>
      </c>
      <c r="E1958">
        <v>4877327</v>
      </c>
      <c r="F1958" t="s">
        <v>90</v>
      </c>
      <c r="G1958" t="s">
        <v>203</v>
      </c>
      <c r="H1958" t="s">
        <v>230</v>
      </c>
      <c r="I1958" s="4">
        <v>100638.28079999999</v>
      </c>
      <c r="J1958" s="4">
        <v>201276.56159999999</v>
      </c>
      <c r="L1958" s="4">
        <v>2</v>
      </c>
    </row>
    <row r="1959" spans="1:12">
      <c r="A1959" t="s">
        <v>95</v>
      </c>
      <c r="B1959" s="10">
        <v>45515</v>
      </c>
      <c r="C1959" s="18">
        <f t="shared" si="30"/>
        <v>8</v>
      </c>
      <c r="D1959" t="s">
        <v>188</v>
      </c>
      <c r="E1959">
        <v>4877327</v>
      </c>
      <c r="F1959" t="s">
        <v>90</v>
      </c>
      <c r="G1959" t="s">
        <v>203</v>
      </c>
      <c r="H1959" t="s">
        <v>238</v>
      </c>
      <c r="I1959" s="4">
        <v>95606.36675999999</v>
      </c>
      <c r="J1959" s="4">
        <v>382425.46703999996</v>
      </c>
      <c r="L1959" s="4">
        <v>4</v>
      </c>
    </row>
    <row r="1960" spans="1:12">
      <c r="A1960" t="s">
        <v>95</v>
      </c>
      <c r="B1960" s="10">
        <v>45516</v>
      </c>
      <c r="C1960" s="18">
        <f t="shared" si="30"/>
        <v>8</v>
      </c>
      <c r="D1960" t="s">
        <v>188</v>
      </c>
      <c r="E1960">
        <v>4876182</v>
      </c>
      <c r="F1960" t="s">
        <v>90</v>
      </c>
      <c r="G1960" t="s">
        <v>203</v>
      </c>
      <c r="H1960" t="s">
        <v>238</v>
      </c>
      <c r="I1960" s="4">
        <v>95606.36675999999</v>
      </c>
      <c r="J1960" s="4">
        <v>956063.66759999993</v>
      </c>
      <c r="L1960" s="4">
        <v>10</v>
      </c>
    </row>
    <row r="1961" spans="1:12">
      <c r="A1961" t="s">
        <v>95</v>
      </c>
      <c r="B1961" s="10">
        <v>45518</v>
      </c>
      <c r="C1961" s="18">
        <f t="shared" si="30"/>
        <v>8</v>
      </c>
      <c r="D1961" t="s">
        <v>146</v>
      </c>
      <c r="E1961">
        <v>4877018</v>
      </c>
      <c r="F1961" t="s">
        <v>89</v>
      </c>
      <c r="G1961" t="s">
        <v>203</v>
      </c>
      <c r="H1961" t="s">
        <v>229</v>
      </c>
      <c r="I1961" s="4">
        <v>125766.4408</v>
      </c>
      <c r="J1961" s="4">
        <v>2515328.8160000001</v>
      </c>
      <c r="L1961" s="4">
        <v>20</v>
      </c>
    </row>
    <row r="1962" spans="1:12">
      <c r="A1962" t="s">
        <v>95</v>
      </c>
      <c r="B1962" s="10">
        <v>45519</v>
      </c>
      <c r="C1962" s="18">
        <f t="shared" si="30"/>
        <v>8</v>
      </c>
      <c r="D1962" t="s">
        <v>188</v>
      </c>
      <c r="E1962">
        <v>6080557</v>
      </c>
      <c r="F1962" t="s">
        <v>87</v>
      </c>
      <c r="G1962" t="s">
        <v>203</v>
      </c>
      <c r="H1962" t="s">
        <v>229</v>
      </c>
      <c r="I1962" s="4">
        <v>125766.4408</v>
      </c>
      <c r="J1962" s="4">
        <v>1257664.4080000001</v>
      </c>
      <c r="L1962" s="4">
        <v>10</v>
      </c>
    </row>
    <row r="1963" spans="1:12">
      <c r="A1963" t="s">
        <v>95</v>
      </c>
      <c r="B1963" s="10">
        <v>45525</v>
      </c>
      <c r="C1963" s="18">
        <f t="shared" si="30"/>
        <v>8</v>
      </c>
      <c r="D1963" t="s">
        <v>188</v>
      </c>
      <c r="E1963">
        <v>4876241</v>
      </c>
      <c r="F1963" t="s">
        <v>89</v>
      </c>
      <c r="G1963" t="s">
        <v>203</v>
      </c>
      <c r="H1963" t="s">
        <v>230</v>
      </c>
      <c r="I1963" s="4">
        <v>100638.28079999999</v>
      </c>
      <c r="J1963" s="4">
        <v>603829.68479999993</v>
      </c>
      <c r="L1963" s="4">
        <v>6</v>
      </c>
    </row>
    <row r="1964" spans="1:12">
      <c r="A1964" t="s">
        <v>95</v>
      </c>
      <c r="B1964" s="10">
        <v>45525</v>
      </c>
      <c r="C1964" s="18">
        <f t="shared" si="30"/>
        <v>8</v>
      </c>
      <c r="D1964" t="s">
        <v>188</v>
      </c>
      <c r="E1964">
        <v>4876241</v>
      </c>
      <c r="F1964" t="s">
        <v>89</v>
      </c>
      <c r="G1964" t="s">
        <v>203</v>
      </c>
      <c r="H1964" t="s">
        <v>229</v>
      </c>
      <c r="I1964" s="4">
        <v>125766.4408</v>
      </c>
      <c r="J1964" s="4">
        <v>503065.76319999999</v>
      </c>
      <c r="L1964" s="4">
        <v>4</v>
      </c>
    </row>
    <row r="1965" spans="1:12">
      <c r="A1965" t="s">
        <v>95</v>
      </c>
      <c r="B1965" s="10">
        <v>45526</v>
      </c>
      <c r="C1965" s="18">
        <f t="shared" si="30"/>
        <v>8</v>
      </c>
      <c r="D1965" t="s">
        <v>180</v>
      </c>
      <c r="E1965">
        <v>4876320</v>
      </c>
      <c r="F1965" t="s">
        <v>89</v>
      </c>
      <c r="G1965" t="s">
        <v>203</v>
      </c>
      <c r="H1965" t="s">
        <v>230</v>
      </c>
      <c r="I1965" s="4">
        <v>100638.28079999999</v>
      </c>
      <c r="J1965" s="4">
        <v>1006382.808</v>
      </c>
      <c r="L1965" s="4">
        <v>10</v>
      </c>
    </row>
    <row r="1966" spans="1:12">
      <c r="A1966" t="s">
        <v>95</v>
      </c>
      <c r="B1966" s="10">
        <v>45526</v>
      </c>
      <c r="C1966" s="18">
        <f t="shared" si="30"/>
        <v>8</v>
      </c>
      <c r="D1966" t="s">
        <v>180</v>
      </c>
      <c r="E1966">
        <v>4876604</v>
      </c>
      <c r="F1966" t="s">
        <v>87</v>
      </c>
      <c r="G1966" t="s">
        <v>203</v>
      </c>
      <c r="H1966" t="s">
        <v>230</v>
      </c>
      <c r="I1966" s="4">
        <v>100638.28079999999</v>
      </c>
      <c r="J1966" s="4">
        <v>402553.12319999997</v>
      </c>
      <c r="L1966" s="4">
        <v>4</v>
      </c>
    </row>
    <row r="1967" spans="1:12">
      <c r="A1967" t="s">
        <v>95</v>
      </c>
      <c r="B1967" s="10">
        <v>45526</v>
      </c>
      <c r="C1967" s="18">
        <f t="shared" si="30"/>
        <v>8</v>
      </c>
      <c r="D1967" t="s">
        <v>188</v>
      </c>
      <c r="E1967">
        <v>4878821</v>
      </c>
      <c r="F1967" t="s">
        <v>87</v>
      </c>
      <c r="G1967" t="s">
        <v>203</v>
      </c>
      <c r="H1967" t="s">
        <v>222</v>
      </c>
      <c r="I1967" s="4">
        <v>100638.28079999999</v>
      </c>
      <c r="J1967" s="4">
        <v>402553.12319999997</v>
      </c>
      <c r="L1967" s="4">
        <v>4</v>
      </c>
    </row>
    <row r="1968" spans="1:12">
      <c r="A1968" t="s">
        <v>95</v>
      </c>
      <c r="B1968" s="10">
        <v>45528</v>
      </c>
      <c r="C1968" s="18">
        <f t="shared" si="30"/>
        <v>8</v>
      </c>
      <c r="D1968" t="s">
        <v>188</v>
      </c>
      <c r="E1968">
        <v>4877327</v>
      </c>
      <c r="F1968" t="s">
        <v>90</v>
      </c>
      <c r="G1968" t="s">
        <v>203</v>
      </c>
      <c r="H1968" t="s">
        <v>222</v>
      </c>
      <c r="I1968" s="4">
        <v>100638.28079999999</v>
      </c>
      <c r="J1968" s="4">
        <v>201276.56159999999</v>
      </c>
      <c r="L1968" s="4">
        <v>2</v>
      </c>
    </row>
    <row r="1969" spans="1:12">
      <c r="A1969" t="s">
        <v>95</v>
      </c>
      <c r="B1969" s="10">
        <v>45528</v>
      </c>
      <c r="C1969" s="18">
        <f t="shared" si="30"/>
        <v>8</v>
      </c>
      <c r="D1969" t="s">
        <v>188</v>
      </c>
      <c r="E1969">
        <v>4876465</v>
      </c>
      <c r="F1969" t="s">
        <v>87</v>
      </c>
      <c r="G1969" t="s">
        <v>203</v>
      </c>
      <c r="H1969" t="s">
        <v>230</v>
      </c>
      <c r="I1969" s="4">
        <v>100638.28079999999</v>
      </c>
      <c r="J1969" s="4">
        <v>201276.56159999999</v>
      </c>
      <c r="L1969" s="4">
        <v>2</v>
      </c>
    </row>
    <row r="1970" spans="1:12">
      <c r="A1970" t="s">
        <v>95</v>
      </c>
      <c r="B1970" s="10">
        <v>45528</v>
      </c>
      <c r="C1970" s="18">
        <f t="shared" si="30"/>
        <v>8</v>
      </c>
      <c r="D1970" t="s">
        <v>188</v>
      </c>
      <c r="E1970">
        <v>4878830</v>
      </c>
      <c r="F1970" t="s">
        <v>90</v>
      </c>
      <c r="G1970" t="s">
        <v>203</v>
      </c>
      <c r="H1970" t="s">
        <v>222</v>
      </c>
      <c r="I1970" s="4">
        <v>100638.28079999999</v>
      </c>
      <c r="J1970" s="4">
        <v>402553.12319999997</v>
      </c>
      <c r="L1970" s="4">
        <v>4</v>
      </c>
    </row>
    <row r="1971" spans="1:12">
      <c r="A1971" t="s">
        <v>95</v>
      </c>
      <c r="B1971" s="10">
        <v>45530</v>
      </c>
      <c r="C1971" s="18">
        <f t="shared" si="30"/>
        <v>8</v>
      </c>
      <c r="D1971" t="s">
        <v>188</v>
      </c>
      <c r="E1971">
        <v>4876307</v>
      </c>
      <c r="F1971" t="s">
        <v>87</v>
      </c>
      <c r="G1971" t="s">
        <v>203</v>
      </c>
      <c r="H1971" t="s">
        <v>230</v>
      </c>
      <c r="I1971" s="4">
        <v>100638.28079999999</v>
      </c>
      <c r="J1971" s="4">
        <v>603829.68479999993</v>
      </c>
      <c r="L1971" s="4">
        <v>6</v>
      </c>
    </row>
    <row r="1972" spans="1:12">
      <c r="A1972" t="s">
        <v>95</v>
      </c>
      <c r="B1972" s="10">
        <v>45533</v>
      </c>
      <c r="C1972" s="18">
        <f t="shared" si="30"/>
        <v>8</v>
      </c>
      <c r="D1972" t="s">
        <v>188</v>
      </c>
      <c r="E1972">
        <v>4877018</v>
      </c>
      <c r="F1972" t="s">
        <v>89</v>
      </c>
      <c r="G1972" t="s">
        <v>203</v>
      </c>
      <c r="H1972" t="s">
        <v>222</v>
      </c>
      <c r="I1972" s="4">
        <v>100638.28079999999</v>
      </c>
      <c r="J1972" s="4">
        <v>805106.24639999995</v>
      </c>
      <c r="L1972" s="4">
        <v>8</v>
      </c>
    </row>
    <row r="1973" spans="1:12">
      <c r="A1973" t="s">
        <v>95</v>
      </c>
      <c r="B1973" s="10">
        <v>45533</v>
      </c>
      <c r="C1973" s="18">
        <f t="shared" si="30"/>
        <v>8</v>
      </c>
      <c r="D1973" t="s">
        <v>188</v>
      </c>
      <c r="E1973">
        <v>4878859</v>
      </c>
      <c r="F1973" t="s">
        <v>87</v>
      </c>
      <c r="G1973" t="s">
        <v>203</v>
      </c>
      <c r="H1973" t="s">
        <v>230</v>
      </c>
      <c r="I1973" s="4">
        <v>100638.28079999999</v>
      </c>
      <c r="J1973" s="4">
        <v>1006382.808</v>
      </c>
      <c r="L1973" s="4">
        <v>10</v>
      </c>
    </row>
    <row r="1974" spans="1:12">
      <c r="A1974" t="s">
        <v>106</v>
      </c>
      <c r="B1974" s="10">
        <v>45525</v>
      </c>
      <c r="C1974" s="18">
        <f t="shared" si="30"/>
        <v>8</v>
      </c>
      <c r="D1974" t="s">
        <v>138</v>
      </c>
      <c r="E1974">
        <v>4873551</v>
      </c>
      <c r="F1974" t="s">
        <v>8</v>
      </c>
      <c r="G1974" t="s">
        <v>203</v>
      </c>
      <c r="H1974" t="s">
        <v>242</v>
      </c>
      <c r="I1974" s="4">
        <v>100638.28079999999</v>
      </c>
      <c r="J1974" s="4">
        <v>402553.12319999997</v>
      </c>
      <c r="L1974" s="4">
        <v>4</v>
      </c>
    </row>
    <row r="1975" spans="1:12">
      <c r="A1975" t="s">
        <v>106</v>
      </c>
      <c r="B1975" s="10">
        <v>45525</v>
      </c>
      <c r="C1975" s="18">
        <f t="shared" si="30"/>
        <v>8</v>
      </c>
      <c r="D1975" t="s">
        <v>138</v>
      </c>
      <c r="E1975">
        <v>4876555</v>
      </c>
      <c r="F1975" t="s">
        <v>8</v>
      </c>
      <c r="G1975" t="s">
        <v>203</v>
      </c>
      <c r="H1975" t="s">
        <v>242</v>
      </c>
      <c r="I1975" s="4">
        <v>100638.28079999999</v>
      </c>
      <c r="J1975" s="4">
        <v>-402553.12319999997</v>
      </c>
      <c r="L1975" s="4">
        <v>-4</v>
      </c>
    </row>
    <row r="1976" spans="1:12">
      <c r="A1976" t="s">
        <v>108</v>
      </c>
      <c r="B1976" s="10">
        <v>45509</v>
      </c>
      <c r="C1976" s="18">
        <f t="shared" si="30"/>
        <v>8</v>
      </c>
      <c r="D1976" t="s">
        <v>198</v>
      </c>
      <c r="E1976">
        <v>4878864</v>
      </c>
      <c r="F1976" t="s">
        <v>89</v>
      </c>
      <c r="G1976" t="s">
        <v>204</v>
      </c>
      <c r="H1976" t="s">
        <v>217</v>
      </c>
      <c r="I1976" s="4">
        <v>78022.936799999996</v>
      </c>
      <c r="J1976" s="4">
        <v>390114.68400000001</v>
      </c>
      <c r="L1976" s="4">
        <v>5</v>
      </c>
    </row>
    <row r="1977" spans="1:12">
      <c r="A1977" t="s">
        <v>108</v>
      </c>
      <c r="B1977" s="10">
        <v>45512</v>
      </c>
      <c r="C1977" s="18">
        <f t="shared" si="30"/>
        <v>8</v>
      </c>
      <c r="D1977" t="s">
        <v>198</v>
      </c>
      <c r="E1977">
        <v>4876994</v>
      </c>
      <c r="F1977" t="s">
        <v>89</v>
      </c>
      <c r="G1977" t="s">
        <v>203</v>
      </c>
      <c r="H1977" t="s">
        <v>234</v>
      </c>
      <c r="I1977" s="4">
        <v>100638.28079999999</v>
      </c>
      <c r="J1977" s="4">
        <v>201276.56159999999</v>
      </c>
      <c r="L1977" s="4">
        <v>2</v>
      </c>
    </row>
    <row r="1978" spans="1:12">
      <c r="A1978" t="s">
        <v>108</v>
      </c>
      <c r="B1978" s="10">
        <v>45512</v>
      </c>
      <c r="C1978" s="18">
        <f t="shared" si="30"/>
        <v>8</v>
      </c>
      <c r="D1978" t="s">
        <v>198</v>
      </c>
      <c r="E1978">
        <v>4876994</v>
      </c>
      <c r="F1978" t="s">
        <v>89</v>
      </c>
      <c r="G1978" t="s">
        <v>203</v>
      </c>
      <c r="H1978" t="s">
        <v>239</v>
      </c>
      <c r="I1978" s="4">
        <v>125766.4408</v>
      </c>
      <c r="J1978" s="4">
        <v>251532.88159999999</v>
      </c>
      <c r="L1978" s="4">
        <v>2</v>
      </c>
    </row>
    <row r="1979" spans="1:12">
      <c r="A1979" t="s">
        <v>108</v>
      </c>
      <c r="B1979" s="10">
        <v>45513</v>
      </c>
      <c r="C1979" s="18">
        <f t="shared" si="30"/>
        <v>8</v>
      </c>
      <c r="D1979" t="s">
        <v>198</v>
      </c>
      <c r="E1979">
        <v>4877395</v>
      </c>
      <c r="F1979" t="s">
        <v>87</v>
      </c>
      <c r="G1979" t="s">
        <v>203</v>
      </c>
      <c r="H1979" t="s">
        <v>239</v>
      </c>
      <c r="I1979" s="4">
        <v>125766.4408</v>
      </c>
      <c r="J1979" s="4">
        <v>377299.3224</v>
      </c>
      <c r="L1979" s="4">
        <v>3</v>
      </c>
    </row>
    <row r="1980" spans="1:12">
      <c r="A1980" t="s">
        <v>108</v>
      </c>
      <c r="B1980" s="10">
        <v>45513</v>
      </c>
      <c r="C1980" s="18">
        <f t="shared" si="30"/>
        <v>8</v>
      </c>
      <c r="D1980" t="s">
        <v>198</v>
      </c>
      <c r="E1980">
        <v>4877395</v>
      </c>
      <c r="F1980" t="s">
        <v>87</v>
      </c>
      <c r="G1980" t="s">
        <v>203</v>
      </c>
      <c r="H1980" t="s">
        <v>237</v>
      </c>
      <c r="I1980" s="4">
        <v>125766.4408</v>
      </c>
      <c r="J1980" s="4">
        <v>251532.88159999999</v>
      </c>
      <c r="L1980" s="4">
        <v>2</v>
      </c>
    </row>
    <row r="1981" spans="1:12">
      <c r="A1981" t="s">
        <v>108</v>
      </c>
      <c r="B1981" s="10">
        <v>45523</v>
      </c>
      <c r="C1981" s="18">
        <f t="shared" si="30"/>
        <v>8</v>
      </c>
      <c r="D1981" t="s">
        <v>198</v>
      </c>
      <c r="E1981">
        <v>4877344</v>
      </c>
      <c r="F1981" t="s">
        <v>89</v>
      </c>
      <c r="G1981" t="s">
        <v>203</v>
      </c>
      <c r="H1981" t="s">
        <v>243</v>
      </c>
      <c r="I1981" s="4">
        <v>100638.28079999999</v>
      </c>
      <c r="J1981" s="4">
        <v>201276.56159999999</v>
      </c>
      <c r="L1981" s="4">
        <v>2</v>
      </c>
    </row>
    <row r="1982" spans="1:12">
      <c r="A1982" t="s">
        <v>108</v>
      </c>
      <c r="B1982" s="10">
        <v>45523</v>
      </c>
      <c r="C1982" s="18">
        <f t="shared" si="30"/>
        <v>8</v>
      </c>
      <c r="D1982" t="s">
        <v>198</v>
      </c>
      <c r="E1982">
        <v>4877344</v>
      </c>
      <c r="F1982" t="s">
        <v>89</v>
      </c>
      <c r="G1982" t="s">
        <v>203</v>
      </c>
      <c r="H1982" t="s">
        <v>234</v>
      </c>
      <c r="I1982" s="4">
        <v>100638.28079999999</v>
      </c>
      <c r="J1982" s="4">
        <v>201276.56159999999</v>
      </c>
      <c r="L1982" s="4">
        <v>2</v>
      </c>
    </row>
    <row r="1983" spans="1:12">
      <c r="A1983" t="s">
        <v>108</v>
      </c>
      <c r="B1983" s="10">
        <v>45524</v>
      </c>
      <c r="C1983" s="18">
        <f t="shared" si="30"/>
        <v>8</v>
      </c>
      <c r="D1983" t="s">
        <v>198</v>
      </c>
      <c r="E1983">
        <v>4878051</v>
      </c>
      <c r="F1983" t="s">
        <v>90</v>
      </c>
      <c r="G1983" t="s">
        <v>203</v>
      </c>
      <c r="H1983" t="s">
        <v>237</v>
      </c>
      <c r="I1983" s="4">
        <v>125766.4408</v>
      </c>
      <c r="J1983" s="4">
        <v>377299.3224</v>
      </c>
      <c r="L1983" s="4">
        <v>3</v>
      </c>
    </row>
    <row r="1984" spans="1:12">
      <c r="A1984" t="s">
        <v>106</v>
      </c>
      <c r="B1984" s="10">
        <v>45505</v>
      </c>
      <c r="C1984" s="18">
        <f t="shared" si="30"/>
        <v>8</v>
      </c>
      <c r="D1984" t="s">
        <v>135</v>
      </c>
      <c r="E1984">
        <v>4872948</v>
      </c>
      <c r="F1984" t="s">
        <v>88</v>
      </c>
      <c r="G1984" t="s">
        <v>203</v>
      </c>
      <c r="H1984" t="s">
        <v>245</v>
      </c>
      <c r="I1984" s="4">
        <v>100638.28079999999</v>
      </c>
      <c r="J1984" s="4">
        <v>402553.12319999997</v>
      </c>
      <c r="L1984" s="4">
        <v>4</v>
      </c>
    </row>
    <row r="1985" spans="1:12">
      <c r="A1985" t="s">
        <v>106</v>
      </c>
      <c r="B1985" s="10">
        <v>45505</v>
      </c>
      <c r="C1985" s="18">
        <f t="shared" si="30"/>
        <v>8</v>
      </c>
      <c r="D1985" t="s">
        <v>135</v>
      </c>
      <c r="E1985">
        <v>4872948</v>
      </c>
      <c r="F1985" t="s">
        <v>88</v>
      </c>
      <c r="G1985" t="s">
        <v>203</v>
      </c>
      <c r="H1985" t="s">
        <v>240</v>
      </c>
      <c r="I1985" s="4">
        <v>100638.28079999999</v>
      </c>
      <c r="J1985" s="4">
        <v>402553.12319999997</v>
      </c>
      <c r="L1985" s="4">
        <v>4</v>
      </c>
    </row>
    <row r="1986" spans="1:12">
      <c r="A1986" t="s">
        <v>106</v>
      </c>
      <c r="B1986" s="10">
        <v>45505</v>
      </c>
      <c r="C1986" s="18">
        <f t="shared" ref="C1986:C2049" si="31">MONTH(B1986)</f>
        <v>8</v>
      </c>
      <c r="D1986" t="s">
        <v>135</v>
      </c>
      <c r="E1986">
        <v>4872948</v>
      </c>
      <c r="F1986" t="s">
        <v>88</v>
      </c>
      <c r="G1986" t="s">
        <v>203</v>
      </c>
      <c r="H1986" t="s">
        <v>238</v>
      </c>
      <c r="I1986" s="4">
        <v>95606.36675999999</v>
      </c>
      <c r="J1986" s="4">
        <v>382425.46703999996</v>
      </c>
      <c r="L1986" s="4">
        <v>4</v>
      </c>
    </row>
    <row r="1987" spans="1:12">
      <c r="A1987" t="s">
        <v>106</v>
      </c>
      <c r="B1987" s="10">
        <v>45505</v>
      </c>
      <c r="C1987" s="18">
        <f t="shared" si="31"/>
        <v>8</v>
      </c>
      <c r="D1987" t="s">
        <v>135</v>
      </c>
      <c r="E1987">
        <v>4872948</v>
      </c>
      <c r="F1987" t="s">
        <v>88</v>
      </c>
      <c r="G1987" t="s">
        <v>203</v>
      </c>
      <c r="H1987" t="s">
        <v>222</v>
      </c>
      <c r="I1987" s="4">
        <v>100638.28079999999</v>
      </c>
      <c r="J1987" s="4">
        <v>402553.12319999997</v>
      </c>
      <c r="L1987" s="4">
        <v>4</v>
      </c>
    </row>
    <row r="1988" spans="1:12">
      <c r="A1988" t="s">
        <v>106</v>
      </c>
      <c r="B1988" s="10">
        <v>45505</v>
      </c>
      <c r="C1988" s="18">
        <f t="shared" si="31"/>
        <v>8</v>
      </c>
      <c r="D1988" t="s">
        <v>135</v>
      </c>
      <c r="E1988">
        <v>4873291</v>
      </c>
      <c r="F1988" t="s">
        <v>89</v>
      </c>
      <c r="G1988" t="s">
        <v>203</v>
      </c>
      <c r="H1988" t="s">
        <v>245</v>
      </c>
      <c r="I1988" s="4">
        <v>100638.28079999999</v>
      </c>
      <c r="J1988" s="4">
        <v>603829.68479999993</v>
      </c>
      <c r="L1988" s="4">
        <v>6</v>
      </c>
    </row>
    <row r="1989" spans="1:12">
      <c r="A1989" t="s">
        <v>106</v>
      </c>
      <c r="B1989" s="10">
        <v>45505</v>
      </c>
      <c r="C1989" s="18">
        <f t="shared" si="31"/>
        <v>8</v>
      </c>
      <c r="D1989" t="s">
        <v>135</v>
      </c>
      <c r="E1989">
        <v>4873291</v>
      </c>
      <c r="F1989" t="s">
        <v>89</v>
      </c>
      <c r="G1989" t="s">
        <v>203</v>
      </c>
      <c r="H1989" t="s">
        <v>240</v>
      </c>
      <c r="I1989" s="4">
        <v>100638.28079999999</v>
      </c>
      <c r="J1989" s="4">
        <v>603829.68479999993</v>
      </c>
      <c r="L1989" s="4">
        <v>6</v>
      </c>
    </row>
    <row r="1990" spans="1:12">
      <c r="A1990" t="s">
        <v>106</v>
      </c>
      <c r="B1990" s="10">
        <v>45505</v>
      </c>
      <c r="C1990" s="18">
        <f t="shared" si="31"/>
        <v>8</v>
      </c>
      <c r="D1990" t="s">
        <v>135</v>
      </c>
      <c r="E1990">
        <v>4873291</v>
      </c>
      <c r="F1990" t="s">
        <v>89</v>
      </c>
      <c r="G1990" t="s">
        <v>203</v>
      </c>
      <c r="H1990" t="s">
        <v>238</v>
      </c>
      <c r="I1990" s="4">
        <v>95606.36675999999</v>
      </c>
      <c r="J1990" s="4">
        <v>573638.20055999991</v>
      </c>
      <c r="L1990" s="4">
        <v>6</v>
      </c>
    </row>
    <row r="1991" spans="1:12">
      <c r="A1991" t="s">
        <v>106</v>
      </c>
      <c r="B1991" s="10">
        <v>45505</v>
      </c>
      <c r="C1991" s="18">
        <f t="shared" si="31"/>
        <v>8</v>
      </c>
      <c r="D1991" t="s">
        <v>135</v>
      </c>
      <c r="E1991">
        <v>4873291</v>
      </c>
      <c r="F1991" t="s">
        <v>89</v>
      </c>
      <c r="G1991" t="s">
        <v>203</v>
      </c>
      <c r="H1991" t="s">
        <v>234</v>
      </c>
      <c r="I1991" s="4">
        <v>100638.28079999999</v>
      </c>
      <c r="J1991" s="4">
        <v>201276.56159999999</v>
      </c>
      <c r="L1991" s="4">
        <v>2</v>
      </c>
    </row>
    <row r="1992" spans="1:12">
      <c r="A1992" t="s">
        <v>106</v>
      </c>
      <c r="B1992" s="10">
        <v>45505</v>
      </c>
      <c r="C1992" s="18">
        <f t="shared" si="31"/>
        <v>8</v>
      </c>
      <c r="D1992" t="s">
        <v>135</v>
      </c>
      <c r="E1992">
        <v>4873291</v>
      </c>
      <c r="F1992" t="s">
        <v>89</v>
      </c>
      <c r="G1992" t="s">
        <v>203</v>
      </c>
      <c r="H1992" t="s">
        <v>222</v>
      </c>
      <c r="I1992" s="4">
        <v>100638.28079999999</v>
      </c>
      <c r="J1992" s="4">
        <v>603829.68479999993</v>
      </c>
      <c r="L1992" s="4">
        <v>6</v>
      </c>
    </row>
    <row r="1993" spans="1:12">
      <c r="A1993" t="s">
        <v>106</v>
      </c>
      <c r="B1993" s="10">
        <v>45505</v>
      </c>
      <c r="C1993" s="18">
        <f t="shared" si="31"/>
        <v>8</v>
      </c>
      <c r="D1993" t="s">
        <v>135</v>
      </c>
      <c r="E1993">
        <v>4872947</v>
      </c>
      <c r="F1993" t="s">
        <v>88</v>
      </c>
      <c r="G1993" t="s">
        <v>203</v>
      </c>
      <c r="H1993" t="s">
        <v>245</v>
      </c>
      <c r="I1993" s="4">
        <v>100638.28079999999</v>
      </c>
      <c r="J1993" s="4">
        <v>201276.56159999999</v>
      </c>
      <c r="L1993" s="4">
        <v>2</v>
      </c>
    </row>
    <row r="1994" spans="1:12">
      <c r="A1994" t="s">
        <v>106</v>
      </c>
      <c r="B1994" s="10">
        <v>45505</v>
      </c>
      <c r="C1994" s="18">
        <f t="shared" si="31"/>
        <v>8</v>
      </c>
      <c r="D1994" t="s">
        <v>135</v>
      </c>
      <c r="E1994">
        <v>4872947</v>
      </c>
      <c r="F1994" t="s">
        <v>88</v>
      </c>
      <c r="G1994" t="s">
        <v>203</v>
      </c>
      <c r="H1994" t="s">
        <v>240</v>
      </c>
      <c r="I1994" s="4">
        <v>100638.28079999999</v>
      </c>
      <c r="J1994" s="4">
        <v>201276.56159999999</v>
      </c>
      <c r="L1994" s="4">
        <v>2</v>
      </c>
    </row>
    <row r="1995" spans="1:12">
      <c r="A1995" t="s">
        <v>106</v>
      </c>
      <c r="B1995" s="10">
        <v>45505</v>
      </c>
      <c r="C1995" s="18">
        <f t="shared" si="31"/>
        <v>8</v>
      </c>
      <c r="D1995" t="s">
        <v>135</v>
      </c>
      <c r="E1995">
        <v>4872947</v>
      </c>
      <c r="F1995" t="s">
        <v>88</v>
      </c>
      <c r="G1995" t="s">
        <v>203</v>
      </c>
      <c r="H1995" t="s">
        <v>238</v>
      </c>
      <c r="I1995" s="4">
        <v>95606.36675999999</v>
      </c>
      <c r="J1995" s="4">
        <v>191212.73351999998</v>
      </c>
      <c r="L1995" s="4">
        <v>2</v>
      </c>
    </row>
    <row r="1996" spans="1:12">
      <c r="A1996" t="s">
        <v>106</v>
      </c>
      <c r="B1996" s="10">
        <v>45505</v>
      </c>
      <c r="C1996" s="18">
        <f t="shared" si="31"/>
        <v>8</v>
      </c>
      <c r="D1996" t="s">
        <v>135</v>
      </c>
      <c r="E1996">
        <v>4872947</v>
      </c>
      <c r="F1996" t="s">
        <v>88</v>
      </c>
      <c r="G1996" t="s">
        <v>203</v>
      </c>
      <c r="H1996" t="s">
        <v>234</v>
      </c>
      <c r="I1996" s="4">
        <v>100638.28079999999</v>
      </c>
      <c r="J1996" s="4">
        <v>201276.56159999999</v>
      </c>
      <c r="L1996" s="4">
        <v>2</v>
      </c>
    </row>
    <row r="1997" spans="1:12">
      <c r="A1997" t="s">
        <v>106</v>
      </c>
      <c r="B1997" s="10">
        <v>45505</v>
      </c>
      <c r="C1997" s="18">
        <f t="shared" si="31"/>
        <v>8</v>
      </c>
      <c r="D1997" t="s">
        <v>135</v>
      </c>
      <c r="E1997">
        <v>4872947</v>
      </c>
      <c r="F1997" t="s">
        <v>88</v>
      </c>
      <c r="G1997" t="s">
        <v>203</v>
      </c>
      <c r="H1997" t="s">
        <v>222</v>
      </c>
      <c r="I1997" s="4">
        <v>100638.28079999999</v>
      </c>
      <c r="J1997" s="4">
        <v>201276.56159999999</v>
      </c>
      <c r="L1997" s="4">
        <v>2</v>
      </c>
    </row>
    <row r="1998" spans="1:12">
      <c r="A1998" t="s">
        <v>106</v>
      </c>
      <c r="B1998" s="10">
        <v>45505</v>
      </c>
      <c r="C1998" s="18">
        <f t="shared" si="31"/>
        <v>8</v>
      </c>
      <c r="D1998" t="s">
        <v>135</v>
      </c>
      <c r="E1998">
        <v>4872947</v>
      </c>
      <c r="F1998" t="s">
        <v>88</v>
      </c>
      <c r="G1998" t="s">
        <v>203</v>
      </c>
      <c r="H1998" t="s">
        <v>244</v>
      </c>
      <c r="I1998" s="4">
        <v>125766.4408</v>
      </c>
      <c r="J1998" s="4">
        <v>251532.88159999999</v>
      </c>
      <c r="L1998" s="4">
        <v>2</v>
      </c>
    </row>
    <row r="1999" spans="1:12">
      <c r="A1999" t="s">
        <v>106</v>
      </c>
      <c r="B1999" s="10">
        <v>45505</v>
      </c>
      <c r="C1999" s="18">
        <f t="shared" si="31"/>
        <v>8</v>
      </c>
      <c r="D1999" t="s">
        <v>135</v>
      </c>
      <c r="E1999">
        <v>4872947</v>
      </c>
      <c r="F1999" t="s">
        <v>88</v>
      </c>
      <c r="G1999" t="s">
        <v>203</v>
      </c>
      <c r="H1999" t="s">
        <v>239</v>
      </c>
      <c r="I1999" s="4">
        <v>125766.4408</v>
      </c>
      <c r="J1999" s="4">
        <v>251532.88159999999</v>
      </c>
      <c r="L1999" s="4">
        <v>2</v>
      </c>
    </row>
    <row r="2000" spans="1:12">
      <c r="A2000" t="s">
        <v>106</v>
      </c>
      <c r="B2000" s="10">
        <v>45505</v>
      </c>
      <c r="C2000" s="18">
        <f t="shared" si="31"/>
        <v>8</v>
      </c>
      <c r="D2000" t="s">
        <v>135</v>
      </c>
      <c r="E2000">
        <v>4872947</v>
      </c>
      <c r="F2000" t="s">
        <v>88</v>
      </c>
      <c r="G2000" t="s">
        <v>203</v>
      </c>
      <c r="H2000" t="s">
        <v>237</v>
      </c>
      <c r="I2000" s="4">
        <v>125766.4408</v>
      </c>
      <c r="J2000" s="4">
        <v>251532.88159999999</v>
      </c>
      <c r="L2000" s="4">
        <v>2</v>
      </c>
    </row>
    <row r="2001" spans="1:12">
      <c r="A2001" t="s">
        <v>106</v>
      </c>
      <c r="B2001" s="10">
        <v>45508</v>
      </c>
      <c r="C2001" s="18">
        <f t="shared" si="31"/>
        <v>8</v>
      </c>
      <c r="D2001" t="s">
        <v>135</v>
      </c>
      <c r="E2001">
        <v>6444565</v>
      </c>
      <c r="F2001" t="s">
        <v>87</v>
      </c>
      <c r="G2001" t="s">
        <v>203</v>
      </c>
      <c r="H2001" t="s">
        <v>242</v>
      </c>
      <c r="I2001" s="4">
        <v>100638.28079999999</v>
      </c>
      <c r="J2001" s="4">
        <v>603829.68479999993</v>
      </c>
      <c r="L2001" s="4">
        <v>6</v>
      </c>
    </row>
    <row r="2002" spans="1:12">
      <c r="A2002" t="s">
        <v>106</v>
      </c>
      <c r="B2002" s="10">
        <v>45508</v>
      </c>
      <c r="C2002" s="18">
        <f t="shared" si="31"/>
        <v>8</v>
      </c>
      <c r="D2002" t="s">
        <v>135</v>
      </c>
      <c r="E2002">
        <v>6444565</v>
      </c>
      <c r="F2002" t="s">
        <v>87</v>
      </c>
      <c r="G2002" t="s">
        <v>203</v>
      </c>
      <c r="H2002" t="s">
        <v>240</v>
      </c>
      <c r="I2002" s="4">
        <v>100638.28079999999</v>
      </c>
      <c r="J2002" s="4">
        <v>603829.68479999993</v>
      </c>
      <c r="L2002" s="4">
        <v>6</v>
      </c>
    </row>
    <row r="2003" spans="1:12">
      <c r="A2003" t="s">
        <v>106</v>
      </c>
      <c r="B2003" s="10">
        <v>45508</v>
      </c>
      <c r="C2003" s="18">
        <f t="shared" si="31"/>
        <v>8</v>
      </c>
      <c r="D2003" t="s">
        <v>135</v>
      </c>
      <c r="E2003">
        <v>6444565</v>
      </c>
      <c r="F2003" t="s">
        <v>87</v>
      </c>
      <c r="G2003" t="s">
        <v>203</v>
      </c>
      <c r="H2003" t="s">
        <v>228</v>
      </c>
      <c r="I2003" s="4">
        <v>100638.28079999999</v>
      </c>
      <c r="J2003" s="4">
        <v>603829.68479999993</v>
      </c>
      <c r="L2003" s="4">
        <v>6</v>
      </c>
    </row>
    <row r="2004" spans="1:12">
      <c r="A2004" t="s">
        <v>106</v>
      </c>
      <c r="B2004" s="10">
        <v>45508</v>
      </c>
      <c r="C2004" s="18">
        <f t="shared" si="31"/>
        <v>8</v>
      </c>
      <c r="D2004" t="s">
        <v>135</v>
      </c>
      <c r="E2004">
        <v>4879076</v>
      </c>
      <c r="F2004" t="s">
        <v>88</v>
      </c>
      <c r="G2004" t="s">
        <v>203</v>
      </c>
      <c r="H2004" t="s">
        <v>242</v>
      </c>
      <c r="I2004" s="4">
        <v>100638.28079999999</v>
      </c>
      <c r="J2004" s="4">
        <v>603829.68479999993</v>
      </c>
      <c r="L2004" s="4">
        <v>6</v>
      </c>
    </row>
    <row r="2005" spans="1:12">
      <c r="A2005" t="s">
        <v>106</v>
      </c>
      <c r="B2005" s="10">
        <v>45508</v>
      </c>
      <c r="C2005" s="18">
        <f t="shared" si="31"/>
        <v>8</v>
      </c>
      <c r="D2005" t="s">
        <v>135</v>
      </c>
      <c r="E2005">
        <v>4879076</v>
      </c>
      <c r="F2005" t="s">
        <v>88</v>
      </c>
      <c r="G2005" t="s">
        <v>203</v>
      </c>
      <c r="H2005" t="s">
        <v>240</v>
      </c>
      <c r="I2005" s="4">
        <v>100638.28079999999</v>
      </c>
      <c r="J2005" s="4">
        <v>603829.68479999993</v>
      </c>
      <c r="L2005" s="4">
        <v>6</v>
      </c>
    </row>
    <row r="2006" spans="1:12">
      <c r="A2006" t="s">
        <v>106</v>
      </c>
      <c r="B2006" s="10">
        <v>45508</v>
      </c>
      <c r="C2006" s="18">
        <f t="shared" si="31"/>
        <v>8</v>
      </c>
      <c r="D2006" t="s">
        <v>135</v>
      </c>
      <c r="E2006">
        <v>4879076</v>
      </c>
      <c r="F2006" t="s">
        <v>88</v>
      </c>
      <c r="G2006" t="s">
        <v>203</v>
      </c>
      <c r="H2006" t="s">
        <v>232</v>
      </c>
      <c r="I2006" s="4">
        <v>100638.28079999999</v>
      </c>
      <c r="J2006" s="4">
        <v>603829.68479999993</v>
      </c>
      <c r="L2006" s="4">
        <v>6</v>
      </c>
    </row>
    <row r="2007" spans="1:12">
      <c r="A2007" t="s">
        <v>106</v>
      </c>
      <c r="B2007" s="10">
        <v>45508</v>
      </c>
      <c r="C2007" s="18">
        <f t="shared" si="31"/>
        <v>8</v>
      </c>
      <c r="D2007" t="s">
        <v>135</v>
      </c>
      <c r="E2007">
        <v>4879076</v>
      </c>
      <c r="F2007" t="s">
        <v>88</v>
      </c>
      <c r="G2007" t="s">
        <v>203</v>
      </c>
      <c r="H2007" t="s">
        <v>228</v>
      </c>
      <c r="I2007" s="4">
        <v>100638.28079999999</v>
      </c>
      <c r="J2007" s="4">
        <v>603829.68479999993</v>
      </c>
      <c r="L2007" s="4">
        <v>6</v>
      </c>
    </row>
    <row r="2008" spans="1:12">
      <c r="A2008" t="s">
        <v>106</v>
      </c>
      <c r="B2008" s="10">
        <v>45508</v>
      </c>
      <c r="C2008" s="18">
        <f t="shared" si="31"/>
        <v>8</v>
      </c>
      <c r="D2008" t="s">
        <v>135</v>
      </c>
      <c r="E2008">
        <v>4872836</v>
      </c>
      <c r="F2008" t="s">
        <v>88</v>
      </c>
      <c r="G2008" t="s">
        <v>203</v>
      </c>
      <c r="H2008" t="s">
        <v>243</v>
      </c>
      <c r="I2008" s="4">
        <v>100638.28079999999</v>
      </c>
      <c r="J2008" s="4">
        <v>201276.56159999999</v>
      </c>
      <c r="L2008" s="4">
        <v>2</v>
      </c>
    </row>
    <row r="2009" spans="1:12">
      <c r="A2009" t="s">
        <v>106</v>
      </c>
      <c r="B2009" s="10">
        <v>45508</v>
      </c>
      <c r="C2009" s="18">
        <f t="shared" si="31"/>
        <v>8</v>
      </c>
      <c r="D2009" t="s">
        <v>135</v>
      </c>
      <c r="E2009">
        <v>4872836</v>
      </c>
      <c r="F2009" t="s">
        <v>88</v>
      </c>
      <c r="G2009" t="s">
        <v>203</v>
      </c>
      <c r="H2009" t="s">
        <v>238</v>
      </c>
      <c r="I2009" s="4">
        <v>95606.36675999999</v>
      </c>
      <c r="J2009" s="4">
        <v>191212.73351999998</v>
      </c>
      <c r="L2009" s="4">
        <v>2</v>
      </c>
    </row>
    <row r="2010" spans="1:12">
      <c r="A2010" t="s">
        <v>106</v>
      </c>
      <c r="B2010" s="10">
        <v>45508</v>
      </c>
      <c r="C2010" s="18">
        <f t="shared" si="31"/>
        <v>8</v>
      </c>
      <c r="D2010" t="s">
        <v>135</v>
      </c>
      <c r="E2010">
        <v>4872836</v>
      </c>
      <c r="F2010" t="s">
        <v>88</v>
      </c>
      <c r="G2010" t="s">
        <v>203</v>
      </c>
      <c r="H2010" t="s">
        <v>236</v>
      </c>
      <c r="I2010" s="4">
        <v>100638.28079999999</v>
      </c>
      <c r="J2010" s="4">
        <v>2012765.6159999999</v>
      </c>
      <c r="L2010" s="4">
        <v>20</v>
      </c>
    </row>
    <row r="2011" spans="1:12">
      <c r="A2011" t="s">
        <v>106</v>
      </c>
      <c r="B2011" s="10">
        <v>45508</v>
      </c>
      <c r="C2011" s="18">
        <f t="shared" si="31"/>
        <v>8</v>
      </c>
      <c r="D2011" t="s">
        <v>135</v>
      </c>
      <c r="E2011">
        <v>4872836</v>
      </c>
      <c r="F2011" t="s">
        <v>88</v>
      </c>
      <c r="G2011" t="s">
        <v>203</v>
      </c>
      <c r="H2011" t="s">
        <v>232</v>
      </c>
      <c r="I2011" s="4">
        <v>100638.28079999999</v>
      </c>
      <c r="J2011" s="4">
        <v>1006382.808</v>
      </c>
      <c r="L2011" s="4">
        <v>10</v>
      </c>
    </row>
    <row r="2012" spans="1:12">
      <c r="A2012" t="s">
        <v>106</v>
      </c>
      <c r="B2012" s="10">
        <v>45508</v>
      </c>
      <c r="C2012" s="18">
        <f t="shared" si="31"/>
        <v>8</v>
      </c>
      <c r="D2012" t="s">
        <v>135</v>
      </c>
      <c r="E2012">
        <v>4872836</v>
      </c>
      <c r="F2012" t="s">
        <v>88</v>
      </c>
      <c r="G2012" t="s">
        <v>203</v>
      </c>
      <c r="H2012" t="s">
        <v>224</v>
      </c>
      <c r="I2012" s="4">
        <v>100638.28079999999</v>
      </c>
      <c r="J2012" s="4">
        <v>2012765.6159999999</v>
      </c>
      <c r="L2012" s="4">
        <v>20</v>
      </c>
    </row>
    <row r="2013" spans="1:12">
      <c r="A2013" t="s">
        <v>106</v>
      </c>
      <c r="B2013" s="10">
        <v>45508</v>
      </c>
      <c r="C2013" s="18">
        <f t="shared" si="31"/>
        <v>8</v>
      </c>
      <c r="D2013" t="s">
        <v>135</v>
      </c>
      <c r="E2013">
        <v>4872836</v>
      </c>
      <c r="F2013" t="s">
        <v>88</v>
      </c>
      <c r="G2013" t="s">
        <v>203</v>
      </c>
      <c r="H2013" t="s">
        <v>223</v>
      </c>
      <c r="I2013" s="4">
        <v>100638.28079999999</v>
      </c>
      <c r="J2013" s="4">
        <v>2012765.6159999999</v>
      </c>
      <c r="L2013" s="4">
        <v>20</v>
      </c>
    </row>
    <row r="2014" spans="1:12">
      <c r="A2014" t="s">
        <v>106</v>
      </c>
      <c r="B2014" s="10">
        <v>45508</v>
      </c>
      <c r="C2014" s="18">
        <f t="shared" si="31"/>
        <v>8</v>
      </c>
      <c r="D2014" t="s">
        <v>135</v>
      </c>
      <c r="E2014">
        <v>4872613</v>
      </c>
      <c r="F2014" t="s">
        <v>88</v>
      </c>
      <c r="G2014" t="s">
        <v>203</v>
      </c>
      <c r="H2014" t="s">
        <v>242</v>
      </c>
      <c r="I2014" s="4">
        <v>100638.28079999999</v>
      </c>
      <c r="J2014" s="4">
        <v>603829.68479999993</v>
      </c>
      <c r="L2014" s="4">
        <v>6</v>
      </c>
    </row>
    <row r="2015" spans="1:12">
      <c r="A2015" t="s">
        <v>106</v>
      </c>
      <c r="B2015" s="10">
        <v>45508</v>
      </c>
      <c r="C2015" s="18">
        <f t="shared" si="31"/>
        <v>8</v>
      </c>
      <c r="D2015" t="s">
        <v>135</v>
      </c>
      <c r="E2015">
        <v>4872613</v>
      </c>
      <c r="F2015" t="s">
        <v>88</v>
      </c>
      <c r="G2015" t="s">
        <v>203</v>
      </c>
      <c r="H2015" t="s">
        <v>240</v>
      </c>
      <c r="I2015" s="4">
        <v>100638.28079999999</v>
      </c>
      <c r="J2015" s="4">
        <v>603829.68479999993</v>
      </c>
      <c r="L2015" s="4">
        <v>6</v>
      </c>
    </row>
    <row r="2016" spans="1:12">
      <c r="A2016" t="s">
        <v>106</v>
      </c>
      <c r="B2016" s="10">
        <v>45508</v>
      </c>
      <c r="C2016" s="18">
        <f t="shared" si="31"/>
        <v>8</v>
      </c>
      <c r="D2016" t="s">
        <v>135</v>
      </c>
      <c r="E2016">
        <v>4872613</v>
      </c>
      <c r="F2016" t="s">
        <v>88</v>
      </c>
      <c r="G2016" t="s">
        <v>203</v>
      </c>
      <c r="H2016" t="s">
        <v>232</v>
      </c>
      <c r="I2016" s="4">
        <v>100638.28079999999</v>
      </c>
      <c r="J2016" s="4">
        <v>603829.68479999993</v>
      </c>
      <c r="L2016" s="4">
        <v>6</v>
      </c>
    </row>
    <row r="2017" spans="1:12">
      <c r="A2017" t="s">
        <v>106</v>
      </c>
      <c r="B2017" s="10">
        <v>45508</v>
      </c>
      <c r="C2017" s="18">
        <f t="shared" si="31"/>
        <v>8</v>
      </c>
      <c r="D2017" t="s">
        <v>135</v>
      </c>
      <c r="E2017">
        <v>4872613</v>
      </c>
      <c r="F2017" t="s">
        <v>88</v>
      </c>
      <c r="G2017" t="s">
        <v>203</v>
      </c>
      <c r="H2017" t="s">
        <v>228</v>
      </c>
      <c r="I2017" s="4">
        <v>100638.28079999999</v>
      </c>
      <c r="J2017" s="4">
        <v>603829.68479999993</v>
      </c>
      <c r="L2017" s="4">
        <v>6</v>
      </c>
    </row>
    <row r="2018" spans="1:12">
      <c r="A2018" t="s">
        <v>106</v>
      </c>
      <c r="B2018" s="10">
        <v>45509</v>
      </c>
      <c r="C2018" s="18">
        <f t="shared" si="31"/>
        <v>8</v>
      </c>
      <c r="D2018" t="s">
        <v>135</v>
      </c>
      <c r="E2018">
        <v>4876670</v>
      </c>
      <c r="F2018" t="s">
        <v>89</v>
      </c>
      <c r="G2018" t="s">
        <v>203</v>
      </c>
      <c r="H2018" t="s">
        <v>240</v>
      </c>
      <c r="I2018" s="4">
        <v>100638.28079999999</v>
      </c>
      <c r="J2018" s="4">
        <v>201276.56159999999</v>
      </c>
      <c r="L2018" s="4">
        <v>2</v>
      </c>
    </row>
    <row r="2019" spans="1:12">
      <c r="A2019" t="s">
        <v>106</v>
      </c>
      <c r="B2019" s="10">
        <v>45509</v>
      </c>
      <c r="C2019" s="18">
        <f t="shared" si="31"/>
        <v>8</v>
      </c>
      <c r="D2019" t="s">
        <v>135</v>
      </c>
      <c r="E2019">
        <v>4876670</v>
      </c>
      <c r="F2019" t="s">
        <v>89</v>
      </c>
      <c r="G2019" t="s">
        <v>203</v>
      </c>
      <c r="H2019" t="s">
        <v>224</v>
      </c>
      <c r="I2019" s="4">
        <v>100638.28079999999</v>
      </c>
      <c r="J2019" s="4">
        <v>201276.56159999999</v>
      </c>
      <c r="L2019" s="4">
        <v>2</v>
      </c>
    </row>
    <row r="2020" spans="1:12">
      <c r="A2020" t="s">
        <v>106</v>
      </c>
      <c r="B2020" s="10">
        <v>45509</v>
      </c>
      <c r="C2020" s="18">
        <f t="shared" si="31"/>
        <v>8</v>
      </c>
      <c r="D2020" t="s">
        <v>135</v>
      </c>
      <c r="E2020">
        <v>4872395</v>
      </c>
      <c r="F2020" t="s">
        <v>89</v>
      </c>
      <c r="G2020" t="s">
        <v>203</v>
      </c>
      <c r="H2020" t="s">
        <v>242</v>
      </c>
      <c r="I2020" s="4">
        <v>100638.28079999999</v>
      </c>
      <c r="J2020" s="4">
        <v>402553.12319999997</v>
      </c>
      <c r="L2020" s="4">
        <v>4</v>
      </c>
    </row>
    <row r="2021" spans="1:12">
      <c r="A2021" t="s">
        <v>106</v>
      </c>
      <c r="B2021" s="10">
        <v>45509</v>
      </c>
      <c r="C2021" s="18">
        <f t="shared" si="31"/>
        <v>8</v>
      </c>
      <c r="D2021" t="s">
        <v>135</v>
      </c>
      <c r="E2021">
        <v>4872395</v>
      </c>
      <c r="F2021" t="s">
        <v>89</v>
      </c>
      <c r="G2021" t="s">
        <v>203</v>
      </c>
      <c r="H2021" t="s">
        <v>240</v>
      </c>
      <c r="I2021" s="4">
        <v>100638.28079999999</v>
      </c>
      <c r="J2021" s="4">
        <v>402553.12319999997</v>
      </c>
      <c r="L2021" s="4">
        <v>4</v>
      </c>
    </row>
    <row r="2022" spans="1:12">
      <c r="A2022" t="s">
        <v>106</v>
      </c>
      <c r="B2022" s="10">
        <v>45509</v>
      </c>
      <c r="C2022" s="18">
        <f t="shared" si="31"/>
        <v>8</v>
      </c>
      <c r="D2022" t="s">
        <v>135</v>
      </c>
      <c r="E2022">
        <v>4872395</v>
      </c>
      <c r="F2022" t="s">
        <v>89</v>
      </c>
      <c r="G2022" t="s">
        <v>203</v>
      </c>
      <c r="H2022" t="s">
        <v>232</v>
      </c>
      <c r="I2022" s="4">
        <v>100638.28079999999</v>
      </c>
      <c r="J2022" s="4">
        <v>402553.12319999997</v>
      </c>
      <c r="L2022" s="4">
        <v>4</v>
      </c>
    </row>
    <row r="2023" spans="1:12">
      <c r="A2023" t="s">
        <v>106</v>
      </c>
      <c r="B2023" s="10">
        <v>45509</v>
      </c>
      <c r="C2023" s="18">
        <f t="shared" si="31"/>
        <v>8</v>
      </c>
      <c r="D2023" t="s">
        <v>135</v>
      </c>
      <c r="E2023">
        <v>4872395</v>
      </c>
      <c r="F2023" t="s">
        <v>89</v>
      </c>
      <c r="G2023" t="s">
        <v>203</v>
      </c>
      <c r="H2023" t="s">
        <v>228</v>
      </c>
      <c r="I2023" s="4">
        <v>100638.28079999999</v>
      </c>
      <c r="J2023" s="4">
        <v>402553.12319999997</v>
      </c>
      <c r="L2023" s="4">
        <v>4</v>
      </c>
    </row>
    <row r="2024" spans="1:12">
      <c r="A2024" t="s">
        <v>106</v>
      </c>
      <c r="B2024" s="10">
        <v>45509</v>
      </c>
      <c r="C2024" s="18">
        <f t="shared" si="31"/>
        <v>8</v>
      </c>
      <c r="D2024" t="s">
        <v>135</v>
      </c>
      <c r="E2024">
        <v>4872395</v>
      </c>
      <c r="F2024" t="s">
        <v>89</v>
      </c>
      <c r="G2024" t="s">
        <v>203</v>
      </c>
      <c r="H2024" t="s">
        <v>223</v>
      </c>
      <c r="I2024" s="4">
        <v>100638.28079999999</v>
      </c>
      <c r="J2024" s="4">
        <v>402553.12319999997</v>
      </c>
      <c r="L2024" s="4">
        <v>4</v>
      </c>
    </row>
    <row r="2025" spans="1:12">
      <c r="A2025" t="s">
        <v>106</v>
      </c>
      <c r="B2025" s="10">
        <v>45509</v>
      </c>
      <c r="C2025" s="18">
        <f t="shared" si="31"/>
        <v>8</v>
      </c>
      <c r="D2025" t="s">
        <v>135</v>
      </c>
      <c r="E2025">
        <v>4873659</v>
      </c>
      <c r="F2025" t="s">
        <v>89</v>
      </c>
      <c r="G2025" t="s">
        <v>203</v>
      </c>
      <c r="H2025" t="s">
        <v>242</v>
      </c>
      <c r="I2025" s="4">
        <v>100638.28079999999</v>
      </c>
      <c r="J2025" s="4">
        <v>402553.12319999997</v>
      </c>
      <c r="L2025" s="4">
        <v>4</v>
      </c>
    </row>
    <row r="2026" spans="1:12">
      <c r="A2026" t="s">
        <v>106</v>
      </c>
      <c r="B2026" s="10">
        <v>45509</v>
      </c>
      <c r="C2026" s="18">
        <f t="shared" si="31"/>
        <v>8</v>
      </c>
      <c r="D2026" t="s">
        <v>135</v>
      </c>
      <c r="E2026">
        <v>4873659</v>
      </c>
      <c r="F2026" t="s">
        <v>89</v>
      </c>
      <c r="G2026" t="s">
        <v>203</v>
      </c>
      <c r="H2026" t="s">
        <v>240</v>
      </c>
      <c r="I2026" s="4">
        <v>100638.28079999999</v>
      </c>
      <c r="J2026" s="4">
        <v>402553.12319999997</v>
      </c>
      <c r="L2026" s="4">
        <v>4</v>
      </c>
    </row>
    <row r="2027" spans="1:12">
      <c r="A2027" t="s">
        <v>106</v>
      </c>
      <c r="B2027" s="10">
        <v>45509</v>
      </c>
      <c r="C2027" s="18">
        <f t="shared" si="31"/>
        <v>8</v>
      </c>
      <c r="D2027" t="s">
        <v>135</v>
      </c>
      <c r="E2027">
        <v>4873659</v>
      </c>
      <c r="F2027" t="s">
        <v>89</v>
      </c>
      <c r="G2027" t="s">
        <v>203</v>
      </c>
      <c r="H2027" t="s">
        <v>232</v>
      </c>
      <c r="I2027" s="4">
        <v>100638.28079999999</v>
      </c>
      <c r="J2027" s="4">
        <v>402553.12319999997</v>
      </c>
      <c r="L2027" s="4">
        <v>4</v>
      </c>
    </row>
    <row r="2028" spans="1:12">
      <c r="A2028" t="s">
        <v>106</v>
      </c>
      <c r="B2028" s="10">
        <v>45509</v>
      </c>
      <c r="C2028" s="18">
        <f t="shared" si="31"/>
        <v>8</v>
      </c>
      <c r="D2028" t="s">
        <v>135</v>
      </c>
      <c r="E2028">
        <v>4873659</v>
      </c>
      <c r="F2028" t="s">
        <v>89</v>
      </c>
      <c r="G2028" t="s">
        <v>203</v>
      </c>
      <c r="H2028" t="s">
        <v>228</v>
      </c>
      <c r="I2028" s="4">
        <v>100638.28079999999</v>
      </c>
      <c r="J2028" s="4">
        <v>402553.12319999997</v>
      </c>
      <c r="L2028" s="4">
        <v>4</v>
      </c>
    </row>
    <row r="2029" spans="1:12">
      <c r="A2029" t="s">
        <v>106</v>
      </c>
      <c r="B2029" s="10">
        <v>45509</v>
      </c>
      <c r="C2029" s="18">
        <f t="shared" si="31"/>
        <v>8</v>
      </c>
      <c r="D2029" t="s">
        <v>135</v>
      </c>
      <c r="E2029">
        <v>4878797</v>
      </c>
      <c r="F2029" t="s">
        <v>88</v>
      </c>
      <c r="G2029" t="s">
        <v>203</v>
      </c>
      <c r="H2029" t="s">
        <v>236</v>
      </c>
      <c r="I2029" s="4">
        <v>100638.28079999999</v>
      </c>
      <c r="J2029" s="4">
        <v>402553.12319999997</v>
      </c>
      <c r="L2029" s="4">
        <v>4</v>
      </c>
    </row>
    <row r="2030" spans="1:12">
      <c r="A2030" t="s">
        <v>106</v>
      </c>
      <c r="B2030" s="10">
        <v>45509</v>
      </c>
      <c r="C2030" s="18">
        <f t="shared" si="31"/>
        <v>8</v>
      </c>
      <c r="D2030" t="s">
        <v>135</v>
      </c>
      <c r="E2030">
        <v>4872404</v>
      </c>
      <c r="F2030" t="s">
        <v>87</v>
      </c>
      <c r="G2030" t="s">
        <v>203</v>
      </c>
      <c r="H2030" t="s">
        <v>240</v>
      </c>
      <c r="I2030" s="4">
        <v>100638.28079999999</v>
      </c>
      <c r="J2030" s="4">
        <v>603829.68479999993</v>
      </c>
      <c r="L2030" s="4">
        <v>6</v>
      </c>
    </row>
    <row r="2031" spans="1:12">
      <c r="A2031" t="s">
        <v>106</v>
      </c>
      <c r="B2031" s="10">
        <v>45509</v>
      </c>
      <c r="C2031" s="18">
        <f t="shared" si="31"/>
        <v>8</v>
      </c>
      <c r="D2031" t="s">
        <v>135</v>
      </c>
      <c r="E2031">
        <v>4872404</v>
      </c>
      <c r="F2031" t="s">
        <v>87</v>
      </c>
      <c r="G2031" t="s">
        <v>203</v>
      </c>
      <c r="H2031" t="s">
        <v>236</v>
      </c>
      <c r="I2031" s="4">
        <v>100638.28079999999</v>
      </c>
      <c r="J2031" s="4">
        <v>603829.68479999993</v>
      </c>
      <c r="L2031" s="4">
        <v>6</v>
      </c>
    </row>
    <row r="2032" spans="1:12">
      <c r="A2032" t="s">
        <v>106</v>
      </c>
      <c r="B2032" s="10">
        <v>45509</v>
      </c>
      <c r="C2032" s="18">
        <f t="shared" si="31"/>
        <v>8</v>
      </c>
      <c r="D2032" t="s">
        <v>135</v>
      </c>
      <c r="E2032">
        <v>4872404</v>
      </c>
      <c r="F2032" t="s">
        <v>87</v>
      </c>
      <c r="G2032" t="s">
        <v>203</v>
      </c>
      <c r="H2032" t="s">
        <v>224</v>
      </c>
      <c r="I2032" s="4">
        <v>100638.28079999999</v>
      </c>
      <c r="J2032" s="4">
        <v>603829.68479999993</v>
      </c>
      <c r="L2032" s="4">
        <v>6</v>
      </c>
    </row>
    <row r="2033" spans="1:12">
      <c r="A2033" t="s">
        <v>106</v>
      </c>
      <c r="B2033" s="10">
        <v>45509</v>
      </c>
      <c r="C2033" s="18">
        <f t="shared" si="31"/>
        <v>8</v>
      </c>
      <c r="D2033" t="s">
        <v>135</v>
      </c>
      <c r="E2033">
        <v>4875762</v>
      </c>
      <c r="F2033" t="s">
        <v>88</v>
      </c>
      <c r="G2033" t="s">
        <v>203</v>
      </c>
      <c r="H2033" t="s">
        <v>242</v>
      </c>
      <c r="I2033" s="4">
        <v>100638.28079999999</v>
      </c>
      <c r="J2033" s="4">
        <v>402553.12319999997</v>
      </c>
      <c r="L2033" s="4">
        <v>4</v>
      </c>
    </row>
    <row r="2034" spans="1:12">
      <c r="A2034" t="s">
        <v>106</v>
      </c>
      <c r="B2034" s="10">
        <v>45509</v>
      </c>
      <c r="C2034" s="18">
        <f t="shared" si="31"/>
        <v>8</v>
      </c>
      <c r="D2034" t="s">
        <v>135</v>
      </c>
      <c r="E2034">
        <v>4875762</v>
      </c>
      <c r="F2034" t="s">
        <v>88</v>
      </c>
      <c r="G2034" t="s">
        <v>203</v>
      </c>
      <c r="H2034" t="s">
        <v>232</v>
      </c>
      <c r="I2034" s="4">
        <v>100638.28079999999</v>
      </c>
      <c r="J2034" s="4">
        <v>402553.12319999997</v>
      </c>
      <c r="L2034" s="4">
        <v>4</v>
      </c>
    </row>
    <row r="2035" spans="1:12">
      <c r="A2035" t="s">
        <v>106</v>
      </c>
      <c r="B2035" s="10">
        <v>45509</v>
      </c>
      <c r="C2035" s="18">
        <f t="shared" si="31"/>
        <v>8</v>
      </c>
      <c r="D2035" t="s">
        <v>135</v>
      </c>
      <c r="E2035">
        <v>4875762</v>
      </c>
      <c r="F2035" t="s">
        <v>88</v>
      </c>
      <c r="G2035" t="s">
        <v>203</v>
      </c>
      <c r="H2035" t="s">
        <v>228</v>
      </c>
      <c r="I2035" s="4">
        <v>100638.28079999999</v>
      </c>
      <c r="J2035" s="4">
        <v>402553.12319999997</v>
      </c>
      <c r="L2035" s="4">
        <v>4</v>
      </c>
    </row>
    <row r="2036" spans="1:12">
      <c r="A2036" t="s">
        <v>106</v>
      </c>
      <c r="B2036" s="10">
        <v>45509</v>
      </c>
      <c r="C2036" s="18">
        <f t="shared" si="31"/>
        <v>8</v>
      </c>
      <c r="D2036" t="s">
        <v>135</v>
      </c>
      <c r="E2036">
        <v>4875762</v>
      </c>
      <c r="F2036" t="s">
        <v>88</v>
      </c>
      <c r="G2036" t="s">
        <v>203</v>
      </c>
      <c r="H2036" t="s">
        <v>223</v>
      </c>
      <c r="I2036" s="4">
        <v>100638.28079999999</v>
      </c>
      <c r="J2036" s="4">
        <v>402553.12319999997</v>
      </c>
      <c r="L2036" s="4">
        <v>4</v>
      </c>
    </row>
    <row r="2037" spans="1:12">
      <c r="A2037" t="s">
        <v>106</v>
      </c>
      <c r="B2037" s="10">
        <v>45510</v>
      </c>
      <c r="C2037" s="18">
        <f t="shared" si="31"/>
        <v>8</v>
      </c>
      <c r="D2037" t="s">
        <v>135</v>
      </c>
      <c r="E2037">
        <v>4872950</v>
      </c>
      <c r="F2037" t="s">
        <v>88</v>
      </c>
      <c r="G2037" t="s">
        <v>203</v>
      </c>
      <c r="H2037" t="s">
        <v>242</v>
      </c>
      <c r="I2037" s="4">
        <v>100638.28079999999</v>
      </c>
      <c r="J2037" s="4">
        <v>402553.12319999997</v>
      </c>
      <c r="L2037" s="4">
        <v>4</v>
      </c>
    </row>
    <row r="2038" spans="1:12">
      <c r="A2038" t="s">
        <v>106</v>
      </c>
      <c r="B2038" s="10">
        <v>45510</v>
      </c>
      <c r="C2038" s="18">
        <f t="shared" si="31"/>
        <v>8</v>
      </c>
      <c r="D2038" t="s">
        <v>135</v>
      </c>
      <c r="E2038">
        <v>4872950</v>
      </c>
      <c r="F2038" t="s">
        <v>88</v>
      </c>
      <c r="G2038" t="s">
        <v>203</v>
      </c>
      <c r="H2038" t="s">
        <v>240</v>
      </c>
      <c r="I2038" s="4">
        <v>100638.28079999999</v>
      </c>
      <c r="J2038" s="4">
        <v>603829.68479999993</v>
      </c>
      <c r="L2038" s="4">
        <v>6</v>
      </c>
    </row>
    <row r="2039" spans="1:12">
      <c r="A2039" t="s">
        <v>106</v>
      </c>
      <c r="B2039" s="10">
        <v>45510</v>
      </c>
      <c r="C2039" s="18">
        <f t="shared" si="31"/>
        <v>8</v>
      </c>
      <c r="D2039" t="s">
        <v>135</v>
      </c>
      <c r="E2039">
        <v>4872950</v>
      </c>
      <c r="F2039" t="s">
        <v>88</v>
      </c>
      <c r="G2039" t="s">
        <v>203</v>
      </c>
      <c r="H2039" t="s">
        <v>232</v>
      </c>
      <c r="I2039" s="4">
        <v>100638.28079999999</v>
      </c>
      <c r="J2039" s="4">
        <v>603829.68479999993</v>
      </c>
      <c r="L2039" s="4">
        <v>6</v>
      </c>
    </row>
    <row r="2040" spans="1:12">
      <c r="A2040" t="s">
        <v>106</v>
      </c>
      <c r="B2040" s="10">
        <v>45510</v>
      </c>
      <c r="C2040" s="18">
        <f t="shared" si="31"/>
        <v>8</v>
      </c>
      <c r="D2040" t="s">
        <v>135</v>
      </c>
      <c r="E2040">
        <v>4872950</v>
      </c>
      <c r="F2040" t="s">
        <v>88</v>
      </c>
      <c r="G2040" t="s">
        <v>203</v>
      </c>
      <c r="H2040" t="s">
        <v>228</v>
      </c>
      <c r="I2040" s="4">
        <v>100638.28079999999</v>
      </c>
      <c r="J2040" s="4">
        <v>603829.68479999993</v>
      </c>
      <c r="L2040" s="4">
        <v>6</v>
      </c>
    </row>
    <row r="2041" spans="1:12">
      <c r="A2041" t="s">
        <v>106</v>
      </c>
      <c r="B2041" s="10">
        <v>45510</v>
      </c>
      <c r="C2041" s="18">
        <f t="shared" si="31"/>
        <v>8</v>
      </c>
      <c r="D2041" t="s">
        <v>135</v>
      </c>
      <c r="E2041">
        <v>4876003</v>
      </c>
      <c r="F2041" t="s">
        <v>89</v>
      </c>
      <c r="G2041" t="s">
        <v>203</v>
      </c>
      <c r="H2041" t="s">
        <v>224</v>
      </c>
      <c r="I2041" s="4">
        <v>100638.28079999999</v>
      </c>
      <c r="J2041" s="4">
        <v>402553.12319999997</v>
      </c>
      <c r="L2041" s="4">
        <v>4</v>
      </c>
    </row>
    <row r="2042" spans="1:12">
      <c r="A2042" t="s">
        <v>106</v>
      </c>
      <c r="B2042" s="10">
        <v>45510</v>
      </c>
      <c r="C2042" s="18">
        <f t="shared" si="31"/>
        <v>8</v>
      </c>
      <c r="D2042" t="s">
        <v>135</v>
      </c>
      <c r="E2042">
        <v>4876003</v>
      </c>
      <c r="F2042" t="s">
        <v>89</v>
      </c>
      <c r="G2042" t="s">
        <v>203</v>
      </c>
      <c r="H2042" t="s">
        <v>223</v>
      </c>
      <c r="I2042" s="4">
        <v>100638.28079999999</v>
      </c>
      <c r="J2042" s="4">
        <v>402553.12319999997</v>
      </c>
      <c r="L2042" s="4">
        <v>4</v>
      </c>
    </row>
    <row r="2043" spans="1:12">
      <c r="A2043" t="s">
        <v>106</v>
      </c>
      <c r="B2043" s="10">
        <v>45510</v>
      </c>
      <c r="C2043" s="18">
        <f t="shared" si="31"/>
        <v>8</v>
      </c>
      <c r="D2043" t="s">
        <v>135</v>
      </c>
      <c r="E2043">
        <v>4876667</v>
      </c>
      <c r="F2043" t="s">
        <v>90</v>
      </c>
      <c r="G2043" t="s">
        <v>203</v>
      </c>
      <c r="H2043" t="s">
        <v>242</v>
      </c>
      <c r="I2043" s="4">
        <v>100638.28079999999</v>
      </c>
      <c r="J2043" s="4">
        <v>201276.56159999999</v>
      </c>
      <c r="L2043" s="4">
        <v>2</v>
      </c>
    </row>
    <row r="2044" spans="1:12">
      <c r="A2044" t="s">
        <v>106</v>
      </c>
      <c r="B2044" s="10">
        <v>45510</v>
      </c>
      <c r="C2044" s="18">
        <f t="shared" si="31"/>
        <v>8</v>
      </c>
      <c r="D2044" t="s">
        <v>135</v>
      </c>
      <c r="E2044">
        <v>4876667</v>
      </c>
      <c r="F2044" t="s">
        <v>90</v>
      </c>
      <c r="G2044" t="s">
        <v>203</v>
      </c>
      <c r="H2044" t="s">
        <v>228</v>
      </c>
      <c r="I2044" s="4">
        <v>100638.28079999999</v>
      </c>
      <c r="J2044" s="4">
        <v>201276.56159999999</v>
      </c>
      <c r="L2044" s="4">
        <v>2</v>
      </c>
    </row>
    <row r="2045" spans="1:12">
      <c r="A2045" t="s">
        <v>106</v>
      </c>
      <c r="B2045" s="10">
        <v>45510</v>
      </c>
      <c r="C2045" s="18">
        <f t="shared" si="31"/>
        <v>8</v>
      </c>
      <c r="D2045" t="s">
        <v>135</v>
      </c>
      <c r="E2045">
        <v>4876667</v>
      </c>
      <c r="F2045" t="s">
        <v>90</v>
      </c>
      <c r="G2045" t="s">
        <v>203</v>
      </c>
      <c r="H2045" t="s">
        <v>223</v>
      </c>
      <c r="I2045" s="4">
        <v>100638.28079999999</v>
      </c>
      <c r="J2045" s="4">
        <v>201276.56159999999</v>
      </c>
      <c r="L2045" s="4">
        <v>2</v>
      </c>
    </row>
    <row r="2046" spans="1:12">
      <c r="A2046" t="s">
        <v>106</v>
      </c>
      <c r="B2046" s="10">
        <v>45511</v>
      </c>
      <c r="C2046" s="18">
        <f t="shared" si="31"/>
        <v>8</v>
      </c>
      <c r="D2046" t="s">
        <v>135</v>
      </c>
      <c r="E2046">
        <v>4872844</v>
      </c>
      <c r="F2046" t="s">
        <v>88</v>
      </c>
      <c r="G2046" t="s">
        <v>204</v>
      </c>
      <c r="H2046" t="s">
        <v>217</v>
      </c>
      <c r="I2046" s="4">
        <v>78022.936799999996</v>
      </c>
      <c r="J2046" s="4">
        <v>234068.81039999999</v>
      </c>
      <c r="L2046" s="4">
        <v>3</v>
      </c>
    </row>
    <row r="2047" spans="1:12">
      <c r="A2047" t="s">
        <v>106</v>
      </c>
      <c r="B2047" s="10">
        <v>45511</v>
      </c>
      <c r="C2047" s="18">
        <f t="shared" si="31"/>
        <v>8</v>
      </c>
      <c r="D2047" t="s">
        <v>135</v>
      </c>
      <c r="E2047">
        <v>4876667</v>
      </c>
      <c r="F2047" t="s">
        <v>90</v>
      </c>
      <c r="G2047" t="s">
        <v>203</v>
      </c>
      <c r="H2047" t="s">
        <v>242</v>
      </c>
      <c r="I2047" s="4">
        <v>100638.28079999999</v>
      </c>
      <c r="J2047" s="4">
        <v>402553.12319999997</v>
      </c>
      <c r="L2047" s="4">
        <v>4</v>
      </c>
    </row>
    <row r="2048" spans="1:12">
      <c r="A2048" t="s">
        <v>106</v>
      </c>
      <c r="B2048" s="10">
        <v>45511</v>
      </c>
      <c r="C2048" s="18">
        <f t="shared" si="31"/>
        <v>8</v>
      </c>
      <c r="D2048" t="s">
        <v>135</v>
      </c>
      <c r="E2048">
        <v>4876667</v>
      </c>
      <c r="F2048" t="s">
        <v>90</v>
      </c>
      <c r="G2048" t="s">
        <v>203</v>
      </c>
      <c r="H2048" t="s">
        <v>224</v>
      </c>
      <c r="I2048" s="4">
        <v>100638.28079999999</v>
      </c>
      <c r="J2048" s="4">
        <v>402553.12319999997</v>
      </c>
      <c r="L2048" s="4">
        <v>4</v>
      </c>
    </row>
    <row r="2049" spans="1:12">
      <c r="A2049" t="s">
        <v>106</v>
      </c>
      <c r="B2049" s="10">
        <v>45511</v>
      </c>
      <c r="C2049" s="18">
        <f t="shared" si="31"/>
        <v>8</v>
      </c>
      <c r="D2049" t="s">
        <v>135</v>
      </c>
      <c r="E2049">
        <v>4876667</v>
      </c>
      <c r="F2049" t="s">
        <v>90</v>
      </c>
      <c r="G2049" t="s">
        <v>203</v>
      </c>
      <c r="H2049" t="s">
        <v>223</v>
      </c>
      <c r="I2049" s="4">
        <v>100638.28079999999</v>
      </c>
      <c r="J2049" s="4">
        <v>402553.12319999997</v>
      </c>
      <c r="L2049" s="4">
        <v>4</v>
      </c>
    </row>
    <row r="2050" spans="1:12">
      <c r="A2050" t="s">
        <v>106</v>
      </c>
      <c r="B2050" s="10">
        <v>45512</v>
      </c>
      <c r="C2050" s="18">
        <f t="shared" ref="C2050:C2113" si="32">MONTH(B2050)</f>
        <v>8</v>
      </c>
      <c r="D2050" t="s">
        <v>135</v>
      </c>
      <c r="E2050">
        <v>4878797</v>
      </c>
      <c r="F2050" t="s">
        <v>88</v>
      </c>
      <c r="G2050" t="s">
        <v>203</v>
      </c>
      <c r="H2050" t="s">
        <v>236</v>
      </c>
      <c r="I2050" s="4">
        <v>100638.28079999999</v>
      </c>
      <c r="J2050" s="4">
        <v>402553.12319999997</v>
      </c>
      <c r="L2050" s="4">
        <v>4</v>
      </c>
    </row>
    <row r="2051" spans="1:12">
      <c r="A2051" t="s">
        <v>106</v>
      </c>
      <c r="B2051" s="10">
        <v>45512</v>
      </c>
      <c r="C2051" s="18">
        <f t="shared" si="32"/>
        <v>8</v>
      </c>
      <c r="D2051" t="s">
        <v>135</v>
      </c>
      <c r="E2051">
        <v>4878797</v>
      </c>
      <c r="F2051" t="s">
        <v>88</v>
      </c>
      <c r="G2051" t="s">
        <v>203</v>
      </c>
      <c r="H2051" t="s">
        <v>228</v>
      </c>
      <c r="I2051" s="4">
        <v>100638.28079999999</v>
      </c>
      <c r="J2051" s="4">
        <v>201276.56159999999</v>
      </c>
      <c r="L2051" s="4">
        <v>2</v>
      </c>
    </row>
    <row r="2052" spans="1:12">
      <c r="A2052" t="s">
        <v>106</v>
      </c>
      <c r="B2052" s="10">
        <v>45512</v>
      </c>
      <c r="C2052" s="18">
        <f t="shared" si="32"/>
        <v>8</v>
      </c>
      <c r="D2052" t="s">
        <v>135</v>
      </c>
      <c r="E2052">
        <v>4878797</v>
      </c>
      <c r="F2052" t="s">
        <v>88</v>
      </c>
      <c r="G2052" t="s">
        <v>203</v>
      </c>
      <c r="H2052" t="s">
        <v>223</v>
      </c>
      <c r="I2052" s="4">
        <v>100638.28079999999</v>
      </c>
      <c r="J2052" s="4">
        <v>201276.56159999999</v>
      </c>
      <c r="L2052" s="4">
        <v>2</v>
      </c>
    </row>
    <row r="2053" spans="1:12">
      <c r="A2053" t="s">
        <v>106</v>
      </c>
      <c r="B2053" s="10">
        <v>45512</v>
      </c>
      <c r="C2053" s="18">
        <f t="shared" si="32"/>
        <v>8</v>
      </c>
      <c r="D2053" t="s">
        <v>135</v>
      </c>
      <c r="E2053">
        <v>4873753</v>
      </c>
      <c r="F2053" t="s">
        <v>88</v>
      </c>
      <c r="G2053" t="s">
        <v>203</v>
      </c>
      <c r="H2053" t="s">
        <v>236</v>
      </c>
      <c r="I2053" s="4">
        <v>100638.28079999999</v>
      </c>
      <c r="J2053" s="4">
        <v>603829.68479999993</v>
      </c>
      <c r="L2053" s="4">
        <v>6</v>
      </c>
    </row>
    <row r="2054" spans="1:12">
      <c r="A2054" t="s">
        <v>106</v>
      </c>
      <c r="B2054" s="10">
        <v>45512</v>
      </c>
      <c r="C2054" s="18">
        <f t="shared" si="32"/>
        <v>8</v>
      </c>
      <c r="D2054" t="s">
        <v>135</v>
      </c>
      <c r="E2054">
        <v>4873753</v>
      </c>
      <c r="F2054" t="s">
        <v>88</v>
      </c>
      <c r="G2054" t="s">
        <v>203</v>
      </c>
      <c r="H2054" t="s">
        <v>224</v>
      </c>
      <c r="I2054" s="4">
        <v>100638.28079999999</v>
      </c>
      <c r="J2054" s="4">
        <v>402553.12319999997</v>
      </c>
      <c r="L2054" s="4">
        <v>4</v>
      </c>
    </row>
    <row r="2055" spans="1:12">
      <c r="A2055" t="s">
        <v>106</v>
      </c>
      <c r="B2055" s="10">
        <v>45516</v>
      </c>
      <c r="C2055" s="18">
        <f t="shared" si="32"/>
        <v>8</v>
      </c>
      <c r="D2055" t="s">
        <v>135</v>
      </c>
      <c r="E2055">
        <v>4873827</v>
      </c>
      <c r="F2055" t="s">
        <v>88</v>
      </c>
      <c r="G2055" t="s">
        <v>204</v>
      </c>
      <c r="H2055" t="s">
        <v>216</v>
      </c>
      <c r="I2055" s="4">
        <v>113202.36079999999</v>
      </c>
      <c r="J2055" s="4">
        <v>339607.08239999996</v>
      </c>
      <c r="L2055" s="4">
        <v>3</v>
      </c>
    </row>
    <row r="2056" spans="1:12">
      <c r="A2056" t="s">
        <v>106</v>
      </c>
      <c r="B2056" s="10">
        <v>45518</v>
      </c>
      <c r="C2056" s="18">
        <f t="shared" si="32"/>
        <v>8</v>
      </c>
      <c r="D2056" t="s">
        <v>135</v>
      </c>
      <c r="E2056">
        <v>4872613</v>
      </c>
      <c r="F2056" t="s">
        <v>88</v>
      </c>
      <c r="G2056" t="s">
        <v>203</v>
      </c>
      <c r="H2056" t="s">
        <v>245</v>
      </c>
      <c r="I2056" s="4">
        <v>100638.28079999999</v>
      </c>
      <c r="J2056" s="4">
        <v>-100638.28079999999</v>
      </c>
      <c r="L2056" s="4">
        <v>-1</v>
      </c>
    </row>
    <row r="2057" spans="1:12">
      <c r="A2057" t="s">
        <v>106</v>
      </c>
      <c r="B2057" s="10">
        <v>45530</v>
      </c>
      <c r="C2057" s="18">
        <f t="shared" si="32"/>
        <v>8</v>
      </c>
      <c r="D2057" t="s">
        <v>135</v>
      </c>
      <c r="E2057">
        <v>4878723</v>
      </c>
      <c r="F2057" t="s">
        <v>90</v>
      </c>
      <c r="G2057" t="s">
        <v>203</v>
      </c>
      <c r="H2057" t="s">
        <v>242</v>
      </c>
      <c r="I2057" s="4">
        <v>100638.28079999999</v>
      </c>
      <c r="J2057" s="4">
        <v>603829.68479999993</v>
      </c>
      <c r="L2057" s="4">
        <v>6</v>
      </c>
    </row>
    <row r="2058" spans="1:12">
      <c r="A2058" t="s">
        <v>106</v>
      </c>
      <c r="B2058" s="10">
        <v>45530</v>
      </c>
      <c r="C2058" s="18">
        <f t="shared" si="32"/>
        <v>8</v>
      </c>
      <c r="D2058" t="s">
        <v>135</v>
      </c>
      <c r="E2058">
        <v>4878723</v>
      </c>
      <c r="F2058" t="s">
        <v>90</v>
      </c>
      <c r="G2058" t="s">
        <v>203</v>
      </c>
      <c r="H2058" t="s">
        <v>234</v>
      </c>
      <c r="I2058" s="4">
        <v>100638.28079999999</v>
      </c>
      <c r="J2058" s="4">
        <v>603829.68479999993</v>
      </c>
      <c r="L2058" s="4">
        <v>6</v>
      </c>
    </row>
    <row r="2059" spans="1:12">
      <c r="A2059" t="s">
        <v>106</v>
      </c>
      <c r="B2059" s="10">
        <v>45530</v>
      </c>
      <c r="C2059" s="18">
        <f t="shared" si="32"/>
        <v>8</v>
      </c>
      <c r="D2059" t="s">
        <v>135</v>
      </c>
      <c r="E2059">
        <v>4878723</v>
      </c>
      <c r="F2059" t="s">
        <v>90</v>
      </c>
      <c r="G2059" t="s">
        <v>203</v>
      </c>
      <c r="H2059" t="s">
        <v>244</v>
      </c>
      <c r="I2059" s="4">
        <v>125766.4408</v>
      </c>
      <c r="J2059" s="4">
        <v>628832.20400000003</v>
      </c>
      <c r="L2059" s="4">
        <v>5</v>
      </c>
    </row>
    <row r="2060" spans="1:12">
      <c r="A2060" t="s">
        <v>106</v>
      </c>
      <c r="B2060" s="10">
        <v>45530</v>
      </c>
      <c r="C2060" s="18">
        <f t="shared" si="32"/>
        <v>8</v>
      </c>
      <c r="D2060" t="s">
        <v>135</v>
      </c>
      <c r="E2060">
        <v>4872839</v>
      </c>
      <c r="F2060" t="s">
        <v>89</v>
      </c>
      <c r="G2060" t="s">
        <v>203</v>
      </c>
      <c r="H2060" t="s">
        <v>242</v>
      </c>
      <c r="I2060" s="4">
        <v>100638.28079999999</v>
      </c>
      <c r="J2060" s="4">
        <v>603829.68479999993</v>
      </c>
      <c r="L2060" s="4">
        <v>6</v>
      </c>
    </row>
    <row r="2061" spans="1:12">
      <c r="A2061" t="s">
        <v>106</v>
      </c>
      <c r="B2061" s="10">
        <v>45530</v>
      </c>
      <c r="C2061" s="18">
        <f t="shared" si="32"/>
        <v>8</v>
      </c>
      <c r="D2061" t="s">
        <v>135</v>
      </c>
      <c r="E2061">
        <v>4872839</v>
      </c>
      <c r="F2061" t="s">
        <v>89</v>
      </c>
      <c r="G2061" t="s">
        <v>203</v>
      </c>
      <c r="H2061" t="s">
        <v>234</v>
      </c>
      <c r="I2061" s="4">
        <v>100638.28079999999</v>
      </c>
      <c r="J2061" s="4">
        <v>402553.12319999997</v>
      </c>
      <c r="L2061" s="4">
        <v>4</v>
      </c>
    </row>
    <row r="2062" spans="1:12">
      <c r="A2062" t="s">
        <v>106</v>
      </c>
      <c r="B2062" s="10">
        <v>45530</v>
      </c>
      <c r="C2062" s="18">
        <f t="shared" si="32"/>
        <v>8</v>
      </c>
      <c r="D2062" t="s">
        <v>135</v>
      </c>
      <c r="E2062">
        <v>4878797</v>
      </c>
      <c r="F2062" t="s">
        <v>88</v>
      </c>
      <c r="G2062" t="s">
        <v>202</v>
      </c>
      <c r="H2062" t="s">
        <v>255</v>
      </c>
      <c r="I2062" s="4">
        <v>72489.71596799999</v>
      </c>
      <c r="J2062" s="4">
        <v>1087345.7395199998</v>
      </c>
      <c r="L2062" s="4">
        <v>15</v>
      </c>
    </row>
    <row r="2063" spans="1:12">
      <c r="A2063" t="s">
        <v>106</v>
      </c>
      <c r="B2063" s="10">
        <v>45530</v>
      </c>
      <c r="C2063" s="18">
        <f t="shared" si="32"/>
        <v>8</v>
      </c>
      <c r="D2063" t="s">
        <v>135</v>
      </c>
      <c r="E2063">
        <v>4872948</v>
      </c>
      <c r="F2063" t="s">
        <v>88</v>
      </c>
      <c r="G2063" t="s">
        <v>203</v>
      </c>
      <c r="H2063" t="s">
        <v>242</v>
      </c>
      <c r="I2063" s="4">
        <v>100638.28079999999</v>
      </c>
      <c r="J2063" s="4">
        <v>2012765.6159999999</v>
      </c>
      <c r="L2063" s="4">
        <v>20</v>
      </c>
    </row>
    <row r="2064" spans="1:12">
      <c r="A2064" t="s">
        <v>106</v>
      </c>
      <c r="B2064" s="10">
        <v>45530</v>
      </c>
      <c r="C2064" s="18">
        <f t="shared" si="32"/>
        <v>8</v>
      </c>
      <c r="D2064" t="s">
        <v>135</v>
      </c>
      <c r="E2064">
        <v>4872948</v>
      </c>
      <c r="F2064" t="s">
        <v>88</v>
      </c>
      <c r="G2064" t="s">
        <v>203</v>
      </c>
      <c r="H2064" t="s">
        <v>244</v>
      </c>
      <c r="I2064" s="4">
        <v>125766.4408</v>
      </c>
      <c r="J2064" s="4">
        <v>503065.76319999999</v>
      </c>
      <c r="L2064" s="4">
        <v>4</v>
      </c>
    </row>
    <row r="2065" spans="1:12">
      <c r="A2065" t="s">
        <v>106</v>
      </c>
      <c r="B2065" s="10">
        <v>45530</v>
      </c>
      <c r="C2065" s="18">
        <f t="shared" si="32"/>
        <v>8</v>
      </c>
      <c r="D2065" t="s">
        <v>135</v>
      </c>
      <c r="E2065">
        <v>4872948</v>
      </c>
      <c r="F2065" t="s">
        <v>88</v>
      </c>
      <c r="G2065" t="s">
        <v>203</v>
      </c>
      <c r="H2065" t="s">
        <v>237</v>
      </c>
      <c r="I2065" s="4">
        <v>125766.4408</v>
      </c>
      <c r="J2065" s="4">
        <v>503065.76319999999</v>
      </c>
      <c r="L2065" s="4">
        <v>4</v>
      </c>
    </row>
    <row r="2066" spans="1:12">
      <c r="A2066" t="s">
        <v>106</v>
      </c>
      <c r="B2066" s="10">
        <v>45530</v>
      </c>
      <c r="C2066" s="18">
        <f t="shared" si="32"/>
        <v>8</v>
      </c>
      <c r="D2066" t="s">
        <v>135</v>
      </c>
      <c r="E2066">
        <v>4872948</v>
      </c>
      <c r="F2066" t="s">
        <v>88</v>
      </c>
      <c r="G2066" t="s">
        <v>203</v>
      </c>
      <c r="H2066" t="s">
        <v>233</v>
      </c>
      <c r="I2066" s="4">
        <v>120735.78316800001</v>
      </c>
      <c r="J2066" s="4">
        <v>482943.13267200004</v>
      </c>
      <c r="L2066" s="4">
        <v>4</v>
      </c>
    </row>
    <row r="2067" spans="1:12">
      <c r="A2067" t="s">
        <v>106</v>
      </c>
      <c r="B2067" s="10">
        <v>45530</v>
      </c>
      <c r="C2067" s="18">
        <f t="shared" si="32"/>
        <v>8</v>
      </c>
      <c r="D2067" t="s">
        <v>135</v>
      </c>
      <c r="E2067">
        <v>4878582</v>
      </c>
      <c r="F2067" t="s">
        <v>90</v>
      </c>
      <c r="G2067" t="s">
        <v>203</v>
      </c>
      <c r="H2067" t="s">
        <v>244</v>
      </c>
      <c r="I2067" s="4">
        <v>125766.4408</v>
      </c>
      <c r="J2067" s="4">
        <v>628832.20400000003</v>
      </c>
      <c r="L2067" s="4">
        <v>5</v>
      </c>
    </row>
    <row r="2068" spans="1:12">
      <c r="A2068" t="s">
        <v>106</v>
      </c>
      <c r="B2068" s="10">
        <v>45530</v>
      </c>
      <c r="C2068" s="18">
        <f t="shared" si="32"/>
        <v>8</v>
      </c>
      <c r="D2068" t="s">
        <v>135</v>
      </c>
      <c r="E2068">
        <v>4878582</v>
      </c>
      <c r="F2068" t="s">
        <v>90</v>
      </c>
      <c r="G2068" t="s">
        <v>203</v>
      </c>
      <c r="H2068" t="s">
        <v>233</v>
      </c>
      <c r="I2068" s="4">
        <v>120735.78316800001</v>
      </c>
      <c r="J2068" s="4">
        <v>603678.91584000003</v>
      </c>
      <c r="L2068" s="4">
        <v>5</v>
      </c>
    </row>
    <row r="2069" spans="1:12">
      <c r="A2069" t="s">
        <v>106</v>
      </c>
      <c r="B2069" s="10">
        <v>45530</v>
      </c>
      <c r="C2069" s="18">
        <f t="shared" si="32"/>
        <v>8</v>
      </c>
      <c r="D2069" t="s">
        <v>135</v>
      </c>
      <c r="E2069">
        <v>4879076</v>
      </c>
      <c r="F2069" t="s">
        <v>88</v>
      </c>
      <c r="G2069" t="s">
        <v>203</v>
      </c>
      <c r="H2069" t="s">
        <v>242</v>
      </c>
      <c r="I2069" s="4">
        <v>100638.28079999999</v>
      </c>
      <c r="J2069" s="4">
        <v>402553.12319999997</v>
      </c>
      <c r="L2069" s="4">
        <v>4</v>
      </c>
    </row>
    <row r="2070" spans="1:12">
      <c r="A2070" t="s">
        <v>106</v>
      </c>
      <c r="B2070" s="10">
        <v>45530</v>
      </c>
      <c r="C2070" s="18">
        <f t="shared" si="32"/>
        <v>8</v>
      </c>
      <c r="D2070" t="s">
        <v>135</v>
      </c>
      <c r="E2070">
        <v>4879076</v>
      </c>
      <c r="F2070" t="s">
        <v>88</v>
      </c>
      <c r="G2070" t="s">
        <v>203</v>
      </c>
      <c r="H2070" t="s">
        <v>234</v>
      </c>
      <c r="I2070" s="4">
        <v>100638.28079999999</v>
      </c>
      <c r="J2070" s="4">
        <v>402553.12319999997</v>
      </c>
      <c r="L2070" s="4">
        <v>4</v>
      </c>
    </row>
    <row r="2071" spans="1:12">
      <c r="A2071" t="s">
        <v>106</v>
      </c>
      <c r="B2071" s="10">
        <v>45530</v>
      </c>
      <c r="C2071" s="18">
        <f t="shared" si="32"/>
        <v>8</v>
      </c>
      <c r="D2071" t="s">
        <v>135</v>
      </c>
      <c r="E2071">
        <v>4879076</v>
      </c>
      <c r="F2071" t="s">
        <v>88</v>
      </c>
      <c r="G2071" t="s">
        <v>203</v>
      </c>
      <c r="H2071" t="s">
        <v>244</v>
      </c>
      <c r="I2071" s="4">
        <v>125766.4408</v>
      </c>
      <c r="J2071" s="4">
        <v>503065.76319999999</v>
      </c>
      <c r="L2071" s="4">
        <v>4</v>
      </c>
    </row>
    <row r="2072" spans="1:12">
      <c r="A2072" t="s">
        <v>106</v>
      </c>
      <c r="B2072" s="10">
        <v>45530</v>
      </c>
      <c r="C2072" s="18">
        <f t="shared" si="32"/>
        <v>8</v>
      </c>
      <c r="D2072" t="s">
        <v>135</v>
      </c>
      <c r="E2072">
        <v>4879076</v>
      </c>
      <c r="F2072" t="s">
        <v>88</v>
      </c>
      <c r="G2072" t="s">
        <v>203</v>
      </c>
      <c r="H2072" t="s">
        <v>233</v>
      </c>
      <c r="I2072" s="4">
        <v>120735.78316800001</v>
      </c>
      <c r="J2072" s="4">
        <v>482943.13267200004</v>
      </c>
      <c r="L2072" s="4">
        <v>4</v>
      </c>
    </row>
    <row r="2073" spans="1:12">
      <c r="A2073" t="s">
        <v>106</v>
      </c>
      <c r="B2073" s="10">
        <v>45530</v>
      </c>
      <c r="C2073" s="18">
        <f t="shared" si="32"/>
        <v>8</v>
      </c>
      <c r="D2073" t="s">
        <v>135</v>
      </c>
      <c r="E2073">
        <v>4872844</v>
      </c>
      <c r="F2073" t="s">
        <v>88</v>
      </c>
      <c r="G2073" t="s">
        <v>203</v>
      </c>
      <c r="H2073" t="s">
        <v>242</v>
      </c>
      <c r="I2073" s="4">
        <v>100638.28079999999</v>
      </c>
      <c r="J2073" s="4">
        <v>603829.68479999993</v>
      </c>
      <c r="L2073" s="4">
        <v>6</v>
      </c>
    </row>
    <row r="2074" spans="1:12">
      <c r="A2074" t="s">
        <v>106</v>
      </c>
      <c r="B2074" s="10">
        <v>45530</v>
      </c>
      <c r="C2074" s="18">
        <f t="shared" si="32"/>
        <v>8</v>
      </c>
      <c r="D2074" t="s">
        <v>135</v>
      </c>
      <c r="E2074">
        <v>4872844</v>
      </c>
      <c r="F2074" t="s">
        <v>88</v>
      </c>
      <c r="G2074" t="s">
        <v>203</v>
      </c>
      <c r="H2074" t="s">
        <v>234</v>
      </c>
      <c r="I2074" s="4">
        <v>100638.28079999999</v>
      </c>
      <c r="J2074" s="4">
        <v>402553.12319999997</v>
      </c>
      <c r="L2074" s="4">
        <v>4</v>
      </c>
    </row>
    <row r="2075" spans="1:12">
      <c r="A2075" t="s">
        <v>106</v>
      </c>
      <c r="B2075" s="10">
        <v>45530</v>
      </c>
      <c r="C2075" s="18">
        <f t="shared" si="32"/>
        <v>8</v>
      </c>
      <c r="D2075" t="s">
        <v>135</v>
      </c>
      <c r="E2075">
        <v>4872844</v>
      </c>
      <c r="F2075" t="s">
        <v>88</v>
      </c>
      <c r="G2075" t="s">
        <v>203</v>
      </c>
      <c r="H2075" t="s">
        <v>244</v>
      </c>
      <c r="I2075" s="4">
        <v>125766.4408</v>
      </c>
      <c r="J2075" s="4">
        <v>628832.20400000003</v>
      </c>
      <c r="L2075" s="4">
        <v>5</v>
      </c>
    </row>
    <row r="2076" spans="1:12">
      <c r="A2076" t="s">
        <v>106</v>
      </c>
      <c r="B2076" s="10">
        <v>45530</v>
      </c>
      <c r="C2076" s="18">
        <f t="shared" si="32"/>
        <v>8</v>
      </c>
      <c r="D2076" t="s">
        <v>135</v>
      </c>
      <c r="E2076">
        <v>4872844</v>
      </c>
      <c r="F2076" t="s">
        <v>88</v>
      </c>
      <c r="G2076" t="s">
        <v>203</v>
      </c>
      <c r="H2076" t="s">
        <v>233</v>
      </c>
      <c r="I2076" s="4">
        <v>120735.78316800001</v>
      </c>
      <c r="J2076" s="4">
        <v>603678.91584000003</v>
      </c>
      <c r="L2076" s="4">
        <v>5</v>
      </c>
    </row>
    <row r="2077" spans="1:12">
      <c r="A2077" t="s">
        <v>106</v>
      </c>
      <c r="B2077" s="10">
        <v>45530</v>
      </c>
      <c r="C2077" s="18">
        <f t="shared" si="32"/>
        <v>8</v>
      </c>
      <c r="D2077" t="s">
        <v>135</v>
      </c>
      <c r="E2077">
        <v>4872613</v>
      </c>
      <c r="F2077" t="s">
        <v>88</v>
      </c>
      <c r="G2077" t="s">
        <v>203</v>
      </c>
      <c r="H2077" t="s">
        <v>242</v>
      </c>
      <c r="I2077" s="4">
        <v>100638.28079999999</v>
      </c>
      <c r="J2077" s="4">
        <v>1006382.808</v>
      </c>
      <c r="L2077" s="4">
        <v>10</v>
      </c>
    </row>
    <row r="2078" spans="1:12">
      <c r="A2078" t="s">
        <v>106</v>
      </c>
      <c r="B2078" s="10">
        <v>45530</v>
      </c>
      <c r="C2078" s="18">
        <f t="shared" si="32"/>
        <v>8</v>
      </c>
      <c r="D2078" t="s">
        <v>135</v>
      </c>
      <c r="E2078">
        <v>4872613</v>
      </c>
      <c r="F2078" t="s">
        <v>88</v>
      </c>
      <c r="G2078" t="s">
        <v>203</v>
      </c>
      <c r="H2078" t="s">
        <v>234</v>
      </c>
      <c r="I2078" s="4">
        <v>100638.28079999999</v>
      </c>
      <c r="J2078" s="4">
        <v>402553.12319999997</v>
      </c>
      <c r="L2078" s="4">
        <v>4</v>
      </c>
    </row>
    <row r="2079" spans="1:12">
      <c r="A2079" t="s">
        <v>106</v>
      </c>
      <c r="B2079" s="10">
        <v>45530</v>
      </c>
      <c r="C2079" s="18">
        <f t="shared" si="32"/>
        <v>8</v>
      </c>
      <c r="D2079" t="s">
        <v>135</v>
      </c>
      <c r="E2079">
        <v>4873291</v>
      </c>
      <c r="F2079" t="s">
        <v>89</v>
      </c>
      <c r="G2079" t="s">
        <v>203</v>
      </c>
      <c r="H2079" t="s">
        <v>242</v>
      </c>
      <c r="I2079" s="4">
        <v>100638.28079999999</v>
      </c>
      <c r="J2079" s="4">
        <v>1006382.808</v>
      </c>
      <c r="L2079" s="4">
        <v>10</v>
      </c>
    </row>
    <row r="2080" spans="1:12">
      <c r="A2080" t="s">
        <v>106</v>
      </c>
      <c r="B2080" s="10">
        <v>45530</v>
      </c>
      <c r="C2080" s="18">
        <f t="shared" si="32"/>
        <v>8</v>
      </c>
      <c r="D2080" t="s">
        <v>135</v>
      </c>
      <c r="E2080">
        <v>4873291</v>
      </c>
      <c r="F2080" t="s">
        <v>89</v>
      </c>
      <c r="G2080" t="s">
        <v>203</v>
      </c>
      <c r="H2080" t="s">
        <v>234</v>
      </c>
      <c r="I2080" s="4">
        <v>100638.28079999999</v>
      </c>
      <c r="J2080" s="4">
        <v>1006382.808</v>
      </c>
      <c r="L2080" s="4">
        <v>10</v>
      </c>
    </row>
    <row r="2081" spans="1:12">
      <c r="A2081" t="s">
        <v>106</v>
      </c>
      <c r="B2081" s="10">
        <v>45530</v>
      </c>
      <c r="C2081" s="18">
        <f t="shared" si="32"/>
        <v>8</v>
      </c>
      <c r="D2081" t="s">
        <v>135</v>
      </c>
      <c r="E2081">
        <v>4873291</v>
      </c>
      <c r="F2081" t="s">
        <v>89</v>
      </c>
      <c r="G2081" t="s">
        <v>203</v>
      </c>
      <c r="H2081" t="s">
        <v>244</v>
      </c>
      <c r="I2081" s="4">
        <v>125766.4408</v>
      </c>
      <c r="J2081" s="4">
        <v>251532.88159999999</v>
      </c>
      <c r="L2081" s="4">
        <v>2</v>
      </c>
    </row>
    <row r="2082" spans="1:12">
      <c r="A2082" t="s">
        <v>106</v>
      </c>
      <c r="B2082" s="10">
        <v>45530</v>
      </c>
      <c r="C2082" s="18">
        <f t="shared" si="32"/>
        <v>8</v>
      </c>
      <c r="D2082" t="s">
        <v>135</v>
      </c>
      <c r="E2082">
        <v>4873291</v>
      </c>
      <c r="F2082" t="s">
        <v>89</v>
      </c>
      <c r="G2082" t="s">
        <v>203</v>
      </c>
      <c r="H2082" t="s">
        <v>237</v>
      </c>
      <c r="I2082" s="4">
        <v>125766.4408</v>
      </c>
      <c r="J2082" s="4">
        <v>251532.88159999999</v>
      </c>
      <c r="L2082" s="4">
        <v>2</v>
      </c>
    </row>
    <row r="2083" spans="1:12">
      <c r="A2083" t="s">
        <v>106</v>
      </c>
      <c r="B2083" s="10">
        <v>45530</v>
      </c>
      <c r="C2083" s="18">
        <f t="shared" si="32"/>
        <v>8</v>
      </c>
      <c r="D2083" t="s">
        <v>135</v>
      </c>
      <c r="E2083">
        <v>4873291</v>
      </c>
      <c r="F2083" t="s">
        <v>89</v>
      </c>
      <c r="G2083" t="s">
        <v>203</v>
      </c>
      <c r="H2083" t="s">
        <v>233</v>
      </c>
      <c r="I2083" s="4">
        <v>120735.78316800001</v>
      </c>
      <c r="J2083" s="4">
        <v>241471.56633600002</v>
      </c>
      <c r="L2083" s="4">
        <v>2</v>
      </c>
    </row>
    <row r="2084" spans="1:12">
      <c r="A2084" t="s">
        <v>106</v>
      </c>
      <c r="B2084" s="10">
        <v>45530</v>
      </c>
      <c r="C2084" s="18">
        <f t="shared" si="32"/>
        <v>8</v>
      </c>
      <c r="D2084" t="s">
        <v>135</v>
      </c>
      <c r="E2084">
        <v>4873753</v>
      </c>
      <c r="F2084" t="s">
        <v>88</v>
      </c>
      <c r="G2084" t="s">
        <v>203</v>
      </c>
      <c r="H2084" t="s">
        <v>242</v>
      </c>
      <c r="I2084" s="4">
        <v>100638.28079999999</v>
      </c>
      <c r="J2084" s="4">
        <v>603829.68479999993</v>
      </c>
      <c r="L2084" s="4">
        <v>6</v>
      </c>
    </row>
    <row r="2085" spans="1:12">
      <c r="A2085" t="s">
        <v>106</v>
      </c>
      <c r="B2085" s="10">
        <v>45530</v>
      </c>
      <c r="C2085" s="18">
        <f t="shared" si="32"/>
        <v>8</v>
      </c>
      <c r="D2085" t="s">
        <v>135</v>
      </c>
      <c r="E2085">
        <v>4873753</v>
      </c>
      <c r="F2085" t="s">
        <v>88</v>
      </c>
      <c r="G2085" t="s">
        <v>203</v>
      </c>
      <c r="H2085" t="s">
        <v>234</v>
      </c>
      <c r="I2085" s="4">
        <v>100638.28079999999</v>
      </c>
      <c r="J2085" s="4">
        <v>402553.12319999997</v>
      </c>
      <c r="L2085" s="4">
        <v>4</v>
      </c>
    </row>
    <row r="2086" spans="1:12">
      <c r="A2086" t="s">
        <v>106</v>
      </c>
      <c r="B2086" s="10">
        <v>45530</v>
      </c>
      <c r="C2086" s="18">
        <f t="shared" si="32"/>
        <v>8</v>
      </c>
      <c r="D2086" t="s">
        <v>135</v>
      </c>
      <c r="E2086">
        <v>4876667</v>
      </c>
      <c r="F2086" t="s">
        <v>90</v>
      </c>
      <c r="G2086" t="s">
        <v>203</v>
      </c>
      <c r="H2086" t="s">
        <v>242</v>
      </c>
      <c r="I2086" s="4">
        <v>100638.28079999999</v>
      </c>
      <c r="J2086" s="4">
        <v>805106.24639999995</v>
      </c>
      <c r="L2086" s="4">
        <v>8</v>
      </c>
    </row>
    <row r="2087" spans="1:12">
      <c r="A2087" t="s">
        <v>106</v>
      </c>
      <c r="B2087" s="10">
        <v>45530</v>
      </c>
      <c r="C2087" s="18">
        <f t="shared" si="32"/>
        <v>8</v>
      </c>
      <c r="D2087" t="s">
        <v>135</v>
      </c>
      <c r="E2087">
        <v>4876667</v>
      </c>
      <c r="F2087" t="s">
        <v>90</v>
      </c>
      <c r="G2087" t="s">
        <v>203</v>
      </c>
      <c r="H2087" t="s">
        <v>234</v>
      </c>
      <c r="I2087" s="4">
        <v>100638.28079999999</v>
      </c>
      <c r="J2087" s="4">
        <v>402553.12319999997</v>
      </c>
      <c r="L2087" s="4">
        <v>4</v>
      </c>
    </row>
    <row r="2088" spans="1:12">
      <c r="A2088" t="s">
        <v>106</v>
      </c>
      <c r="B2088" s="10">
        <v>45532</v>
      </c>
      <c r="C2088" s="18">
        <f t="shared" si="32"/>
        <v>8</v>
      </c>
      <c r="D2088" t="s">
        <v>135</v>
      </c>
      <c r="E2088">
        <v>4873659</v>
      </c>
      <c r="F2088" t="s">
        <v>89</v>
      </c>
      <c r="G2088" t="s">
        <v>203</v>
      </c>
      <c r="H2088" t="s">
        <v>242</v>
      </c>
      <c r="I2088" s="4">
        <v>100638.28079999999</v>
      </c>
      <c r="J2088" s="4">
        <v>402553.12319999997</v>
      </c>
      <c r="L2088" s="4">
        <v>4</v>
      </c>
    </row>
    <row r="2089" spans="1:12">
      <c r="A2089" t="s">
        <v>106</v>
      </c>
      <c r="B2089" s="10">
        <v>45532</v>
      </c>
      <c r="C2089" s="18">
        <f t="shared" si="32"/>
        <v>8</v>
      </c>
      <c r="D2089" t="s">
        <v>135</v>
      </c>
      <c r="E2089">
        <v>4873659</v>
      </c>
      <c r="F2089" t="s">
        <v>89</v>
      </c>
      <c r="G2089" t="s">
        <v>203</v>
      </c>
      <c r="H2089" t="s">
        <v>244</v>
      </c>
      <c r="I2089" s="4">
        <v>125766.4408</v>
      </c>
      <c r="J2089" s="4">
        <v>1257664.4080000001</v>
      </c>
      <c r="L2089" s="4">
        <v>10</v>
      </c>
    </row>
    <row r="2090" spans="1:12">
      <c r="A2090" t="s">
        <v>106</v>
      </c>
      <c r="B2090" s="10">
        <v>45532</v>
      </c>
      <c r="C2090" s="18">
        <f t="shared" si="32"/>
        <v>8</v>
      </c>
      <c r="D2090" t="s">
        <v>135</v>
      </c>
      <c r="E2090">
        <v>7051308</v>
      </c>
      <c r="F2090" t="s">
        <v>8</v>
      </c>
      <c r="G2090" t="s">
        <v>203</v>
      </c>
      <c r="H2090" t="s">
        <v>244</v>
      </c>
      <c r="I2090" s="4">
        <v>125766.4408</v>
      </c>
      <c r="J2090" s="4">
        <v>1509197.2896</v>
      </c>
      <c r="L2090" s="4">
        <v>12</v>
      </c>
    </row>
    <row r="2091" spans="1:12">
      <c r="A2091" t="s">
        <v>106</v>
      </c>
      <c r="B2091" s="10">
        <v>45532</v>
      </c>
      <c r="C2091" s="18">
        <f t="shared" si="32"/>
        <v>8</v>
      </c>
      <c r="D2091" t="s">
        <v>135</v>
      </c>
      <c r="E2091">
        <v>4872838</v>
      </c>
      <c r="F2091" t="s">
        <v>87</v>
      </c>
      <c r="G2091" t="s">
        <v>203</v>
      </c>
      <c r="H2091" t="s">
        <v>244</v>
      </c>
      <c r="I2091" s="4">
        <v>125766.4408</v>
      </c>
      <c r="J2091" s="4">
        <v>-8803650.8560000006</v>
      </c>
      <c r="L2091" s="4">
        <v>-70</v>
      </c>
    </row>
    <row r="2092" spans="1:12">
      <c r="A2092" t="s">
        <v>106</v>
      </c>
      <c r="B2092" s="10">
        <v>45532</v>
      </c>
      <c r="C2092" s="18">
        <f t="shared" si="32"/>
        <v>8</v>
      </c>
      <c r="D2092" t="s">
        <v>135</v>
      </c>
      <c r="E2092">
        <v>4872585</v>
      </c>
      <c r="F2092" t="s">
        <v>90</v>
      </c>
      <c r="G2092" t="s">
        <v>204</v>
      </c>
      <c r="H2092" t="s">
        <v>214</v>
      </c>
      <c r="I2092" s="4">
        <v>119484.4008</v>
      </c>
      <c r="J2092" s="4">
        <v>1194844.0079999999</v>
      </c>
      <c r="L2092" s="4">
        <v>10</v>
      </c>
    </row>
    <row r="2093" spans="1:12">
      <c r="A2093" t="s">
        <v>106</v>
      </c>
      <c r="B2093" s="10">
        <v>45534</v>
      </c>
      <c r="C2093" s="18">
        <f t="shared" si="32"/>
        <v>8</v>
      </c>
      <c r="D2093" t="s">
        <v>135</v>
      </c>
      <c r="E2093">
        <v>4878797</v>
      </c>
      <c r="F2093" t="s">
        <v>88</v>
      </c>
      <c r="G2093" t="s">
        <v>204</v>
      </c>
      <c r="H2093" t="s">
        <v>216</v>
      </c>
      <c r="I2093" s="4">
        <v>113202.36079999999</v>
      </c>
      <c r="J2093" s="4">
        <v>452809.44319999998</v>
      </c>
      <c r="L2093" s="4">
        <v>4</v>
      </c>
    </row>
    <row r="2094" spans="1:12">
      <c r="A2094" t="s">
        <v>106</v>
      </c>
      <c r="B2094" s="10">
        <v>45534</v>
      </c>
      <c r="C2094" s="18">
        <f t="shared" si="32"/>
        <v>8</v>
      </c>
      <c r="D2094" t="s">
        <v>135</v>
      </c>
      <c r="E2094">
        <v>6088435</v>
      </c>
      <c r="F2094" t="s">
        <v>90</v>
      </c>
      <c r="G2094" t="s">
        <v>203</v>
      </c>
      <c r="H2094" t="s">
        <v>244</v>
      </c>
      <c r="I2094" s="4">
        <v>125766.4408</v>
      </c>
      <c r="J2094" s="4">
        <v>251532.88159999999</v>
      </c>
      <c r="L2094" s="4">
        <v>2</v>
      </c>
    </row>
    <row r="2095" spans="1:12">
      <c r="A2095" t="s">
        <v>106</v>
      </c>
      <c r="B2095" s="10">
        <v>45535</v>
      </c>
      <c r="C2095" s="18">
        <f t="shared" si="32"/>
        <v>8</v>
      </c>
      <c r="D2095" t="s">
        <v>135</v>
      </c>
      <c r="E2095">
        <v>4878797</v>
      </c>
      <c r="F2095" t="s">
        <v>88</v>
      </c>
      <c r="G2095" t="s">
        <v>203</v>
      </c>
      <c r="H2095" t="s">
        <v>244</v>
      </c>
      <c r="I2095" s="4">
        <v>125766.4408</v>
      </c>
      <c r="J2095" s="4">
        <v>754598.64480000001</v>
      </c>
      <c r="L2095" s="4">
        <v>6</v>
      </c>
    </row>
    <row r="2096" spans="1:12">
      <c r="A2096" t="s">
        <v>106</v>
      </c>
      <c r="B2096" s="10">
        <v>45535</v>
      </c>
      <c r="C2096" s="18">
        <f t="shared" si="32"/>
        <v>8</v>
      </c>
      <c r="D2096" t="s">
        <v>135</v>
      </c>
      <c r="E2096">
        <v>4878582</v>
      </c>
      <c r="F2096" t="s">
        <v>90</v>
      </c>
      <c r="G2096" t="s">
        <v>203</v>
      </c>
      <c r="H2096" t="s">
        <v>244</v>
      </c>
      <c r="I2096" s="4">
        <v>125766.4408</v>
      </c>
      <c r="J2096" s="4">
        <v>1257664.4080000001</v>
      </c>
      <c r="L2096" s="4">
        <v>10</v>
      </c>
    </row>
    <row r="2097" spans="1:12">
      <c r="A2097" t="s">
        <v>105</v>
      </c>
      <c r="B2097" s="10">
        <v>45475</v>
      </c>
      <c r="C2097" s="18">
        <f t="shared" si="32"/>
        <v>7</v>
      </c>
      <c r="D2097" t="s">
        <v>186</v>
      </c>
      <c r="E2097">
        <v>6080604</v>
      </c>
      <c r="F2097" t="s">
        <v>8</v>
      </c>
      <c r="G2097" t="s">
        <v>202</v>
      </c>
      <c r="H2097" t="s">
        <v>261</v>
      </c>
      <c r="I2097" s="4">
        <v>41587.104800000001</v>
      </c>
      <c r="J2097" s="4">
        <v>41587.104800000001</v>
      </c>
      <c r="L2097" s="4">
        <v>1</v>
      </c>
    </row>
    <row r="2098" spans="1:12">
      <c r="A2098" t="s">
        <v>105</v>
      </c>
      <c r="B2098" s="10">
        <v>45477</v>
      </c>
      <c r="C2098" s="18">
        <f t="shared" si="32"/>
        <v>7</v>
      </c>
      <c r="D2098" t="s">
        <v>129</v>
      </c>
      <c r="E2098">
        <v>4877720</v>
      </c>
      <c r="F2098" t="s">
        <v>8</v>
      </c>
      <c r="G2098" t="s">
        <v>203</v>
      </c>
      <c r="H2098" t="s">
        <v>245</v>
      </c>
      <c r="I2098" s="4">
        <v>100638.28079999999</v>
      </c>
      <c r="J2098" s="4">
        <v>402553.12319999997</v>
      </c>
      <c r="L2098" s="4">
        <v>4</v>
      </c>
    </row>
    <row r="2099" spans="1:12">
      <c r="A2099" t="s">
        <v>105</v>
      </c>
      <c r="B2099" s="10">
        <v>45477</v>
      </c>
      <c r="C2099" s="18">
        <f t="shared" si="32"/>
        <v>7</v>
      </c>
      <c r="D2099" t="s">
        <v>129</v>
      </c>
      <c r="E2099">
        <v>4877720</v>
      </c>
      <c r="F2099" t="s">
        <v>8</v>
      </c>
      <c r="G2099" t="s">
        <v>203</v>
      </c>
      <c r="H2099" t="s">
        <v>243</v>
      </c>
      <c r="I2099" s="4">
        <v>100638.28079999999</v>
      </c>
      <c r="J2099" s="4">
        <v>402553.12319999997</v>
      </c>
      <c r="L2099" s="4">
        <v>4</v>
      </c>
    </row>
    <row r="2100" spans="1:12">
      <c r="A2100" t="s">
        <v>105</v>
      </c>
      <c r="B2100" s="10">
        <v>45477</v>
      </c>
      <c r="C2100" s="18">
        <f t="shared" si="32"/>
        <v>7</v>
      </c>
      <c r="D2100" t="s">
        <v>129</v>
      </c>
      <c r="E2100">
        <v>4877720</v>
      </c>
      <c r="F2100" t="s">
        <v>8</v>
      </c>
      <c r="G2100" t="s">
        <v>203</v>
      </c>
      <c r="H2100" t="s">
        <v>242</v>
      </c>
      <c r="I2100" s="4">
        <v>100638.28079999999</v>
      </c>
      <c r="J2100" s="4">
        <v>402553.12319999997</v>
      </c>
      <c r="L2100" s="4">
        <v>4</v>
      </c>
    </row>
    <row r="2101" spans="1:12">
      <c r="A2101" t="s">
        <v>105</v>
      </c>
      <c r="B2101" s="10">
        <v>45477</v>
      </c>
      <c r="C2101" s="18">
        <f t="shared" si="32"/>
        <v>7</v>
      </c>
      <c r="D2101" t="s">
        <v>129</v>
      </c>
      <c r="E2101">
        <v>4877720</v>
      </c>
      <c r="F2101" t="s">
        <v>8</v>
      </c>
      <c r="G2101" t="s">
        <v>203</v>
      </c>
      <c r="H2101" t="s">
        <v>240</v>
      </c>
      <c r="I2101" s="4">
        <v>100638.28079999999</v>
      </c>
      <c r="J2101" s="4">
        <v>402553.12319999997</v>
      </c>
      <c r="L2101" s="4">
        <v>4</v>
      </c>
    </row>
    <row r="2102" spans="1:12">
      <c r="A2102" t="s">
        <v>105</v>
      </c>
      <c r="B2102" s="10">
        <v>45477</v>
      </c>
      <c r="C2102" s="18">
        <f t="shared" si="32"/>
        <v>7</v>
      </c>
      <c r="D2102" t="s">
        <v>129</v>
      </c>
      <c r="E2102">
        <v>4877720</v>
      </c>
      <c r="F2102" t="s">
        <v>8</v>
      </c>
      <c r="G2102" t="s">
        <v>203</v>
      </c>
      <c r="H2102" t="s">
        <v>241</v>
      </c>
      <c r="I2102" s="4">
        <v>125766.4408</v>
      </c>
      <c r="J2102" s="4">
        <v>125766.4408</v>
      </c>
      <c r="L2102" s="4">
        <v>1</v>
      </c>
    </row>
    <row r="2103" spans="1:12">
      <c r="A2103" t="s">
        <v>105</v>
      </c>
      <c r="B2103" s="10">
        <v>45477</v>
      </c>
      <c r="C2103" s="18">
        <f t="shared" si="32"/>
        <v>7</v>
      </c>
      <c r="D2103" t="s">
        <v>129</v>
      </c>
      <c r="E2103">
        <v>4876376</v>
      </c>
      <c r="F2103" t="s">
        <v>8</v>
      </c>
      <c r="G2103" t="s">
        <v>203</v>
      </c>
      <c r="H2103" t="s">
        <v>245</v>
      </c>
      <c r="I2103" s="4">
        <v>100638.28079999999</v>
      </c>
      <c r="J2103" s="4">
        <v>201276.56159999999</v>
      </c>
      <c r="L2103" s="4">
        <v>2</v>
      </c>
    </row>
    <row r="2104" spans="1:12">
      <c r="A2104" t="s">
        <v>105</v>
      </c>
      <c r="B2104" s="10">
        <v>45477</v>
      </c>
      <c r="C2104" s="18">
        <f t="shared" si="32"/>
        <v>7</v>
      </c>
      <c r="D2104" t="s">
        <v>129</v>
      </c>
      <c r="E2104">
        <v>4876376</v>
      </c>
      <c r="F2104" t="s">
        <v>8</v>
      </c>
      <c r="G2104" t="s">
        <v>203</v>
      </c>
      <c r="H2104" t="s">
        <v>243</v>
      </c>
      <c r="I2104" s="4">
        <v>100638.28079999999</v>
      </c>
      <c r="J2104" s="4">
        <v>201276.56159999999</v>
      </c>
      <c r="L2104" s="4">
        <v>2</v>
      </c>
    </row>
    <row r="2105" spans="1:12">
      <c r="A2105" t="s">
        <v>105</v>
      </c>
      <c r="B2105" s="10">
        <v>45477</v>
      </c>
      <c r="C2105" s="18">
        <f t="shared" si="32"/>
        <v>7</v>
      </c>
      <c r="D2105" t="s">
        <v>129</v>
      </c>
      <c r="E2105">
        <v>4876376</v>
      </c>
      <c r="F2105" t="s">
        <v>8</v>
      </c>
      <c r="G2105" t="s">
        <v>203</v>
      </c>
      <c r="H2105" t="s">
        <v>242</v>
      </c>
      <c r="I2105" s="4">
        <v>100638.28079999999</v>
      </c>
      <c r="J2105" s="4">
        <v>201276.56159999999</v>
      </c>
      <c r="L2105" s="4">
        <v>2</v>
      </c>
    </row>
    <row r="2106" spans="1:12">
      <c r="A2106" t="s">
        <v>105</v>
      </c>
      <c r="B2106" s="10">
        <v>45477</v>
      </c>
      <c r="C2106" s="18">
        <f t="shared" si="32"/>
        <v>7</v>
      </c>
      <c r="D2106" t="s">
        <v>129</v>
      </c>
      <c r="E2106">
        <v>4876376</v>
      </c>
      <c r="F2106" t="s">
        <v>8</v>
      </c>
      <c r="G2106" t="s">
        <v>203</v>
      </c>
      <c r="H2106" t="s">
        <v>240</v>
      </c>
      <c r="I2106" s="4">
        <v>100638.28079999999</v>
      </c>
      <c r="J2106" s="4">
        <v>201276.56159999999</v>
      </c>
      <c r="L2106" s="4">
        <v>2</v>
      </c>
    </row>
    <row r="2107" spans="1:12">
      <c r="A2107" t="s">
        <v>105</v>
      </c>
      <c r="B2107" s="10">
        <v>45477</v>
      </c>
      <c r="C2107" s="18">
        <f t="shared" si="32"/>
        <v>7</v>
      </c>
      <c r="D2107" t="s">
        <v>129</v>
      </c>
      <c r="E2107">
        <v>4876376</v>
      </c>
      <c r="F2107" t="s">
        <v>8</v>
      </c>
      <c r="G2107" t="s">
        <v>203</v>
      </c>
      <c r="H2107" t="s">
        <v>234</v>
      </c>
      <c r="I2107" s="4">
        <v>100638.28079999999</v>
      </c>
      <c r="J2107" s="4">
        <v>201276.56159999999</v>
      </c>
      <c r="L2107" s="4">
        <v>2</v>
      </c>
    </row>
    <row r="2108" spans="1:12">
      <c r="A2108" t="s">
        <v>105</v>
      </c>
      <c r="B2108" s="10">
        <v>45479</v>
      </c>
      <c r="C2108" s="18">
        <f t="shared" si="32"/>
        <v>7</v>
      </c>
      <c r="D2108" t="s">
        <v>131</v>
      </c>
      <c r="E2108">
        <v>4879001</v>
      </c>
      <c r="F2108" t="s">
        <v>8</v>
      </c>
      <c r="G2108" t="s">
        <v>203</v>
      </c>
      <c r="H2108" t="s">
        <v>245</v>
      </c>
      <c r="I2108" s="4">
        <v>100638.28079999999</v>
      </c>
      <c r="J2108" s="4">
        <v>201276.56159999999</v>
      </c>
      <c r="L2108" s="4">
        <v>2</v>
      </c>
    </row>
    <row r="2109" spans="1:12">
      <c r="A2109" t="s">
        <v>105</v>
      </c>
      <c r="B2109" s="10">
        <v>45479</v>
      </c>
      <c r="C2109" s="18">
        <f t="shared" si="32"/>
        <v>7</v>
      </c>
      <c r="D2109" t="s">
        <v>131</v>
      </c>
      <c r="E2109">
        <v>4879001</v>
      </c>
      <c r="F2109" t="s">
        <v>8</v>
      </c>
      <c r="G2109" t="s">
        <v>203</v>
      </c>
      <c r="H2109" t="s">
        <v>243</v>
      </c>
      <c r="I2109" s="4">
        <v>100638.28079999999</v>
      </c>
      <c r="J2109" s="4">
        <v>201276.56159999999</v>
      </c>
      <c r="L2109" s="4">
        <v>2</v>
      </c>
    </row>
    <row r="2110" spans="1:12">
      <c r="A2110" t="s">
        <v>105</v>
      </c>
      <c r="B2110" s="10">
        <v>45479</v>
      </c>
      <c r="C2110" s="18">
        <f t="shared" si="32"/>
        <v>7</v>
      </c>
      <c r="D2110" t="s">
        <v>131</v>
      </c>
      <c r="E2110">
        <v>4879001</v>
      </c>
      <c r="F2110" t="s">
        <v>8</v>
      </c>
      <c r="G2110" t="s">
        <v>203</v>
      </c>
      <c r="H2110" t="s">
        <v>240</v>
      </c>
      <c r="I2110" s="4">
        <v>100638.28079999999</v>
      </c>
      <c r="J2110" s="4">
        <v>201276.56159999999</v>
      </c>
      <c r="L2110" s="4">
        <v>2</v>
      </c>
    </row>
    <row r="2111" spans="1:12">
      <c r="A2111" t="s">
        <v>105</v>
      </c>
      <c r="B2111" s="10">
        <v>45484</v>
      </c>
      <c r="C2111" s="18">
        <f t="shared" si="32"/>
        <v>7</v>
      </c>
      <c r="D2111" t="s">
        <v>129</v>
      </c>
      <c r="E2111">
        <v>6137985</v>
      </c>
      <c r="F2111" t="s">
        <v>8</v>
      </c>
      <c r="G2111" t="s">
        <v>203</v>
      </c>
      <c r="H2111" t="s">
        <v>238</v>
      </c>
      <c r="I2111" s="4">
        <v>95606.36675999999</v>
      </c>
      <c r="J2111" s="4">
        <v>191212.73351999998</v>
      </c>
      <c r="L2111" s="4">
        <v>2</v>
      </c>
    </row>
    <row r="2112" spans="1:12">
      <c r="A2112" t="s">
        <v>105</v>
      </c>
      <c r="B2112" s="10">
        <v>45484</v>
      </c>
      <c r="C2112" s="18">
        <f t="shared" si="32"/>
        <v>7</v>
      </c>
      <c r="D2112" t="s">
        <v>129</v>
      </c>
      <c r="E2112">
        <v>6137985</v>
      </c>
      <c r="F2112" t="s">
        <v>8</v>
      </c>
      <c r="G2112" t="s">
        <v>203</v>
      </c>
      <c r="H2112" t="s">
        <v>236</v>
      </c>
      <c r="I2112" s="4">
        <v>100638.28079999999</v>
      </c>
      <c r="J2112" s="4">
        <v>201276.56159999999</v>
      </c>
      <c r="L2112" s="4">
        <v>2</v>
      </c>
    </row>
    <row r="2113" spans="1:12">
      <c r="A2113" t="s">
        <v>105</v>
      </c>
      <c r="B2113" s="10">
        <v>45484</v>
      </c>
      <c r="C2113" s="18">
        <f t="shared" si="32"/>
        <v>7</v>
      </c>
      <c r="D2113" t="s">
        <v>129</v>
      </c>
      <c r="E2113">
        <v>6137985</v>
      </c>
      <c r="F2113" t="s">
        <v>8</v>
      </c>
      <c r="G2113" t="s">
        <v>203</v>
      </c>
      <c r="H2113" t="s">
        <v>225</v>
      </c>
      <c r="I2113" s="4">
        <v>100638.28079999999</v>
      </c>
      <c r="J2113" s="4">
        <v>201276.56159999999</v>
      </c>
      <c r="L2113" s="4">
        <v>2</v>
      </c>
    </row>
    <row r="2114" spans="1:12">
      <c r="A2114" t="s">
        <v>105</v>
      </c>
      <c r="B2114" s="10">
        <v>45484</v>
      </c>
      <c r="C2114" s="18">
        <f t="shared" ref="C2114:C2177" si="33">MONTH(B2114)</f>
        <v>7</v>
      </c>
      <c r="D2114" t="s">
        <v>129</v>
      </c>
      <c r="E2114">
        <v>6137985</v>
      </c>
      <c r="F2114" t="s">
        <v>8</v>
      </c>
      <c r="G2114" t="s">
        <v>203</v>
      </c>
      <c r="H2114" t="s">
        <v>223</v>
      </c>
      <c r="I2114" s="4">
        <v>100638.28079999999</v>
      </c>
      <c r="J2114" s="4">
        <v>201276.56159999999</v>
      </c>
      <c r="L2114" s="4">
        <v>2</v>
      </c>
    </row>
    <row r="2115" spans="1:12">
      <c r="A2115" t="s">
        <v>105</v>
      </c>
      <c r="B2115" s="10">
        <v>45484</v>
      </c>
      <c r="C2115" s="18">
        <f t="shared" si="33"/>
        <v>7</v>
      </c>
      <c r="D2115" t="s">
        <v>129</v>
      </c>
      <c r="E2115">
        <v>6137985</v>
      </c>
      <c r="F2115" t="s">
        <v>8</v>
      </c>
      <c r="G2115" t="s">
        <v>203</v>
      </c>
      <c r="H2115" t="s">
        <v>222</v>
      </c>
      <c r="I2115" s="4">
        <v>100638.28079999999</v>
      </c>
      <c r="J2115" s="4">
        <v>201276.56159999999</v>
      </c>
      <c r="L2115" s="4">
        <v>2</v>
      </c>
    </row>
    <row r="2116" spans="1:12">
      <c r="A2116" t="s">
        <v>105</v>
      </c>
      <c r="B2116" s="10">
        <v>45485</v>
      </c>
      <c r="C2116" s="18">
        <f t="shared" si="33"/>
        <v>7</v>
      </c>
      <c r="D2116" t="s">
        <v>129</v>
      </c>
      <c r="E2116">
        <v>4873566</v>
      </c>
      <c r="F2116" t="s">
        <v>8</v>
      </c>
      <c r="G2116" t="s">
        <v>203</v>
      </c>
      <c r="H2116" t="s">
        <v>238</v>
      </c>
      <c r="I2116" s="4">
        <v>95606.36675999999</v>
      </c>
      <c r="J2116" s="4">
        <v>191212.73351999998</v>
      </c>
      <c r="L2116" s="4">
        <v>2</v>
      </c>
    </row>
    <row r="2117" spans="1:12">
      <c r="A2117" t="s">
        <v>105</v>
      </c>
      <c r="B2117" s="10">
        <v>45485</v>
      </c>
      <c r="C2117" s="18">
        <f t="shared" si="33"/>
        <v>7</v>
      </c>
      <c r="D2117" t="s">
        <v>129</v>
      </c>
      <c r="E2117">
        <v>4873566</v>
      </c>
      <c r="F2117" t="s">
        <v>8</v>
      </c>
      <c r="G2117" t="s">
        <v>203</v>
      </c>
      <c r="H2117" t="s">
        <v>236</v>
      </c>
      <c r="I2117" s="4">
        <v>100638.28079999999</v>
      </c>
      <c r="J2117" s="4">
        <v>201276.56159999999</v>
      </c>
      <c r="L2117" s="4">
        <v>2</v>
      </c>
    </row>
    <row r="2118" spans="1:12">
      <c r="A2118" t="s">
        <v>105</v>
      </c>
      <c r="B2118" s="10">
        <v>45485</v>
      </c>
      <c r="C2118" s="18">
        <f t="shared" si="33"/>
        <v>7</v>
      </c>
      <c r="D2118" t="s">
        <v>129</v>
      </c>
      <c r="E2118">
        <v>4873566</v>
      </c>
      <c r="F2118" t="s">
        <v>8</v>
      </c>
      <c r="G2118" t="s">
        <v>203</v>
      </c>
      <c r="H2118" t="s">
        <v>230</v>
      </c>
      <c r="I2118" s="4">
        <v>100638.28079999999</v>
      </c>
      <c r="J2118" s="4">
        <v>201276.56159999999</v>
      </c>
      <c r="L2118" s="4">
        <v>2</v>
      </c>
    </row>
    <row r="2119" spans="1:12">
      <c r="A2119" t="s">
        <v>105</v>
      </c>
      <c r="B2119" s="10">
        <v>45485</v>
      </c>
      <c r="C2119" s="18">
        <f t="shared" si="33"/>
        <v>7</v>
      </c>
      <c r="D2119" t="s">
        <v>129</v>
      </c>
      <c r="E2119">
        <v>4873566</v>
      </c>
      <c r="F2119" t="s">
        <v>8</v>
      </c>
      <c r="G2119" t="s">
        <v>203</v>
      </c>
      <c r="H2119" t="s">
        <v>228</v>
      </c>
      <c r="I2119" s="4">
        <v>100638.28079999999</v>
      </c>
      <c r="J2119" s="4">
        <v>201276.56159999999</v>
      </c>
      <c r="L2119" s="4">
        <v>2</v>
      </c>
    </row>
    <row r="2120" spans="1:12">
      <c r="A2120" t="s">
        <v>105</v>
      </c>
      <c r="B2120" s="10">
        <v>45485</v>
      </c>
      <c r="C2120" s="18">
        <f t="shared" si="33"/>
        <v>7</v>
      </c>
      <c r="D2120" t="s">
        <v>129</v>
      </c>
      <c r="E2120">
        <v>4873566</v>
      </c>
      <c r="F2120" t="s">
        <v>8</v>
      </c>
      <c r="G2120" t="s">
        <v>203</v>
      </c>
      <c r="H2120" t="s">
        <v>225</v>
      </c>
      <c r="I2120" s="4">
        <v>100638.28079999999</v>
      </c>
      <c r="J2120" s="4">
        <v>201276.56159999999</v>
      </c>
      <c r="L2120" s="4">
        <v>2</v>
      </c>
    </row>
    <row r="2121" spans="1:12">
      <c r="A2121" t="s">
        <v>105</v>
      </c>
      <c r="B2121" s="10">
        <v>45485</v>
      </c>
      <c r="C2121" s="18">
        <f t="shared" si="33"/>
        <v>7</v>
      </c>
      <c r="D2121" t="s">
        <v>129</v>
      </c>
      <c r="E2121">
        <v>4873566</v>
      </c>
      <c r="F2121" t="s">
        <v>8</v>
      </c>
      <c r="G2121" t="s">
        <v>203</v>
      </c>
      <c r="H2121" t="s">
        <v>224</v>
      </c>
      <c r="I2121" s="4">
        <v>100638.28079999999</v>
      </c>
      <c r="J2121" s="4">
        <v>201276.56159999999</v>
      </c>
      <c r="L2121" s="4">
        <v>2</v>
      </c>
    </row>
    <row r="2122" spans="1:12">
      <c r="A2122" t="s">
        <v>105</v>
      </c>
      <c r="B2122" s="10">
        <v>45486</v>
      </c>
      <c r="C2122" s="18">
        <f t="shared" si="33"/>
        <v>7</v>
      </c>
      <c r="D2122" t="s">
        <v>122</v>
      </c>
      <c r="E2122">
        <v>4876969</v>
      </c>
      <c r="F2122" t="s">
        <v>8</v>
      </c>
      <c r="G2122" t="s">
        <v>203</v>
      </c>
      <c r="H2122" t="s">
        <v>236</v>
      </c>
      <c r="I2122" s="4">
        <v>100638.28079999999</v>
      </c>
      <c r="J2122" s="4">
        <v>201276.56159999999</v>
      </c>
      <c r="L2122" s="4">
        <v>2</v>
      </c>
    </row>
    <row r="2123" spans="1:12">
      <c r="A2123" t="s">
        <v>105</v>
      </c>
      <c r="B2123" s="10">
        <v>45486</v>
      </c>
      <c r="C2123" s="18">
        <f t="shared" si="33"/>
        <v>7</v>
      </c>
      <c r="D2123" t="s">
        <v>122</v>
      </c>
      <c r="E2123">
        <v>4876969</v>
      </c>
      <c r="F2123" t="s">
        <v>8</v>
      </c>
      <c r="G2123" t="s">
        <v>203</v>
      </c>
      <c r="H2123" t="s">
        <v>230</v>
      </c>
      <c r="I2123" s="4">
        <v>100638.28079999999</v>
      </c>
      <c r="J2123" s="4">
        <v>201276.56159999999</v>
      </c>
      <c r="L2123" s="4">
        <v>2</v>
      </c>
    </row>
    <row r="2124" spans="1:12">
      <c r="A2124" t="s">
        <v>105</v>
      </c>
      <c r="B2124" s="10">
        <v>45490</v>
      </c>
      <c r="C2124" s="18">
        <f t="shared" si="33"/>
        <v>7</v>
      </c>
      <c r="D2124" t="s">
        <v>129</v>
      </c>
      <c r="E2124">
        <v>4877720</v>
      </c>
      <c r="F2124" t="s">
        <v>8</v>
      </c>
      <c r="G2124" t="s">
        <v>203</v>
      </c>
      <c r="H2124" t="s">
        <v>232</v>
      </c>
      <c r="I2124" s="4">
        <v>100638.28079999999</v>
      </c>
      <c r="J2124" s="4">
        <v>201276.56159999999</v>
      </c>
      <c r="L2124" s="4">
        <v>2</v>
      </c>
    </row>
    <row r="2125" spans="1:12">
      <c r="A2125" t="s">
        <v>105</v>
      </c>
      <c r="B2125" s="10">
        <v>45490</v>
      </c>
      <c r="C2125" s="18">
        <f t="shared" si="33"/>
        <v>7</v>
      </c>
      <c r="D2125" t="s">
        <v>129</v>
      </c>
      <c r="E2125">
        <v>4877720</v>
      </c>
      <c r="F2125" t="s">
        <v>8</v>
      </c>
      <c r="G2125" t="s">
        <v>203</v>
      </c>
      <c r="H2125" t="s">
        <v>224</v>
      </c>
      <c r="I2125" s="4">
        <v>100638.28079999999</v>
      </c>
      <c r="J2125" s="4">
        <v>201276.56159999999</v>
      </c>
      <c r="L2125" s="4">
        <v>2</v>
      </c>
    </row>
    <row r="2126" spans="1:12">
      <c r="A2126" t="s">
        <v>105</v>
      </c>
      <c r="B2126" s="10">
        <v>45490</v>
      </c>
      <c r="C2126" s="18">
        <f t="shared" si="33"/>
        <v>7</v>
      </c>
      <c r="D2126" t="s">
        <v>129</v>
      </c>
      <c r="E2126">
        <v>4877720</v>
      </c>
      <c r="F2126" t="s">
        <v>8</v>
      </c>
      <c r="G2126" t="s">
        <v>203</v>
      </c>
      <c r="H2126" t="s">
        <v>223</v>
      </c>
      <c r="I2126" s="4">
        <v>100638.28079999999</v>
      </c>
      <c r="J2126" s="4">
        <v>201276.56159999999</v>
      </c>
      <c r="L2126" s="4">
        <v>2</v>
      </c>
    </row>
    <row r="2127" spans="1:12">
      <c r="A2127" t="s">
        <v>105</v>
      </c>
      <c r="B2127" s="10">
        <v>45490</v>
      </c>
      <c r="C2127" s="18">
        <f t="shared" si="33"/>
        <v>7</v>
      </c>
      <c r="D2127" t="s">
        <v>129</v>
      </c>
      <c r="E2127">
        <v>4876376</v>
      </c>
      <c r="F2127" t="s">
        <v>8</v>
      </c>
      <c r="G2127" t="s">
        <v>203</v>
      </c>
      <c r="H2127" t="s">
        <v>242</v>
      </c>
      <c r="I2127" s="4">
        <v>100638.28079999999</v>
      </c>
      <c r="J2127" s="4">
        <v>201276.56159999999</v>
      </c>
      <c r="L2127" s="4">
        <v>2</v>
      </c>
    </row>
    <row r="2128" spans="1:12">
      <c r="A2128" t="s">
        <v>105</v>
      </c>
      <c r="B2128" s="10">
        <v>45490</v>
      </c>
      <c r="C2128" s="18">
        <f t="shared" si="33"/>
        <v>7</v>
      </c>
      <c r="D2128" t="s">
        <v>129</v>
      </c>
      <c r="E2128">
        <v>4876376</v>
      </c>
      <c r="F2128" t="s">
        <v>8</v>
      </c>
      <c r="G2128" t="s">
        <v>203</v>
      </c>
      <c r="H2128" t="s">
        <v>234</v>
      </c>
      <c r="I2128" s="4">
        <v>100638.28079999999</v>
      </c>
      <c r="J2128" s="4">
        <v>201276.56159999999</v>
      </c>
      <c r="L2128" s="4">
        <v>2</v>
      </c>
    </row>
    <row r="2129" spans="1:12">
      <c r="A2129" t="s">
        <v>105</v>
      </c>
      <c r="B2129" s="10">
        <v>45490</v>
      </c>
      <c r="C2129" s="18">
        <f t="shared" si="33"/>
        <v>7</v>
      </c>
      <c r="D2129" t="s">
        <v>129</v>
      </c>
      <c r="E2129">
        <v>4876376</v>
      </c>
      <c r="F2129" t="s">
        <v>8</v>
      </c>
      <c r="G2129" t="s">
        <v>203</v>
      </c>
      <c r="H2129" t="s">
        <v>232</v>
      </c>
      <c r="I2129" s="4">
        <v>100638.28079999999</v>
      </c>
      <c r="J2129" s="4">
        <v>201276.56159999999</v>
      </c>
      <c r="L2129" s="4">
        <v>2</v>
      </c>
    </row>
    <row r="2130" spans="1:12">
      <c r="A2130" t="s">
        <v>105</v>
      </c>
      <c r="B2130" s="10">
        <v>45490</v>
      </c>
      <c r="C2130" s="18">
        <f t="shared" si="33"/>
        <v>7</v>
      </c>
      <c r="D2130" t="s">
        <v>129</v>
      </c>
      <c r="E2130">
        <v>4876376</v>
      </c>
      <c r="F2130" t="s">
        <v>8</v>
      </c>
      <c r="G2130" t="s">
        <v>203</v>
      </c>
      <c r="H2130" t="s">
        <v>224</v>
      </c>
      <c r="I2130" s="4">
        <v>100638.28079999999</v>
      </c>
      <c r="J2130" s="4">
        <v>201276.56159999999</v>
      </c>
      <c r="L2130" s="4">
        <v>2</v>
      </c>
    </row>
    <row r="2131" spans="1:12">
      <c r="A2131" t="s">
        <v>105</v>
      </c>
      <c r="B2131" s="10">
        <v>45490</v>
      </c>
      <c r="C2131" s="18">
        <f t="shared" si="33"/>
        <v>7</v>
      </c>
      <c r="D2131" t="s">
        <v>129</v>
      </c>
      <c r="E2131">
        <v>4876376</v>
      </c>
      <c r="F2131" t="s">
        <v>8</v>
      </c>
      <c r="G2131" t="s">
        <v>203</v>
      </c>
      <c r="H2131" t="s">
        <v>223</v>
      </c>
      <c r="I2131" s="4">
        <v>100638.28079999999</v>
      </c>
      <c r="J2131" s="4">
        <v>201276.56159999999</v>
      </c>
      <c r="L2131" s="4">
        <v>2</v>
      </c>
    </row>
    <row r="2132" spans="1:12">
      <c r="A2132" t="s">
        <v>105</v>
      </c>
      <c r="B2132" s="10">
        <v>45490</v>
      </c>
      <c r="C2132" s="18">
        <f t="shared" si="33"/>
        <v>7</v>
      </c>
      <c r="D2132" t="s">
        <v>129</v>
      </c>
      <c r="E2132">
        <v>4876376</v>
      </c>
      <c r="F2132" t="s">
        <v>8</v>
      </c>
      <c r="G2132" t="s">
        <v>203</v>
      </c>
      <c r="H2132" t="s">
        <v>222</v>
      </c>
      <c r="I2132" s="4">
        <v>100638.28079999999</v>
      </c>
      <c r="J2132" s="4">
        <v>201276.56159999999</v>
      </c>
      <c r="L2132" s="4">
        <v>2</v>
      </c>
    </row>
    <row r="2133" spans="1:12">
      <c r="A2133" t="s">
        <v>105</v>
      </c>
      <c r="B2133" s="10">
        <v>45490</v>
      </c>
      <c r="C2133" s="18">
        <f t="shared" si="33"/>
        <v>7</v>
      </c>
      <c r="D2133" t="s">
        <v>129</v>
      </c>
      <c r="E2133">
        <v>4875298</v>
      </c>
      <c r="F2133" t="s">
        <v>8</v>
      </c>
      <c r="G2133" t="s">
        <v>203</v>
      </c>
      <c r="H2133" t="s">
        <v>223</v>
      </c>
      <c r="I2133" s="4">
        <v>100638.28079999999</v>
      </c>
      <c r="J2133" s="4">
        <v>402553.12319999997</v>
      </c>
      <c r="L2133" s="4">
        <v>4</v>
      </c>
    </row>
    <row r="2134" spans="1:12">
      <c r="A2134" t="s">
        <v>105</v>
      </c>
      <c r="B2134" s="10">
        <v>45490</v>
      </c>
      <c r="C2134" s="18">
        <f t="shared" si="33"/>
        <v>7</v>
      </c>
      <c r="D2134" t="s">
        <v>129</v>
      </c>
      <c r="E2134">
        <v>4875298</v>
      </c>
      <c r="F2134" t="s">
        <v>8</v>
      </c>
      <c r="G2134" t="s">
        <v>203</v>
      </c>
      <c r="H2134" t="s">
        <v>222</v>
      </c>
      <c r="I2134" s="4">
        <v>100638.28079999999</v>
      </c>
      <c r="J2134" s="4">
        <v>201276.56159999999</v>
      </c>
      <c r="L2134" s="4">
        <v>2</v>
      </c>
    </row>
    <row r="2135" spans="1:12">
      <c r="A2135" t="s">
        <v>105</v>
      </c>
      <c r="B2135" s="10">
        <v>45491</v>
      </c>
      <c r="C2135" s="18">
        <f t="shared" si="33"/>
        <v>7</v>
      </c>
      <c r="D2135" t="s">
        <v>130</v>
      </c>
      <c r="E2135">
        <v>4875332</v>
      </c>
      <c r="F2135" t="s">
        <v>8</v>
      </c>
      <c r="G2135" t="s">
        <v>203</v>
      </c>
      <c r="H2135" t="s">
        <v>242</v>
      </c>
      <c r="I2135" s="4">
        <v>100638.28079999999</v>
      </c>
      <c r="J2135" s="4">
        <v>201276.56159999999</v>
      </c>
      <c r="L2135" s="4">
        <v>2</v>
      </c>
    </row>
    <row r="2136" spans="1:12">
      <c r="A2136" t="s">
        <v>105</v>
      </c>
      <c r="B2136" s="10">
        <v>45491</v>
      </c>
      <c r="C2136" s="18">
        <f t="shared" si="33"/>
        <v>7</v>
      </c>
      <c r="D2136" t="s">
        <v>130</v>
      </c>
      <c r="E2136">
        <v>4875332</v>
      </c>
      <c r="F2136" t="s">
        <v>8</v>
      </c>
      <c r="G2136" t="s">
        <v>203</v>
      </c>
      <c r="H2136" t="s">
        <v>240</v>
      </c>
      <c r="I2136" s="4">
        <v>100638.28079999999</v>
      </c>
      <c r="J2136" s="4">
        <v>201276.56159999999</v>
      </c>
      <c r="L2136" s="4">
        <v>2</v>
      </c>
    </row>
    <row r="2137" spans="1:12">
      <c r="A2137" t="s">
        <v>105</v>
      </c>
      <c r="B2137" s="10">
        <v>45491</v>
      </c>
      <c r="C2137" s="18">
        <f t="shared" si="33"/>
        <v>7</v>
      </c>
      <c r="D2137" t="s">
        <v>130</v>
      </c>
      <c r="E2137">
        <v>4875332</v>
      </c>
      <c r="F2137" t="s">
        <v>8</v>
      </c>
      <c r="G2137" t="s">
        <v>203</v>
      </c>
      <c r="H2137" t="s">
        <v>238</v>
      </c>
      <c r="I2137" s="4">
        <v>95606.36675999999</v>
      </c>
      <c r="J2137" s="4">
        <v>191212.73351999998</v>
      </c>
      <c r="L2137" s="4">
        <v>2</v>
      </c>
    </row>
    <row r="2138" spans="1:12">
      <c r="A2138" t="s">
        <v>105</v>
      </c>
      <c r="B2138" s="10">
        <v>45491</v>
      </c>
      <c r="C2138" s="18">
        <f t="shared" si="33"/>
        <v>7</v>
      </c>
      <c r="D2138" t="s">
        <v>130</v>
      </c>
      <c r="E2138">
        <v>4875332</v>
      </c>
      <c r="F2138" t="s">
        <v>8</v>
      </c>
      <c r="G2138" t="s">
        <v>203</v>
      </c>
      <c r="H2138" t="s">
        <v>234</v>
      </c>
      <c r="I2138" s="4">
        <v>100638.28079999999</v>
      </c>
      <c r="J2138" s="4">
        <v>201276.56159999999</v>
      </c>
      <c r="L2138" s="4">
        <v>2</v>
      </c>
    </row>
    <row r="2139" spans="1:12">
      <c r="A2139" t="s">
        <v>105</v>
      </c>
      <c r="B2139" s="10">
        <v>45491</v>
      </c>
      <c r="C2139" s="18">
        <f t="shared" si="33"/>
        <v>7</v>
      </c>
      <c r="D2139" t="s">
        <v>130</v>
      </c>
      <c r="E2139">
        <v>4875332</v>
      </c>
      <c r="F2139" t="s">
        <v>8</v>
      </c>
      <c r="G2139" t="s">
        <v>203</v>
      </c>
      <c r="H2139" t="s">
        <v>232</v>
      </c>
      <c r="I2139" s="4">
        <v>100638.28079999999</v>
      </c>
      <c r="J2139" s="4">
        <v>201276.56159999999</v>
      </c>
      <c r="L2139" s="4">
        <v>2</v>
      </c>
    </row>
    <row r="2140" spans="1:12">
      <c r="A2140" t="s">
        <v>105</v>
      </c>
      <c r="B2140" s="10">
        <v>45493</v>
      </c>
      <c r="C2140" s="18">
        <f t="shared" si="33"/>
        <v>7</v>
      </c>
      <c r="D2140" t="s">
        <v>131</v>
      </c>
      <c r="E2140">
        <v>4874911</v>
      </c>
      <c r="F2140" t="s">
        <v>8</v>
      </c>
      <c r="G2140" t="s">
        <v>203</v>
      </c>
      <c r="H2140" t="s">
        <v>242</v>
      </c>
      <c r="I2140" s="4">
        <v>100638.28079999999</v>
      </c>
      <c r="J2140" s="4">
        <v>201276.56159999999</v>
      </c>
      <c r="L2140" s="4">
        <v>2</v>
      </c>
    </row>
    <row r="2141" spans="1:12">
      <c r="A2141" t="s">
        <v>105</v>
      </c>
      <c r="B2141" s="10">
        <v>45493</v>
      </c>
      <c r="C2141" s="18">
        <f t="shared" si="33"/>
        <v>7</v>
      </c>
      <c r="D2141" t="s">
        <v>131</v>
      </c>
      <c r="E2141">
        <v>4874911</v>
      </c>
      <c r="F2141" t="s">
        <v>8</v>
      </c>
      <c r="G2141" t="s">
        <v>203</v>
      </c>
      <c r="H2141" t="s">
        <v>240</v>
      </c>
      <c r="I2141" s="4">
        <v>100638.28079999999</v>
      </c>
      <c r="J2141" s="4">
        <v>201276.56159999999</v>
      </c>
      <c r="L2141" s="4">
        <v>2</v>
      </c>
    </row>
    <row r="2142" spans="1:12">
      <c r="A2142" t="s">
        <v>105</v>
      </c>
      <c r="B2142" s="10">
        <v>45493</v>
      </c>
      <c r="C2142" s="18">
        <f t="shared" si="33"/>
        <v>7</v>
      </c>
      <c r="D2142" t="s">
        <v>131</v>
      </c>
      <c r="E2142">
        <v>4874911</v>
      </c>
      <c r="F2142" t="s">
        <v>8</v>
      </c>
      <c r="G2142" t="s">
        <v>203</v>
      </c>
      <c r="H2142" t="s">
        <v>238</v>
      </c>
      <c r="I2142" s="4">
        <v>95606.36675999999</v>
      </c>
      <c r="J2142" s="4">
        <v>191212.73351999998</v>
      </c>
      <c r="L2142" s="4">
        <v>2</v>
      </c>
    </row>
    <row r="2143" spans="1:12">
      <c r="A2143" t="s">
        <v>105</v>
      </c>
      <c r="B2143" s="10">
        <v>45493</v>
      </c>
      <c r="C2143" s="18">
        <f t="shared" si="33"/>
        <v>7</v>
      </c>
      <c r="D2143" t="s">
        <v>131</v>
      </c>
      <c r="E2143">
        <v>4874911</v>
      </c>
      <c r="F2143" t="s">
        <v>8</v>
      </c>
      <c r="G2143" t="s">
        <v>203</v>
      </c>
      <c r="H2143" t="s">
        <v>236</v>
      </c>
      <c r="I2143" s="4">
        <v>100638.28079999999</v>
      </c>
      <c r="J2143" s="4">
        <v>201276.56159999999</v>
      </c>
      <c r="L2143" s="4">
        <v>2</v>
      </c>
    </row>
    <row r="2144" spans="1:12">
      <c r="A2144" t="s">
        <v>105</v>
      </c>
      <c r="B2144" s="10">
        <v>45493</v>
      </c>
      <c r="C2144" s="18">
        <f t="shared" si="33"/>
        <v>7</v>
      </c>
      <c r="D2144" t="s">
        <v>131</v>
      </c>
      <c r="E2144">
        <v>4874911</v>
      </c>
      <c r="F2144" t="s">
        <v>8</v>
      </c>
      <c r="G2144" t="s">
        <v>203</v>
      </c>
      <c r="H2144" t="s">
        <v>234</v>
      </c>
      <c r="I2144" s="4">
        <v>100638.28079999999</v>
      </c>
      <c r="J2144" s="4">
        <v>201276.56159999999</v>
      </c>
      <c r="L2144" s="4">
        <v>2</v>
      </c>
    </row>
    <row r="2145" spans="1:12">
      <c r="A2145" t="s">
        <v>105</v>
      </c>
      <c r="B2145" s="10">
        <v>45493</v>
      </c>
      <c r="C2145" s="18">
        <f t="shared" si="33"/>
        <v>7</v>
      </c>
      <c r="D2145" t="s">
        <v>131</v>
      </c>
      <c r="E2145">
        <v>4874911</v>
      </c>
      <c r="F2145" t="s">
        <v>8</v>
      </c>
      <c r="G2145" t="s">
        <v>203</v>
      </c>
      <c r="H2145" t="s">
        <v>232</v>
      </c>
      <c r="I2145" s="4">
        <v>100638.28079999999</v>
      </c>
      <c r="J2145" s="4">
        <v>201276.56159999999</v>
      </c>
      <c r="L2145" s="4">
        <v>2</v>
      </c>
    </row>
    <row r="2146" spans="1:12">
      <c r="A2146" t="s">
        <v>105</v>
      </c>
      <c r="B2146" s="10">
        <v>45499</v>
      </c>
      <c r="C2146" s="18">
        <f t="shared" si="33"/>
        <v>7</v>
      </c>
      <c r="D2146" t="s">
        <v>129</v>
      </c>
      <c r="E2146">
        <v>4877720</v>
      </c>
      <c r="F2146" t="s">
        <v>8</v>
      </c>
      <c r="G2146" t="s">
        <v>203</v>
      </c>
      <c r="H2146" t="s">
        <v>240</v>
      </c>
      <c r="I2146" s="4">
        <v>100638.28079999999</v>
      </c>
      <c r="J2146" s="4">
        <v>201276.56159999999</v>
      </c>
      <c r="L2146" s="4">
        <v>2</v>
      </c>
    </row>
    <row r="2147" spans="1:12">
      <c r="A2147" t="s">
        <v>105</v>
      </c>
      <c r="B2147" s="10">
        <v>45499</v>
      </c>
      <c r="C2147" s="18">
        <f t="shared" si="33"/>
        <v>7</v>
      </c>
      <c r="D2147" t="s">
        <v>129</v>
      </c>
      <c r="E2147">
        <v>4877720</v>
      </c>
      <c r="F2147" t="s">
        <v>8</v>
      </c>
      <c r="G2147" t="s">
        <v>203</v>
      </c>
      <c r="H2147" t="s">
        <v>238</v>
      </c>
      <c r="I2147" s="4">
        <v>95606.36675999999</v>
      </c>
      <c r="J2147" s="4">
        <v>191212.73351999998</v>
      </c>
      <c r="L2147" s="4">
        <v>2</v>
      </c>
    </row>
    <row r="2148" spans="1:12">
      <c r="A2148" t="s">
        <v>105</v>
      </c>
      <c r="B2148" s="10">
        <v>45499</v>
      </c>
      <c r="C2148" s="18">
        <f t="shared" si="33"/>
        <v>7</v>
      </c>
      <c r="D2148" t="s">
        <v>129</v>
      </c>
      <c r="E2148">
        <v>4877720</v>
      </c>
      <c r="F2148" t="s">
        <v>8</v>
      </c>
      <c r="G2148" t="s">
        <v>203</v>
      </c>
      <c r="H2148" t="s">
        <v>232</v>
      </c>
      <c r="I2148" s="4">
        <v>100638.28079999999</v>
      </c>
      <c r="J2148" s="4">
        <v>201276.56159999999</v>
      </c>
      <c r="L2148" s="4">
        <v>2</v>
      </c>
    </row>
    <row r="2149" spans="1:12">
      <c r="A2149" t="s">
        <v>105</v>
      </c>
      <c r="B2149" s="10">
        <v>45499</v>
      </c>
      <c r="C2149" s="18">
        <f t="shared" si="33"/>
        <v>7</v>
      </c>
      <c r="D2149" t="s">
        <v>129</v>
      </c>
      <c r="E2149">
        <v>4877720</v>
      </c>
      <c r="F2149" t="s">
        <v>8</v>
      </c>
      <c r="G2149" t="s">
        <v>203</v>
      </c>
      <c r="H2149" t="s">
        <v>231</v>
      </c>
      <c r="I2149" s="4">
        <v>125766.4408</v>
      </c>
      <c r="J2149" s="4">
        <v>125766.4408</v>
      </c>
      <c r="L2149" s="4">
        <v>1</v>
      </c>
    </row>
    <row r="2150" spans="1:12">
      <c r="A2150" t="s">
        <v>105</v>
      </c>
      <c r="B2150" s="10">
        <v>45504</v>
      </c>
      <c r="C2150" s="18">
        <f t="shared" si="33"/>
        <v>7</v>
      </c>
      <c r="D2150" t="s">
        <v>132</v>
      </c>
      <c r="E2150">
        <v>4878576</v>
      </c>
      <c r="F2150" t="s">
        <v>8</v>
      </c>
      <c r="G2150" t="s">
        <v>203</v>
      </c>
      <c r="H2150" t="s">
        <v>243</v>
      </c>
      <c r="I2150" s="4">
        <v>100638.28079999999</v>
      </c>
      <c r="J2150" s="4">
        <v>201276.56159999999</v>
      </c>
      <c r="L2150" s="4">
        <v>2</v>
      </c>
    </row>
    <row r="2151" spans="1:12">
      <c r="A2151" t="s">
        <v>105</v>
      </c>
      <c r="B2151" s="10">
        <v>45504</v>
      </c>
      <c r="C2151" s="18">
        <f t="shared" si="33"/>
        <v>7</v>
      </c>
      <c r="D2151" t="s">
        <v>132</v>
      </c>
      <c r="E2151">
        <v>4878576</v>
      </c>
      <c r="F2151" t="s">
        <v>8</v>
      </c>
      <c r="G2151" t="s">
        <v>203</v>
      </c>
      <c r="H2151" t="s">
        <v>240</v>
      </c>
      <c r="I2151" s="4">
        <v>100638.28079999999</v>
      </c>
      <c r="J2151" s="4">
        <v>201276.56159999999</v>
      </c>
      <c r="L2151" s="4">
        <v>2</v>
      </c>
    </row>
    <row r="2152" spans="1:12">
      <c r="A2152" t="s">
        <v>105</v>
      </c>
      <c r="B2152" s="10">
        <v>45504</v>
      </c>
      <c r="C2152" s="18">
        <f t="shared" si="33"/>
        <v>7</v>
      </c>
      <c r="D2152" t="s">
        <v>132</v>
      </c>
      <c r="E2152">
        <v>4878576</v>
      </c>
      <c r="F2152" t="s">
        <v>8</v>
      </c>
      <c r="G2152" t="s">
        <v>203</v>
      </c>
      <c r="H2152" t="s">
        <v>238</v>
      </c>
      <c r="I2152" s="4">
        <v>95606.36675999999</v>
      </c>
      <c r="J2152" s="4">
        <v>191212.73351999998</v>
      </c>
      <c r="L2152" s="4">
        <v>2</v>
      </c>
    </row>
    <row r="2153" spans="1:12">
      <c r="A2153" t="s">
        <v>105</v>
      </c>
      <c r="B2153" s="10">
        <v>45504</v>
      </c>
      <c r="C2153" s="18">
        <f t="shared" si="33"/>
        <v>7</v>
      </c>
      <c r="D2153" t="s">
        <v>132</v>
      </c>
      <c r="E2153">
        <v>4878576</v>
      </c>
      <c r="F2153" t="s">
        <v>8</v>
      </c>
      <c r="G2153" t="s">
        <v>203</v>
      </c>
      <c r="H2153" t="s">
        <v>230</v>
      </c>
      <c r="I2153" s="4">
        <v>100638.28079999999</v>
      </c>
      <c r="J2153" s="4">
        <v>201276.56159999999</v>
      </c>
      <c r="L2153" s="4">
        <v>2</v>
      </c>
    </row>
    <row r="2154" spans="1:12">
      <c r="A2154" t="s">
        <v>105</v>
      </c>
      <c r="B2154" s="10">
        <v>45477</v>
      </c>
      <c r="C2154" s="18">
        <f t="shared" si="33"/>
        <v>7</v>
      </c>
      <c r="D2154" t="s">
        <v>111</v>
      </c>
      <c r="E2154">
        <v>4878256</v>
      </c>
      <c r="F2154" t="s">
        <v>8</v>
      </c>
      <c r="G2154" t="s">
        <v>203</v>
      </c>
      <c r="H2154" t="s">
        <v>245</v>
      </c>
      <c r="I2154" s="4">
        <v>100638.28079999999</v>
      </c>
      <c r="J2154" s="4">
        <v>603829.68479999993</v>
      </c>
      <c r="L2154" s="4">
        <v>6</v>
      </c>
    </row>
    <row r="2155" spans="1:12">
      <c r="A2155" t="s">
        <v>105</v>
      </c>
      <c r="B2155" s="10">
        <v>45477</v>
      </c>
      <c r="C2155" s="18">
        <f t="shared" si="33"/>
        <v>7</v>
      </c>
      <c r="D2155" t="s">
        <v>111</v>
      </c>
      <c r="E2155">
        <v>4878256</v>
      </c>
      <c r="F2155" t="s">
        <v>8</v>
      </c>
      <c r="G2155" t="s">
        <v>203</v>
      </c>
      <c r="H2155" t="s">
        <v>243</v>
      </c>
      <c r="I2155" s="4">
        <v>100638.28079999999</v>
      </c>
      <c r="J2155" s="4">
        <v>603829.68479999993</v>
      </c>
      <c r="L2155" s="4">
        <v>6</v>
      </c>
    </row>
    <row r="2156" spans="1:12">
      <c r="A2156" t="s">
        <v>105</v>
      </c>
      <c r="B2156" s="10">
        <v>45477</v>
      </c>
      <c r="C2156" s="18">
        <f t="shared" si="33"/>
        <v>7</v>
      </c>
      <c r="D2156" t="s">
        <v>111</v>
      </c>
      <c r="E2156">
        <v>4878256</v>
      </c>
      <c r="F2156" t="s">
        <v>8</v>
      </c>
      <c r="G2156" t="s">
        <v>203</v>
      </c>
      <c r="H2156" t="s">
        <v>242</v>
      </c>
      <c r="I2156" s="4">
        <v>100638.28079999999</v>
      </c>
      <c r="J2156" s="4">
        <v>603829.68479999993</v>
      </c>
      <c r="L2156" s="4">
        <v>6</v>
      </c>
    </row>
    <row r="2157" spans="1:12">
      <c r="A2157" t="s">
        <v>105</v>
      </c>
      <c r="B2157" s="10">
        <v>45477</v>
      </c>
      <c r="C2157" s="18">
        <f t="shared" si="33"/>
        <v>7</v>
      </c>
      <c r="D2157" t="s">
        <v>111</v>
      </c>
      <c r="E2157">
        <v>4878256</v>
      </c>
      <c r="F2157" t="s">
        <v>8</v>
      </c>
      <c r="G2157" t="s">
        <v>203</v>
      </c>
      <c r="H2157" t="s">
        <v>240</v>
      </c>
      <c r="I2157" s="4">
        <v>100638.28079999999</v>
      </c>
      <c r="J2157" s="4">
        <v>603829.68479999993</v>
      </c>
      <c r="L2157" s="4">
        <v>6</v>
      </c>
    </row>
    <row r="2158" spans="1:12">
      <c r="A2158" t="s">
        <v>105</v>
      </c>
      <c r="B2158" s="10">
        <v>45477</v>
      </c>
      <c r="C2158" s="18">
        <f t="shared" si="33"/>
        <v>7</v>
      </c>
      <c r="D2158" t="s">
        <v>111</v>
      </c>
      <c r="E2158">
        <v>4878256</v>
      </c>
      <c r="F2158" t="s">
        <v>8</v>
      </c>
      <c r="G2158" t="s">
        <v>203</v>
      </c>
      <c r="H2158" t="s">
        <v>234</v>
      </c>
      <c r="I2158" s="4">
        <v>100638.28079999999</v>
      </c>
      <c r="J2158" s="4">
        <v>603829.68479999993</v>
      </c>
      <c r="L2158" s="4">
        <v>6</v>
      </c>
    </row>
    <row r="2159" spans="1:12">
      <c r="A2159" t="s">
        <v>105</v>
      </c>
      <c r="B2159" s="10">
        <v>45477</v>
      </c>
      <c r="C2159" s="18">
        <f t="shared" si="33"/>
        <v>7</v>
      </c>
      <c r="D2159" t="s">
        <v>110</v>
      </c>
      <c r="E2159">
        <v>4878173</v>
      </c>
      <c r="F2159" t="s">
        <v>8</v>
      </c>
      <c r="G2159" t="s">
        <v>203</v>
      </c>
      <c r="H2159" t="s">
        <v>245</v>
      </c>
      <c r="I2159" s="4">
        <v>100638.28079999999</v>
      </c>
      <c r="J2159" s="4">
        <v>201276.56159999999</v>
      </c>
      <c r="L2159" s="4">
        <v>2</v>
      </c>
    </row>
    <row r="2160" spans="1:12">
      <c r="A2160" t="s">
        <v>105</v>
      </c>
      <c r="B2160" s="10">
        <v>45477</v>
      </c>
      <c r="C2160" s="18">
        <f t="shared" si="33"/>
        <v>7</v>
      </c>
      <c r="D2160" t="s">
        <v>110</v>
      </c>
      <c r="E2160">
        <v>4878173</v>
      </c>
      <c r="F2160" t="s">
        <v>8</v>
      </c>
      <c r="G2160" t="s">
        <v>203</v>
      </c>
      <c r="H2160" t="s">
        <v>243</v>
      </c>
      <c r="I2160" s="4">
        <v>100638.28079999999</v>
      </c>
      <c r="J2160" s="4">
        <v>201276.56159999999</v>
      </c>
      <c r="L2160" s="4">
        <v>2</v>
      </c>
    </row>
    <row r="2161" spans="1:12">
      <c r="A2161" t="s">
        <v>105</v>
      </c>
      <c r="B2161" s="10">
        <v>45477</v>
      </c>
      <c r="C2161" s="18">
        <f t="shared" si="33"/>
        <v>7</v>
      </c>
      <c r="D2161" t="s">
        <v>110</v>
      </c>
      <c r="E2161">
        <v>4878173</v>
      </c>
      <c r="F2161" t="s">
        <v>8</v>
      </c>
      <c r="G2161" t="s">
        <v>203</v>
      </c>
      <c r="H2161" t="s">
        <v>242</v>
      </c>
      <c r="I2161" s="4">
        <v>100638.28079999999</v>
      </c>
      <c r="J2161" s="4">
        <v>201276.56159999999</v>
      </c>
      <c r="L2161" s="4">
        <v>2</v>
      </c>
    </row>
    <row r="2162" spans="1:12">
      <c r="A2162" t="s">
        <v>105</v>
      </c>
      <c r="B2162" s="10">
        <v>45477</v>
      </c>
      <c r="C2162" s="18">
        <f t="shared" si="33"/>
        <v>7</v>
      </c>
      <c r="D2162" t="s">
        <v>110</v>
      </c>
      <c r="E2162">
        <v>4878173</v>
      </c>
      <c r="F2162" t="s">
        <v>8</v>
      </c>
      <c r="G2162" t="s">
        <v>203</v>
      </c>
      <c r="H2162" t="s">
        <v>240</v>
      </c>
      <c r="I2162" s="4">
        <v>100638.28079999999</v>
      </c>
      <c r="J2162" s="4">
        <v>201276.56159999999</v>
      </c>
      <c r="L2162" s="4">
        <v>2</v>
      </c>
    </row>
    <row r="2163" spans="1:12">
      <c r="A2163" t="s">
        <v>105</v>
      </c>
      <c r="B2163" s="10">
        <v>45477</v>
      </c>
      <c r="C2163" s="18">
        <f t="shared" si="33"/>
        <v>7</v>
      </c>
      <c r="D2163" t="s">
        <v>110</v>
      </c>
      <c r="E2163">
        <v>4878173</v>
      </c>
      <c r="F2163" t="s">
        <v>8</v>
      </c>
      <c r="G2163" t="s">
        <v>203</v>
      </c>
      <c r="H2163" t="s">
        <v>222</v>
      </c>
      <c r="I2163" s="4">
        <v>100638.28079999999</v>
      </c>
      <c r="J2163" s="4">
        <v>201276.56159999999</v>
      </c>
      <c r="L2163" s="4">
        <v>2</v>
      </c>
    </row>
    <row r="2164" spans="1:12">
      <c r="A2164" t="s">
        <v>105</v>
      </c>
      <c r="B2164" s="10">
        <v>45477</v>
      </c>
      <c r="C2164" s="18">
        <f t="shared" si="33"/>
        <v>7</v>
      </c>
      <c r="D2164" t="s">
        <v>110</v>
      </c>
      <c r="E2164">
        <v>4878173</v>
      </c>
      <c r="F2164" t="s">
        <v>8</v>
      </c>
      <c r="G2164" t="s">
        <v>203</v>
      </c>
      <c r="H2164" t="s">
        <v>241</v>
      </c>
      <c r="I2164" s="4">
        <v>125766.4408</v>
      </c>
      <c r="J2164" s="4">
        <v>125766.4408</v>
      </c>
      <c r="L2164" s="4">
        <v>1</v>
      </c>
    </row>
    <row r="2165" spans="1:12">
      <c r="A2165" t="s">
        <v>105</v>
      </c>
      <c r="B2165" s="10">
        <v>45477</v>
      </c>
      <c r="C2165" s="18">
        <f t="shared" si="33"/>
        <v>7</v>
      </c>
      <c r="D2165" t="s">
        <v>116</v>
      </c>
      <c r="E2165">
        <v>4878432</v>
      </c>
      <c r="F2165" t="s">
        <v>8</v>
      </c>
      <c r="G2165" t="s">
        <v>203</v>
      </c>
      <c r="H2165" t="s">
        <v>241</v>
      </c>
      <c r="I2165" s="4">
        <v>125766.4408</v>
      </c>
      <c r="J2165" s="4">
        <v>125766.4408</v>
      </c>
      <c r="L2165" s="4">
        <v>1</v>
      </c>
    </row>
    <row r="2166" spans="1:12">
      <c r="A2166" t="s">
        <v>105</v>
      </c>
      <c r="B2166" s="10">
        <v>45477</v>
      </c>
      <c r="C2166" s="18">
        <f t="shared" si="33"/>
        <v>7</v>
      </c>
      <c r="D2166" t="s">
        <v>116</v>
      </c>
      <c r="E2166">
        <v>4878432</v>
      </c>
      <c r="F2166" t="s">
        <v>8</v>
      </c>
      <c r="G2166" t="s">
        <v>203</v>
      </c>
      <c r="H2166" t="s">
        <v>235</v>
      </c>
      <c r="I2166" s="4">
        <v>125766.4408</v>
      </c>
      <c r="J2166" s="4">
        <v>503065.76319999999</v>
      </c>
      <c r="L2166" s="4">
        <v>4</v>
      </c>
    </row>
    <row r="2167" spans="1:12">
      <c r="A2167" t="s">
        <v>105</v>
      </c>
      <c r="B2167" s="10">
        <v>45481</v>
      </c>
      <c r="C2167" s="18">
        <f t="shared" si="33"/>
        <v>7</v>
      </c>
      <c r="D2167" t="s">
        <v>116</v>
      </c>
      <c r="E2167">
        <v>4878424</v>
      </c>
      <c r="F2167" t="s">
        <v>8</v>
      </c>
      <c r="G2167" t="s">
        <v>203</v>
      </c>
      <c r="H2167" t="s">
        <v>233</v>
      </c>
      <c r="I2167" s="4">
        <v>120735.78316800001</v>
      </c>
      <c r="J2167" s="4">
        <v>241471.56633600002</v>
      </c>
      <c r="L2167" s="4">
        <v>2</v>
      </c>
    </row>
    <row r="2168" spans="1:12">
      <c r="A2168" t="s">
        <v>105</v>
      </c>
      <c r="B2168" s="10">
        <v>45483</v>
      </c>
      <c r="C2168" s="18">
        <f t="shared" si="33"/>
        <v>7</v>
      </c>
      <c r="D2168" t="s">
        <v>109</v>
      </c>
      <c r="E2168">
        <v>4878203</v>
      </c>
      <c r="F2168" t="s">
        <v>8</v>
      </c>
      <c r="G2168" t="s">
        <v>203</v>
      </c>
      <c r="H2168" t="s">
        <v>227</v>
      </c>
      <c r="I2168" s="4">
        <v>100638.28079999999</v>
      </c>
      <c r="J2168" s="4">
        <v>1006382.808</v>
      </c>
      <c r="K2168" s="4">
        <v>-40255.312320000005</v>
      </c>
      <c r="L2168" s="4">
        <v>10</v>
      </c>
    </row>
    <row r="2169" spans="1:12">
      <c r="A2169" t="s">
        <v>105</v>
      </c>
      <c r="B2169" s="10">
        <v>45485</v>
      </c>
      <c r="C2169" s="18">
        <f t="shared" si="33"/>
        <v>7</v>
      </c>
      <c r="D2169" t="s">
        <v>111</v>
      </c>
      <c r="E2169">
        <v>4878259</v>
      </c>
      <c r="F2169" t="s">
        <v>8</v>
      </c>
      <c r="G2169" t="s">
        <v>203</v>
      </c>
      <c r="H2169" t="s">
        <v>243</v>
      </c>
      <c r="I2169" s="4">
        <v>100638.28079999999</v>
      </c>
      <c r="J2169" s="4">
        <v>201276.56159999999</v>
      </c>
      <c r="L2169" s="4">
        <v>2</v>
      </c>
    </row>
    <row r="2170" spans="1:12">
      <c r="A2170" t="s">
        <v>105</v>
      </c>
      <c r="B2170" s="10">
        <v>45485</v>
      </c>
      <c r="C2170" s="18">
        <f t="shared" si="33"/>
        <v>7</v>
      </c>
      <c r="D2170" t="s">
        <v>111</v>
      </c>
      <c r="E2170">
        <v>4878259</v>
      </c>
      <c r="F2170" t="s">
        <v>8</v>
      </c>
      <c r="G2170" t="s">
        <v>203</v>
      </c>
      <c r="H2170" t="s">
        <v>238</v>
      </c>
      <c r="I2170" s="4">
        <v>95606.36675999999</v>
      </c>
      <c r="J2170" s="4">
        <v>191212.73351999998</v>
      </c>
      <c r="L2170" s="4">
        <v>2</v>
      </c>
    </row>
    <row r="2171" spans="1:12">
      <c r="A2171" t="s">
        <v>105</v>
      </c>
      <c r="B2171" s="10">
        <v>45485</v>
      </c>
      <c r="C2171" s="18">
        <f t="shared" si="33"/>
        <v>7</v>
      </c>
      <c r="D2171" t="s">
        <v>111</v>
      </c>
      <c r="E2171">
        <v>4878259</v>
      </c>
      <c r="F2171" t="s">
        <v>8</v>
      </c>
      <c r="G2171" t="s">
        <v>203</v>
      </c>
      <c r="H2171" t="s">
        <v>236</v>
      </c>
      <c r="I2171" s="4">
        <v>100638.28079999999</v>
      </c>
      <c r="J2171" s="4">
        <v>201276.56159999999</v>
      </c>
      <c r="L2171" s="4">
        <v>2</v>
      </c>
    </row>
    <row r="2172" spans="1:12">
      <c r="A2172" t="s">
        <v>105</v>
      </c>
      <c r="B2172" s="10">
        <v>45485</v>
      </c>
      <c r="C2172" s="18">
        <f t="shared" si="33"/>
        <v>7</v>
      </c>
      <c r="D2172" t="s">
        <v>111</v>
      </c>
      <c r="E2172">
        <v>4878259</v>
      </c>
      <c r="F2172" t="s">
        <v>8</v>
      </c>
      <c r="G2172" t="s">
        <v>203</v>
      </c>
      <c r="H2172" t="s">
        <v>223</v>
      </c>
      <c r="I2172" s="4">
        <v>100638.28079999999</v>
      </c>
      <c r="J2172" s="4">
        <v>201276.56159999999</v>
      </c>
      <c r="L2172" s="4">
        <v>2</v>
      </c>
    </row>
    <row r="2173" spans="1:12">
      <c r="A2173" t="s">
        <v>105</v>
      </c>
      <c r="B2173" s="10">
        <v>45485</v>
      </c>
      <c r="C2173" s="18">
        <f t="shared" si="33"/>
        <v>7</v>
      </c>
      <c r="D2173" t="s">
        <v>111</v>
      </c>
      <c r="E2173">
        <v>4878259</v>
      </c>
      <c r="F2173" t="s">
        <v>8</v>
      </c>
      <c r="G2173" t="s">
        <v>203</v>
      </c>
      <c r="H2173" t="s">
        <v>222</v>
      </c>
      <c r="I2173" s="4">
        <v>100638.28079999999</v>
      </c>
      <c r="J2173" s="4">
        <v>201276.56159999999</v>
      </c>
      <c r="L2173" s="4">
        <v>2</v>
      </c>
    </row>
    <row r="2174" spans="1:12">
      <c r="A2174" t="s">
        <v>105</v>
      </c>
      <c r="B2174" s="10">
        <v>45485</v>
      </c>
      <c r="C2174" s="18">
        <f t="shared" si="33"/>
        <v>7</v>
      </c>
      <c r="D2174" t="s">
        <v>116</v>
      </c>
      <c r="E2174">
        <v>4878424</v>
      </c>
      <c r="F2174" t="s">
        <v>8</v>
      </c>
      <c r="G2174" t="s">
        <v>203</v>
      </c>
      <c r="H2174" t="s">
        <v>243</v>
      </c>
      <c r="I2174" s="4">
        <v>100638.28079999999</v>
      </c>
      <c r="J2174" s="4">
        <v>201276.56159999999</v>
      </c>
      <c r="L2174" s="4">
        <v>2</v>
      </c>
    </row>
    <row r="2175" spans="1:12">
      <c r="A2175" t="s">
        <v>105</v>
      </c>
      <c r="B2175" s="10">
        <v>45485</v>
      </c>
      <c r="C2175" s="18">
        <f t="shared" si="33"/>
        <v>7</v>
      </c>
      <c r="D2175" t="s">
        <v>116</v>
      </c>
      <c r="E2175">
        <v>4878424</v>
      </c>
      <c r="F2175" t="s">
        <v>8</v>
      </c>
      <c r="G2175" t="s">
        <v>203</v>
      </c>
      <c r="H2175" t="s">
        <v>236</v>
      </c>
      <c r="I2175" s="4">
        <v>100638.28079999999</v>
      </c>
      <c r="J2175" s="4">
        <v>201276.56159999999</v>
      </c>
      <c r="L2175" s="4">
        <v>2</v>
      </c>
    </row>
    <row r="2176" spans="1:12">
      <c r="A2176" t="s">
        <v>105</v>
      </c>
      <c r="B2176" s="10">
        <v>45485</v>
      </c>
      <c r="C2176" s="18">
        <f t="shared" si="33"/>
        <v>7</v>
      </c>
      <c r="D2176" t="s">
        <v>119</v>
      </c>
      <c r="E2176">
        <v>4878298</v>
      </c>
      <c r="F2176" t="s">
        <v>8</v>
      </c>
      <c r="G2176" t="s">
        <v>203</v>
      </c>
      <c r="H2176" t="s">
        <v>223</v>
      </c>
      <c r="I2176" s="4">
        <v>100638.28079999999</v>
      </c>
      <c r="J2176" s="4">
        <v>402553.12319999997</v>
      </c>
      <c r="L2176" s="4">
        <v>4</v>
      </c>
    </row>
    <row r="2177" spans="1:12">
      <c r="A2177" t="s">
        <v>105</v>
      </c>
      <c r="B2177" s="10">
        <v>45485</v>
      </c>
      <c r="C2177" s="18">
        <f t="shared" si="33"/>
        <v>7</v>
      </c>
      <c r="D2177" t="s">
        <v>119</v>
      </c>
      <c r="E2177">
        <v>4878298</v>
      </c>
      <c r="F2177" t="s">
        <v>8</v>
      </c>
      <c r="G2177" t="s">
        <v>203</v>
      </c>
      <c r="H2177" t="s">
        <v>222</v>
      </c>
      <c r="I2177" s="4">
        <v>100638.28079999999</v>
      </c>
      <c r="J2177" s="4">
        <v>603829.68479999993</v>
      </c>
      <c r="L2177" s="4">
        <v>6</v>
      </c>
    </row>
    <row r="2178" spans="1:12">
      <c r="A2178" t="s">
        <v>105</v>
      </c>
      <c r="B2178" s="10">
        <v>45485</v>
      </c>
      <c r="C2178" s="18">
        <f t="shared" ref="C2178:C2241" si="34">MONTH(B2178)</f>
        <v>7</v>
      </c>
      <c r="D2178" t="s">
        <v>119</v>
      </c>
      <c r="E2178">
        <v>4878299</v>
      </c>
      <c r="F2178" t="s">
        <v>8</v>
      </c>
      <c r="G2178" t="s">
        <v>203</v>
      </c>
      <c r="H2178" t="s">
        <v>243</v>
      </c>
      <c r="I2178" s="4">
        <v>100638.28079999999</v>
      </c>
      <c r="J2178" s="4">
        <v>201276.56159999999</v>
      </c>
      <c r="L2178" s="4">
        <v>2</v>
      </c>
    </row>
    <row r="2179" spans="1:12">
      <c r="A2179" t="s">
        <v>105</v>
      </c>
      <c r="B2179" s="10">
        <v>45486</v>
      </c>
      <c r="C2179" s="18">
        <f t="shared" si="34"/>
        <v>7</v>
      </c>
      <c r="D2179" t="s">
        <v>114</v>
      </c>
      <c r="E2179">
        <v>4878076</v>
      </c>
      <c r="F2179" t="s">
        <v>8</v>
      </c>
      <c r="G2179" t="s">
        <v>202</v>
      </c>
      <c r="H2179" t="s">
        <v>261</v>
      </c>
      <c r="I2179" s="4">
        <v>41587.104800000001</v>
      </c>
      <c r="J2179" s="4">
        <v>415871.04800000001</v>
      </c>
      <c r="L2179" s="4">
        <v>10</v>
      </c>
    </row>
    <row r="2180" spans="1:12">
      <c r="A2180" t="s">
        <v>105</v>
      </c>
      <c r="B2180" s="10">
        <v>45486</v>
      </c>
      <c r="C2180" s="18">
        <f t="shared" si="34"/>
        <v>7</v>
      </c>
      <c r="D2180" t="s">
        <v>114</v>
      </c>
      <c r="E2180">
        <v>4878076</v>
      </c>
      <c r="F2180" t="s">
        <v>8</v>
      </c>
      <c r="G2180" t="s">
        <v>202</v>
      </c>
      <c r="H2180" t="s">
        <v>258</v>
      </c>
      <c r="I2180" s="4">
        <v>37817.880799999999</v>
      </c>
      <c r="J2180" s="4">
        <v>189089.40399999998</v>
      </c>
      <c r="L2180" s="4">
        <v>5</v>
      </c>
    </row>
    <row r="2181" spans="1:12">
      <c r="A2181" t="s">
        <v>105</v>
      </c>
      <c r="B2181" s="10">
        <v>45486</v>
      </c>
      <c r="C2181" s="18">
        <f t="shared" si="34"/>
        <v>7</v>
      </c>
      <c r="D2181" t="s">
        <v>116</v>
      </c>
      <c r="E2181">
        <v>4878419</v>
      </c>
      <c r="F2181" t="s">
        <v>8</v>
      </c>
      <c r="G2181" t="s">
        <v>203</v>
      </c>
      <c r="H2181" t="s">
        <v>243</v>
      </c>
      <c r="I2181" s="4">
        <v>100638.28079999999</v>
      </c>
      <c r="J2181" s="4">
        <v>201276.56159999999</v>
      </c>
      <c r="L2181" s="4">
        <v>2</v>
      </c>
    </row>
    <row r="2182" spans="1:12">
      <c r="A2182" t="s">
        <v>105</v>
      </c>
      <c r="B2182" s="10">
        <v>45486</v>
      </c>
      <c r="C2182" s="18">
        <f t="shared" si="34"/>
        <v>7</v>
      </c>
      <c r="D2182" t="s">
        <v>116</v>
      </c>
      <c r="E2182">
        <v>4878419</v>
      </c>
      <c r="F2182" t="s">
        <v>8</v>
      </c>
      <c r="G2182" t="s">
        <v>203</v>
      </c>
      <c r="H2182" t="s">
        <v>238</v>
      </c>
      <c r="I2182" s="4">
        <v>95606.36675999999</v>
      </c>
      <c r="J2182" s="4">
        <v>191212.73351999998</v>
      </c>
      <c r="L2182" s="4">
        <v>2</v>
      </c>
    </row>
    <row r="2183" spans="1:12">
      <c r="A2183" t="s">
        <v>105</v>
      </c>
      <c r="B2183" s="10">
        <v>45486</v>
      </c>
      <c r="C2183" s="18">
        <f t="shared" si="34"/>
        <v>7</v>
      </c>
      <c r="D2183" t="s">
        <v>116</v>
      </c>
      <c r="E2183">
        <v>4878420</v>
      </c>
      <c r="F2183" t="s">
        <v>8</v>
      </c>
      <c r="G2183" t="s">
        <v>203</v>
      </c>
      <c r="H2183" t="s">
        <v>243</v>
      </c>
      <c r="I2183" s="4">
        <v>100638.28079999999</v>
      </c>
      <c r="J2183" s="4">
        <v>201276.56159999999</v>
      </c>
      <c r="L2183" s="4">
        <v>2</v>
      </c>
    </row>
    <row r="2184" spans="1:12">
      <c r="A2184" t="s">
        <v>105</v>
      </c>
      <c r="B2184" s="10">
        <v>45486</v>
      </c>
      <c r="C2184" s="18">
        <f t="shared" si="34"/>
        <v>7</v>
      </c>
      <c r="D2184" t="s">
        <v>116</v>
      </c>
      <c r="E2184">
        <v>4878420</v>
      </c>
      <c r="F2184" t="s">
        <v>8</v>
      </c>
      <c r="G2184" t="s">
        <v>203</v>
      </c>
      <c r="H2184" t="s">
        <v>238</v>
      </c>
      <c r="I2184" s="4">
        <v>95606.36675999999</v>
      </c>
      <c r="J2184" s="4">
        <v>191212.73351999998</v>
      </c>
      <c r="L2184" s="4">
        <v>2</v>
      </c>
    </row>
    <row r="2185" spans="1:12">
      <c r="A2185" t="s">
        <v>105</v>
      </c>
      <c r="B2185" s="10">
        <v>45486</v>
      </c>
      <c r="C2185" s="18">
        <f t="shared" si="34"/>
        <v>7</v>
      </c>
      <c r="D2185" t="s">
        <v>116</v>
      </c>
      <c r="E2185">
        <v>4878457</v>
      </c>
      <c r="F2185" t="s">
        <v>8</v>
      </c>
      <c r="G2185" t="s">
        <v>203</v>
      </c>
      <c r="H2185" t="s">
        <v>236</v>
      </c>
      <c r="I2185" s="4">
        <v>100638.28079999999</v>
      </c>
      <c r="J2185" s="4">
        <v>603829.68479999993</v>
      </c>
      <c r="L2185" s="4">
        <v>6</v>
      </c>
    </row>
    <row r="2186" spans="1:12">
      <c r="A2186" t="s">
        <v>105</v>
      </c>
      <c r="B2186" s="10">
        <v>45486</v>
      </c>
      <c r="C2186" s="18">
        <f t="shared" si="34"/>
        <v>7</v>
      </c>
      <c r="D2186" t="s">
        <v>116</v>
      </c>
      <c r="E2186">
        <v>4878457</v>
      </c>
      <c r="F2186" t="s">
        <v>8</v>
      </c>
      <c r="G2186" t="s">
        <v>203</v>
      </c>
      <c r="H2186" t="s">
        <v>230</v>
      </c>
      <c r="I2186" s="4">
        <v>100638.28079999999</v>
      </c>
      <c r="J2186" s="4">
        <v>402553.12319999997</v>
      </c>
      <c r="L2186" s="4">
        <v>4</v>
      </c>
    </row>
    <row r="2187" spans="1:12">
      <c r="A2187" t="s">
        <v>105</v>
      </c>
      <c r="B2187" s="10">
        <v>45486</v>
      </c>
      <c r="C2187" s="18">
        <f t="shared" si="34"/>
        <v>7</v>
      </c>
      <c r="D2187" t="s">
        <v>116</v>
      </c>
      <c r="E2187">
        <v>4878457</v>
      </c>
      <c r="F2187" t="s">
        <v>8</v>
      </c>
      <c r="G2187" t="s">
        <v>203</v>
      </c>
      <c r="H2187" t="s">
        <v>226</v>
      </c>
      <c r="I2187" s="4">
        <v>100638.28079999999</v>
      </c>
      <c r="J2187" s="4">
        <v>402553.12319999997</v>
      </c>
      <c r="L2187" s="4">
        <v>4</v>
      </c>
    </row>
    <row r="2188" spans="1:12">
      <c r="A2188" t="s">
        <v>105</v>
      </c>
      <c r="B2188" s="10">
        <v>45486</v>
      </c>
      <c r="C2188" s="18">
        <f t="shared" si="34"/>
        <v>7</v>
      </c>
      <c r="D2188" t="s">
        <v>116</v>
      </c>
      <c r="E2188">
        <v>4878457</v>
      </c>
      <c r="F2188" t="s">
        <v>8</v>
      </c>
      <c r="G2188" t="s">
        <v>203</v>
      </c>
      <c r="H2188" t="s">
        <v>224</v>
      </c>
      <c r="I2188" s="4">
        <v>100638.28079999999</v>
      </c>
      <c r="J2188" s="4">
        <v>402553.12319999997</v>
      </c>
      <c r="L2188" s="4">
        <v>4</v>
      </c>
    </row>
    <row r="2189" spans="1:12">
      <c r="A2189" t="s">
        <v>105</v>
      </c>
      <c r="B2189" s="10">
        <v>45486</v>
      </c>
      <c r="C2189" s="18">
        <f t="shared" si="34"/>
        <v>7</v>
      </c>
      <c r="D2189" t="s">
        <v>116</v>
      </c>
      <c r="E2189">
        <v>4878457</v>
      </c>
      <c r="F2189" t="s">
        <v>8</v>
      </c>
      <c r="G2189" t="s">
        <v>203</v>
      </c>
      <c r="H2189" t="s">
        <v>223</v>
      </c>
      <c r="I2189" s="4">
        <v>100638.28079999999</v>
      </c>
      <c r="J2189" s="4">
        <v>402553.12319999997</v>
      </c>
      <c r="L2189" s="4">
        <v>4</v>
      </c>
    </row>
    <row r="2190" spans="1:12">
      <c r="A2190" t="s">
        <v>105</v>
      </c>
      <c r="B2190" s="10">
        <v>45488</v>
      </c>
      <c r="C2190" s="18">
        <f t="shared" si="34"/>
        <v>7</v>
      </c>
      <c r="D2190" t="s">
        <v>112</v>
      </c>
      <c r="E2190">
        <v>4877565</v>
      </c>
      <c r="F2190" t="s">
        <v>8</v>
      </c>
      <c r="G2190" t="s">
        <v>203</v>
      </c>
      <c r="H2190" t="s">
        <v>238</v>
      </c>
      <c r="I2190" s="4">
        <v>95606.36675999999</v>
      </c>
      <c r="J2190" s="4">
        <v>191212.73351999998</v>
      </c>
      <c r="L2190" s="4">
        <v>2</v>
      </c>
    </row>
    <row r="2191" spans="1:12">
      <c r="A2191" t="s">
        <v>105</v>
      </c>
      <c r="B2191" s="10">
        <v>45488</v>
      </c>
      <c r="C2191" s="18">
        <f t="shared" si="34"/>
        <v>7</v>
      </c>
      <c r="D2191" t="s">
        <v>112</v>
      </c>
      <c r="E2191">
        <v>4877565</v>
      </c>
      <c r="F2191" t="s">
        <v>8</v>
      </c>
      <c r="G2191" t="s">
        <v>203</v>
      </c>
      <c r="H2191" t="s">
        <v>222</v>
      </c>
      <c r="I2191" s="4">
        <v>100638.28079999999</v>
      </c>
      <c r="J2191" s="4">
        <v>201276.56159999999</v>
      </c>
      <c r="L2191" s="4">
        <v>2</v>
      </c>
    </row>
    <row r="2192" spans="1:12">
      <c r="A2192" t="s">
        <v>105</v>
      </c>
      <c r="B2192" s="10">
        <v>45488</v>
      </c>
      <c r="C2192" s="18">
        <f t="shared" si="34"/>
        <v>7</v>
      </c>
      <c r="D2192" t="s">
        <v>127</v>
      </c>
      <c r="E2192">
        <v>4877909</v>
      </c>
      <c r="F2192" t="s">
        <v>8</v>
      </c>
      <c r="G2192" t="s">
        <v>203</v>
      </c>
      <c r="H2192" t="s">
        <v>238</v>
      </c>
      <c r="I2192" s="4">
        <v>95606.36675999999</v>
      </c>
      <c r="J2192" s="4">
        <v>191212.73351999998</v>
      </c>
      <c r="L2192" s="4">
        <v>2</v>
      </c>
    </row>
    <row r="2193" spans="1:12">
      <c r="A2193" t="s">
        <v>105</v>
      </c>
      <c r="B2193" s="10">
        <v>45488</v>
      </c>
      <c r="C2193" s="18">
        <f t="shared" si="34"/>
        <v>7</v>
      </c>
      <c r="D2193" t="s">
        <v>127</v>
      </c>
      <c r="E2193">
        <v>4877909</v>
      </c>
      <c r="F2193" t="s">
        <v>8</v>
      </c>
      <c r="G2193" t="s">
        <v>203</v>
      </c>
      <c r="H2193" t="s">
        <v>236</v>
      </c>
      <c r="I2193" s="4">
        <v>100638.28079999999</v>
      </c>
      <c r="J2193" s="4">
        <v>201276.56159999999</v>
      </c>
      <c r="L2193" s="4">
        <v>2</v>
      </c>
    </row>
    <row r="2194" spans="1:12">
      <c r="A2194" t="s">
        <v>105</v>
      </c>
      <c r="B2194" s="10">
        <v>45488</v>
      </c>
      <c r="C2194" s="18">
        <f t="shared" si="34"/>
        <v>7</v>
      </c>
      <c r="D2194" t="s">
        <v>127</v>
      </c>
      <c r="E2194">
        <v>4877909</v>
      </c>
      <c r="F2194" t="s">
        <v>8</v>
      </c>
      <c r="G2194" t="s">
        <v>203</v>
      </c>
      <c r="H2194" t="s">
        <v>222</v>
      </c>
      <c r="I2194" s="4">
        <v>100638.28079999999</v>
      </c>
      <c r="J2194" s="4">
        <v>402553.12319999997</v>
      </c>
      <c r="L2194" s="4">
        <v>4</v>
      </c>
    </row>
    <row r="2195" spans="1:12">
      <c r="A2195" t="s">
        <v>105</v>
      </c>
      <c r="B2195" s="10">
        <v>45489</v>
      </c>
      <c r="C2195" s="18">
        <f t="shared" si="34"/>
        <v>7</v>
      </c>
      <c r="D2195" t="s">
        <v>119</v>
      </c>
      <c r="E2195">
        <v>4878294</v>
      </c>
      <c r="F2195" t="s">
        <v>8</v>
      </c>
      <c r="G2195" t="s">
        <v>203</v>
      </c>
      <c r="H2195" t="s">
        <v>242</v>
      </c>
      <c r="I2195" s="4">
        <v>100638.28079999999</v>
      </c>
      <c r="J2195" s="4">
        <v>-201276.56159999999</v>
      </c>
      <c r="K2195" s="4">
        <v>-29399.947199999999</v>
      </c>
      <c r="L2195" s="4">
        <v>-2</v>
      </c>
    </row>
    <row r="2196" spans="1:12">
      <c r="A2196" t="s">
        <v>105</v>
      </c>
      <c r="B2196" s="10">
        <v>45489</v>
      </c>
      <c r="C2196" s="18">
        <f t="shared" si="34"/>
        <v>7</v>
      </c>
      <c r="D2196" t="s">
        <v>119</v>
      </c>
      <c r="E2196">
        <v>4878294</v>
      </c>
      <c r="F2196" t="s">
        <v>8</v>
      </c>
      <c r="G2196" t="s">
        <v>203</v>
      </c>
      <c r="H2196" t="s">
        <v>234</v>
      </c>
      <c r="I2196" s="4">
        <v>100638.28079999999</v>
      </c>
      <c r="J2196" s="4">
        <v>-201276.56159999999</v>
      </c>
      <c r="K2196" s="4">
        <v>-29399.947199999999</v>
      </c>
      <c r="L2196" s="4">
        <v>-2</v>
      </c>
    </row>
    <row r="2197" spans="1:12">
      <c r="A2197" t="s">
        <v>105</v>
      </c>
      <c r="B2197" s="10">
        <v>45489</v>
      </c>
      <c r="C2197" s="18">
        <f t="shared" si="34"/>
        <v>7</v>
      </c>
      <c r="D2197" t="s">
        <v>119</v>
      </c>
      <c r="E2197">
        <v>4878294</v>
      </c>
      <c r="F2197" t="s">
        <v>8</v>
      </c>
      <c r="G2197" t="s">
        <v>203</v>
      </c>
      <c r="H2197" t="s">
        <v>225</v>
      </c>
      <c r="I2197" s="4">
        <v>100638.28079999999</v>
      </c>
      <c r="J2197" s="4">
        <v>-201276.56159999999</v>
      </c>
      <c r="K2197" s="4">
        <v>-29399.947199999999</v>
      </c>
      <c r="L2197" s="4">
        <v>-2</v>
      </c>
    </row>
    <row r="2198" spans="1:12">
      <c r="A2198" t="s">
        <v>105</v>
      </c>
      <c r="B2198" s="10">
        <v>45489</v>
      </c>
      <c r="C2198" s="18">
        <f t="shared" si="34"/>
        <v>7</v>
      </c>
      <c r="D2198" t="s">
        <v>186</v>
      </c>
      <c r="E2198">
        <v>4877644</v>
      </c>
      <c r="F2198" t="s">
        <v>8</v>
      </c>
      <c r="G2198" t="s">
        <v>203</v>
      </c>
      <c r="H2198" t="s">
        <v>242</v>
      </c>
      <c r="I2198" s="4">
        <v>100638.28079999999</v>
      </c>
      <c r="J2198" s="4">
        <v>201276.56159999999</v>
      </c>
      <c r="L2198" s="4">
        <v>2</v>
      </c>
    </row>
    <row r="2199" spans="1:12">
      <c r="A2199" t="s">
        <v>105</v>
      </c>
      <c r="B2199" s="10">
        <v>45489</v>
      </c>
      <c r="C2199" s="18">
        <f t="shared" si="34"/>
        <v>7</v>
      </c>
      <c r="D2199" t="s">
        <v>186</v>
      </c>
      <c r="E2199">
        <v>4877644</v>
      </c>
      <c r="F2199" t="s">
        <v>8</v>
      </c>
      <c r="G2199" t="s">
        <v>203</v>
      </c>
      <c r="H2199" t="s">
        <v>234</v>
      </c>
      <c r="I2199" s="4">
        <v>100638.28079999999</v>
      </c>
      <c r="J2199" s="4">
        <v>201276.56159999999</v>
      </c>
      <c r="L2199" s="4">
        <v>2</v>
      </c>
    </row>
    <row r="2200" spans="1:12">
      <c r="A2200" t="s">
        <v>105</v>
      </c>
      <c r="B2200" s="10">
        <v>45489</v>
      </c>
      <c r="C2200" s="18">
        <f t="shared" si="34"/>
        <v>7</v>
      </c>
      <c r="D2200" t="s">
        <v>186</v>
      </c>
      <c r="E2200">
        <v>4877644</v>
      </c>
      <c r="F2200" t="s">
        <v>8</v>
      </c>
      <c r="G2200" t="s">
        <v>203</v>
      </c>
      <c r="H2200" t="s">
        <v>225</v>
      </c>
      <c r="I2200" s="4">
        <v>100638.28079999999</v>
      </c>
      <c r="J2200" s="4">
        <v>201276.56159999999</v>
      </c>
      <c r="L2200" s="4">
        <v>2</v>
      </c>
    </row>
    <row r="2201" spans="1:12">
      <c r="A2201" t="s">
        <v>105</v>
      </c>
      <c r="B2201" s="10">
        <v>45491</v>
      </c>
      <c r="C2201" s="18">
        <f t="shared" si="34"/>
        <v>7</v>
      </c>
      <c r="D2201" t="s">
        <v>118</v>
      </c>
      <c r="E2201">
        <v>4877626</v>
      </c>
      <c r="F2201" t="s">
        <v>8</v>
      </c>
      <c r="G2201" t="s">
        <v>203</v>
      </c>
      <c r="H2201" t="s">
        <v>236</v>
      </c>
      <c r="I2201" s="4">
        <v>100638.28079999999</v>
      </c>
      <c r="J2201" s="4">
        <v>1006382.808</v>
      </c>
      <c r="L2201" s="4">
        <v>10</v>
      </c>
    </row>
    <row r="2202" spans="1:12">
      <c r="A2202" t="s">
        <v>105</v>
      </c>
      <c r="B2202" s="10">
        <v>45491</v>
      </c>
      <c r="C2202" s="18">
        <f t="shared" si="34"/>
        <v>7</v>
      </c>
      <c r="D2202" t="s">
        <v>118</v>
      </c>
      <c r="E2202">
        <v>4877626</v>
      </c>
      <c r="F2202" t="s">
        <v>8</v>
      </c>
      <c r="G2202" t="s">
        <v>203</v>
      </c>
      <c r="H2202" t="s">
        <v>232</v>
      </c>
      <c r="I2202" s="4">
        <v>100638.28079999999</v>
      </c>
      <c r="J2202" s="4">
        <v>1006382.808</v>
      </c>
      <c r="L2202" s="4">
        <v>10</v>
      </c>
    </row>
    <row r="2203" spans="1:12">
      <c r="A2203" t="s">
        <v>105</v>
      </c>
      <c r="B2203" s="10">
        <v>45491</v>
      </c>
      <c r="C2203" s="18">
        <f t="shared" si="34"/>
        <v>7</v>
      </c>
      <c r="D2203" t="s">
        <v>118</v>
      </c>
      <c r="E2203">
        <v>4877626</v>
      </c>
      <c r="F2203" t="s">
        <v>8</v>
      </c>
      <c r="G2203" t="s">
        <v>203</v>
      </c>
      <c r="H2203" t="s">
        <v>235</v>
      </c>
      <c r="I2203" s="4">
        <v>125766.4408</v>
      </c>
      <c r="J2203" s="4">
        <v>628832.20400000003</v>
      </c>
      <c r="L2203" s="4">
        <v>5</v>
      </c>
    </row>
    <row r="2204" spans="1:12">
      <c r="A2204" t="s">
        <v>105</v>
      </c>
      <c r="B2204" s="10">
        <v>45491</v>
      </c>
      <c r="C2204" s="18">
        <f t="shared" si="34"/>
        <v>7</v>
      </c>
      <c r="D2204" t="s">
        <v>118</v>
      </c>
      <c r="E2204">
        <v>4877626</v>
      </c>
      <c r="F2204" t="s">
        <v>8</v>
      </c>
      <c r="G2204" t="s">
        <v>203</v>
      </c>
      <c r="H2204" t="s">
        <v>231</v>
      </c>
      <c r="I2204" s="4">
        <v>125766.4408</v>
      </c>
      <c r="J2204" s="4">
        <v>628832.20400000003</v>
      </c>
      <c r="L2204" s="4">
        <v>5</v>
      </c>
    </row>
    <row r="2205" spans="1:12">
      <c r="A2205" t="s">
        <v>105</v>
      </c>
      <c r="B2205" s="10">
        <v>45493</v>
      </c>
      <c r="C2205" s="18">
        <f t="shared" si="34"/>
        <v>7</v>
      </c>
      <c r="D2205" t="s">
        <v>116</v>
      </c>
      <c r="E2205">
        <v>4878477</v>
      </c>
      <c r="F2205" t="s">
        <v>8</v>
      </c>
      <c r="G2205" t="s">
        <v>203</v>
      </c>
      <c r="H2205" t="s">
        <v>245</v>
      </c>
      <c r="I2205" s="4">
        <v>100638.28079999999</v>
      </c>
      <c r="J2205" s="4">
        <v>402553.12319999997</v>
      </c>
      <c r="L2205" s="4">
        <v>4</v>
      </c>
    </row>
    <row r="2206" spans="1:12">
      <c r="A2206" t="s">
        <v>105</v>
      </c>
      <c r="B2206" s="10">
        <v>45493</v>
      </c>
      <c r="C2206" s="18">
        <f t="shared" si="34"/>
        <v>7</v>
      </c>
      <c r="D2206" t="s">
        <v>116</v>
      </c>
      <c r="E2206">
        <v>4878477</v>
      </c>
      <c r="F2206" t="s">
        <v>8</v>
      </c>
      <c r="G2206" t="s">
        <v>203</v>
      </c>
      <c r="H2206" t="s">
        <v>240</v>
      </c>
      <c r="I2206" s="4">
        <v>100638.28079999999</v>
      </c>
      <c r="J2206" s="4">
        <v>402553.12319999997</v>
      </c>
      <c r="L2206" s="4">
        <v>4</v>
      </c>
    </row>
    <row r="2207" spans="1:12">
      <c r="A2207" t="s">
        <v>105</v>
      </c>
      <c r="B2207" s="10">
        <v>45493</v>
      </c>
      <c r="C2207" s="18">
        <f t="shared" si="34"/>
        <v>7</v>
      </c>
      <c r="D2207" t="s">
        <v>116</v>
      </c>
      <c r="E2207">
        <v>4878477</v>
      </c>
      <c r="F2207" t="s">
        <v>8</v>
      </c>
      <c r="G2207" t="s">
        <v>203</v>
      </c>
      <c r="H2207" t="s">
        <v>244</v>
      </c>
      <c r="I2207" s="4">
        <v>125766.4408</v>
      </c>
      <c r="J2207" s="4">
        <v>251532.88159999999</v>
      </c>
      <c r="L2207" s="4">
        <v>2</v>
      </c>
    </row>
    <row r="2208" spans="1:12">
      <c r="A2208" t="s">
        <v>105</v>
      </c>
      <c r="B2208" s="10">
        <v>45493</v>
      </c>
      <c r="C2208" s="18">
        <f t="shared" si="34"/>
        <v>7</v>
      </c>
      <c r="D2208" t="s">
        <v>116</v>
      </c>
      <c r="E2208">
        <v>4878477</v>
      </c>
      <c r="F2208" t="s">
        <v>8</v>
      </c>
      <c r="G2208" t="s">
        <v>203</v>
      </c>
      <c r="H2208" t="s">
        <v>231</v>
      </c>
      <c r="I2208" s="4">
        <v>125766.4408</v>
      </c>
      <c r="J2208" s="4">
        <v>251532.88159999999</v>
      </c>
      <c r="L2208" s="4">
        <v>2</v>
      </c>
    </row>
    <row r="2209" spans="1:12">
      <c r="A2209" t="s">
        <v>105</v>
      </c>
      <c r="B2209" s="10">
        <v>45495</v>
      </c>
      <c r="C2209" s="18">
        <f t="shared" si="34"/>
        <v>7</v>
      </c>
      <c r="D2209" t="s">
        <v>110</v>
      </c>
      <c r="E2209">
        <v>4878173</v>
      </c>
      <c r="F2209" t="s">
        <v>8</v>
      </c>
      <c r="G2209" t="s">
        <v>203</v>
      </c>
      <c r="H2209" t="s">
        <v>240</v>
      </c>
      <c r="I2209" s="4">
        <v>100638.28079999999</v>
      </c>
      <c r="J2209" s="4">
        <v>201276.56159999999</v>
      </c>
      <c r="L2209" s="4">
        <v>2</v>
      </c>
    </row>
    <row r="2210" spans="1:12">
      <c r="A2210" t="s">
        <v>105</v>
      </c>
      <c r="B2210" s="10">
        <v>45495</v>
      </c>
      <c r="C2210" s="18">
        <f t="shared" si="34"/>
        <v>7</v>
      </c>
      <c r="D2210" t="s">
        <v>110</v>
      </c>
      <c r="E2210">
        <v>4878173</v>
      </c>
      <c r="F2210" t="s">
        <v>8</v>
      </c>
      <c r="G2210" t="s">
        <v>203</v>
      </c>
      <c r="H2210" t="s">
        <v>228</v>
      </c>
      <c r="I2210" s="4">
        <v>100638.28079999999</v>
      </c>
      <c r="J2210" s="4">
        <v>201276.56159999999</v>
      </c>
      <c r="L2210" s="4">
        <v>2</v>
      </c>
    </row>
    <row r="2211" spans="1:12">
      <c r="A2211" t="s">
        <v>105</v>
      </c>
      <c r="B2211" s="10">
        <v>45495</v>
      </c>
      <c r="C2211" s="18">
        <f t="shared" si="34"/>
        <v>7</v>
      </c>
      <c r="D2211" t="s">
        <v>110</v>
      </c>
      <c r="E2211">
        <v>4878173</v>
      </c>
      <c r="F2211" t="s">
        <v>8</v>
      </c>
      <c r="G2211" t="s">
        <v>203</v>
      </c>
      <c r="H2211" t="s">
        <v>223</v>
      </c>
      <c r="I2211" s="4">
        <v>100638.28079999999</v>
      </c>
      <c r="J2211" s="4">
        <v>0</v>
      </c>
    </row>
    <row r="2212" spans="1:12">
      <c r="A2212" t="s">
        <v>107</v>
      </c>
      <c r="B2212" s="10">
        <v>45485</v>
      </c>
      <c r="C2212" s="18">
        <f t="shared" si="34"/>
        <v>7</v>
      </c>
      <c r="D2212" t="s">
        <v>162</v>
      </c>
      <c r="E2212">
        <v>4874459</v>
      </c>
      <c r="F2212" t="s">
        <v>8</v>
      </c>
      <c r="G2212" t="s">
        <v>203</v>
      </c>
      <c r="H2212" t="s">
        <v>238</v>
      </c>
      <c r="I2212" s="4">
        <v>95606.36675999999</v>
      </c>
      <c r="J2212" s="4">
        <v>191212.73351999998</v>
      </c>
      <c r="L2212" s="4">
        <v>2</v>
      </c>
    </row>
    <row r="2213" spans="1:12">
      <c r="A2213" t="s">
        <v>107</v>
      </c>
      <c r="B2213" s="10">
        <v>45485</v>
      </c>
      <c r="C2213" s="18">
        <f t="shared" si="34"/>
        <v>7</v>
      </c>
      <c r="D2213" t="s">
        <v>162</v>
      </c>
      <c r="E2213">
        <v>4874459</v>
      </c>
      <c r="F2213" t="s">
        <v>8</v>
      </c>
      <c r="G2213" t="s">
        <v>203</v>
      </c>
      <c r="H2213" t="s">
        <v>236</v>
      </c>
      <c r="I2213" s="4">
        <v>100638.28079999999</v>
      </c>
      <c r="J2213" s="4">
        <v>201276.56159999999</v>
      </c>
      <c r="L2213" s="4">
        <v>2</v>
      </c>
    </row>
    <row r="2214" spans="1:12">
      <c r="A2214" t="s">
        <v>107</v>
      </c>
      <c r="B2214" s="10">
        <v>45485</v>
      </c>
      <c r="C2214" s="18">
        <f t="shared" si="34"/>
        <v>7</v>
      </c>
      <c r="D2214" t="s">
        <v>162</v>
      </c>
      <c r="E2214">
        <v>4874459</v>
      </c>
      <c r="F2214" t="s">
        <v>8</v>
      </c>
      <c r="G2214" t="s">
        <v>203</v>
      </c>
      <c r="H2214" t="s">
        <v>241</v>
      </c>
      <c r="I2214" s="4">
        <v>125766.4408</v>
      </c>
      <c r="J2214" s="4">
        <v>251532.88159999999</v>
      </c>
      <c r="L2214" s="4">
        <v>2</v>
      </c>
    </row>
    <row r="2215" spans="1:12">
      <c r="A2215" t="s">
        <v>107</v>
      </c>
      <c r="B2215" s="10">
        <v>45485</v>
      </c>
      <c r="C2215" s="18">
        <f t="shared" si="34"/>
        <v>7</v>
      </c>
      <c r="D2215" t="s">
        <v>162</v>
      </c>
      <c r="E2215">
        <v>4874459</v>
      </c>
      <c r="F2215" t="s">
        <v>8</v>
      </c>
      <c r="G2215" t="s">
        <v>203</v>
      </c>
      <c r="H2215" t="s">
        <v>239</v>
      </c>
      <c r="I2215" s="4">
        <v>125766.4408</v>
      </c>
      <c r="J2215" s="4">
        <v>251532.88159999999</v>
      </c>
      <c r="L2215" s="4">
        <v>2</v>
      </c>
    </row>
    <row r="2216" spans="1:12">
      <c r="A2216" t="s">
        <v>107</v>
      </c>
      <c r="B2216" s="10">
        <v>45485</v>
      </c>
      <c r="C2216" s="18">
        <f t="shared" si="34"/>
        <v>7</v>
      </c>
      <c r="D2216" t="s">
        <v>162</v>
      </c>
      <c r="E2216">
        <v>4874459</v>
      </c>
      <c r="F2216" t="s">
        <v>8</v>
      </c>
      <c r="G2216" t="s">
        <v>203</v>
      </c>
      <c r="H2216" t="s">
        <v>233</v>
      </c>
      <c r="I2216" s="4">
        <v>120735.78316800001</v>
      </c>
      <c r="J2216" s="4">
        <v>241471.56633600002</v>
      </c>
      <c r="L2216" s="4">
        <v>2</v>
      </c>
    </row>
    <row r="2217" spans="1:12">
      <c r="A2217" t="s">
        <v>107</v>
      </c>
      <c r="B2217" s="10">
        <v>45485</v>
      </c>
      <c r="C2217" s="18">
        <f t="shared" si="34"/>
        <v>7</v>
      </c>
      <c r="D2217" t="s">
        <v>182</v>
      </c>
      <c r="E2217">
        <v>4876974</v>
      </c>
      <c r="F2217" t="s">
        <v>8</v>
      </c>
      <c r="G2217" t="s">
        <v>203</v>
      </c>
      <c r="H2217" t="s">
        <v>243</v>
      </c>
      <c r="I2217" s="4">
        <v>100638.28079999999</v>
      </c>
      <c r="J2217" s="4">
        <v>402553.12319999997</v>
      </c>
      <c r="L2217" s="4">
        <v>4</v>
      </c>
    </row>
    <row r="2218" spans="1:12">
      <c r="A2218" t="s">
        <v>107</v>
      </c>
      <c r="B2218" s="10">
        <v>45485</v>
      </c>
      <c r="C2218" s="18">
        <f t="shared" si="34"/>
        <v>7</v>
      </c>
      <c r="D2218" t="s">
        <v>182</v>
      </c>
      <c r="E2218">
        <v>4876974</v>
      </c>
      <c r="F2218" t="s">
        <v>8</v>
      </c>
      <c r="G2218" t="s">
        <v>203</v>
      </c>
      <c r="H2218" t="s">
        <v>238</v>
      </c>
      <c r="I2218" s="4">
        <v>95606.36675999999</v>
      </c>
      <c r="J2218" s="4">
        <v>382425.46703999996</v>
      </c>
      <c r="L2218" s="4">
        <v>4</v>
      </c>
    </row>
    <row r="2219" spans="1:12">
      <c r="A2219" t="s">
        <v>107</v>
      </c>
      <c r="B2219" s="10">
        <v>45485</v>
      </c>
      <c r="C2219" s="18">
        <f t="shared" si="34"/>
        <v>7</v>
      </c>
      <c r="D2219" t="s">
        <v>182</v>
      </c>
      <c r="E2219">
        <v>4876974</v>
      </c>
      <c r="F2219" t="s">
        <v>8</v>
      </c>
      <c r="G2219" t="s">
        <v>203</v>
      </c>
      <c r="H2219" t="s">
        <v>236</v>
      </c>
      <c r="I2219" s="4">
        <v>100638.28079999999</v>
      </c>
      <c r="J2219" s="4">
        <v>402553.12319999997</v>
      </c>
      <c r="L2219" s="4">
        <v>4</v>
      </c>
    </row>
    <row r="2220" spans="1:12">
      <c r="A2220" t="s">
        <v>107</v>
      </c>
      <c r="B2220" s="10">
        <v>45485</v>
      </c>
      <c r="C2220" s="18">
        <f t="shared" si="34"/>
        <v>7</v>
      </c>
      <c r="D2220" t="s">
        <v>182</v>
      </c>
      <c r="E2220">
        <v>4876974</v>
      </c>
      <c r="F2220" t="s">
        <v>8</v>
      </c>
      <c r="G2220" t="s">
        <v>203</v>
      </c>
      <c r="H2220" t="s">
        <v>227</v>
      </c>
      <c r="I2220" s="4">
        <v>100638.28079999999</v>
      </c>
      <c r="J2220" s="4">
        <v>201276.56159999999</v>
      </c>
      <c r="L2220" s="4">
        <v>2</v>
      </c>
    </row>
    <row r="2221" spans="1:12">
      <c r="A2221" t="s">
        <v>107</v>
      </c>
      <c r="B2221" s="10">
        <v>45485</v>
      </c>
      <c r="C2221" s="18">
        <f t="shared" si="34"/>
        <v>7</v>
      </c>
      <c r="D2221" t="s">
        <v>182</v>
      </c>
      <c r="E2221">
        <v>4876974</v>
      </c>
      <c r="F2221" t="s">
        <v>8</v>
      </c>
      <c r="G2221" t="s">
        <v>203</v>
      </c>
      <c r="H2221" t="s">
        <v>225</v>
      </c>
      <c r="I2221" s="4">
        <v>100638.28079999999</v>
      </c>
      <c r="J2221" s="4">
        <v>402553.12319999997</v>
      </c>
      <c r="L2221" s="4">
        <v>4</v>
      </c>
    </row>
    <row r="2222" spans="1:12">
      <c r="A2222" t="s">
        <v>107</v>
      </c>
      <c r="B2222" s="10">
        <v>45485</v>
      </c>
      <c r="C2222" s="18">
        <f t="shared" si="34"/>
        <v>7</v>
      </c>
      <c r="D2222" t="s">
        <v>182</v>
      </c>
      <c r="E2222">
        <v>4876974</v>
      </c>
      <c r="F2222" t="s">
        <v>8</v>
      </c>
      <c r="G2222" t="s">
        <v>203</v>
      </c>
      <c r="H2222" t="s">
        <v>241</v>
      </c>
      <c r="I2222" s="4">
        <v>125766.4408</v>
      </c>
      <c r="J2222" s="4">
        <v>377299.3224</v>
      </c>
      <c r="L2222" s="4">
        <v>3</v>
      </c>
    </row>
    <row r="2223" spans="1:12">
      <c r="A2223" t="s">
        <v>107</v>
      </c>
      <c r="B2223" s="10">
        <v>45485</v>
      </c>
      <c r="C2223" s="18">
        <f t="shared" si="34"/>
        <v>7</v>
      </c>
      <c r="D2223" t="s">
        <v>182</v>
      </c>
      <c r="E2223">
        <v>4876974</v>
      </c>
      <c r="F2223" t="s">
        <v>8</v>
      </c>
      <c r="G2223" t="s">
        <v>203</v>
      </c>
      <c r="H2223" t="s">
        <v>239</v>
      </c>
      <c r="I2223" s="4">
        <v>125766.4408</v>
      </c>
      <c r="J2223" s="4">
        <v>377299.3224</v>
      </c>
      <c r="L2223" s="4">
        <v>3</v>
      </c>
    </row>
    <row r="2224" spans="1:12">
      <c r="A2224" t="s">
        <v>107</v>
      </c>
      <c r="B2224" s="10">
        <v>45485</v>
      </c>
      <c r="C2224" s="18">
        <f t="shared" si="34"/>
        <v>7</v>
      </c>
      <c r="D2224" t="s">
        <v>182</v>
      </c>
      <c r="E2224">
        <v>4876974</v>
      </c>
      <c r="F2224" t="s">
        <v>8</v>
      </c>
      <c r="G2224" t="s">
        <v>203</v>
      </c>
      <c r="H2224" t="s">
        <v>235</v>
      </c>
      <c r="I2224" s="4">
        <v>125766.4408</v>
      </c>
      <c r="J2224" s="4">
        <v>377299.3224</v>
      </c>
      <c r="L2224" s="4">
        <v>3</v>
      </c>
    </row>
    <row r="2225" spans="1:12">
      <c r="A2225" t="s">
        <v>107</v>
      </c>
      <c r="B2225" s="10">
        <v>45485</v>
      </c>
      <c r="C2225" s="18">
        <f t="shared" si="34"/>
        <v>7</v>
      </c>
      <c r="D2225" t="s">
        <v>182</v>
      </c>
      <c r="E2225">
        <v>4876974</v>
      </c>
      <c r="F2225" t="s">
        <v>8</v>
      </c>
      <c r="G2225" t="s">
        <v>203</v>
      </c>
      <c r="H2225" t="s">
        <v>233</v>
      </c>
      <c r="I2225" s="4">
        <v>120735.78316800001</v>
      </c>
      <c r="J2225" s="4">
        <v>362207.34950400004</v>
      </c>
      <c r="L2225" s="4">
        <v>3</v>
      </c>
    </row>
    <row r="2226" spans="1:12">
      <c r="A2226" t="s">
        <v>107</v>
      </c>
      <c r="B2226" s="10">
        <v>45485</v>
      </c>
      <c r="C2226" s="18">
        <f t="shared" si="34"/>
        <v>7</v>
      </c>
      <c r="D2226" t="s">
        <v>182</v>
      </c>
      <c r="E2226">
        <v>4876974</v>
      </c>
      <c r="F2226" t="s">
        <v>8</v>
      </c>
      <c r="G2226" t="s">
        <v>203</v>
      </c>
      <c r="H2226" t="s">
        <v>229</v>
      </c>
      <c r="I2226" s="4">
        <v>125766.4408</v>
      </c>
      <c r="J2226" s="4">
        <v>377299.3224</v>
      </c>
      <c r="L2226" s="4">
        <v>3</v>
      </c>
    </row>
    <row r="2227" spans="1:12">
      <c r="A2227" t="s">
        <v>107</v>
      </c>
      <c r="B2227" s="10">
        <v>45485</v>
      </c>
      <c r="C2227" s="18">
        <f t="shared" si="34"/>
        <v>7</v>
      </c>
      <c r="D2227" t="s">
        <v>182</v>
      </c>
      <c r="E2227">
        <v>4874538</v>
      </c>
      <c r="F2227" t="s">
        <v>8</v>
      </c>
      <c r="G2227" t="s">
        <v>203</v>
      </c>
      <c r="H2227" t="s">
        <v>243</v>
      </c>
      <c r="I2227" s="4">
        <v>100638.28079999999</v>
      </c>
      <c r="J2227" s="4">
        <v>603829.68479999993</v>
      </c>
      <c r="L2227" s="4">
        <v>6</v>
      </c>
    </row>
    <row r="2228" spans="1:12">
      <c r="A2228" t="s">
        <v>107</v>
      </c>
      <c r="B2228" s="10">
        <v>45485</v>
      </c>
      <c r="C2228" s="18">
        <f t="shared" si="34"/>
        <v>7</v>
      </c>
      <c r="D2228" t="s">
        <v>182</v>
      </c>
      <c r="E2228">
        <v>4874538</v>
      </c>
      <c r="F2228" t="s">
        <v>8</v>
      </c>
      <c r="G2228" t="s">
        <v>203</v>
      </c>
      <c r="H2228" t="s">
        <v>238</v>
      </c>
      <c r="I2228" s="4">
        <v>95606.36675999999</v>
      </c>
      <c r="J2228" s="4">
        <v>191212.73351999998</v>
      </c>
      <c r="L2228" s="4">
        <v>2</v>
      </c>
    </row>
    <row r="2229" spans="1:12">
      <c r="A2229" t="s">
        <v>107</v>
      </c>
      <c r="B2229" s="10">
        <v>45485</v>
      </c>
      <c r="C2229" s="18">
        <f t="shared" si="34"/>
        <v>7</v>
      </c>
      <c r="D2229" t="s">
        <v>182</v>
      </c>
      <c r="E2229">
        <v>4874538</v>
      </c>
      <c r="F2229" t="s">
        <v>8</v>
      </c>
      <c r="G2229" t="s">
        <v>203</v>
      </c>
      <c r="H2229" t="s">
        <v>225</v>
      </c>
      <c r="I2229" s="4">
        <v>100638.28079999999</v>
      </c>
      <c r="J2229" s="4">
        <v>603829.68479999993</v>
      </c>
      <c r="L2229" s="4">
        <v>6</v>
      </c>
    </row>
    <row r="2230" spans="1:12">
      <c r="A2230" t="s">
        <v>107</v>
      </c>
      <c r="B2230" s="10">
        <v>45485</v>
      </c>
      <c r="C2230" s="18">
        <f t="shared" si="34"/>
        <v>7</v>
      </c>
      <c r="D2230" t="s">
        <v>182</v>
      </c>
      <c r="E2230">
        <v>4874538</v>
      </c>
      <c r="F2230" t="s">
        <v>8</v>
      </c>
      <c r="G2230" t="s">
        <v>203</v>
      </c>
      <c r="H2230" t="s">
        <v>235</v>
      </c>
      <c r="I2230" s="4">
        <v>125766.4408</v>
      </c>
      <c r="J2230" s="4">
        <v>251532.88159999999</v>
      </c>
      <c r="L2230" s="4">
        <v>2</v>
      </c>
    </row>
    <row r="2231" spans="1:12">
      <c r="A2231" t="s">
        <v>107</v>
      </c>
      <c r="B2231" s="10">
        <v>45485</v>
      </c>
      <c r="C2231" s="18">
        <f t="shared" si="34"/>
        <v>7</v>
      </c>
      <c r="D2231" t="s">
        <v>182</v>
      </c>
      <c r="E2231">
        <v>4874538</v>
      </c>
      <c r="F2231" t="s">
        <v>8</v>
      </c>
      <c r="G2231" t="s">
        <v>203</v>
      </c>
      <c r="H2231" t="s">
        <v>229</v>
      </c>
      <c r="I2231" s="4">
        <v>125766.4408</v>
      </c>
      <c r="J2231" s="4">
        <v>251532.88159999999</v>
      </c>
      <c r="L2231" s="4">
        <v>2</v>
      </c>
    </row>
    <row r="2232" spans="1:12">
      <c r="A2232" t="s">
        <v>107</v>
      </c>
      <c r="B2232" s="10">
        <v>45486</v>
      </c>
      <c r="C2232" s="18">
        <f t="shared" si="34"/>
        <v>7</v>
      </c>
      <c r="D2232" t="s">
        <v>171</v>
      </c>
      <c r="E2232">
        <v>4875729</v>
      </c>
      <c r="F2232" t="s">
        <v>8</v>
      </c>
      <c r="G2232" t="s">
        <v>203</v>
      </c>
      <c r="H2232" t="s">
        <v>238</v>
      </c>
      <c r="I2232" s="4">
        <v>95606.36675999999</v>
      </c>
      <c r="J2232" s="4">
        <v>95606.36675999999</v>
      </c>
      <c r="L2232" s="4">
        <v>1</v>
      </c>
    </row>
    <row r="2233" spans="1:12">
      <c r="A2233" t="s">
        <v>107</v>
      </c>
      <c r="B2233" s="10">
        <v>45490</v>
      </c>
      <c r="C2233" s="18">
        <f t="shared" si="34"/>
        <v>7</v>
      </c>
      <c r="D2233" t="s">
        <v>140</v>
      </c>
      <c r="E2233">
        <v>4874346</v>
      </c>
      <c r="F2233" t="s">
        <v>8</v>
      </c>
      <c r="G2233" t="s">
        <v>203</v>
      </c>
      <c r="H2233" t="s">
        <v>230</v>
      </c>
      <c r="I2233" s="4">
        <v>100638.28079999999</v>
      </c>
      <c r="J2233" s="4">
        <v>402553.12319999997</v>
      </c>
      <c r="L2233" s="4">
        <v>4</v>
      </c>
    </row>
    <row r="2234" spans="1:12">
      <c r="A2234" t="s">
        <v>107</v>
      </c>
      <c r="B2234" s="10">
        <v>45490</v>
      </c>
      <c r="C2234" s="18">
        <f t="shared" si="34"/>
        <v>7</v>
      </c>
      <c r="D2234" t="s">
        <v>140</v>
      </c>
      <c r="E2234">
        <v>4874346</v>
      </c>
      <c r="F2234" t="s">
        <v>8</v>
      </c>
      <c r="G2234" t="s">
        <v>203</v>
      </c>
      <c r="H2234" t="s">
        <v>228</v>
      </c>
      <c r="I2234" s="4">
        <v>100638.28079999999</v>
      </c>
      <c r="J2234" s="4">
        <v>402553.12319999997</v>
      </c>
      <c r="L2234" s="4">
        <v>4</v>
      </c>
    </row>
    <row r="2235" spans="1:12">
      <c r="A2235" t="s">
        <v>107</v>
      </c>
      <c r="B2235" s="10">
        <v>45490</v>
      </c>
      <c r="C2235" s="18">
        <f t="shared" si="34"/>
        <v>7</v>
      </c>
      <c r="D2235" t="s">
        <v>140</v>
      </c>
      <c r="E2235">
        <v>4874346</v>
      </c>
      <c r="F2235" t="s">
        <v>8</v>
      </c>
      <c r="G2235" t="s">
        <v>203</v>
      </c>
      <c r="H2235" t="s">
        <v>224</v>
      </c>
      <c r="I2235" s="4">
        <v>100638.28079999999</v>
      </c>
      <c r="J2235" s="4">
        <v>402553.12319999997</v>
      </c>
      <c r="L2235" s="4">
        <v>4</v>
      </c>
    </row>
    <row r="2236" spans="1:12">
      <c r="A2236" t="s">
        <v>107</v>
      </c>
      <c r="B2236" s="10">
        <v>45490</v>
      </c>
      <c r="C2236" s="18">
        <f t="shared" si="34"/>
        <v>7</v>
      </c>
      <c r="D2236" t="s">
        <v>140</v>
      </c>
      <c r="E2236">
        <v>4874346</v>
      </c>
      <c r="F2236" t="s">
        <v>8</v>
      </c>
      <c r="G2236" t="s">
        <v>203</v>
      </c>
      <c r="H2236" t="s">
        <v>223</v>
      </c>
      <c r="I2236" s="4">
        <v>100638.28079999999</v>
      </c>
      <c r="J2236" s="4">
        <v>402553.12319999997</v>
      </c>
      <c r="L2236" s="4">
        <v>4</v>
      </c>
    </row>
    <row r="2237" spans="1:12">
      <c r="A2237" t="s">
        <v>107</v>
      </c>
      <c r="B2237" s="10">
        <v>45490</v>
      </c>
      <c r="C2237" s="18">
        <f t="shared" si="34"/>
        <v>7</v>
      </c>
      <c r="D2237" t="s">
        <v>140</v>
      </c>
      <c r="E2237">
        <v>4874346</v>
      </c>
      <c r="F2237" t="s">
        <v>8</v>
      </c>
      <c r="G2237" t="s">
        <v>203</v>
      </c>
      <c r="H2237" t="s">
        <v>239</v>
      </c>
      <c r="I2237" s="4">
        <v>125766.4408</v>
      </c>
      <c r="J2237" s="4">
        <v>503065.76319999999</v>
      </c>
      <c r="L2237" s="4">
        <v>4</v>
      </c>
    </row>
    <row r="2238" spans="1:12">
      <c r="A2238" t="s">
        <v>107</v>
      </c>
      <c r="B2238" s="10">
        <v>45490</v>
      </c>
      <c r="C2238" s="18">
        <f t="shared" si="34"/>
        <v>7</v>
      </c>
      <c r="D2238" t="s">
        <v>140</v>
      </c>
      <c r="E2238">
        <v>4874346</v>
      </c>
      <c r="F2238" t="s">
        <v>8</v>
      </c>
      <c r="G2238" t="s">
        <v>203</v>
      </c>
      <c r="H2238" t="s">
        <v>233</v>
      </c>
      <c r="I2238" s="4">
        <v>120735.78316800001</v>
      </c>
      <c r="J2238" s="4">
        <v>482943.13267200004</v>
      </c>
      <c r="L2238" s="4">
        <v>4</v>
      </c>
    </row>
    <row r="2239" spans="1:12">
      <c r="A2239" t="s">
        <v>107</v>
      </c>
      <c r="B2239" s="10">
        <v>45490</v>
      </c>
      <c r="C2239" s="18">
        <f t="shared" si="34"/>
        <v>7</v>
      </c>
      <c r="D2239" t="s">
        <v>190</v>
      </c>
      <c r="E2239">
        <v>4876760</v>
      </c>
      <c r="F2239" t="s">
        <v>8</v>
      </c>
      <c r="G2239" t="s">
        <v>203</v>
      </c>
      <c r="H2239" t="s">
        <v>232</v>
      </c>
      <c r="I2239" s="4">
        <v>100638.28079999999</v>
      </c>
      <c r="J2239" s="4">
        <v>603829.68479999993</v>
      </c>
      <c r="L2239" s="4">
        <v>6</v>
      </c>
    </row>
    <row r="2240" spans="1:12">
      <c r="A2240" t="s">
        <v>107</v>
      </c>
      <c r="B2240" s="10">
        <v>45490</v>
      </c>
      <c r="C2240" s="18">
        <f t="shared" si="34"/>
        <v>7</v>
      </c>
      <c r="D2240" t="s">
        <v>190</v>
      </c>
      <c r="E2240">
        <v>4876760</v>
      </c>
      <c r="F2240" t="s">
        <v>8</v>
      </c>
      <c r="G2240" t="s">
        <v>203</v>
      </c>
      <c r="H2240" t="s">
        <v>230</v>
      </c>
      <c r="I2240" s="4">
        <v>100638.28079999999</v>
      </c>
      <c r="J2240" s="4">
        <v>603829.68479999993</v>
      </c>
      <c r="L2240" s="4">
        <v>6</v>
      </c>
    </row>
    <row r="2241" spans="1:12">
      <c r="A2241" t="s">
        <v>107</v>
      </c>
      <c r="B2241" s="10">
        <v>45490</v>
      </c>
      <c r="C2241" s="18">
        <f t="shared" si="34"/>
        <v>7</v>
      </c>
      <c r="D2241" t="s">
        <v>190</v>
      </c>
      <c r="E2241">
        <v>4876760</v>
      </c>
      <c r="F2241" t="s">
        <v>8</v>
      </c>
      <c r="G2241" t="s">
        <v>203</v>
      </c>
      <c r="H2241" t="s">
        <v>228</v>
      </c>
      <c r="I2241" s="4">
        <v>100638.28079999999</v>
      </c>
      <c r="J2241" s="4">
        <v>603829.68479999993</v>
      </c>
      <c r="L2241" s="4">
        <v>6</v>
      </c>
    </row>
    <row r="2242" spans="1:12">
      <c r="A2242" t="s">
        <v>107</v>
      </c>
      <c r="B2242" s="10">
        <v>45490</v>
      </c>
      <c r="C2242" s="18">
        <f t="shared" ref="C2242:C2305" si="35">MONTH(B2242)</f>
        <v>7</v>
      </c>
      <c r="D2242" t="s">
        <v>190</v>
      </c>
      <c r="E2242">
        <v>4876760</v>
      </c>
      <c r="F2242" t="s">
        <v>8</v>
      </c>
      <c r="G2242" t="s">
        <v>203</v>
      </c>
      <c r="H2242" t="s">
        <v>223</v>
      </c>
      <c r="I2242" s="4">
        <v>100638.28079999999</v>
      </c>
      <c r="J2242" s="4">
        <v>603829.68479999993</v>
      </c>
      <c r="L2242" s="4">
        <v>6</v>
      </c>
    </row>
    <row r="2243" spans="1:12">
      <c r="A2243" t="s">
        <v>107</v>
      </c>
      <c r="B2243" s="10">
        <v>45490</v>
      </c>
      <c r="C2243" s="18">
        <f t="shared" si="35"/>
        <v>7</v>
      </c>
      <c r="D2243" t="s">
        <v>190</v>
      </c>
      <c r="E2243">
        <v>4876760</v>
      </c>
      <c r="F2243" t="s">
        <v>8</v>
      </c>
      <c r="G2243" t="s">
        <v>203</v>
      </c>
      <c r="H2243" t="s">
        <v>239</v>
      </c>
      <c r="I2243" s="4">
        <v>125766.4408</v>
      </c>
      <c r="J2243" s="4">
        <v>377299.3224</v>
      </c>
      <c r="L2243" s="4">
        <v>3</v>
      </c>
    </row>
    <row r="2244" spans="1:12">
      <c r="A2244" t="s">
        <v>107</v>
      </c>
      <c r="B2244" s="10">
        <v>45490</v>
      </c>
      <c r="C2244" s="18">
        <f t="shared" si="35"/>
        <v>7</v>
      </c>
      <c r="D2244" t="s">
        <v>190</v>
      </c>
      <c r="E2244">
        <v>4876760</v>
      </c>
      <c r="F2244" t="s">
        <v>8</v>
      </c>
      <c r="G2244" t="s">
        <v>203</v>
      </c>
      <c r="H2244" t="s">
        <v>237</v>
      </c>
      <c r="I2244" s="4">
        <v>125766.4408</v>
      </c>
      <c r="J2244" s="4">
        <v>377299.3224</v>
      </c>
      <c r="L2244" s="4">
        <v>3</v>
      </c>
    </row>
    <row r="2245" spans="1:12">
      <c r="A2245" t="s">
        <v>107</v>
      </c>
      <c r="B2245" s="10">
        <v>45490</v>
      </c>
      <c r="C2245" s="18">
        <f t="shared" si="35"/>
        <v>7</v>
      </c>
      <c r="D2245" t="s">
        <v>190</v>
      </c>
      <c r="E2245">
        <v>4876760</v>
      </c>
      <c r="F2245" t="s">
        <v>8</v>
      </c>
      <c r="G2245" t="s">
        <v>203</v>
      </c>
      <c r="H2245" t="s">
        <v>233</v>
      </c>
      <c r="I2245" s="4">
        <v>120735.78316800001</v>
      </c>
      <c r="J2245" s="4">
        <v>362207.34950400004</v>
      </c>
      <c r="L2245" s="4">
        <v>3</v>
      </c>
    </row>
    <row r="2246" spans="1:12">
      <c r="A2246" t="s">
        <v>107</v>
      </c>
      <c r="B2246" s="10">
        <v>45491</v>
      </c>
      <c r="C2246" s="18">
        <f t="shared" si="35"/>
        <v>7</v>
      </c>
      <c r="D2246" t="s">
        <v>151</v>
      </c>
      <c r="E2246">
        <v>4876098</v>
      </c>
      <c r="F2246" t="s">
        <v>8</v>
      </c>
      <c r="G2246" t="s">
        <v>203</v>
      </c>
      <c r="H2246" t="s">
        <v>237</v>
      </c>
      <c r="I2246" s="4">
        <v>125766.4408</v>
      </c>
      <c r="J2246" s="4">
        <v>628832.20400000003</v>
      </c>
      <c r="L2246" s="4">
        <v>5</v>
      </c>
    </row>
    <row r="2247" spans="1:12">
      <c r="A2247" t="s">
        <v>107</v>
      </c>
      <c r="B2247" s="10">
        <v>45491</v>
      </c>
      <c r="C2247" s="18">
        <f t="shared" si="35"/>
        <v>7</v>
      </c>
      <c r="D2247" t="s">
        <v>175</v>
      </c>
      <c r="E2247">
        <v>4876614</v>
      </c>
      <c r="F2247" t="s">
        <v>8</v>
      </c>
      <c r="G2247" t="s">
        <v>203</v>
      </c>
      <c r="H2247" t="s">
        <v>230</v>
      </c>
      <c r="I2247" s="4">
        <v>100638.28079999999</v>
      </c>
      <c r="J2247" s="4">
        <v>201276.56159999999</v>
      </c>
      <c r="L2247" s="4">
        <v>2</v>
      </c>
    </row>
    <row r="2248" spans="1:12">
      <c r="A2248" t="s">
        <v>107</v>
      </c>
      <c r="B2248" s="10">
        <v>45491</v>
      </c>
      <c r="C2248" s="18">
        <f t="shared" si="35"/>
        <v>7</v>
      </c>
      <c r="D2248" t="s">
        <v>175</v>
      </c>
      <c r="E2248">
        <v>4876614</v>
      </c>
      <c r="F2248" t="s">
        <v>8</v>
      </c>
      <c r="G2248" t="s">
        <v>203</v>
      </c>
      <c r="H2248" t="s">
        <v>237</v>
      </c>
      <c r="I2248" s="4">
        <v>125766.4408</v>
      </c>
      <c r="J2248" s="4">
        <v>251532.88159999999</v>
      </c>
      <c r="L2248" s="4">
        <v>2</v>
      </c>
    </row>
    <row r="2249" spans="1:12">
      <c r="A2249" t="s">
        <v>107</v>
      </c>
      <c r="B2249" s="10">
        <v>45492</v>
      </c>
      <c r="C2249" s="18">
        <f t="shared" si="35"/>
        <v>7</v>
      </c>
      <c r="D2249" t="s">
        <v>162</v>
      </c>
      <c r="E2249">
        <v>4878776</v>
      </c>
      <c r="F2249" t="s">
        <v>8</v>
      </c>
      <c r="G2249" t="s">
        <v>203</v>
      </c>
      <c r="H2249" t="s">
        <v>236</v>
      </c>
      <c r="I2249" s="4">
        <v>100638.28079999999</v>
      </c>
      <c r="J2249" s="4">
        <v>201276.56159999999</v>
      </c>
      <c r="L2249" s="4">
        <v>2</v>
      </c>
    </row>
    <row r="2250" spans="1:12">
      <c r="A2250" t="s">
        <v>107</v>
      </c>
      <c r="B2250" s="10">
        <v>45492</v>
      </c>
      <c r="C2250" s="18">
        <f t="shared" si="35"/>
        <v>7</v>
      </c>
      <c r="D2250" t="s">
        <v>162</v>
      </c>
      <c r="E2250">
        <v>4878776</v>
      </c>
      <c r="F2250" t="s">
        <v>8</v>
      </c>
      <c r="G2250" t="s">
        <v>203</v>
      </c>
      <c r="H2250" t="s">
        <v>232</v>
      </c>
      <c r="I2250" s="4">
        <v>100638.28079999999</v>
      </c>
      <c r="J2250" s="4">
        <v>201276.56159999999</v>
      </c>
      <c r="L2250" s="4">
        <v>2</v>
      </c>
    </row>
    <row r="2251" spans="1:12">
      <c r="A2251" t="s">
        <v>107</v>
      </c>
      <c r="B2251" s="10">
        <v>45492</v>
      </c>
      <c r="C2251" s="18">
        <f t="shared" si="35"/>
        <v>7</v>
      </c>
      <c r="D2251" t="s">
        <v>162</v>
      </c>
      <c r="E2251">
        <v>4878776</v>
      </c>
      <c r="F2251" t="s">
        <v>8</v>
      </c>
      <c r="G2251" t="s">
        <v>203</v>
      </c>
      <c r="H2251" t="s">
        <v>230</v>
      </c>
      <c r="I2251" s="4">
        <v>100638.28079999999</v>
      </c>
      <c r="J2251" s="4">
        <v>201276.56159999999</v>
      </c>
      <c r="L2251" s="4">
        <v>2</v>
      </c>
    </row>
    <row r="2252" spans="1:12">
      <c r="A2252" t="s">
        <v>107</v>
      </c>
      <c r="B2252" s="10">
        <v>45492</v>
      </c>
      <c r="C2252" s="18">
        <f t="shared" si="35"/>
        <v>7</v>
      </c>
      <c r="D2252" t="s">
        <v>162</v>
      </c>
      <c r="E2252">
        <v>4878776</v>
      </c>
      <c r="F2252" t="s">
        <v>8</v>
      </c>
      <c r="G2252" t="s">
        <v>203</v>
      </c>
      <c r="H2252" t="s">
        <v>228</v>
      </c>
      <c r="I2252" s="4">
        <v>100638.28079999999</v>
      </c>
      <c r="J2252" s="4">
        <v>201276.56159999999</v>
      </c>
      <c r="L2252" s="4">
        <v>2</v>
      </c>
    </row>
    <row r="2253" spans="1:12">
      <c r="A2253" t="s">
        <v>107</v>
      </c>
      <c r="B2253" s="10">
        <v>45492</v>
      </c>
      <c r="C2253" s="18">
        <f t="shared" si="35"/>
        <v>7</v>
      </c>
      <c r="D2253" t="s">
        <v>162</v>
      </c>
      <c r="E2253">
        <v>4878776</v>
      </c>
      <c r="F2253" t="s">
        <v>8</v>
      </c>
      <c r="G2253" t="s">
        <v>203</v>
      </c>
      <c r="H2253" t="s">
        <v>224</v>
      </c>
      <c r="I2253" s="4">
        <v>100638.28079999999</v>
      </c>
      <c r="J2253" s="4">
        <v>201276.56159999999</v>
      </c>
      <c r="L2253" s="4">
        <v>2</v>
      </c>
    </row>
    <row r="2254" spans="1:12">
      <c r="A2254" t="s">
        <v>107</v>
      </c>
      <c r="B2254" s="10">
        <v>45492</v>
      </c>
      <c r="C2254" s="18">
        <f t="shared" si="35"/>
        <v>7</v>
      </c>
      <c r="D2254" t="s">
        <v>162</v>
      </c>
      <c r="E2254">
        <v>4878776</v>
      </c>
      <c r="F2254" t="s">
        <v>8</v>
      </c>
      <c r="G2254" t="s">
        <v>203</v>
      </c>
      <c r="H2254" t="s">
        <v>223</v>
      </c>
      <c r="I2254" s="4">
        <v>100638.28079999999</v>
      </c>
      <c r="J2254" s="4">
        <v>201276.56159999999</v>
      </c>
      <c r="L2254" s="4">
        <v>2</v>
      </c>
    </row>
    <row r="2255" spans="1:12">
      <c r="A2255" t="s">
        <v>107</v>
      </c>
      <c r="B2255" s="10">
        <v>45493</v>
      </c>
      <c r="C2255" s="18">
        <f t="shared" si="35"/>
        <v>7</v>
      </c>
      <c r="D2255" t="s">
        <v>167</v>
      </c>
      <c r="E2255">
        <v>4875363</v>
      </c>
      <c r="F2255" t="s">
        <v>8</v>
      </c>
      <c r="G2255" t="s">
        <v>203</v>
      </c>
      <c r="H2255" t="s">
        <v>232</v>
      </c>
      <c r="I2255" s="4">
        <v>100638.28079999999</v>
      </c>
      <c r="J2255" s="4">
        <v>2012765.6159999999</v>
      </c>
      <c r="L2255" s="4">
        <v>20</v>
      </c>
    </row>
    <row r="2256" spans="1:12">
      <c r="A2256" t="s">
        <v>107</v>
      </c>
      <c r="B2256" s="10">
        <v>45493</v>
      </c>
      <c r="C2256" s="18">
        <f t="shared" si="35"/>
        <v>7</v>
      </c>
      <c r="D2256" t="s">
        <v>167</v>
      </c>
      <c r="E2256">
        <v>4875363</v>
      </c>
      <c r="F2256" t="s">
        <v>8</v>
      </c>
      <c r="G2256" t="s">
        <v>203</v>
      </c>
      <c r="H2256" t="s">
        <v>230</v>
      </c>
      <c r="I2256" s="4">
        <v>100638.28079999999</v>
      </c>
      <c r="J2256" s="4">
        <v>1006382.808</v>
      </c>
      <c r="L2256" s="4">
        <v>10</v>
      </c>
    </row>
    <row r="2257" spans="1:12">
      <c r="A2257" t="s">
        <v>107</v>
      </c>
      <c r="B2257" s="10">
        <v>45493</v>
      </c>
      <c r="C2257" s="18">
        <f t="shared" si="35"/>
        <v>7</v>
      </c>
      <c r="D2257" t="s">
        <v>167</v>
      </c>
      <c r="E2257">
        <v>4875363</v>
      </c>
      <c r="F2257" t="s">
        <v>8</v>
      </c>
      <c r="G2257" t="s">
        <v>203</v>
      </c>
      <c r="H2257" t="s">
        <v>228</v>
      </c>
      <c r="I2257" s="4">
        <v>100638.28079999999</v>
      </c>
      <c r="J2257" s="4">
        <v>1006382.808</v>
      </c>
      <c r="L2257" s="4">
        <v>10</v>
      </c>
    </row>
    <row r="2258" spans="1:12">
      <c r="A2258" t="s">
        <v>107</v>
      </c>
      <c r="B2258" s="10">
        <v>45493</v>
      </c>
      <c r="C2258" s="18">
        <f t="shared" si="35"/>
        <v>7</v>
      </c>
      <c r="D2258" t="s">
        <v>167</v>
      </c>
      <c r="E2258">
        <v>4875363</v>
      </c>
      <c r="F2258" t="s">
        <v>8</v>
      </c>
      <c r="G2258" t="s">
        <v>203</v>
      </c>
      <c r="H2258" t="s">
        <v>224</v>
      </c>
      <c r="I2258" s="4">
        <v>100638.28079999999</v>
      </c>
      <c r="J2258" s="4">
        <v>1006382.808</v>
      </c>
      <c r="L2258" s="4">
        <v>10</v>
      </c>
    </row>
    <row r="2259" spans="1:12">
      <c r="A2259" t="s">
        <v>107</v>
      </c>
      <c r="B2259" s="10">
        <v>45493</v>
      </c>
      <c r="C2259" s="18">
        <f t="shared" si="35"/>
        <v>7</v>
      </c>
      <c r="D2259" t="s">
        <v>167</v>
      </c>
      <c r="E2259">
        <v>4875363</v>
      </c>
      <c r="F2259" t="s">
        <v>8</v>
      </c>
      <c r="G2259" t="s">
        <v>203</v>
      </c>
      <c r="H2259" t="s">
        <v>223</v>
      </c>
      <c r="I2259" s="4">
        <v>100638.28079999999</v>
      </c>
      <c r="J2259" s="4">
        <v>1811489.0543999998</v>
      </c>
      <c r="L2259" s="4">
        <v>18</v>
      </c>
    </row>
    <row r="2260" spans="1:12">
      <c r="A2260" t="s">
        <v>107</v>
      </c>
      <c r="B2260" s="10">
        <v>45493</v>
      </c>
      <c r="C2260" s="18">
        <f t="shared" si="35"/>
        <v>7</v>
      </c>
      <c r="D2260" t="s">
        <v>167</v>
      </c>
      <c r="E2260">
        <v>4875363</v>
      </c>
      <c r="F2260" t="s">
        <v>8</v>
      </c>
      <c r="G2260" t="s">
        <v>203</v>
      </c>
      <c r="H2260" t="s">
        <v>239</v>
      </c>
      <c r="I2260" s="4">
        <v>125766.4408</v>
      </c>
      <c r="J2260" s="4">
        <v>377299.3224</v>
      </c>
      <c r="L2260" s="4">
        <v>3</v>
      </c>
    </row>
    <row r="2261" spans="1:12">
      <c r="A2261" t="s">
        <v>107</v>
      </c>
      <c r="B2261" s="10">
        <v>45493</v>
      </c>
      <c r="C2261" s="18">
        <f t="shared" si="35"/>
        <v>7</v>
      </c>
      <c r="D2261" t="s">
        <v>167</v>
      </c>
      <c r="E2261">
        <v>4875363</v>
      </c>
      <c r="F2261" t="s">
        <v>8</v>
      </c>
      <c r="G2261" t="s">
        <v>203</v>
      </c>
      <c r="H2261" t="s">
        <v>233</v>
      </c>
      <c r="I2261" s="4">
        <v>120735.78316800001</v>
      </c>
      <c r="J2261" s="4">
        <v>362207.34950400004</v>
      </c>
      <c r="L2261" s="4">
        <v>3</v>
      </c>
    </row>
    <row r="2262" spans="1:12">
      <c r="A2262" t="s">
        <v>107</v>
      </c>
      <c r="B2262" s="10">
        <v>45493</v>
      </c>
      <c r="C2262" s="18">
        <f t="shared" si="35"/>
        <v>7</v>
      </c>
      <c r="D2262" t="s">
        <v>171</v>
      </c>
      <c r="E2262">
        <v>6079961</v>
      </c>
      <c r="F2262" t="s">
        <v>8</v>
      </c>
      <c r="G2262" t="s">
        <v>203</v>
      </c>
      <c r="H2262" t="s">
        <v>232</v>
      </c>
      <c r="I2262" s="4">
        <v>100638.28079999999</v>
      </c>
      <c r="J2262" s="4">
        <v>201276.56159999999</v>
      </c>
      <c r="L2262" s="4">
        <v>2</v>
      </c>
    </row>
    <row r="2263" spans="1:12">
      <c r="A2263" t="s">
        <v>107</v>
      </c>
      <c r="B2263" s="10">
        <v>45493</v>
      </c>
      <c r="C2263" s="18">
        <f t="shared" si="35"/>
        <v>7</v>
      </c>
      <c r="D2263" t="s">
        <v>171</v>
      </c>
      <c r="E2263">
        <v>6079961</v>
      </c>
      <c r="F2263" t="s">
        <v>8</v>
      </c>
      <c r="G2263" t="s">
        <v>203</v>
      </c>
      <c r="H2263" t="s">
        <v>228</v>
      </c>
      <c r="I2263" s="4">
        <v>100638.28079999999</v>
      </c>
      <c r="J2263" s="4">
        <v>201276.56159999999</v>
      </c>
      <c r="L2263" s="4">
        <v>2</v>
      </c>
    </row>
    <row r="2264" spans="1:12">
      <c r="A2264" t="s">
        <v>107</v>
      </c>
      <c r="B2264" s="10">
        <v>45499</v>
      </c>
      <c r="C2264" s="18">
        <f t="shared" si="35"/>
        <v>7</v>
      </c>
      <c r="D2264" t="s">
        <v>162</v>
      </c>
      <c r="E2264">
        <v>4874459</v>
      </c>
      <c r="F2264" t="s">
        <v>8</v>
      </c>
      <c r="G2264" t="s">
        <v>203</v>
      </c>
      <c r="H2264" t="s">
        <v>236</v>
      </c>
      <c r="I2264" s="4">
        <v>100638.28079999999</v>
      </c>
      <c r="J2264" s="4">
        <v>201276.56159999999</v>
      </c>
      <c r="L2264" s="4">
        <v>2</v>
      </c>
    </row>
    <row r="2265" spans="1:12">
      <c r="A2265" t="s">
        <v>107</v>
      </c>
      <c r="B2265" s="10">
        <v>45499</v>
      </c>
      <c r="C2265" s="18">
        <f t="shared" si="35"/>
        <v>7</v>
      </c>
      <c r="D2265" t="s">
        <v>162</v>
      </c>
      <c r="E2265">
        <v>4874459</v>
      </c>
      <c r="F2265" t="s">
        <v>8</v>
      </c>
      <c r="G2265" t="s">
        <v>203</v>
      </c>
      <c r="H2265" t="s">
        <v>228</v>
      </c>
      <c r="I2265" s="4">
        <v>100638.28079999999</v>
      </c>
      <c r="J2265" s="4">
        <v>201276.56159999999</v>
      </c>
      <c r="L2265" s="4">
        <v>2</v>
      </c>
    </row>
    <row r="2266" spans="1:12">
      <c r="A2266" t="s">
        <v>107</v>
      </c>
      <c r="B2266" s="10">
        <v>45499</v>
      </c>
      <c r="C2266" s="18">
        <f t="shared" si="35"/>
        <v>7</v>
      </c>
      <c r="D2266" t="s">
        <v>162</v>
      </c>
      <c r="E2266">
        <v>4874459</v>
      </c>
      <c r="F2266" t="s">
        <v>8</v>
      </c>
      <c r="G2266" t="s">
        <v>203</v>
      </c>
      <c r="H2266" t="s">
        <v>224</v>
      </c>
      <c r="I2266" s="4">
        <v>100638.28079999999</v>
      </c>
      <c r="J2266" s="4">
        <v>402553.12319999997</v>
      </c>
      <c r="L2266" s="4">
        <v>4</v>
      </c>
    </row>
    <row r="2267" spans="1:12">
      <c r="A2267" t="s">
        <v>107</v>
      </c>
      <c r="B2267" s="10">
        <v>45501</v>
      </c>
      <c r="C2267" s="18">
        <f t="shared" si="35"/>
        <v>7</v>
      </c>
      <c r="D2267" t="s">
        <v>182</v>
      </c>
      <c r="E2267">
        <v>4874538</v>
      </c>
      <c r="F2267" t="s">
        <v>8</v>
      </c>
      <c r="G2267" t="s">
        <v>203</v>
      </c>
      <c r="H2267" t="s">
        <v>226</v>
      </c>
      <c r="I2267" s="4">
        <v>100638.28079999999</v>
      </c>
      <c r="J2267" s="4">
        <v>201276.56159999999</v>
      </c>
      <c r="L2267" s="4">
        <v>2</v>
      </c>
    </row>
    <row r="2268" spans="1:12">
      <c r="A2268" t="s">
        <v>107</v>
      </c>
      <c r="B2268" s="10">
        <v>45501</v>
      </c>
      <c r="C2268" s="18">
        <f t="shared" si="35"/>
        <v>7</v>
      </c>
      <c r="D2268" t="s">
        <v>182</v>
      </c>
      <c r="E2268">
        <v>4874538</v>
      </c>
      <c r="F2268" t="s">
        <v>8</v>
      </c>
      <c r="G2268" t="s">
        <v>203</v>
      </c>
      <c r="H2268" t="s">
        <v>244</v>
      </c>
      <c r="I2268" s="4">
        <v>125766.4408</v>
      </c>
      <c r="J2268" s="4">
        <v>503065.76319999999</v>
      </c>
      <c r="L2268" s="4">
        <v>4</v>
      </c>
    </row>
    <row r="2269" spans="1:12">
      <c r="A2269" t="s">
        <v>107</v>
      </c>
      <c r="B2269" s="10">
        <v>45501</v>
      </c>
      <c r="C2269" s="18">
        <f t="shared" si="35"/>
        <v>7</v>
      </c>
      <c r="D2269" t="s">
        <v>182</v>
      </c>
      <c r="E2269">
        <v>4874538</v>
      </c>
      <c r="F2269" t="s">
        <v>8</v>
      </c>
      <c r="G2269" t="s">
        <v>203</v>
      </c>
      <c r="H2269" t="s">
        <v>239</v>
      </c>
      <c r="I2269" s="4">
        <v>125766.4408</v>
      </c>
      <c r="J2269" s="4">
        <v>503065.76319999999</v>
      </c>
      <c r="L2269" s="4">
        <v>4</v>
      </c>
    </row>
    <row r="2270" spans="1:12">
      <c r="A2270" t="s">
        <v>107</v>
      </c>
      <c r="B2270" s="10">
        <v>45503</v>
      </c>
      <c r="C2270" s="18">
        <f t="shared" si="35"/>
        <v>7</v>
      </c>
      <c r="D2270" t="s">
        <v>187</v>
      </c>
      <c r="E2270">
        <v>4876600</v>
      </c>
      <c r="F2270" t="s">
        <v>8</v>
      </c>
      <c r="G2270" t="s">
        <v>203</v>
      </c>
      <c r="H2270" t="s">
        <v>230</v>
      </c>
      <c r="I2270" s="4">
        <v>100638.28079999999</v>
      </c>
      <c r="J2270" s="4">
        <v>603829.68479999993</v>
      </c>
      <c r="L2270" s="4">
        <v>6</v>
      </c>
    </row>
    <row r="2271" spans="1:12">
      <c r="A2271" t="s">
        <v>107</v>
      </c>
      <c r="B2271" s="10">
        <v>45503</v>
      </c>
      <c r="C2271" s="18">
        <f t="shared" si="35"/>
        <v>7</v>
      </c>
      <c r="D2271" t="s">
        <v>187</v>
      </c>
      <c r="E2271">
        <v>4876600</v>
      </c>
      <c r="F2271" t="s">
        <v>8</v>
      </c>
      <c r="G2271" t="s">
        <v>203</v>
      </c>
      <c r="H2271" t="s">
        <v>228</v>
      </c>
      <c r="I2271" s="4">
        <v>100638.28079999999</v>
      </c>
      <c r="J2271" s="4">
        <v>402553.12319999997</v>
      </c>
      <c r="L2271" s="4">
        <v>4</v>
      </c>
    </row>
    <row r="2272" spans="1:12">
      <c r="A2272" t="s">
        <v>107</v>
      </c>
      <c r="B2272" s="10">
        <v>45503</v>
      </c>
      <c r="C2272" s="18">
        <f t="shared" si="35"/>
        <v>7</v>
      </c>
      <c r="D2272" t="s">
        <v>187</v>
      </c>
      <c r="E2272">
        <v>4876600</v>
      </c>
      <c r="F2272" t="s">
        <v>8</v>
      </c>
      <c r="G2272" t="s">
        <v>203</v>
      </c>
      <c r="H2272" t="s">
        <v>223</v>
      </c>
      <c r="I2272" s="4">
        <v>100638.28079999999</v>
      </c>
      <c r="J2272" s="4">
        <v>805106.24639999995</v>
      </c>
      <c r="L2272" s="4">
        <v>8</v>
      </c>
    </row>
    <row r="2273" spans="1:12">
      <c r="A2273" t="s">
        <v>107</v>
      </c>
      <c r="B2273" s="10">
        <v>45503</v>
      </c>
      <c r="C2273" s="18">
        <f t="shared" si="35"/>
        <v>7</v>
      </c>
      <c r="D2273" t="s">
        <v>187</v>
      </c>
      <c r="E2273">
        <v>4876600</v>
      </c>
      <c r="F2273" t="s">
        <v>8</v>
      </c>
      <c r="G2273" t="s">
        <v>203</v>
      </c>
      <c r="H2273" t="s">
        <v>222</v>
      </c>
      <c r="I2273" s="4">
        <v>100638.28079999999</v>
      </c>
      <c r="J2273" s="4">
        <v>805106.24639999995</v>
      </c>
      <c r="L2273" s="4">
        <v>8</v>
      </c>
    </row>
    <row r="2274" spans="1:12">
      <c r="A2274" t="s">
        <v>107</v>
      </c>
      <c r="B2274" s="10">
        <v>45503</v>
      </c>
      <c r="C2274" s="18">
        <f t="shared" si="35"/>
        <v>7</v>
      </c>
      <c r="D2274" t="s">
        <v>187</v>
      </c>
      <c r="E2274">
        <v>4876600</v>
      </c>
      <c r="F2274" t="s">
        <v>8</v>
      </c>
      <c r="G2274" t="s">
        <v>203</v>
      </c>
      <c r="H2274" t="s">
        <v>239</v>
      </c>
      <c r="I2274" s="4">
        <v>125766.4408</v>
      </c>
      <c r="J2274" s="4">
        <v>754598.64480000001</v>
      </c>
      <c r="L2274" s="4">
        <v>6</v>
      </c>
    </row>
    <row r="2275" spans="1:12">
      <c r="A2275" t="s">
        <v>107</v>
      </c>
      <c r="B2275" s="10">
        <v>45503</v>
      </c>
      <c r="C2275" s="18">
        <f t="shared" si="35"/>
        <v>7</v>
      </c>
      <c r="D2275" t="s">
        <v>187</v>
      </c>
      <c r="E2275">
        <v>4876600</v>
      </c>
      <c r="F2275" t="s">
        <v>8</v>
      </c>
      <c r="G2275" t="s">
        <v>203</v>
      </c>
      <c r="H2275" t="s">
        <v>237</v>
      </c>
      <c r="I2275" s="4">
        <v>125766.4408</v>
      </c>
      <c r="J2275" s="4">
        <v>628832.20400000003</v>
      </c>
      <c r="L2275" s="4">
        <v>5</v>
      </c>
    </row>
    <row r="2276" spans="1:12">
      <c r="A2276" t="s">
        <v>107</v>
      </c>
      <c r="B2276" s="10">
        <v>45503</v>
      </c>
      <c r="C2276" s="18">
        <f t="shared" si="35"/>
        <v>7</v>
      </c>
      <c r="D2276" t="s">
        <v>187</v>
      </c>
      <c r="E2276">
        <v>4876600</v>
      </c>
      <c r="F2276" t="s">
        <v>8</v>
      </c>
      <c r="G2276" t="s">
        <v>203</v>
      </c>
      <c r="H2276" t="s">
        <v>231</v>
      </c>
      <c r="I2276" s="4">
        <v>125766.4408</v>
      </c>
      <c r="J2276" s="4">
        <v>628832.20400000003</v>
      </c>
      <c r="L2276" s="4">
        <v>5</v>
      </c>
    </row>
    <row r="2277" spans="1:12">
      <c r="A2277" t="s">
        <v>107</v>
      </c>
      <c r="B2277" s="10">
        <v>45504</v>
      </c>
      <c r="C2277" s="18">
        <f t="shared" si="35"/>
        <v>7</v>
      </c>
      <c r="D2277" t="s">
        <v>187</v>
      </c>
      <c r="E2277">
        <v>4876904</v>
      </c>
      <c r="F2277" t="s">
        <v>8</v>
      </c>
      <c r="G2277" t="s">
        <v>203</v>
      </c>
      <c r="H2277" t="s">
        <v>244</v>
      </c>
      <c r="I2277" s="4">
        <v>125766.4408</v>
      </c>
      <c r="J2277" s="4">
        <v>251532.88159999999</v>
      </c>
      <c r="L2277" s="4">
        <v>2</v>
      </c>
    </row>
    <row r="2278" spans="1:12">
      <c r="A2278" t="s">
        <v>107</v>
      </c>
      <c r="B2278" s="10">
        <v>45504</v>
      </c>
      <c r="C2278" s="18">
        <f t="shared" si="35"/>
        <v>7</v>
      </c>
      <c r="D2278" t="s">
        <v>187</v>
      </c>
      <c r="E2278">
        <v>4876904</v>
      </c>
      <c r="F2278" t="s">
        <v>8</v>
      </c>
      <c r="G2278" t="s">
        <v>203</v>
      </c>
      <c r="H2278" t="s">
        <v>237</v>
      </c>
      <c r="I2278" s="4">
        <v>125766.4408</v>
      </c>
      <c r="J2278" s="4">
        <v>251532.88159999999</v>
      </c>
      <c r="L2278" s="4">
        <v>2</v>
      </c>
    </row>
    <row r="2279" spans="1:12">
      <c r="A2279" t="s">
        <v>107</v>
      </c>
      <c r="B2279" s="10">
        <v>45504</v>
      </c>
      <c r="C2279" s="18">
        <f t="shared" si="35"/>
        <v>7</v>
      </c>
      <c r="D2279" t="s">
        <v>190</v>
      </c>
      <c r="E2279">
        <v>4879096</v>
      </c>
      <c r="F2279" t="s">
        <v>8</v>
      </c>
      <c r="G2279" t="s">
        <v>203</v>
      </c>
      <c r="H2279" t="s">
        <v>238</v>
      </c>
      <c r="I2279" s="4">
        <v>95606.36675999999</v>
      </c>
      <c r="J2279" s="4">
        <v>956063.66759999993</v>
      </c>
      <c r="K2279" s="4">
        <v>-26007.645599999996</v>
      </c>
      <c r="L2279" s="4">
        <v>10</v>
      </c>
    </row>
    <row r="2280" spans="1:12">
      <c r="A2280" t="s">
        <v>107</v>
      </c>
      <c r="B2280" s="10">
        <v>45504</v>
      </c>
      <c r="C2280" s="18">
        <f t="shared" si="35"/>
        <v>7</v>
      </c>
      <c r="D2280" t="s">
        <v>190</v>
      </c>
      <c r="E2280">
        <v>4879096</v>
      </c>
      <c r="F2280" t="s">
        <v>8</v>
      </c>
      <c r="G2280" t="s">
        <v>203</v>
      </c>
      <c r="H2280" t="s">
        <v>236</v>
      </c>
      <c r="I2280" s="4">
        <v>100638.28079999999</v>
      </c>
      <c r="J2280" s="4">
        <v>1006382.808</v>
      </c>
      <c r="K2280" s="4">
        <v>-26007.645599999996</v>
      </c>
      <c r="L2280" s="4">
        <v>10</v>
      </c>
    </row>
    <row r="2281" spans="1:12">
      <c r="A2281" t="s">
        <v>107</v>
      </c>
      <c r="B2281" s="10">
        <v>45504</v>
      </c>
      <c r="C2281" s="18">
        <f t="shared" si="35"/>
        <v>7</v>
      </c>
      <c r="D2281" t="s">
        <v>190</v>
      </c>
      <c r="E2281">
        <v>4879096</v>
      </c>
      <c r="F2281" t="s">
        <v>8</v>
      </c>
      <c r="G2281" t="s">
        <v>203</v>
      </c>
      <c r="H2281" t="s">
        <v>231</v>
      </c>
      <c r="I2281" s="4">
        <v>125766.4408</v>
      </c>
      <c r="J2281" s="4">
        <v>754598.64480000001</v>
      </c>
      <c r="K2281" s="4">
        <v>-20353.809600000001</v>
      </c>
      <c r="L2281" s="4">
        <v>6</v>
      </c>
    </row>
    <row r="2282" spans="1:12">
      <c r="A2282" t="s">
        <v>91</v>
      </c>
      <c r="B2282" s="10">
        <v>45479</v>
      </c>
      <c r="C2282" s="18">
        <f t="shared" si="35"/>
        <v>7</v>
      </c>
      <c r="D2282" t="s">
        <v>166</v>
      </c>
      <c r="E2282">
        <v>6474241</v>
      </c>
      <c r="F2282" t="s">
        <v>88</v>
      </c>
      <c r="G2282" t="s">
        <v>202</v>
      </c>
      <c r="H2282" t="s">
        <v>261</v>
      </c>
      <c r="I2282" s="4">
        <v>41587.104800000001</v>
      </c>
      <c r="J2282" s="4">
        <v>4158710.48</v>
      </c>
      <c r="K2282" s="4">
        <v>-207307.32</v>
      </c>
      <c r="L2282" s="4">
        <v>100</v>
      </c>
    </row>
    <row r="2283" spans="1:12">
      <c r="A2283" t="s">
        <v>91</v>
      </c>
      <c r="B2283" s="10">
        <v>45479</v>
      </c>
      <c r="C2283" s="18">
        <f t="shared" si="35"/>
        <v>7</v>
      </c>
      <c r="D2283" t="s">
        <v>166</v>
      </c>
      <c r="E2283">
        <v>6474241</v>
      </c>
      <c r="F2283" t="s">
        <v>88</v>
      </c>
      <c r="G2283" t="s">
        <v>202</v>
      </c>
      <c r="H2283" t="s">
        <v>256</v>
      </c>
      <c r="I2283" s="4">
        <v>64202.448800000006</v>
      </c>
      <c r="J2283" s="4">
        <v>1284048.976</v>
      </c>
      <c r="K2283" s="4">
        <v>-64076.807999999997</v>
      </c>
      <c r="L2283" s="4">
        <v>20</v>
      </c>
    </row>
    <row r="2284" spans="1:12">
      <c r="A2284" t="s">
        <v>91</v>
      </c>
      <c r="B2284" s="10">
        <v>45481</v>
      </c>
      <c r="C2284" s="18">
        <f t="shared" si="35"/>
        <v>7</v>
      </c>
      <c r="D2284" t="s">
        <v>166</v>
      </c>
      <c r="E2284">
        <v>6080397</v>
      </c>
      <c r="F2284" t="s">
        <v>88</v>
      </c>
      <c r="G2284" t="s">
        <v>204</v>
      </c>
      <c r="H2284" t="s">
        <v>217</v>
      </c>
      <c r="I2284" s="4">
        <v>78022.936799999996</v>
      </c>
      <c r="J2284" s="4">
        <v>-78022.936799999996</v>
      </c>
      <c r="K2284" s="4">
        <v>3580.7627999999995</v>
      </c>
      <c r="L2284" s="4">
        <v>-1</v>
      </c>
    </row>
    <row r="2285" spans="1:12">
      <c r="A2285" t="s">
        <v>91</v>
      </c>
      <c r="B2285" s="10">
        <v>45481</v>
      </c>
      <c r="C2285" s="18">
        <f t="shared" si="35"/>
        <v>7</v>
      </c>
      <c r="D2285" t="s">
        <v>166</v>
      </c>
      <c r="E2285">
        <v>6080397</v>
      </c>
      <c r="F2285" t="s">
        <v>88</v>
      </c>
      <c r="G2285" t="s">
        <v>204</v>
      </c>
      <c r="H2285" t="s">
        <v>213</v>
      </c>
      <c r="I2285" s="4">
        <v>119484.4008</v>
      </c>
      <c r="J2285" s="4">
        <v>-119484.4008</v>
      </c>
      <c r="K2285" s="4">
        <v>5967.9380000000001</v>
      </c>
      <c r="L2285" s="4">
        <v>-1</v>
      </c>
    </row>
    <row r="2286" spans="1:12">
      <c r="A2286" t="s">
        <v>91</v>
      </c>
      <c r="B2286" s="10">
        <v>45483</v>
      </c>
      <c r="C2286" s="18">
        <f t="shared" si="35"/>
        <v>7</v>
      </c>
      <c r="D2286" t="s">
        <v>173</v>
      </c>
      <c r="E2286">
        <v>6080537</v>
      </c>
      <c r="F2286" t="s">
        <v>89</v>
      </c>
      <c r="G2286" t="s">
        <v>203</v>
      </c>
      <c r="H2286" t="s">
        <v>234</v>
      </c>
      <c r="I2286" s="4">
        <v>100638.28079999999</v>
      </c>
      <c r="J2286" s="4">
        <v>201276.56159999999</v>
      </c>
      <c r="L2286" s="4">
        <v>2</v>
      </c>
    </row>
    <row r="2287" spans="1:12">
      <c r="A2287" t="s">
        <v>91</v>
      </c>
      <c r="B2287" s="10">
        <v>45483</v>
      </c>
      <c r="C2287" s="18">
        <f t="shared" si="35"/>
        <v>7</v>
      </c>
      <c r="D2287" t="s">
        <v>173</v>
      </c>
      <c r="E2287">
        <v>6080537</v>
      </c>
      <c r="F2287" t="s">
        <v>89</v>
      </c>
      <c r="G2287" t="s">
        <v>203</v>
      </c>
      <c r="H2287" t="s">
        <v>232</v>
      </c>
      <c r="I2287" s="4">
        <v>100638.28079999999</v>
      </c>
      <c r="J2287" s="4">
        <v>201276.56159999999</v>
      </c>
      <c r="L2287" s="4">
        <v>2</v>
      </c>
    </row>
    <row r="2288" spans="1:12">
      <c r="A2288" t="s">
        <v>91</v>
      </c>
      <c r="B2288" s="10">
        <v>45483</v>
      </c>
      <c r="C2288" s="18">
        <f t="shared" si="35"/>
        <v>7</v>
      </c>
      <c r="D2288" t="s">
        <v>173</v>
      </c>
      <c r="E2288">
        <v>6080537</v>
      </c>
      <c r="F2288" t="s">
        <v>89</v>
      </c>
      <c r="G2288" t="s">
        <v>203</v>
      </c>
      <c r="H2288" t="s">
        <v>227</v>
      </c>
      <c r="I2288" s="4">
        <v>100638.28079999999</v>
      </c>
      <c r="J2288" s="4">
        <v>201276.56159999999</v>
      </c>
      <c r="L2288" s="4">
        <v>2</v>
      </c>
    </row>
    <row r="2289" spans="1:12">
      <c r="A2289" t="s">
        <v>91</v>
      </c>
      <c r="B2289" s="10">
        <v>45488</v>
      </c>
      <c r="C2289" s="18">
        <f t="shared" si="35"/>
        <v>7</v>
      </c>
      <c r="D2289" t="s">
        <v>166</v>
      </c>
      <c r="E2289">
        <v>6080397</v>
      </c>
      <c r="F2289" t="s">
        <v>88</v>
      </c>
      <c r="G2289" t="s">
        <v>204</v>
      </c>
      <c r="H2289" t="s">
        <v>212</v>
      </c>
      <c r="I2289" s="4">
        <v>62946.040799999995</v>
      </c>
      <c r="J2289" s="4">
        <v>251784.16319999998</v>
      </c>
      <c r="K2289" s="4">
        <v>-7538.4479999999994</v>
      </c>
      <c r="L2289" s="4">
        <v>4</v>
      </c>
    </row>
    <row r="2290" spans="1:12">
      <c r="A2290" t="s">
        <v>91</v>
      </c>
      <c r="B2290" s="10">
        <v>45491</v>
      </c>
      <c r="C2290" s="18">
        <f t="shared" si="35"/>
        <v>7</v>
      </c>
      <c r="D2290" t="s">
        <v>148</v>
      </c>
      <c r="E2290">
        <v>6474241</v>
      </c>
      <c r="F2290" t="s">
        <v>88</v>
      </c>
      <c r="G2290" t="s">
        <v>204</v>
      </c>
      <c r="H2290" t="s">
        <v>214</v>
      </c>
      <c r="I2290" s="4">
        <v>119484.4008</v>
      </c>
      <c r="J2290" s="4">
        <v>1672781.6112000002</v>
      </c>
      <c r="K2290" s="4">
        <v>-83551.131999999998</v>
      </c>
      <c r="L2290" s="4">
        <v>14</v>
      </c>
    </row>
    <row r="2291" spans="1:12">
      <c r="A2291" t="s">
        <v>91</v>
      </c>
      <c r="B2291" s="10">
        <v>45492</v>
      </c>
      <c r="C2291" s="18">
        <f t="shared" si="35"/>
        <v>7</v>
      </c>
      <c r="D2291" t="s">
        <v>166</v>
      </c>
      <c r="E2291">
        <v>6080516</v>
      </c>
      <c r="F2291" t="s">
        <v>90</v>
      </c>
      <c r="G2291" t="s">
        <v>203</v>
      </c>
      <c r="H2291" t="s">
        <v>244</v>
      </c>
      <c r="I2291" s="4">
        <v>125766.4408</v>
      </c>
      <c r="J2291" s="4">
        <v>125766.4408</v>
      </c>
      <c r="L2291" s="4">
        <v>1</v>
      </c>
    </row>
    <row r="2292" spans="1:12">
      <c r="A2292" t="s">
        <v>91</v>
      </c>
      <c r="B2292" s="10">
        <v>45495</v>
      </c>
      <c r="C2292" s="18">
        <f t="shared" si="35"/>
        <v>7</v>
      </c>
      <c r="D2292" t="s">
        <v>149</v>
      </c>
      <c r="E2292">
        <v>6536135</v>
      </c>
      <c r="F2292" t="s">
        <v>89</v>
      </c>
      <c r="G2292" t="s">
        <v>204</v>
      </c>
      <c r="H2292" t="s">
        <v>212</v>
      </c>
      <c r="I2292" s="4">
        <v>62946.040799999995</v>
      </c>
      <c r="J2292" s="4">
        <v>251784.16319999998</v>
      </c>
      <c r="K2292" s="4">
        <v>-7538.4479999999994</v>
      </c>
      <c r="L2292" s="4">
        <v>4</v>
      </c>
    </row>
    <row r="2293" spans="1:12">
      <c r="A2293" t="s">
        <v>91</v>
      </c>
      <c r="B2293" s="10">
        <v>45497</v>
      </c>
      <c r="C2293" s="18">
        <f t="shared" si="35"/>
        <v>7</v>
      </c>
      <c r="D2293" t="s">
        <v>166</v>
      </c>
      <c r="E2293">
        <v>6080397</v>
      </c>
      <c r="F2293" t="s">
        <v>88</v>
      </c>
      <c r="G2293" t="s">
        <v>204</v>
      </c>
      <c r="H2293" t="s">
        <v>217</v>
      </c>
      <c r="I2293" s="4">
        <v>78022.936799999996</v>
      </c>
      <c r="J2293" s="4">
        <v>78022.936799999996</v>
      </c>
      <c r="K2293" s="4">
        <v>-3580.7627999999995</v>
      </c>
      <c r="L2293" s="4">
        <v>1</v>
      </c>
    </row>
    <row r="2294" spans="1:12">
      <c r="A2294" t="s">
        <v>91</v>
      </c>
      <c r="B2294" s="10">
        <v>45497</v>
      </c>
      <c r="C2294" s="18">
        <f t="shared" si="35"/>
        <v>7</v>
      </c>
      <c r="D2294" t="s">
        <v>166</v>
      </c>
      <c r="E2294">
        <v>6080397</v>
      </c>
      <c r="F2294" t="s">
        <v>88</v>
      </c>
      <c r="G2294" t="s">
        <v>204</v>
      </c>
      <c r="H2294" t="s">
        <v>216</v>
      </c>
      <c r="I2294" s="4">
        <v>113202.36079999999</v>
      </c>
      <c r="J2294" s="4">
        <v>113202.36079999999</v>
      </c>
      <c r="K2294" s="4">
        <v>-5653.8360000000002</v>
      </c>
      <c r="L2294" s="4">
        <v>1</v>
      </c>
    </row>
    <row r="2295" spans="1:12">
      <c r="A2295" t="s">
        <v>91</v>
      </c>
      <c r="B2295" s="10">
        <v>45497</v>
      </c>
      <c r="C2295" s="18">
        <f t="shared" si="35"/>
        <v>7</v>
      </c>
      <c r="D2295" t="s">
        <v>166</v>
      </c>
      <c r="E2295">
        <v>6080397</v>
      </c>
      <c r="F2295" t="s">
        <v>88</v>
      </c>
      <c r="G2295" t="s">
        <v>204</v>
      </c>
      <c r="H2295" t="s">
        <v>213</v>
      </c>
      <c r="I2295" s="4">
        <v>119484.4008</v>
      </c>
      <c r="J2295" s="4">
        <v>119484.4008</v>
      </c>
      <c r="K2295" s="4">
        <v>-5967.9380000000001</v>
      </c>
      <c r="L2295" s="4">
        <v>1</v>
      </c>
    </row>
    <row r="2296" spans="1:12">
      <c r="A2296" t="s">
        <v>91</v>
      </c>
      <c r="B2296" s="10">
        <v>45497</v>
      </c>
      <c r="C2296" s="18">
        <f t="shared" si="35"/>
        <v>7</v>
      </c>
      <c r="D2296" t="s">
        <v>166</v>
      </c>
      <c r="E2296">
        <v>6080397</v>
      </c>
      <c r="F2296" t="s">
        <v>88</v>
      </c>
      <c r="G2296" t="s">
        <v>204</v>
      </c>
      <c r="H2296" t="s">
        <v>221</v>
      </c>
      <c r="I2296" s="4">
        <v>25253.800799999997</v>
      </c>
      <c r="J2296" s="4">
        <v>227284.20719999998</v>
      </c>
      <c r="K2296" s="4">
        <v>-11307.672</v>
      </c>
      <c r="L2296" s="4">
        <v>9</v>
      </c>
    </row>
    <row r="2297" spans="1:12">
      <c r="A2297" t="s">
        <v>91</v>
      </c>
      <c r="B2297" s="10">
        <v>45497</v>
      </c>
      <c r="C2297" s="18">
        <f t="shared" si="35"/>
        <v>7</v>
      </c>
      <c r="D2297" t="s">
        <v>166</v>
      </c>
      <c r="E2297">
        <v>6080397</v>
      </c>
      <c r="F2297" t="s">
        <v>88</v>
      </c>
      <c r="G2297" t="s">
        <v>204</v>
      </c>
      <c r="H2297" t="s">
        <v>220</v>
      </c>
      <c r="I2297" s="4">
        <v>37817.880799999999</v>
      </c>
      <c r="J2297" s="4">
        <v>151271.5232</v>
      </c>
      <c r="K2297" s="4">
        <v>-7538.4479999999994</v>
      </c>
      <c r="L2297" s="4">
        <v>4</v>
      </c>
    </row>
    <row r="2298" spans="1:12">
      <c r="A2298" t="s">
        <v>91</v>
      </c>
      <c r="B2298" s="10">
        <v>45498</v>
      </c>
      <c r="C2298" s="18">
        <f t="shared" si="35"/>
        <v>7</v>
      </c>
      <c r="D2298" t="s">
        <v>166</v>
      </c>
      <c r="E2298">
        <v>6080397</v>
      </c>
      <c r="F2298" t="s">
        <v>88</v>
      </c>
      <c r="G2298" t="s">
        <v>204</v>
      </c>
      <c r="H2298" t="s">
        <v>212</v>
      </c>
      <c r="I2298" s="4">
        <v>62946.040799999995</v>
      </c>
      <c r="J2298" s="4">
        <v>6042819.9167999998</v>
      </c>
      <c r="K2298" s="4">
        <v>-180922.75200000001</v>
      </c>
      <c r="L2298" s="4">
        <v>96</v>
      </c>
    </row>
    <row r="2299" spans="1:12">
      <c r="A2299" t="s">
        <v>91</v>
      </c>
      <c r="B2299" s="10">
        <v>45500</v>
      </c>
      <c r="C2299" s="18">
        <f t="shared" si="35"/>
        <v>7</v>
      </c>
      <c r="D2299" t="s">
        <v>148</v>
      </c>
      <c r="E2299">
        <v>6080397</v>
      </c>
      <c r="F2299" t="s">
        <v>88</v>
      </c>
      <c r="G2299" t="s">
        <v>204</v>
      </c>
      <c r="H2299" t="s">
        <v>218</v>
      </c>
      <c r="I2299" s="4">
        <v>71740.896800000002</v>
      </c>
      <c r="J2299" s="4">
        <v>286963.58720000001</v>
      </c>
      <c r="K2299" s="4">
        <v>-14323.051199999998</v>
      </c>
      <c r="L2299" s="4">
        <v>4</v>
      </c>
    </row>
    <row r="2300" spans="1:12">
      <c r="A2300" t="s">
        <v>91</v>
      </c>
      <c r="B2300" s="10">
        <v>45500</v>
      </c>
      <c r="C2300" s="18">
        <f t="shared" si="35"/>
        <v>7</v>
      </c>
      <c r="D2300" t="s">
        <v>148</v>
      </c>
      <c r="E2300">
        <v>6080397</v>
      </c>
      <c r="F2300" t="s">
        <v>88</v>
      </c>
      <c r="G2300" t="s">
        <v>204</v>
      </c>
      <c r="H2300" t="s">
        <v>217</v>
      </c>
      <c r="I2300" s="4">
        <v>78022.936799999996</v>
      </c>
      <c r="J2300" s="4">
        <v>390114.68400000001</v>
      </c>
      <c r="K2300" s="4">
        <v>-17903.814000000002</v>
      </c>
      <c r="L2300" s="4">
        <v>5</v>
      </c>
    </row>
    <row r="2301" spans="1:12">
      <c r="A2301" t="s">
        <v>92</v>
      </c>
      <c r="B2301" s="10">
        <v>45495</v>
      </c>
      <c r="C2301" s="18">
        <f t="shared" si="35"/>
        <v>7</v>
      </c>
      <c r="D2301" t="s">
        <v>179</v>
      </c>
      <c r="E2301">
        <v>6704058</v>
      </c>
      <c r="F2301" t="s">
        <v>87</v>
      </c>
      <c r="G2301" t="s">
        <v>203</v>
      </c>
      <c r="H2301" t="s">
        <v>245</v>
      </c>
      <c r="I2301" s="4">
        <v>100638.28079999999</v>
      </c>
      <c r="J2301" s="4">
        <v>402553.12319999997</v>
      </c>
      <c r="L2301" s="4">
        <v>4</v>
      </c>
    </row>
    <row r="2302" spans="1:12">
      <c r="A2302" t="s">
        <v>92</v>
      </c>
      <c r="B2302" s="10">
        <v>45495</v>
      </c>
      <c r="C2302" s="18">
        <f t="shared" si="35"/>
        <v>7</v>
      </c>
      <c r="D2302" t="s">
        <v>179</v>
      </c>
      <c r="E2302">
        <v>6704058</v>
      </c>
      <c r="F2302" t="s">
        <v>87</v>
      </c>
      <c r="G2302" t="s">
        <v>203</v>
      </c>
      <c r="H2302" t="s">
        <v>244</v>
      </c>
      <c r="I2302" s="4">
        <v>125766.4408</v>
      </c>
      <c r="J2302" s="4">
        <v>503065.76319999999</v>
      </c>
      <c r="L2302" s="4">
        <v>4</v>
      </c>
    </row>
    <row r="2303" spans="1:12">
      <c r="A2303" t="s">
        <v>92</v>
      </c>
      <c r="B2303" s="10">
        <v>45501</v>
      </c>
      <c r="C2303" s="18">
        <f t="shared" si="35"/>
        <v>7</v>
      </c>
      <c r="D2303" t="s">
        <v>179</v>
      </c>
      <c r="E2303">
        <v>6700758</v>
      </c>
      <c r="F2303" t="s">
        <v>88</v>
      </c>
      <c r="G2303" t="s">
        <v>203</v>
      </c>
      <c r="H2303" t="s">
        <v>245</v>
      </c>
      <c r="I2303" s="4">
        <v>100638.28079999999</v>
      </c>
      <c r="J2303" s="4">
        <v>2012765.6159999999</v>
      </c>
      <c r="L2303" s="4">
        <v>20</v>
      </c>
    </row>
    <row r="2304" spans="1:12">
      <c r="A2304" t="s">
        <v>92</v>
      </c>
      <c r="B2304" s="10">
        <v>45501</v>
      </c>
      <c r="C2304" s="18">
        <f t="shared" si="35"/>
        <v>7</v>
      </c>
      <c r="D2304" t="s">
        <v>179</v>
      </c>
      <c r="E2304">
        <v>6700758</v>
      </c>
      <c r="F2304" t="s">
        <v>88</v>
      </c>
      <c r="G2304" t="s">
        <v>203</v>
      </c>
      <c r="H2304" t="s">
        <v>244</v>
      </c>
      <c r="I2304" s="4">
        <v>125766.4408</v>
      </c>
      <c r="J2304" s="4">
        <v>251532.88159999999</v>
      </c>
      <c r="L2304" s="4">
        <v>2</v>
      </c>
    </row>
    <row r="2305" spans="1:12">
      <c r="A2305" t="s">
        <v>93</v>
      </c>
      <c r="B2305" s="10">
        <v>45476</v>
      </c>
      <c r="C2305" s="18">
        <f t="shared" si="35"/>
        <v>7</v>
      </c>
      <c r="D2305" t="s">
        <v>141</v>
      </c>
      <c r="E2305">
        <v>4874206</v>
      </c>
      <c r="F2305" t="s">
        <v>90</v>
      </c>
      <c r="G2305" t="s">
        <v>203</v>
      </c>
      <c r="H2305" t="s">
        <v>242</v>
      </c>
      <c r="I2305" s="4">
        <v>100638.28079999999</v>
      </c>
      <c r="J2305" s="4">
        <v>402553.12319999997</v>
      </c>
      <c r="L2305" s="4">
        <v>4</v>
      </c>
    </row>
    <row r="2306" spans="1:12">
      <c r="A2306" t="s">
        <v>93</v>
      </c>
      <c r="B2306" s="10">
        <v>45476</v>
      </c>
      <c r="C2306" s="18">
        <f t="shared" ref="C2306:C2369" si="36">MONTH(B2306)</f>
        <v>7</v>
      </c>
      <c r="D2306" t="s">
        <v>141</v>
      </c>
      <c r="E2306">
        <v>4874206</v>
      </c>
      <c r="F2306" t="s">
        <v>90</v>
      </c>
      <c r="G2306" t="s">
        <v>203</v>
      </c>
      <c r="H2306" t="s">
        <v>228</v>
      </c>
      <c r="I2306" s="4">
        <v>100638.28079999999</v>
      </c>
      <c r="J2306" s="4">
        <v>402553.12319999997</v>
      </c>
      <c r="L2306" s="4">
        <v>4</v>
      </c>
    </row>
    <row r="2307" spans="1:12">
      <c r="A2307" t="s">
        <v>93</v>
      </c>
      <c r="B2307" s="10">
        <v>45476</v>
      </c>
      <c r="C2307" s="18">
        <f t="shared" si="36"/>
        <v>7</v>
      </c>
      <c r="D2307" t="s">
        <v>141</v>
      </c>
      <c r="E2307">
        <v>4874206</v>
      </c>
      <c r="F2307" t="s">
        <v>90</v>
      </c>
      <c r="G2307" t="s">
        <v>203</v>
      </c>
      <c r="H2307" t="s">
        <v>237</v>
      </c>
      <c r="I2307" s="4">
        <v>125766.4408</v>
      </c>
      <c r="J2307" s="4">
        <v>377299.3224</v>
      </c>
      <c r="L2307" s="4">
        <v>3</v>
      </c>
    </row>
    <row r="2308" spans="1:12">
      <c r="A2308" t="s">
        <v>93</v>
      </c>
      <c r="B2308" s="10">
        <v>45478</v>
      </c>
      <c r="C2308" s="18">
        <f t="shared" si="36"/>
        <v>7</v>
      </c>
      <c r="D2308" t="s">
        <v>155</v>
      </c>
      <c r="E2308">
        <v>4873983</v>
      </c>
      <c r="F2308" t="s">
        <v>90</v>
      </c>
      <c r="G2308" t="s">
        <v>203</v>
      </c>
      <c r="H2308" t="s">
        <v>242</v>
      </c>
      <c r="I2308" s="4">
        <v>100638.28079999999</v>
      </c>
      <c r="J2308" s="4">
        <v>402553.12319999997</v>
      </c>
      <c r="L2308" s="4">
        <v>4</v>
      </c>
    </row>
    <row r="2309" spans="1:12">
      <c r="A2309" t="s">
        <v>93</v>
      </c>
      <c r="B2309" s="10">
        <v>45478</v>
      </c>
      <c r="C2309" s="18">
        <f t="shared" si="36"/>
        <v>7</v>
      </c>
      <c r="D2309" t="s">
        <v>155</v>
      </c>
      <c r="E2309">
        <v>4873983</v>
      </c>
      <c r="F2309" t="s">
        <v>90</v>
      </c>
      <c r="G2309" t="s">
        <v>203</v>
      </c>
      <c r="H2309" t="s">
        <v>236</v>
      </c>
      <c r="I2309" s="4">
        <v>100638.28079999999</v>
      </c>
      <c r="J2309" s="4">
        <v>402553.12319999997</v>
      </c>
      <c r="L2309" s="4">
        <v>4</v>
      </c>
    </row>
    <row r="2310" spans="1:12">
      <c r="A2310" t="s">
        <v>93</v>
      </c>
      <c r="B2310" s="10">
        <v>45478</v>
      </c>
      <c r="C2310" s="18">
        <f t="shared" si="36"/>
        <v>7</v>
      </c>
      <c r="D2310" t="s">
        <v>155</v>
      </c>
      <c r="E2310">
        <v>4873983</v>
      </c>
      <c r="F2310" t="s">
        <v>90</v>
      </c>
      <c r="G2310" t="s">
        <v>203</v>
      </c>
      <c r="H2310" t="s">
        <v>224</v>
      </c>
      <c r="I2310" s="4">
        <v>100638.28079999999</v>
      </c>
      <c r="J2310" s="4">
        <v>402553.12319999997</v>
      </c>
      <c r="L2310" s="4">
        <v>4</v>
      </c>
    </row>
    <row r="2311" spans="1:12">
      <c r="A2311" t="s">
        <v>93</v>
      </c>
      <c r="B2311" s="10">
        <v>45478</v>
      </c>
      <c r="C2311" s="18">
        <f t="shared" si="36"/>
        <v>7</v>
      </c>
      <c r="D2311" t="s">
        <v>155</v>
      </c>
      <c r="E2311">
        <v>4873983</v>
      </c>
      <c r="F2311" t="s">
        <v>90</v>
      </c>
      <c r="G2311" t="s">
        <v>203</v>
      </c>
      <c r="H2311" t="s">
        <v>239</v>
      </c>
      <c r="I2311" s="4">
        <v>125766.4408</v>
      </c>
      <c r="J2311" s="4">
        <v>503065.76319999999</v>
      </c>
      <c r="L2311" s="4">
        <v>4</v>
      </c>
    </row>
    <row r="2312" spans="1:12">
      <c r="A2312" t="s">
        <v>93</v>
      </c>
      <c r="B2312" s="10">
        <v>45478</v>
      </c>
      <c r="C2312" s="18">
        <f t="shared" si="36"/>
        <v>7</v>
      </c>
      <c r="D2312" t="s">
        <v>155</v>
      </c>
      <c r="E2312">
        <v>4873983</v>
      </c>
      <c r="F2312" t="s">
        <v>90</v>
      </c>
      <c r="G2312" t="s">
        <v>203</v>
      </c>
      <c r="H2312" t="s">
        <v>237</v>
      </c>
      <c r="I2312" s="4">
        <v>125766.4408</v>
      </c>
      <c r="J2312" s="4">
        <v>503065.76319999999</v>
      </c>
      <c r="L2312" s="4">
        <v>4</v>
      </c>
    </row>
    <row r="2313" spans="1:12">
      <c r="A2313" t="s">
        <v>93</v>
      </c>
      <c r="B2313" s="10">
        <v>45484</v>
      </c>
      <c r="C2313" s="18">
        <f t="shared" si="36"/>
        <v>7</v>
      </c>
      <c r="D2313" t="s">
        <v>176</v>
      </c>
      <c r="E2313">
        <v>4878605</v>
      </c>
      <c r="F2313" t="s">
        <v>87</v>
      </c>
      <c r="G2313" t="s">
        <v>203</v>
      </c>
      <c r="H2313" t="s">
        <v>236</v>
      </c>
      <c r="I2313" s="4">
        <v>100638.28079999999</v>
      </c>
      <c r="J2313" s="4">
        <v>201276.56159999999</v>
      </c>
      <c r="L2313" s="4">
        <v>2</v>
      </c>
    </row>
    <row r="2314" spans="1:12">
      <c r="A2314" t="s">
        <v>93</v>
      </c>
      <c r="B2314" s="10">
        <v>45484</v>
      </c>
      <c r="C2314" s="18">
        <f t="shared" si="36"/>
        <v>7</v>
      </c>
      <c r="D2314" t="s">
        <v>176</v>
      </c>
      <c r="E2314">
        <v>4878605</v>
      </c>
      <c r="F2314" t="s">
        <v>87</v>
      </c>
      <c r="G2314" t="s">
        <v>203</v>
      </c>
      <c r="H2314" t="s">
        <v>224</v>
      </c>
      <c r="I2314" s="4">
        <v>100638.28079999999</v>
      </c>
      <c r="J2314" s="4">
        <v>201276.56159999999</v>
      </c>
      <c r="L2314" s="4">
        <v>2</v>
      </c>
    </row>
    <row r="2315" spans="1:12">
      <c r="A2315" t="s">
        <v>93</v>
      </c>
      <c r="B2315" s="10">
        <v>45484</v>
      </c>
      <c r="C2315" s="18">
        <f t="shared" si="36"/>
        <v>7</v>
      </c>
      <c r="D2315" t="s">
        <v>195</v>
      </c>
      <c r="E2315">
        <v>6080030</v>
      </c>
      <c r="F2315" t="s">
        <v>87</v>
      </c>
      <c r="G2315" t="s">
        <v>203</v>
      </c>
      <c r="H2315" t="s">
        <v>236</v>
      </c>
      <c r="I2315" s="4">
        <v>100638.28079999999</v>
      </c>
      <c r="J2315" s="4">
        <v>201276.56159999999</v>
      </c>
      <c r="L2315" s="4">
        <v>2</v>
      </c>
    </row>
    <row r="2316" spans="1:12">
      <c r="A2316" t="s">
        <v>93</v>
      </c>
      <c r="B2316" s="10">
        <v>45484</v>
      </c>
      <c r="C2316" s="18">
        <f t="shared" si="36"/>
        <v>7</v>
      </c>
      <c r="D2316" t="s">
        <v>195</v>
      </c>
      <c r="E2316">
        <v>6080030</v>
      </c>
      <c r="F2316" t="s">
        <v>87</v>
      </c>
      <c r="G2316" t="s">
        <v>203</v>
      </c>
      <c r="H2316" t="s">
        <v>228</v>
      </c>
      <c r="I2316" s="4">
        <v>100638.28079999999</v>
      </c>
      <c r="J2316" s="4">
        <v>201276.56159999999</v>
      </c>
      <c r="L2316" s="4">
        <v>2</v>
      </c>
    </row>
    <row r="2317" spans="1:12">
      <c r="A2317" t="s">
        <v>93</v>
      </c>
      <c r="B2317" s="10">
        <v>45484</v>
      </c>
      <c r="C2317" s="18">
        <f t="shared" si="36"/>
        <v>7</v>
      </c>
      <c r="D2317" t="s">
        <v>195</v>
      </c>
      <c r="E2317">
        <v>6080030</v>
      </c>
      <c r="F2317" t="s">
        <v>87</v>
      </c>
      <c r="G2317" t="s">
        <v>203</v>
      </c>
      <c r="H2317" t="s">
        <v>239</v>
      </c>
      <c r="I2317" s="4">
        <v>125766.4408</v>
      </c>
      <c r="J2317" s="4">
        <v>251532.88159999999</v>
      </c>
      <c r="L2317" s="4">
        <v>2</v>
      </c>
    </row>
    <row r="2318" spans="1:12">
      <c r="A2318" t="s">
        <v>93</v>
      </c>
      <c r="B2318" s="10">
        <v>45486</v>
      </c>
      <c r="C2318" s="18">
        <f t="shared" si="36"/>
        <v>7</v>
      </c>
      <c r="D2318" t="s">
        <v>155</v>
      </c>
      <c r="E2318">
        <v>4875999</v>
      </c>
      <c r="F2318" t="s">
        <v>90</v>
      </c>
      <c r="G2318" t="s">
        <v>203</v>
      </c>
      <c r="H2318" t="s">
        <v>242</v>
      </c>
      <c r="I2318" s="4">
        <v>100638.28079999999</v>
      </c>
      <c r="J2318" s="4">
        <v>201276.56159999999</v>
      </c>
      <c r="L2318" s="4">
        <v>2</v>
      </c>
    </row>
    <row r="2319" spans="1:12">
      <c r="A2319" t="s">
        <v>93</v>
      </c>
      <c r="B2319" s="10">
        <v>45486</v>
      </c>
      <c r="C2319" s="18">
        <f t="shared" si="36"/>
        <v>7</v>
      </c>
      <c r="D2319" t="s">
        <v>155</v>
      </c>
      <c r="E2319">
        <v>4875999</v>
      </c>
      <c r="F2319" t="s">
        <v>90</v>
      </c>
      <c r="G2319" t="s">
        <v>203</v>
      </c>
      <c r="H2319" t="s">
        <v>236</v>
      </c>
      <c r="I2319" s="4">
        <v>100638.28079999999</v>
      </c>
      <c r="J2319" s="4">
        <v>201276.56159999999</v>
      </c>
      <c r="L2319" s="4">
        <v>2</v>
      </c>
    </row>
    <row r="2320" spans="1:12">
      <c r="A2320" t="s">
        <v>93</v>
      </c>
      <c r="B2320" s="10">
        <v>45486</v>
      </c>
      <c r="C2320" s="18">
        <f t="shared" si="36"/>
        <v>7</v>
      </c>
      <c r="D2320" t="s">
        <v>155</v>
      </c>
      <c r="E2320">
        <v>4875999</v>
      </c>
      <c r="F2320" t="s">
        <v>90</v>
      </c>
      <c r="G2320" t="s">
        <v>203</v>
      </c>
      <c r="H2320" t="s">
        <v>228</v>
      </c>
      <c r="I2320" s="4">
        <v>100638.28079999999</v>
      </c>
      <c r="J2320" s="4">
        <v>201276.56159999999</v>
      </c>
      <c r="L2320" s="4">
        <v>2</v>
      </c>
    </row>
    <row r="2321" spans="1:12">
      <c r="A2321" t="s">
        <v>93</v>
      </c>
      <c r="B2321" s="10">
        <v>45486</v>
      </c>
      <c r="C2321" s="18">
        <f t="shared" si="36"/>
        <v>7</v>
      </c>
      <c r="D2321" t="s">
        <v>176</v>
      </c>
      <c r="E2321">
        <v>4878605</v>
      </c>
      <c r="F2321" t="s">
        <v>87</v>
      </c>
      <c r="G2321" t="s">
        <v>203</v>
      </c>
      <c r="H2321" t="s">
        <v>224</v>
      </c>
      <c r="I2321" s="4">
        <v>100638.28079999999</v>
      </c>
      <c r="J2321" s="4">
        <v>402553.12319999997</v>
      </c>
      <c r="L2321" s="4">
        <v>4</v>
      </c>
    </row>
    <row r="2322" spans="1:12">
      <c r="A2322" t="s">
        <v>93</v>
      </c>
      <c r="B2322" s="10">
        <v>45487</v>
      </c>
      <c r="C2322" s="18">
        <f t="shared" si="36"/>
        <v>7</v>
      </c>
      <c r="D2322" t="s">
        <v>155</v>
      </c>
      <c r="E2322">
        <v>4876282</v>
      </c>
      <c r="F2322" t="s">
        <v>89</v>
      </c>
      <c r="G2322" t="s">
        <v>203</v>
      </c>
      <c r="H2322" t="s">
        <v>242</v>
      </c>
      <c r="I2322" s="4">
        <v>100638.28079999999</v>
      </c>
      <c r="J2322" s="4">
        <v>201276.56159999999</v>
      </c>
      <c r="L2322" s="4">
        <v>2</v>
      </c>
    </row>
    <row r="2323" spans="1:12">
      <c r="A2323" t="s">
        <v>93</v>
      </c>
      <c r="B2323" s="10">
        <v>45487</v>
      </c>
      <c r="C2323" s="18">
        <f t="shared" si="36"/>
        <v>7</v>
      </c>
      <c r="D2323" t="s">
        <v>155</v>
      </c>
      <c r="E2323">
        <v>4876282</v>
      </c>
      <c r="F2323" t="s">
        <v>89</v>
      </c>
      <c r="G2323" t="s">
        <v>203</v>
      </c>
      <c r="H2323" t="s">
        <v>236</v>
      </c>
      <c r="I2323" s="4">
        <v>100638.28079999999</v>
      </c>
      <c r="J2323" s="4">
        <v>201276.56159999999</v>
      </c>
      <c r="L2323" s="4">
        <v>2</v>
      </c>
    </row>
    <row r="2324" spans="1:12">
      <c r="A2324" t="s">
        <v>93</v>
      </c>
      <c r="B2324" s="10">
        <v>45487</v>
      </c>
      <c r="C2324" s="18">
        <f t="shared" si="36"/>
        <v>7</v>
      </c>
      <c r="D2324" t="s">
        <v>155</v>
      </c>
      <c r="E2324">
        <v>4876282</v>
      </c>
      <c r="F2324" t="s">
        <v>89</v>
      </c>
      <c r="G2324" t="s">
        <v>203</v>
      </c>
      <c r="H2324" t="s">
        <v>224</v>
      </c>
      <c r="I2324" s="4">
        <v>100638.28079999999</v>
      </c>
      <c r="J2324" s="4">
        <v>201276.56159999999</v>
      </c>
      <c r="L2324" s="4">
        <v>2</v>
      </c>
    </row>
    <row r="2325" spans="1:12">
      <c r="A2325" t="s">
        <v>93</v>
      </c>
      <c r="B2325" s="10">
        <v>45488</v>
      </c>
      <c r="C2325" s="18">
        <f t="shared" si="36"/>
        <v>7</v>
      </c>
      <c r="D2325" t="s">
        <v>153</v>
      </c>
      <c r="E2325">
        <v>4878925</v>
      </c>
      <c r="F2325" t="s">
        <v>89</v>
      </c>
      <c r="G2325" t="s">
        <v>203</v>
      </c>
      <c r="H2325" t="s">
        <v>242</v>
      </c>
      <c r="I2325" s="4">
        <v>100638.28079999999</v>
      </c>
      <c r="J2325" s="4">
        <v>201276.56159999999</v>
      </c>
      <c r="L2325" s="4">
        <v>2</v>
      </c>
    </row>
    <row r="2326" spans="1:12">
      <c r="A2326" t="s">
        <v>93</v>
      </c>
      <c r="B2326" s="10">
        <v>45488</v>
      </c>
      <c r="C2326" s="18">
        <f t="shared" si="36"/>
        <v>7</v>
      </c>
      <c r="D2326" t="s">
        <v>153</v>
      </c>
      <c r="E2326">
        <v>4878925</v>
      </c>
      <c r="F2326" t="s">
        <v>89</v>
      </c>
      <c r="G2326" t="s">
        <v>203</v>
      </c>
      <c r="H2326" t="s">
        <v>236</v>
      </c>
      <c r="I2326" s="4">
        <v>100638.28079999999</v>
      </c>
      <c r="J2326" s="4">
        <v>201276.56159999999</v>
      </c>
      <c r="L2326" s="4">
        <v>2</v>
      </c>
    </row>
    <row r="2327" spans="1:12">
      <c r="A2327" t="s">
        <v>93</v>
      </c>
      <c r="B2327" s="10">
        <v>45488</v>
      </c>
      <c r="C2327" s="18">
        <f t="shared" si="36"/>
        <v>7</v>
      </c>
      <c r="D2327" t="s">
        <v>153</v>
      </c>
      <c r="E2327">
        <v>4878925</v>
      </c>
      <c r="F2327" t="s">
        <v>89</v>
      </c>
      <c r="G2327" t="s">
        <v>203</v>
      </c>
      <c r="H2327" t="s">
        <v>239</v>
      </c>
      <c r="I2327" s="4">
        <v>125766.4408</v>
      </c>
      <c r="J2327" s="4">
        <v>125766.4408</v>
      </c>
      <c r="L2327" s="4">
        <v>1</v>
      </c>
    </row>
    <row r="2328" spans="1:12">
      <c r="A2328" t="s">
        <v>93</v>
      </c>
      <c r="B2328" s="10">
        <v>45488</v>
      </c>
      <c r="C2328" s="18">
        <f t="shared" si="36"/>
        <v>7</v>
      </c>
      <c r="D2328" t="s">
        <v>153</v>
      </c>
      <c r="E2328">
        <v>4878925</v>
      </c>
      <c r="F2328" t="s">
        <v>89</v>
      </c>
      <c r="G2328" t="s">
        <v>203</v>
      </c>
      <c r="H2328" t="s">
        <v>233</v>
      </c>
      <c r="I2328" s="4">
        <v>120735.78316800001</v>
      </c>
      <c r="J2328" s="4">
        <v>241471.56633600002</v>
      </c>
      <c r="L2328" s="4">
        <v>2</v>
      </c>
    </row>
    <row r="2329" spans="1:12">
      <c r="A2329" t="s">
        <v>93</v>
      </c>
      <c r="B2329" s="10">
        <v>45491</v>
      </c>
      <c r="C2329" s="18">
        <f t="shared" si="36"/>
        <v>7</v>
      </c>
      <c r="D2329" t="s">
        <v>155</v>
      </c>
      <c r="E2329">
        <v>4873780</v>
      </c>
      <c r="F2329" t="s">
        <v>87</v>
      </c>
      <c r="G2329" t="s">
        <v>203</v>
      </c>
      <c r="H2329" t="s">
        <v>242</v>
      </c>
      <c r="I2329" s="4">
        <v>100638.28079999999</v>
      </c>
      <c r="J2329" s="4">
        <v>402553.12319999997</v>
      </c>
      <c r="L2329" s="4">
        <v>4</v>
      </c>
    </row>
    <row r="2330" spans="1:12">
      <c r="A2330" t="s">
        <v>93</v>
      </c>
      <c r="B2330" s="10">
        <v>45491</v>
      </c>
      <c r="C2330" s="18">
        <f t="shared" si="36"/>
        <v>7</v>
      </c>
      <c r="D2330" t="s">
        <v>155</v>
      </c>
      <c r="E2330">
        <v>4873780</v>
      </c>
      <c r="F2330" t="s">
        <v>87</v>
      </c>
      <c r="G2330" t="s">
        <v>203</v>
      </c>
      <c r="H2330" t="s">
        <v>236</v>
      </c>
      <c r="I2330" s="4">
        <v>100638.28079999999</v>
      </c>
      <c r="J2330" s="4">
        <v>402553.12319999997</v>
      </c>
      <c r="L2330" s="4">
        <v>4</v>
      </c>
    </row>
    <row r="2331" spans="1:12">
      <c r="A2331" t="s">
        <v>93</v>
      </c>
      <c r="B2331" s="10">
        <v>45491</v>
      </c>
      <c r="C2331" s="18">
        <f t="shared" si="36"/>
        <v>7</v>
      </c>
      <c r="D2331" t="s">
        <v>155</v>
      </c>
      <c r="E2331">
        <v>4873780</v>
      </c>
      <c r="F2331" t="s">
        <v>87</v>
      </c>
      <c r="G2331" t="s">
        <v>203</v>
      </c>
      <c r="H2331" t="s">
        <v>233</v>
      </c>
      <c r="I2331" s="4">
        <v>120735.78316800001</v>
      </c>
      <c r="J2331" s="4">
        <v>482943.13267200004</v>
      </c>
      <c r="L2331" s="4">
        <v>4</v>
      </c>
    </row>
    <row r="2332" spans="1:12">
      <c r="A2332" t="s">
        <v>93</v>
      </c>
      <c r="B2332" s="10">
        <v>45492</v>
      </c>
      <c r="C2332" s="18">
        <f t="shared" si="36"/>
        <v>7</v>
      </c>
      <c r="D2332" t="s">
        <v>195</v>
      </c>
      <c r="E2332">
        <v>6080030</v>
      </c>
      <c r="F2332" t="s">
        <v>87</v>
      </c>
      <c r="G2332" t="s">
        <v>203</v>
      </c>
      <c r="H2332" t="s">
        <v>242</v>
      </c>
      <c r="I2332" s="4">
        <v>100638.28079999999</v>
      </c>
      <c r="J2332" s="4">
        <v>201276.56159999999</v>
      </c>
      <c r="L2332" s="4">
        <v>2</v>
      </c>
    </row>
    <row r="2333" spans="1:12">
      <c r="A2333" t="s">
        <v>93</v>
      </c>
      <c r="B2333" s="10">
        <v>45492</v>
      </c>
      <c r="C2333" s="18">
        <f t="shared" si="36"/>
        <v>7</v>
      </c>
      <c r="D2333" t="s">
        <v>195</v>
      </c>
      <c r="E2333">
        <v>6080030</v>
      </c>
      <c r="F2333" t="s">
        <v>87</v>
      </c>
      <c r="G2333" t="s">
        <v>203</v>
      </c>
      <c r="H2333" t="s">
        <v>236</v>
      </c>
      <c r="I2333" s="4">
        <v>100638.28079999999</v>
      </c>
      <c r="J2333" s="4">
        <v>201276.56159999999</v>
      </c>
      <c r="L2333" s="4">
        <v>2</v>
      </c>
    </row>
    <row r="2334" spans="1:12">
      <c r="A2334" t="s">
        <v>93</v>
      </c>
      <c r="B2334" s="10">
        <v>45494</v>
      </c>
      <c r="C2334" s="18">
        <f t="shared" si="36"/>
        <v>7</v>
      </c>
      <c r="D2334" t="s">
        <v>155</v>
      </c>
      <c r="E2334">
        <v>4879013</v>
      </c>
      <c r="F2334" t="s">
        <v>88</v>
      </c>
      <c r="G2334" t="s">
        <v>203</v>
      </c>
      <c r="H2334" t="s">
        <v>242</v>
      </c>
      <c r="I2334" s="4">
        <v>100638.28079999999</v>
      </c>
      <c r="J2334" s="4">
        <v>201276.56159999999</v>
      </c>
      <c r="L2334" s="4">
        <v>2</v>
      </c>
    </row>
    <row r="2335" spans="1:12">
      <c r="A2335" t="s">
        <v>93</v>
      </c>
      <c r="B2335" s="10">
        <v>45500</v>
      </c>
      <c r="C2335" s="18">
        <f t="shared" si="36"/>
        <v>7</v>
      </c>
      <c r="D2335" t="s">
        <v>159</v>
      </c>
      <c r="E2335">
        <v>4878925</v>
      </c>
      <c r="F2335" t="s">
        <v>89</v>
      </c>
      <c r="G2335" t="s">
        <v>203</v>
      </c>
      <c r="H2335" t="s">
        <v>242</v>
      </c>
      <c r="I2335" s="4">
        <v>100638.28079999999</v>
      </c>
      <c r="J2335" s="4">
        <v>201276.56159999999</v>
      </c>
      <c r="L2335" s="4">
        <v>2</v>
      </c>
    </row>
    <row r="2336" spans="1:12">
      <c r="A2336" t="s">
        <v>93</v>
      </c>
      <c r="B2336" s="10">
        <v>45500</v>
      </c>
      <c r="C2336" s="18">
        <f t="shared" si="36"/>
        <v>7</v>
      </c>
      <c r="D2336" t="s">
        <v>159</v>
      </c>
      <c r="E2336">
        <v>4878925</v>
      </c>
      <c r="F2336" t="s">
        <v>89</v>
      </c>
      <c r="G2336" t="s">
        <v>203</v>
      </c>
      <c r="H2336" t="s">
        <v>240</v>
      </c>
      <c r="I2336" s="4">
        <v>100638.28079999999</v>
      </c>
      <c r="J2336" s="4">
        <v>201276.56159999999</v>
      </c>
      <c r="L2336" s="4">
        <v>2</v>
      </c>
    </row>
    <row r="2337" spans="1:12">
      <c r="A2337" t="s">
        <v>93</v>
      </c>
      <c r="B2337" s="10">
        <v>45500</v>
      </c>
      <c r="C2337" s="18">
        <f t="shared" si="36"/>
        <v>7</v>
      </c>
      <c r="D2337" t="s">
        <v>159</v>
      </c>
      <c r="E2337">
        <v>4878925</v>
      </c>
      <c r="F2337" t="s">
        <v>89</v>
      </c>
      <c r="G2337" t="s">
        <v>203</v>
      </c>
      <c r="H2337" t="s">
        <v>238</v>
      </c>
      <c r="I2337" s="4">
        <v>95606.36675999999</v>
      </c>
      <c r="J2337" s="4">
        <v>382425.46703999996</v>
      </c>
      <c r="L2337" s="4">
        <v>4</v>
      </c>
    </row>
    <row r="2338" spans="1:12">
      <c r="A2338" t="s">
        <v>93</v>
      </c>
      <c r="B2338" s="10">
        <v>45500</v>
      </c>
      <c r="C2338" s="18">
        <f t="shared" si="36"/>
        <v>7</v>
      </c>
      <c r="D2338" t="s">
        <v>159</v>
      </c>
      <c r="E2338">
        <v>4878925</v>
      </c>
      <c r="F2338" t="s">
        <v>89</v>
      </c>
      <c r="G2338" t="s">
        <v>203</v>
      </c>
      <c r="H2338" t="s">
        <v>224</v>
      </c>
      <c r="I2338" s="4">
        <v>100638.28079999999</v>
      </c>
      <c r="J2338" s="4">
        <v>201276.56159999999</v>
      </c>
      <c r="L2338" s="4">
        <v>2</v>
      </c>
    </row>
    <row r="2339" spans="1:12">
      <c r="A2339" t="s">
        <v>93</v>
      </c>
      <c r="B2339" s="10">
        <v>45504</v>
      </c>
      <c r="C2339" s="18">
        <f t="shared" si="36"/>
        <v>7</v>
      </c>
      <c r="D2339" t="s">
        <v>159</v>
      </c>
      <c r="E2339">
        <v>6080700</v>
      </c>
      <c r="F2339" t="s">
        <v>87</v>
      </c>
      <c r="G2339" t="s">
        <v>203</v>
      </c>
      <c r="H2339" t="s">
        <v>242</v>
      </c>
      <c r="I2339" s="4">
        <v>100638.28079999999</v>
      </c>
      <c r="J2339" s="4">
        <v>201276.56159999999</v>
      </c>
      <c r="L2339" s="4">
        <v>2</v>
      </c>
    </row>
    <row r="2340" spans="1:12">
      <c r="A2340" t="s">
        <v>93</v>
      </c>
      <c r="B2340" s="10">
        <v>45504</v>
      </c>
      <c r="C2340" s="18">
        <f t="shared" si="36"/>
        <v>7</v>
      </c>
      <c r="D2340" t="s">
        <v>159</v>
      </c>
      <c r="E2340">
        <v>6080700</v>
      </c>
      <c r="F2340" t="s">
        <v>87</v>
      </c>
      <c r="G2340" t="s">
        <v>203</v>
      </c>
      <c r="H2340" t="s">
        <v>240</v>
      </c>
      <c r="I2340" s="4">
        <v>100638.28079999999</v>
      </c>
      <c r="J2340" s="4">
        <v>201276.56159999999</v>
      </c>
      <c r="L2340" s="4">
        <v>2</v>
      </c>
    </row>
    <row r="2341" spans="1:12">
      <c r="A2341" t="s">
        <v>94</v>
      </c>
      <c r="B2341" s="10">
        <v>45480</v>
      </c>
      <c r="C2341" s="18">
        <f t="shared" si="36"/>
        <v>7</v>
      </c>
      <c r="D2341" t="s">
        <v>150</v>
      </c>
      <c r="E2341">
        <v>4875835</v>
      </c>
      <c r="F2341" t="s">
        <v>90</v>
      </c>
      <c r="G2341" t="s">
        <v>203</v>
      </c>
      <c r="H2341" t="s">
        <v>234</v>
      </c>
      <c r="I2341" s="4">
        <v>100638.28079999999</v>
      </c>
      <c r="J2341" s="4">
        <v>603829.68479999993</v>
      </c>
      <c r="L2341" s="4">
        <v>6</v>
      </c>
    </row>
    <row r="2342" spans="1:12">
      <c r="A2342" t="s">
        <v>94</v>
      </c>
      <c r="B2342" s="10">
        <v>45480</v>
      </c>
      <c r="C2342" s="18">
        <f t="shared" si="36"/>
        <v>7</v>
      </c>
      <c r="D2342" t="s">
        <v>150</v>
      </c>
      <c r="E2342">
        <v>4875835</v>
      </c>
      <c r="F2342" t="s">
        <v>90</v>
      </c>
      <c r="G2342" t="s">
        <v>203</v>
      </c>
      <c r="H2342" t="s">
        <v>232</v>
      </c>
      <c r="I2342" s="4">
        <v>100638.28079999999</v>
      </c>
      <c r="J2342" s="4">
        <v>1610212.4927999999</v>
      </c>
      <c r="L2342" s="4">
        <v>16</v>
      </c>
    </row>
    <row r="2343" spans="1:12">
      <c r="A2343" t="s">
        <v>94</v>
      </c>
      <c r="B2343" s="10">
        <v>45480</v>
      </c>
      <c r="C2343" s="18">
        <f t="shared" si="36"/>
        <v>7</v>
      </c>
      <c r="D2343" t="s">
        <v>150</v>
      </c>
      <c r="E2343">
        <v>4875835</v>
      </c>
      <c r="F2343" t="s">
        <v>90</v>
      </c>
      <c r="G2343" t="s">
        <v>203</v>
      </c>
      <c r="H2343" t="s">
        <v>230</v>
      </c>
      <c r="I2343" s="4">
        <v>100638.28079999999</v>
      </c>
      <c r="J2343" s="4">
        <v>603829.68479999993</v>
      </c>
      <c r="L2343" s="4">
        <v>6</v>
      </c>
    </row>
    <row r="2344" spans="1:12">
      <c r="A2344" t="s">
        <v>94</v>
      </c>
      <c r="B2344" s="10">
        <v>45480</v>
      </c>
      <c r="C2344" s="18">
        <f t="shared" si="36"/>
        <v>7</v>
      </c>
      <c r="D2344" t="s">
        <v>150</v>
      </c>
      <c r="E2344">
        <v>4875835</v>
      </c>
      <c r="F2344" t="s">
        <v>90</v>
      </c>
      <c r="G2344" t="s">
        <v>203</v>
      </c>
      <c r="H2344" t="s">
        <v>224</v>
      </c>
      <c r="I2344" s="4">
        <v>100638.28079999999</v>
      </c>
      <c r="J2344" s="4">
        <v>1006382.808</v>
      </c>
      <c r="L2344" s="4">
        <v>10</v>
      </c>
    </row>
    <row r="2345" spans="1:12">
      <c r="A2345" t="s">
        <v>94</v>
      </c>
      <c r="B2345" s="10">
        <v>45480</v>
      </c>
      <c r="C2345" s="18">
        <f t="shared" si="36"/>
        <v>7</v>
      </c>
      <c r="D2345" t="s">
        <v>150</v>
      </c>
      <c r="E2345">
        <v>4875835</v>
      </c>
      <c r="F2345" t="s">
        <v>90</v>
      </c>
      <c r="G2345" t="s">
        <v>203</v>
      </c>
      <c r="H2345" t="s">
        <v>237</v>
      </c>
      <c r="I2345" s="4">
        <v>125766.4408</v>
      </c>
      <c r="J2345" s="4">
        <v>754598.64480000001</v>
      </c>
      <c r="L2345" s="4">
        <v>6</v>
      </c>
    </row>
    <row r="2346" spans="1:12">
      <c r="A2346" t="s">
        <v>94</v>
      </c>
      <c r="B2346" s="10">
        <v>45481</v>
      </c>
      <c r="C2346" s="18">
        <f t="shared" si="36"/>
        <v>7</v>
      </c>
      <c r="D2346" t="s">
        <v>150</v>
      </c>
      <c r="E2346">
        <v>4879054</v>
      </c>
      <c r="F2346" t="s">
        <v>87</v>
      </c>
      <c r="G2346" t="s">
        <v>203</v>
      </c>
      <c r="H2346" t="s">
        <v>232</v>
      </c>
      <c r="I2346" s="4">
        <v>100638.28079999999</v>
      </c>
      <c r="J2346" s="4">
        <v>805106.24639999995</v>
      </c>
      <c r="K2346" s="4">
        <v>-34676.860799999995</v>
      </c>
      <c r="L2346" s="4">
        <v>8</v>
      </c>
    </row>
    <row r="2347" spans="1:12">
      <c r="A2347" t="s">
        <v>94</v>
      </c>
      <c r="B2347" s="10">
        <v>45481</v>
      </c>
      <c r="C2347" s="18">
        <f t="shared" si="36"/>
        <v>7</v>
      </c>
      <c r="D2347" t="s">
        <v>150</v>
      </c>
      <c r="E2347">
        <v>4879054</v>
      </c>
      <c r="F2347" t="s">
        <v>87</v>
      </c>
      <c r="G2347" t="s">
        <v>203</v>
      </c>
      <c r="H2347" t="s">
        <v>230</v>
      </c>
      <c r="I2347" s="4">
        <v>100638.28079999999</v>
      </c>
      <c r="J2347" s="4">
        <v>805106.24639999995</v>
      </c>
      <c r="K2347" s="4">
        <v>-34676.860799999995</v>
      </c>
      <c r="L2347" s="4">
        <v>8</v>
      </c>
    </row>
    <row r="2348" spans="1:12">
      <c r="A2348" t="s">
        <v>94</v>
      </c>
      <c r="B2348" s="10">
        <v>45481</v>
      </c>
      <c r="C2348" s="18">
        <f t="shared" si="36"/>
        <v>7</v>
      </c>
      <c r="D2348" t="s">
        <v>150</v>
      </c>
      <c r="E2348">
        <v>4879054</v>
      </c>
      <c r="F2348" t="s">
        <v>87</v>
      </c>
      <c r="G2348" t="s">
        <v>203</v>
      </c>
      <c r="H2348" t="s">
        <v>224</v>
      </c>
      <c r="I2348" s="4">
        <v>100638.28079999999</v>
      </c>
      <c r="J2348" s="4">
        <v>1006382.808</v>
      </c>
      <c r="K2348" s="4">
        <v>-43346.076000000001</v>
      </c>
      <c r="L2348" s="4">
        <v>10</v>
      </c>
    </row>
    <row r="2349" spans="1:12">
      <c r="A2349" t="s">
        <v>94</v>
      </c>
      <c r="B2349" s="10">
        <v>45482</v>
      </c>
      <c r="C2349" s="18">
        <f t="shared" si="36"/>
        <v>7</v>
      </c>
      <c r="D2349" t="s">
        <v>150</v>
      </c>
      <c r="E2349">
        <v>4876291</v>
      </c>
      <c r="F2349" t="s">
        <v>87</v>
      </c>
      <c r="G2349" t="s">
        <v>203</v>
      </c>
      <c r="H2349" t="s">
        <v>234</v>
      </c>
      <c r="I2349" s="4">
        <v>100638.28079999999</v>
      </c>
      <c r="J2349" s="4">
        <v>201276.56159999999</v>
      </c>
      <c r="K2349" s="4">
        <v>-6935.3721600000008</v>
      </c>
      <c r="L2349" s="4">
        <v>2</v>
      </c>
    </row>
    <row r="2350" spans="1:12">
      <c r="A2350" t="s">
        <v>94</v>
      </c>
      <c r="B2350" s="10">
        <v>45482</v>
      </c>
      <c r="C2350" s="18">
        <f t="shared" si="36"/>
        <v>7</v>
      </c>
      <c r="D2350" t="s">
        <v>150</v>
      </c>
      <c r="E2350">
        <v>4876291</v>
      </c>
      <c r="F2350" t="s">
        <v>87</v>
      </c>
      <c r="G2350" t="s">
        <v>203</v>
      </c>
      <c r="H2350" t="s">
        <v>232</v>
      </c>
      <c r="I2350" s="4">
        <v>100638.28079999999</v>
      </c>
      <c r="J2350" s="4">
        <v>201276.56159999999</v>
      </c>
      <c r="K2350" s="4">
        <v>-6935.3721600000008</v>
      </c>
      <c r="L2350" s="4">
        <v>2</v>
      </c>
    </row>
    <row r="2351" spans="1:12">
      <c r="A2351" t="s">
        <v>94</v>
      </c>
      <c r="B2351" s="10">
        <v>45482</v>
      </c>
      <c r="C2351" s="18">
        <f t="shared" si="36"/>
        <v>7</v>
      </c>
      <c r="D2351" t="s">
        <v>150</v>
      </c>
      <c r="E2351">
        <v>4876291</v>
      </c>
      <c r="F2351" t="s">
        <v>87</v>
      </c>
      <c r="G2351" t="s">
        <v>203</v>
      </c>
      <c r="H2351" t="s">
        <v>224</v>
      </c>
      <c r="I2351" s="4">
        <v>100638.28079999999</v>
      </c>
      <c r="J2351" s="4">
        <v>201276.56159999999</v>
      </c>
      <c r="K2351" s="4">
        <v>-6935.3721600000008</v>
      </c>
      <c r="L2351" s="4">
        <v>2</v>
      </c>
    </row>
    <row r="2352" spans="1:12">
      <c r="A2352" t="s">
        <v>94</v>
      </c>
      <c r="B2352" s="10">
        <v>45482</v>
      </c>
      <c r="C2352" s="18">
        <f t="shared" si="36"/>
        <v>7</v>
      </c>
      <c r="D2352" t="s">
        <v>150</v>
      </c>
      <c r="E2352">
        <v>4876291</v>
      </c>
      <c r="F2352" t="s">
        <v>87</v>
      </c>
      <c r="G2352" t="s">
        <v>203</v>
      </c>
      <c r="H2352" t="s">
        <v>241</v>
      </c>
      <c r="I2352" s="4">
        <v>125766.4408</v>
      </c>
      <c r="J2352" s="4">
        <v>251532.88159999999</v>
      </c>
      <c r="K2352" s="4">
        <v>-9046.1376</v>
      </c>
      <c r="L2352" s="4">
        <v>2</v>
      </c>
    </row>
    <row r="2353" spans="1:12">
      <c r="A2353" t="s">
        <v>94</v>
      </c>
      <c r="B2353" s="10">
        <v>45482</v>
      </c>
      <c r="C2353" s="18">
        <f t="shared" si="36"/>
        <v>7</v>
      </c>
      <c r="D2353" t="s">
        <v>150</v>
      </c>
      <c r="E2353">
        <v>4875847</v>
      </c>
      <c r="F2353" t="s">
        <v>90</v>
      </c>
      <c r="G2353" t="s">
        <v>203</v>
      </c>
      <c r="H2353" t="s">
        <v>234</v>
      </c>
      <c r="I2353" s="4">
        <v>100638.28079999999</v>
      </c>
      <c r="J2353" s="4">
        <v>201276.56159999999</v>
      </c>
      <c r="L2353" s="4">
        <v>2</v>
      </c>
    </row>
    <row r="2354" spans="1:12">
      <c r="A2354" t="s">
        <v>94</v>
      </c>
      <c r="B2354" s="10">
        <v>45482</v>
      </c>
      <c r="C2354" s="18">
        <f t="shared" si="36"/>
        <v>7</v>
      </c>
      <c r="D2354" t="s">
        <v>150</v>
      </c>
      <c r="E2354">
        <v>4875847</v>
      </c>
      <c r="F2354" t="s">
        <v>90</v>
      </c>
      <c r="G2354" t="s">
        <v>203</v>
      </c>
      <c r="H2354" t="s">
        <v>232</v>
      </c>
      <c r="I2354" s="4">
        <v>100638.28079999999</v>
      </c>
      <c r="J2354" s="4">
        <v>603829.68479999993</v>
      </c>
      <c r="L2354" s="4">
        <v>6</v>
      </c>
    </row>
    <row r="2355" spans="1:12">
      <c r="A2355" t="s">
        <v>94</v>
      </c>
      <c r="B2355" s="10">
        <v>45482</v>
      </c>
      <c r="C2355" s="18">
        <f t="shared" si="36"/>
        <v>7</v>
      </c>
      <c r="D2355" t="s">
        <v>150</v>
      </c>
      <c r="E2355">
        <v>4875847</v>
      </c>
      <c r="F2355" t="s">
        <v>90</v>
      </c>
      <c r="G2355" t="s">
        <v>203</v>
      </c>
      <c r="H2355" t="s">
        <v>224</v>
      </c>
      <c r="I2355" s="4">
        <v>100638.28079999999</v>
      </c>
      <c r="J2355" s="4">
        <v>805106.24639999995</v>
      </c>
      <c r="L2355" s="4">
        <v>8</v>
      </c>
    </row>
    <row r="2356" spans="1:12">
      <c r="A2356" t="s">
        <v>94</v>
      </c>
      <c r="B2356" s="10">
        <v>45497</v>
      </c>
      <c r="C2356" s="18">
        <f t="shared" si="36"/>
        <v>7</v>
      </c>
      <c r="D2356" t="s">
        <v>150</v>
      </c>
      <c r="E2356">
        <v>4876291</v>
      </c>
      <c r="F2356" t="s">
        <v>87</v>
      </c>
      <c r="G2356" t="s">
        <v>203</v>
      </c>
      <c r="H2356" t="s">
        <v>241</v>
      </c>
      <c r="I2356" s="4">
        <v>125766.4408</v>
      </c>
      <c r="J2356" s="4">
        <v>125766.4408</v>
      </c>
      <c r="K2356" s="4">
        <v>-4523.0688</v>
      </c>
      <c r="L2356" s="4">
        <v>1</v>
      </c>
    </row>
    <row r="2357" spans="1:12">
      <c r="A2357" t="s">
        <v>94</v>
      </c>
      <c r="B2357" s="10">
        <v>45497</v>
      </c>
      <c r="C2357" s="18">
        <f t="shared" si="36"/>
        <v>7</v>
      </c>
      <c r="D2357" t="s">
        <v>150</v>
      </c>
      <c r="E2357">
        <v>4876291</v>
      </c>
      <c r="F2357" t="s">
        <v>87</v>
      </c>
      <c r="G2357" t="s">
        <v>203</v>
      </c>
      <c r="H2357" t="s">
        <v>237</v>
      </c>
      <c r="I2357" s="4">
        <v>125766.4408</v>
      </c>
      <c r="J2357" s="4">
        <v>628832.20400000003</v>
      </c>
      <c r="K2357" s="4">
        <v>-22615.344000000001</v>
      </c>
      <c r="L2357" s="4">
        <v>5</v>
      </c>
    </row>
    <row r="2358" spans="1:12">
      <c r="A2358" t="s">
        <v>94</v>
      </c>
      <c r="B2358" s="10">
        <v>45497</v>
      </c>
      <c r="C2358" s="18">
        <f t="shared" si="36"/>
        <v>7</v>
      </c>
      <c r="D2358" t="s">
        <v>150</v>
      </c>
      <c r="E2358">
        <v>4876291</v>
      </c>
      <c r="F2358" t="s">
        <v>87</v>
      </c>
      <c r="G2358" t="s">
        <v>203</v>
      </c>
      <c r="H2358" t="s">
        <v>235</v>
      </c>
      <c r="I2358" s="4">
        <v>125766.4408</v>
      </c>
      <c r="J2358" s="4">
        <v>377299.3224</v>
      </c>
      <c r="K2358" s="4">
        <v>-13569.206400000001</v>
      </c>
      <c r="L2358" s="4">
        <v>3</v>
      </c>
    </row>
    <row r="2359" spans="1:12">
      <c r="A2359" t="s">
        <v>94</v>
      </c>
      <c r="B2359" s="10">
        <v>45497</v>
      </c>
      <c r="C2359" s="18">
        <f t="shared" si="36"/>
        <v>7</v>
      </c>
      <c r="D2359" t="s">
        <v>150</v>
      </c>
      <c r="E2359">
        <v>4876291</v>
      </c>
      <c r="F2359" t="s">
        <v>87</v>
      </c>
      <c r="G2359" t="s">
        <v>203</v>
      </c>
      <c r="H2359" t="s">
        <v>231</v>
      </c>
      <c r="I2359" s="4">
        <v>125766.4408</v>
      </c>
      <c r="J2359" s="4">
        <v>377299.3224</v>
      </c>
      <c r="K2359" s="4">
        <v>-13569.206400000001</v>
      </c>
      <c r="L2359" s="4">
        <v>3</v>
      </c>
    </row>
    <row r="2360" spans="1:12">
      <c r="A2360" t="s">
        <v>94</v>
      </c>
      <c r="B2360" s="10">
        <v>45501</v>
      </c>
      <c r="C2360" s="18">
        <f t="shared" si="36"/>
        <v>7</v>
      </c>
      <c r="D2360" t="s">
        <v>150</v>
      </c>
      <c r="E2360">
        <v>4876170</v>
      </c>
      <c r="F2360" t="s">
        <v>87</v>
      </c>
      <c r="G2360" t="s">
        <v>203</v>
      </c>
      <c r="H2360" t="s">
        <v>237</v>
      </c>
      <c r="I2360" s="4">
        <v>125766.4408</v>
      </c>
      <c r="J2360" s="4">
        <v>251532.88159999999</v>
      </c>
      <c r="L2360" s="4">
        <v>2</v>
      </c>
    </row>
    <row r="2361" spans="1:12">
      <c r="A2361" t="s">
        <v>94</v>
      </c>
      <c r="B2361" s="10">
        <v>45501</v>
      </c>
      <c r="C2361" s="18">
        <f t="shared" si="36"/>
        <v>7</v>
      </c>
      <c r="D2361" t="s">
        <v>150</v>
      </c>
      <c r="E2361">
        <v>4876170</v>
      </c>
      <c r="F2361" t="s">
        <v>87</v>
      </c>
      <c r="G2361" t="s">
        <v>203</v>
      </c>
      <c r="H2361" t="s">
        <v>235</v>
      </c>
      <c r="I2361" s="4">
        <v>125766.4408</v>
      </c>
      <c r="J2361" s="4">
        <v>251532.88159999999</v>
      </c>
      <c r="L2361" s="4">
        <v>2</v>
      </c>
    </row>
    <row r="2362" spans="1:12">
      <c r="A2362" t="s">
        <v>94</v>
      </c>
      <c r="B2362" s="10">
        <v>45501</v>
      </c>
      <c r="C2362" s="18">
        <f t="shared" si="36"/>
        <v>7</v>
      </c>
      <c r="D2362" t="s">
        <v>150</v>
      </c>
      <c r="E2362">
        <v>4876170</v>
      </c>
      <c r="F2362" t="s">
        <v>87</v>
      </c>
      <c r="G2362" t="s">
        <v>203</v>
      </c>
      <c r="H2362" t="s">
        <v>231</v>
      </c>
      <c r="I2362" s="4">
        <v>125766.4408</v>
      </c>
      <c r="J2362" s="4">
        <v>628832.20400000003</v>
      </c>
      <c r="L2362" s="4">
        <v>5</v>
      </c>
    </row>
    <row r="2363" spans="1:12">
      <c r="A2363" t="s">
        <v>95</v>
      </c>
      <c r="B2363" s="10">
        <v>45474</v>
      </c>
      <c r="C2363" s="18">
        <f t="shared" si="36"/>
        <v>7</v>
      </c>
      <c r="D2363" t="s">
        <v>188</v>
      </c>
      <c r="E2363">
        <v>4878040</v>
      </c>
      <c r="F2363" t="s">
        <v>88</v>
      </c>
      <c r="G2363" t="s">
        <v>203</v>
      </c>
      <c r="H2363" t="s">
        <v>240</v>
      </c>
      <c r="I2363" s="4">
        <v>100638.28079999999</v>
      </c>
      <c r="J2363" s="4">
        <v>100638.28079999999</v>
      </c>
      <c r="L2363" s="4">
        <v>1</v>
      </c>
    </row>
    <row r="2364" spans="1:12">
      <c r="A2364" t="s">
        <v>95</v>
      </c>
      <c r="B2364" s="10">
        <v>45475</v>
      </c>
      <c r="C2364" s="18">
        <f t="shared" si="36"/>
        <v>7</v>
      </c>
      <c r="D2364" t="s">
        <v>192</v>
      </c>
      <c r="E2364">
        <v>4878777</v>
      </c>
      <c r="F2364" t="s">
        <v>87</v>
      </c>
      <c r="G2364" t="s">
        <v>203</v>
      </c>
      <c r="H2364" t="s">
        <v>235</v>
      </c>
      <c r="I2364" s="4">
        <v>125766.4408</v>
      </c>
      <c r="J2364" s="4">
        <v>503065.76319999999</v>
      </c>
      <c r="L2364" s="4">
        <v>4</v>
      </c>
    </row>
    <row r="2365" spans="1:12">
      <c r="A2365" t="s">
        <v>95</v>
      </c>
      <c r="B2365" s="10">
        <v>45475</v>
      </c>
      <c r="C2365" s="18">
        <f t="shared" si="36"/>
        <v>7</v>
      </c>
      <c r="D2365" t="s">
        <v>192</v>
      </c>
      <c r="E2365">
        <v>4879158</v>
      </c>
      <c r="F2365" t="s">
        <v>87</v>
      </c>
      <c r="G2365" t="s">
        <v>203</v>
      </c>
      <c r="H2365" t="s">
        <v>240</v>
      </c>
      <c r="I2365" s="4">
        <v>100638.28079999999</v>
      </c>
      <c r="J2365" s="4">
        <v>603829.68479999993</v>
      </c>
      <c r="L2365" s="4">
        <v>6</v>
      </c>
    </row>
    <row r="2366" spans="1:12">
      <c r="A2366" t="s">
        <v>95</v>
      </c>
      <c r="B2366" s="10">
        <v>45476</v>
      </c>
      <c r="C2366" s="18">
        <f t="shared" si="36"/>
        <v>7</v>
      </c>
      <c r="D2366" t="s">
        <v>146</v>
      </c>
      <c r="E2366">
        <v>4876465</v>
      </c>
      <c r="F2366" t="s">
        <v>87</v>
      </c>
      <c r="G2366" t="s">
        <v>203</v>
      </c>
      <c r="H2366" t="s">
        <v>238</v>
      </c>
      <c r="I2366" s="4">
        <v>95606.36675999999</v>
      </c>
      <c r="J2366" s="4">
        <v>573638.20055999991</v>
      </c>
      <c r="L2366" s="4">
        <v>6</v>
      </c>
    </row>
    <row r="2367" spans="1:12">
      <c r="A2367" t="s">
        <v>95</v>
      </c>
      <c r="B2367" s="10">
        <v>45476</v>
      </c>
      <c r="C2367" s="18">
        <f t="shared" si="36"/>
        <v>7</v>
      </c>
      <c r="D2367" t="s">
        <v>146</v>
      </c>
      <c r="E2367">
        <v>4876465</v>
      </c>
      <c r="F2367" t="s">
        <v>87</v>
      </c>
      <c r="G2367" t="s">
        <v>203</v>
      </c>
      <c r="H2367" t="s">
        <v>235</v>
      </c>
      <c r="I2367" s="4">
        <v>125766.4408</v>
      </c>
      <c r="J2367" s="4">
        <v>503065.76319999999</v>
      </c>
      <c r="L2367" s="4">
        <v>4</v>
      </c>
    </row>
    <row r="2368" spans="1:12">
      <c r="A2368" t="s">
        <v>95</v>
      </c>
      <c r="B2368" s="10">
        <v>45479</v>
      </c>
      <c r="C2368" s="18">
        <f t="shared" si="36"/>
        <v>7</v>
      </c>
      <c r="D2368" t="s">
        <v>188</v>
      </c>
      <c r="E2368">
        <v>4876241</v>
      </c>
      <c r="F2368" t="s">
        <v>89</v>
      </c>
      <c r="G2368" t="s">
        <v>203</v>
      </c>
      <c r="H2368" t="s">
        <v>240</v>
      </c>
      <c r="I2368" s="4">
        <v>100638.28079999999</v>
      </c>
      <c r="J2368" s="4">
        <v>402553.12319999997</v>
      </c>
      <c r="L2368" s="4">
        <v>4</v>
      </c>
    </row>
    <row r="2369" spans="1:12">
      <c r="A2369" t="s">
        <v>95</v>
      </c>
      <c r="B2369" s="10">
        <v>45479</v>
      </c>
      <c r="C2369" s="18">
        <f t="shared" si="36"/>
        <v>7</v>
      </c>
      <c r="D2369" t="s">
        <v>188</v>
      </c>
      <c r="E2369">
        <v>4878830</v>
      </c>
      <c r="F2369" t="s">
        <v>90</v>
      </c>
      <c r="G2369" t="s">
        <v>203</v>
      </c>
      <c r="H2369" t="s">
        <v>227</v>
      </c>
      <c r="I2369" s="4">
        <v>100638.28079999999</v>
      </c>
      <c r="J2369" s="4">
        <v>402553.12319999997</v>
      </c>
      <c r="L2369" s="4">
        <v>4</v>
      </c>
    </row>
    <row r="2370" spans="1:12">
      <c r="A2370" t="s">
        <v>95</v>
      </c>
      <c r="B2370" s="10">
        <v>45479</v>
      </c>
      <c r="C2370" s="18">
        <f t="shared" ref="C2370:C2433" si="37">MONTH(B2370)</f>
        <v>7</v>
      </c>
      <c r="D2370" t="s">
        <v>188</v>
      </c>
      <c r="E2370">
        <v>4878830</v>
      </c>
      <c r="F2370" t="s">
        <v>90</v>
      </c>
      <c r="G2370" t="s">
        <v>203</v>
      </c>
      <c r="H2370" t="s">
        <v>235</v>
      </c>
      <c r="I2370" s="4">
        <v>125766.4408</v>
      </c>
      <c r="J2370" s="4">
        <v>251532.88159999999</v>
      </c>
      <c r="L2370" s="4">
        <v>2</v>
      </c>
    </row>
    <row r="2371" spans="1:12">
      <c r="A2371" t="s">
        <v>95</v>
      </c>
      <c r="B2371" s="10">
        <v>45483</v>
      </c>
      <c r="C2371" s="18">
        <f t="shared" si="37"/>
        <v>7</v>
      </c>
      <c r="D2371" t="s">
        <v>188</v>
      </c>
      <c r="E2371">
        <v>4877018</v>
      </c>
      <c r="F2371" t="s">
        <v>89</v>
      </c>
      <c r="G2371" t="s">
        <v>203</v>
      </c>
      <c r="H2371" t="s">
        <v>228</v>
      </c>
      <c r="I2371" s="4">
        <v>100638.28079999999</v>
      </c>
      <c r="J2371" s="4">
        <v>1006382.808</v>
      </c>
      <c r="L2371" s="4">
        <v>10</v>
      </c>
    </row>
    <row r="2372" spans="1:12">
      <c r="A2372" t="s">
        <v>95</v>
      </c>
      <c r="B2372" s="10">
        <v>45483</v>
      </c>
      <c r="C2372" s="18">
        <f t="shared" si="37"/>
        <v>7</v>
      </c>
      <c r="D2372" t="s">
        <v>188</v>
      </c>
      <c r="E2372">
        <v>4877018</v>
      </c>
      <c r="F2372" t="s">
        <v>89</v>
      </c>
      <c r="G2372" t="s">
        <v>203</v>
      </c>
      <c r="H2372" t="s">
        <v>239</v>
      </c>
      <c r="I2372" s="4">
        <v>125766.4408</v>
      </c>
      <c r="J2372" s="4">
        <v>1634963.7304</v>
      </c>
      <c r="L2372" s="4">
        <v>13</v>
      </c>
    </row>
    <row r="2373" spans="1:12">
      <c r="A2373" t="s">
        <v>95</v>
      </c>
      <c r="B2373" s="10">
        <v>45483</v>
      </c>
      <c r="C2373" s="18">
        <f t="shared" si="37"/>
        <v>7</v>
      </c>
      <c r="D2373" t="s">
        <v>188</v>
      </c>
      <c r="E2373">
        <v>4876091</v>
      </c>
      <c r="F2373" t="s">
        <v>90</v>
      </c>
      <c r="G2373" t="s">
        <v>203</v>
      </c>
      <c r="H2373" t="s">
        <v>243</v>
      </c>
      <c r="I2373" s="4">
        <v>100638.28079999999</v>
      </c>
      <c r="J2373" s="4">
        <v>402553.12319999997</v>
      </c>
      <c r="L2373" s="4">
        <v>4</v>
      </c>
    </row>
    <row r="2374" spans="1:12">
      <c r="A2374" t="s">
        <v>95</v>
      </c>
      <c r="B2374" s="10">
        <v>45484</v>
      </c>
      <c r="C2374" s="18">
        <f t="shared" si="37"/>
        <v>7</v>
      </c>
      <c r="D2374" t="s">
        <v>180</v>
      </c>
      <c r="E2374">
        <v>4876604</v>
      </c>
      <c r="F2374" t="s">
        <v>87</v>
      </c>
      <c r="G2374" t="s">
        <v>203</v>
      </c>
      <c r="H2374" t="s">
        <v>240</v>
      </c>
      <c r="I2374" s="4">
        <v>100638.28079999999</v>
      </c>
      <c r="J2374" s="4">
        <v>603829.68479999993</v>
      </c>
      <c r="L2374" s="4">
        <v>6</v>
      </c>
    </row>
    <row r="2375" spans="1:12">
      <c r="A2375" t="s">
        <v>95</v>
      </c>
      <c r="B2375" s="10">
        <v>45486</v>
      </c>
      <c r="C2375" s="18">
        <f t="shared" si="37"/>
        <v>7</v>
      </c>
      <c r="D2375" t="s">
        <v>174</v>
      </c>
      <c r="E2375">
        <v>4876014</v>
      </c>
      <c r="F2375" t="s">
        <v>87</v>
      </c>
      <c r="G2375" t="s">
        <v>203</v>
      </c>
      <c r="H2375" t="s">
        <v>240</v>
      </c>
      <c r="I2375" s="4">
        <v>100638.28079999999</v>
      </c>
      <c r="J2375" s="4">
        <v>201276.56159999999</v>
      </c>
      <c r="L2375" s="4">
        <v>2</v>
      </c>
    </row>
    <row r="2376" spans="1:12">
      <c r="A2376" t="s">
        <v>95</v>
      </c>
      <c r="B2376" s="10">
        <v>45486</v>
      </c>
      <c r="C2376" s="18">
        <f t="shared" si="37"/>
        <v>7</v>
      </c>
      <c r="D2376" t="s">
        <v>174</v>
      </c>
      <c r="E2376">
        <v>4876014</v>
      </c>
      <c r="F2376" t="s">
        <v>87</v>
      </c>
      <c r="G2376" t="s">
        <v>203</v>
      </c>
      <c r="H2376" t="s">
        <v>234</v>
      </c>
      <c r="I2376" s="4">
        <v>100638.28079999999</v>
      </c>
      <c r="J2376" s="4">
        <v>402553.12319999997</v>
      </c>
      <c r="L2376" s="4">
        <v>4</v>
      </c>
    </row>
    <row r="2377" spans="1:12">
      <c r="A2377" t="s">
        <v>95</v>
      </c>
      <c r="B2377" s="10">
        <v>45487</v>
      </c>
      <c r="C2377" s="18">
        <f t="shared" si="37"/>
        <v>7</v>
      </c>
      <c r="D2377" t="s">
        <v>188</v>
      </c>
      <c r="E2377">
        <v>4876182</v>
      </c>
      <c r="F2377" t="s">
        <v>90</v>
      </c>
      <c r="G2377" t="s">
        <v>203</v>
      </c>
      <c r="H2377" t="s">
        <v>228</v>
      </c>
      <c r="I2377" s="4">
        <v>100638.28079999999</v>
      </c>
      <c r="J2377" s="4">
        <v>1006382.808</v>
      </c>
      <c r="L2377" s="4">
        <v>10</v>
      </c>
    </row>
    <row r="2378" spans="1:12">
      <c r="A2378" t="s">
        <v>95</v>
      </c>
      <c r="B2378" s="10">
        <v>45487</v>
      </c>
      <c r="C2378" s="18">
        <f t="shared" si="37"/>
        <v>7</v>
      </c>
      <c r="D2378" t="s">
        <v>188</v>
      </c>
      <c r="E2378">
        <v>4878040</v>
      </c>
      <c r="F2378" t="s">
        <v>88</v>
      </c>
      <c r="G2378" t="s">
        <v>203</v>
      </c>
      <c r="H2378" t="s">
        <v>227</v>
      </c>
      <c r="I2378" s="4">
        <v>100638.28079999999</v>
      </c>
      <c r="J2378" s="4">
        <v>201276.56159999999</v>
      </c>
      <c r="L2378" s="4">
        <v>2</v>
      </c>
    </row>
    <row r="2379" spans="1:12">
      <c r="A2379" t="s">
        <v>95</v>
      </c>
      <c r="B2379" s="10">
        <v>45487</v>
      </c>
      <c r="C2379" s="18">
        <f t="shared" si="37"/>
        <v>7</v>
      </c>
      <c r="D2379" t="s">
        <v>188</v>
      </c>
      <c r="E2379">
        <v>4878040</v>
      </c>
      <c r="F2379" t="s">
        <v>88</v>
      </c>
      <c r="G2379" t="s">
        <v>203</v>
      </c>
      <c r="H2379" t="s">
        <v>235</v>
      </c>
      <c r="I2379" s="4">
        <v>125766.4408</v>
      </c>
      <c r="J2379" s="4">
        <v>251532.88159999999</v>
      </c>
      <c r="L2379" s="4">
        <v>2</v>
      </c>
    </row>
    <row r="2380" spans="1:12">
      <c r="A2380" t="s">
        <v>95</v>
      </c>
      <c r="B2380" s="10">
        <v>45489</v>
      </c>
      <c r="C2380" s="18">
        <f t="shared" si="37"/>
        <v>7</v>
      </c>
      <c r="D2380" t="s">
        <v>188</v>
      </c>
      <c r="E2380">
        <v>4876241</v>
      </c>
      <c r="F2380" t="s">
        <v>89</v>
      </c>
      <c r="G2380" t="s">
        <v>203</v>
      </c>
      <c r="H2380" t="s">
        <v>230</v>
      </c>
      <c r="I2380" s="4">
        <v>100638.28079999999</v>
      </c>
      <c r="J2380" s="4">
        <v>402553.12319999997</v>
      </c>
      <c r="L2380" s="4">
        <v>4</v>
      </c>
    </row>
    <row r="2381" spans="1:12">
      <c r="A2381" t="s">
        <v>95</v>
      </c>
      <c r="B2381" s="10">
        <v>45489</v>
      </c>
      <c r="C2381" s="18">
        <f t="shared" si="37"/>
        <v>7</v>
      </c>
      <c r="D2381" t="s">
        <v>192</v>
      </c>
      <c r="E2381">
        <v>4876156</v>
      </c>
      <c r="F2381" t="s">
        <v>87</v>
      </c>
      <c r="G2381" t="s">
        <v>203</v>
      </c>
      <c r="H2381" t="s">
        <v>230</v>
      </c>
      <c r="I2381" s="4">
        <v>100638.28079999999</v>
      </c>
      <c r="J2381" s="4">
        <v>603829.68479999993</v>
      </c>
      <c r="L2381" s="4">
        <v>6</v>
      </c>
    </row>
    <row r="2382" spans="1:12">
      <c r="A2382" t="s">
        <v>95</v>
      </c>
      <c r="B2382" s="10">
        <v>45489</v>
      </c>
      <c r="C2382" s="18">
        <f t="shared" si="37"/>
        <v>7</v>
      </c>
      <c r="D2382" t="s">
        <v>192</v>
      </c>
      <c r="E2382">
        <v>4876156</v>
      </c>
      <c r="F2382" t="s">
        <v>87</v>
      </c>
      <c r="G2382" t="s">
        <v>203</v>
      </c>
      <c r="H2382" t="s">
        <v>235</v>
      </c>
      <c r="I2382" s="4">
        <v>125766.4408</v>
      </c>
      <c r="J2382" s="4">
        <v>503065.76319999999</v>
      </c>
      <c r="L2382" s="4">
        <v>4</v>
      </c>
    </row>
    <row r="2383" spans="1:12">
      <c r="A2383" t="s">
        <v>95</v>
      </c>
      <c r="B2383" s="10">
        <v>45491</v>
      </c>
      <c r="C2383" s="18">
        <f t="shared" si="37"/>
        <v>7</v>
      </c>
      <c r="D2383" t="s">
        <v>180</v>
      </c>
      <c r="E2383">
        <v>4876241</v>
      </c>
      <c r="F2383" t="s">
        <v>89</v>
      </c>
      <c r="G2383" t="s">
        <v>203</v>
      </c>
      <c r="H2383" t="s">
        <v>238</v>
      </c>
      <c r="I2383" s="4">
        <v>95606.36675999999</v>
      </c>
      <c r="J2383" s="4">
        <v>382425.46703999996</v>
      </c>
      <c r="L2383" s="4">
        <v>4</v>
      </c>
    </row>
    <row r="2384" spans="1:12">
      <c r="A2384" t="s">
        <v>95</v>
      </c>
      <c r="B2384" s="10">
        <v>45491</v>
      </c>
      <c r="C2384" s="18">
        <f t="shared" si="37"/>
        <v>7</v>
      </c>
      <c r="D2384" t="s">
        <v>188</v>
      </c>
      <c r="E2384">
        <v>4877018</v>
      </c>
      <c r="F2384" t="s">
        <v>89</v>
      </c>
      <c r="G2384" t="s">
        <v>203</v>
      </c>
      <c r="H2384" t="s">
        <v>230</v>
      </c>
      <c r="I2384" s="4">
        <v>100638.28079999999</v>
      </c>
      <c r="J2384" s="4">
        <v>2616595.3007999999</v>
      </c>
      <c r="L2384" s="4">
        <v>26</v>
      </c>
    </row>
    <row r="2385" spans="1:12">
      <c r="A2385" t="s">
        <v>95</v>
      </c>
      <c r="B2385" s="10">
        <v>45491</v>
      </c>
      <c r="C2385" s="18">
        <f t="shared" si="37"/>
        <v>7</v>
      </c>
      <c r="D2385" t="s">
        <v>188</v>
      </c>
      <c r="E2385">
        <v>4877018</v>
      </c>
      <c r="F2385" t="s">
        <v>89</v>
      </c>
      <c r="G2385" t="s">
        <v>203</v>
      </c>
      <c r="H2385" t="s">
        <v>235</v>
      </c>
      <c r="I2385" s="4">
        <v>125766.4408</v>
      </c>
      <c r="J2385" s="4">
        <v>1886496.612</v>
      </c>
      <c r="L2385" s="4">
        <v>15</v>
      </c>
    </row>
    <row r="2386" spans="1:12">
      <c r="A2386" t="s">
        <v>95</v>
      </c>
      <c r="B2386" s="10">
        <v>45493</v>
      </c>
      <c r="C2386" s="18">
        <f t="shared" si="37"/>
        <v>7</v>
      </c>
      <c r="D2386" t="s">
        <v>188</v>
      </c>
      <c r="E2386">
        <v>4876393</v>
      </c>
      <c r="F2386" t="s">
        <v>87</v>
      </c>
      <c r="G2386" t="s">
        <v>203</v>
      </c>
      <c r="H2386" t="s">
        <v>230</v>
      </c>
      <c r="I2386" s="4">
        <v>100638.28079999999</v>
      </c>
      <c r="J2386" s="4">
        <v>402553.12319999997</v>
      </c>
      <c r="L2386" s="4">
        <v>4</v>
      </c>
    </row>
    <row r="2387" spans="1:12">
      <c r="A2387" t="s">
        <v>95</v>
      </c>
      <c r="B2387" s="10">
        <v>45493</v>
      </c>
      <c r="C2387" s="18">
        <f t="shared" si="37"/>
        <v>7</v>
      </c>
      <c r="D2387" t="s">
        <v>188</v>
      </c>
      <c r="E2387">
        <v>4876465</v>
      </c>
      <c r="F2387" t="s">
        <v>87</v>
      </c>
      <c r="G2387" t="s">
        <v>203</v>
      </c>
      <c r="H2387" t="s">
        <v>234</v>
      </c>
      <c r="I2387" s="4">
        <v>100638.28079999999</v>
      </c>
      <c r="J2387" s="4">
        <v>402553.12319999997</v>
      </c>
      <c r="L2387" s="4">
        <v>4</v>
      </c>
    </row>
    <row r="2388" spans="1:12">
      <c r="A2388" t="s">
        <v>95</v>
      </c>
      <c r="B2388" s="10">
        <v>45493</v>
      </c>
      <c r="C2388" s="18">
        <f t="shared" si="37"/>
        <v>7</v>
      </c>
      <c r="D2388" t="s">
        <v>188</v>
      </c>
      <c r="E2388">
        <v>4876465</v>
      </c>
      <c r="F2388" t="s">
        <v>87</v>
      </c>
      <c r="G2388" t="s">
        <v>203</v>
      </c>
      <c r="H2388" t="s">
        <v>231</v>
      </c>
      <c r="I2388" s="4">
        <v>125766.4408</v>
      </c>
      <c r="J2388" s="4">
        <v>251532.88159999999</v>
      </c>
      <c r="L2388" s="4">
        <v>2</v>
      </c>
    </row>
    <row r="2389" spans="1:12">
      <c r="A2389" t="s">
        <v>95</v>
      </c>
      <c r="B2389" s="10">
        <v>45495</v>
      </c>
      <c r="C2389" s="18">
        <f t="shared" si="37"/>
        <v>7</v>
      </c>
      <c r="D2389" t="s">
        <v>188</v>
      </c>
      <c r="E2389">
        <v>4876241</v>
      </c>
      <c r="F2389" t="s">
        <v>89</v>
      </c>
      <c r="G2389" t="s">
        <v>203</v>
      </c>
      <c r="H2389" t="s">
        <v>222</v>
      </c>
      <c r="I2389" s="4">
        <v>100638.28079999999</v>
      </c>
      <c r="J2389" s="4">
        <v>603829.68479999993</v>
      </c>
      <c r="L2389" s="4">
        <v>6</v>
      </c>
    </row>
    <row r="2390" spans="1:12">
      <c r="A2390" t="s">
        <v>95</v>
      </c>
      <c r="B2390" s="10">
        <v>45495</v>
      </c>
      <c r="C2390" s="18">
        <f t="shared" si="37"/>
        <v>7</v>
      </c>
      <c r="D2390" t="s">
        <v>188</v>
      </c>
      <c r="E2390">
        <v>4876241</v>
      </c>
      <c r="F2390" t="s">
        <v>89</v>
      </c>
      <c r="G2390" t="s">
        <v>203</v>
      </c>
      <c r="H2390" t="s">
        <v>235</v>
      </c>
      <c r="I2390" s="4">
        <v>125766.4408</v>
      </c>
      <c r="J2390" s="4">
        <v>1006131.5264</v>
      </c>
      <c r="L2390" s="4">
        <v>8</v>
      </c>
    </row>
    <row r="2391" spans="1:12">
      <c r="A2391" t="s">
        <v>95</v>
      </c>
      <c r="B2391" s="10">
        <v>45495</v>
      </c>
      <c r="C2391" s="18">
        <f t="shared" si="37"/>
        <v>7</v>
      </c>
      <c r="D2391" t="s">
        <v>188</v>
      </c>
      <c r="E2391">
        <v>6080252</v>
      </c>
      <c r="F2391" t="s">
        <v>90</v>
      </c>
      <c r="G2391" t="s">
        <v>203</v>
      </c>
      <c r="H2391" t="s">
        <v>243</v>
      </c>
      <c r="I2391" s="4">
        <v>100638.28079999999</v>
      </c>
      <c r="J2391" s="4">
        <v>201276.56159999999</v>
      </c>
      <c r="L2391" s="4">
        <v>2</v>
      </c>
    </row>
    <row r="2392" spans="1:12">
      <c r="A2392" t="s">
        <v>95</v>
      </c>
      <c r="B2392" s="10">
        <v>45495</v>
      </c>
      <c r="C2392" s="18">
        <f t="shared" si="37"/>
        <v>7</v>
      </c>
      <c r="D2392" t="s">
        <v>188</v>
      </c>
      <c r="E2392">
        <v>6080252</v>
      </c>
      <c r="F2392" t="s">
        <v>90</v>
      </c>
      <c r="G2392" t="s">
        <v>203</v>
      </c>
      <c r="H2392" t="s">
        <v>235</v>
      </c>
      <c r="I2392" s="4">
        <v>125766.4408</v>
      </c>
      <c r="J2392" s="4">
        <v>251532.88159999999</v>
      </c>
      <c r="L2392" s="4">
        <v>2</v>
      </c>
    </row>
    <row r="2393" spans="1:12">
      <c r="A2393" t="s">
        <v>95</v>
      </c>
      <c r="B2393" s="10">
        <v>45496</v>
      </c>
      <c r="C2393" s="18">
        <f t="shared" si="37"/>
        <v>7</v>
      </c>
      <c r="D2393" t="s">
        <v>192</v>
      </c>
      <c r="E2393">
        <v>4876156</v>
      </c>
      <c r="F2393" t="s">
        <v>87</v>
      </c>
      <c r="G2393" t="s">
        <v>203</v>
      </c>
      <c r="H2393" t="s">
        <v>232</v>
      </c>
      <c r="I2393" s="4">
        <v>100638.28079999999</v>
      </c>
      <c r="J2393" s="4">
        <v>100638.28079999999</v>
      </c>
      <c r="L2393" s="4">
        <v>1</v>
      </c>
    </row>
    <row r="2394" spans="1:12">
      <c r="A2394" t="s">
        <v>95</v>
      </c>
      <c r="B2394" s="10">
        <v>45496</v>
      </c>
      <c r="C2394" s="18">
        <f t="shared" si="37"/>
        <v>7</v>
      </c>
      <c r="D2394" t="s">
        <v>192</v>
      </c>
      <c r="E2394">
        <v>4876156</v>
      </c>
      <c r="F2394" t="s">
        <v>87</v>
      </c>
      <c r="G2394" t="s">
        <v>203</v>
      </c>
      <c r="H2394" t="s">
        <v>231</v>
      </c>
      <c r="I2394" s="4">
        <v>125766.4408</v>
      </c>
      <c r="J2394" s="4">
        <v>628832.20400000003</v>
      </c>
      <c r="L2394" s="4">
        <v>5</v>
      </c>
    </row>
    <row r="2395" spans="1:12">
      <c r="A2395" t="s">
        <v>95</v>
      </c>
      <c r="B2395" s="10">
        <v>45500</v>
      </c>
      <c r="C2395" s="18">
        <f t="shared" si="37"/>
        <v>7</v>
      </c>
      <c r="D2395" t="s">
        <v>188</v>
      </c>
      <c r="E2395">
        <v>4875913</v>
      </c>
      <c r="F2395" t="s">
        <v>87</v>
      </c>
      <c r="G2395" t="s">
        <v>203</v>
      </c>
      <c r="H2395" t="s">
        <v>232</v>
      </c>
      <c r="I2395" s="4">
        <v>100638.28079999999</v>
      </c>
      <c r="J2395" s="4">
        <v>100638.28079999999</v>
      </c>
      <c r="L2395" s="4">
        <v>1</v>
      </c>
    </row>
    <row r="2396" spans="1:12">
      <c r="A2396" t="s">
        <v>95</v>
      </c>
      <c r="B2396" s="10">
        <v>45500</v>
      </c>
      <c r="C2396" s="18">
        <f t="shared" si="37"/>
        <v>7</v>
      </c>
      <c r="D2396" t="s">
        <v>188</v>
      </c>
      <c r="E2396">
        <v>4875913</v>
      </c>
      <c r="F2396" t="s">
        <v>87</v>
      </c>
      <c r="G2396" t="s">
        <v>203</v>
      </c>
      <c r="H2396" t="s">
        <v>235</v>
      </c>
      <c r="I2396" s="4">
        <v>125766.4408</v>
      </c>
      <c r="J2396" s="4">
        <v>125766.4408</v>
      </c>
      <c r="L2396" s="4">
        <v>1</v>
      </c>
    </row>
    <row r="2397" spans="1:12">
      <c r="A2397" t="s">
        <v>95</v>
      </c>
      <c r="B2397" s="10">
        <v>45501</v>
      </c>
      <c r="C2397" s="18">
        <f t="shared" si="37"/>
        <v>7</v>
      </c>
      <c r="D2397" t="s">
        <v>188</v>
      </c>
      <c r="E2397">
        <v>4877327</v>
      </c>
      <c r="F2397" t="s">
        <v>90</v>
      </c>
      <c r="G2397" t="s">
        <v>203</v>
      </c>
      <c r="H2397" t="s">
        <v>227</v>
      </c>
      <c r="I2397" s="4">
        <v>100638.28079999999</v>
      </c>
      <c r="J2397" s="4">
        <v>201276.56159999999</v>
      </c>
      <c r="L2397" s="4">
        <v>2</v>
      </c>
    </row>
    <row r="2398" spans="1:12">
      <c r="A2398" t="s">
        <v>95</v>
      </c>
      <c r="B2398" s="10">
        <v>45502</v>
      </c>
      <c r="C2398" s="18">
        <f t="shared" si="37"/>
        <v>7</v>
      </c>
      <c r="D2398" t="s">
        <v>188</v>
      </c>
      <c r="E2398">
        <v>4877183</v>
      </c>
      <c r="F2398" t="s">
        <v>90</v>
      </c>
      <c r="G2398" t="s">
        <v>203</v>
      </c>
      <c r="H2398" t="s">
        <v>230</v>
      </c>
      <c r="I2398" s="4">
        <v>100638.28079999999</v>
      </c>
      <c r="J2398" s="4">
        <v>201276.56159999999</v>
      </c>
      <c r="L2398" s="4">
        <v>2</v>
      </c>
    </row>
    <row r="2399" spans="1:12">
      <c r="A2399" t="s">
        <v>95</v>
      </c>
      <c r="B2399" s="10">
        <v>45503</v>
      </c>
      <c r="C2399" s="18">
        <f t="shared" si="37"/>
        <v>7</v>
      </c>
      <c r="D2399" t="s">
        <v>191</v>
      </c>
      <c r="E2399">
        <v>4876412</v>
      </c>
      <c r="F2399" t="s">
        <v>89</v>
      </c>
      <c r="G2399" t="s">
        <v>203</v>
      </c>
      <c r="H2399" t="s">
        <v>238</v>
      </c>
      <c r="I2399" s="4">
        <v>95606.36675999999</v>
      </c>
      <c r="J2399" s="4">
        <v>478031.83379999996</v>
      </c>
      <c r="L2399" s="4">
        <v>5</v>
      </c>
    </row>
    <row r="2400" spans="1:12">
      <c r="A2400" t="s">
        <v>95</v>
      </c>
      <c r="B2400" s="10">
        <v>45503</v>
      </c>
      <c r="C2400" s="18">
        <f t="shared" si="37"/>
        <v>7</v>
      </c>
      <c r="D2400" t="s">
        <v>191</v>
      </c>
      <c r="E2400">
        <v>4876412</v>
      </c>
      <c r="F2400" t="s">
        <v>89</v>
      </c>
      <c r="G2400" t="s">
        <v>203</v>
      </c>
      <c r="H2400" t="s">
        <v>229</v>
      </c>
      <c r="I2400" s="4">
        <v>125766.4408</v>
      </c>
      <c r="J2400" s="4">
        <v>628832.20400000003</v>
      </c>
      <c r="L2400" s="4">
        <v>5</v>
      </c>
    </row>
    <row r="2401" spans="1:12">
      <c r="A2401" t="s">
        <v>95</v>
      </c>
      <c r="B2401" s="10">
        <v>45504</v>
      </c>
      <c r="C2401" s="18">
        <f t="shared" si="37"/>
        <v>7</v>
      </c>
      <c r="D2401" t="s">
        <v>188</v>
      </c>
      <c r="E2401">
        <v>4877018</v>
      </c>
      <c r="F2401" t="s">
        <v>89</v>
      </c>
      <c r="G2401" t="s">
        <v>203</v>
      </c>
      <c r="H2401" t="s">
        <v>229</v>
      </c>
      <c r="I2401" s="4">
        <v>125766.4408</v>
      </c>
      <c r="J2401" s="4">
        <v>251532.88159999999</v>
      </c>
      <c r="L2401" s="4">
        <v>2</v>
      </c>
    </row>
    <row r="2402" spans="1:12">
      <c r="A2402" t="s">
        <v>108</v>
      </c>
      <c r="B2402" s="10">
        <v>45481</v>
      </c>
      <c r="C2402" s="18">
        <f t="shared" si="37"/>
        <v>7</v>
      </c>
      <c r="D2402" t="s">
        <v>169</v>
      </c>
      <c r="E2402">
        <v>4877395</v>
      </c>
      <c r="F2402" t="s">
        <v>87</v>
      </c>
      <c r="G2402" t="s">
        <v>203</v>
      </c>
      <c r="H2402" t="s">
        <v>244</v>
      </c>
      <c r="I2402" s="4">
        <v>125766.4408</v>
      </c>
      <c r="J2402" s="4">
        <v>754598.64480000001</v>
      </c>
      <c r="L2402" s="4">
        <v>6</v>
      </c>
    </row>
    <row r="2403" spans="1:12">
      <c r="A2403" t="s">
        <v>108</v>
      </c>
      <c r="B2403" s="10">
        <v>45484</v>
      </c>
      <c r="C2403" s="18">
        <f t="shared" si="37"/>
        <v>7</v>
      </c>
      <c r="D2403" t="s">
        <v>193</v>
      </c>
      <c r="E2403">
        <v>4878051</v>
      </c>
      <c r="F2403" t="s">
        <v>90</v>
      </c>
      <c r="G2403" t="s">
        <v>203</v>
      </c>
      <c r="H2403" t="s">
        <v>240</v>
      </c>
      <c r="I2403" s="4">
        <v>100638.28079999999</v>
      </c>
      <c r="J2403" s="4">
        <v>201276.56159999999</v>
      </c>
      <c r="L2403" s="4">
        <v>2</v>
      </c>
    </row>
    <row r="2404" spans="1:12">
      <c r="A2404" t="s">
        <v>108</v>
      </c>
      <c r="B2404" s="10">
        <v>45484</v>
      </c>
      <c r="C2404" s="18">
        <f t="shared" si="37"/>
        <v>7</v>
      </c>
      <c r="D2404" t="s">
        <v>193</v>
      </c>
      <c r="E2404">
        <v>4878051</v>
      </c>
      <c r="F2404" t="s">
        <v>90</v>
      </c>
      <c r="G2404" t="s">
        <v>203</v>
      </c>
      <c r="H2404" t="s">
        <v>238</v>
      </c>
      <c r="I2404" s="4">
        <v>95606.36675999999</v>
      </c>
      <c r="J2404" s="4">
        <v>191212.73351999998</v>
      </c>
      <c r="L2404" s="4">
        <v>2</v>
      </c>
    </row>
    <row r="2405" spans="1:12">
      <c r="A2405" t="s">
        <v>108</v>
      </c>
      <c r="B2405" s="10">
        <v>45486</v>
      </c>
      <c r="C2405" s="18">
        <f t="shared" si="37"/>
        <v>7</v>
      </c>
      <c r="D2405" t="s">
        <v>170</v>
      </c>
      <c r="E2405">
        <v>6080413</v>
      </c>
      <c r="F2405" t="s">
        <v>88</v>
      </c>
      <c r="G2405" t="s">
        <v>204</v>
      </c>
      <c r="H2405" t="s">
        <v>217</v>
      </c>
      <c r="I2405" s="4">
        <v>78022.936799999996</v>
      </c>
      <c r="J2405" s="4">
        <v>78022.936799999996</v>
      </c>
      <c r="L2405" s="4">
        <v>1</v>
      </c>
    </row>
    <row r="2406" spans="1:12">
      <c r="A2406" t="s">
        <v>108</v>
      </c>
      <c r="B2406" s="10">
        <v>45486</v>
      </c>
      <c r="C2406" s="18">
        <f t="shared" si="37"/>
        <v>7</v>
      </c>
      <c r="D2406" t="s">
        <v>170</v>
      </c>
      <c r="E2406">
        <v>6080413</v>
      </c>
      <c r="F2406" t="s">
        <v>88</v>
      </c>
      <c r="G2406" t="s">
        <v>204</v>
      </c>
      <c r="H2406" t="s">
        <v>216</v>
      </c>
      <c r="I2406" s="4">
        <v>113202.36079999999</v>
      </c>
      <c r="J2406" s="4">
        <v>113202.36079999999</v>
      </c>
      <c r="L2406" s="4">
        <v>1</v>
      </c>
    </row>
    <row r="2407" spans="1:12">
      <c r="A2407" t="s">
        <v>108</v>
      </c>
      <c r="B2407" s="10">
        <v>45486</v>
      </c>
      <c r="C2407" s="18">
        <f t="shared" si="37"/>
        <v>7</v>
      </c>
      <c r="D2407" t="s">
        <v>170</v>
      </c>
      <c r="E2407">
        <v>6080413</v>
      </c>
      <c r="F2407" t="s">
        <v>88</v>
      </c>
      <c r="G2407" t="s">
        <v>204</v>
      </c>
      <c r="H2407" t="s">
        <v>215</v>
      </c>
      <c r="I2407" s="4">
        <v>75510.12079999999</v>
      </c>
      <c r="J2407" s="4">
        <v>75510.12079999999</v>
      </c>
      <c r="L2407" s="4">
        <v>1</v>
      </c>
    </row>
    <row r="2408" spans="1:12">
      <c r="A2408" t="s">
        <v>108</v>
      </c>
      <c r="B2408" s="10">
        <v>45495</v>
      </c>
      <c r="C2408" s="18">
        <f t="shared" si="37"/>
        <v>7</v>
      </c>
      <c r="D2408" t="s">
        <v>169</v>
      </c>
      <c r="E2408">
        <v>4877395</v>
      </c>
      <c r="F2408" t="s">
        <v>87</v>
      </c>
      <c r="G2408" t="s">
        <v>203</v>
      </c>
      <c r="H2408" t="s">
        <v>237</v>
      </c>
      <c r="I2408" s="4">
        <v>125766.4408</v>
      </c>
      <c r="J2408" s="4">
        <v>628832.20400000003</v>
      </c>
      <c r="L2408" s="4">
        <v>5</v>
      </c>
    </row>
    <row r="2409" spans="1:12">
      <c r="A2409" t="s">
        <v>108</v>
      </c>
      <c r="B2409" s="10">
        <v>45496</v>
      </c>
      <c r="C2409" s="18">
        <f t="shared" si="37"/>
        <v>7</v>
      </c>
      <c r="D2409" t="s">
        <v>193</v>
      </c>
      <c r="E2409">
        <v>4878051</v>
      </c>
      <c r="F2409" t="s">
        <v>90</v>
      </c>
      <c r="G2409" t="s">
        <v>203</v>
      </c>
      <c r="H2409" t="s">
        <v>238</v>
      </c>
      <c r="I2409" s="4">
        <v>95606.36675999999</v>
      </c>
      <c r="J2409" s="4">
        <v>669244.56731999991</v>
      </c>
      <c r="L2409" s="4">
        <v>7</v>
      </c>
    </row>
    <row r="2410" spans="1:12">
      <c r="A2410" t="s">
        <v>108</v>
      </c>
      <c r="B2410" s="10">
        <v>45502</v>
      </c>
      <c r="C2410" s="18">
        <f t="shared" si="37"/>
        <v>7</v>
      </c>
      <c r="D2410" t="s">
        <v>178</v>
      </c>
      <c r="E2410">
        <v>6080236</v>
      </c>
      <c r="F2410" t="s">
        <v>89</v>
      </c>
      <c r="G2410" t="s">
        <v>203</v>
      </c>
      <c r="H2410" t="s">
        <v>243</v>
      </c>
      <c r="I2410" s="4">
        <v>100638.28079999999</v>
      </c>
      <c r="J2410" s="4">
        <v>1207659.3695999999</v>
      </c>
      <c r="L2410" s="4">
        <v>12</v>
      </c>
    </row>
    <row r="2411" spans="1:12">
      <c r="A2411" t="s">
        <v>108</v>
      </c>
      <c r="B2411" s="10">
        <v>45502</v>
      </c>
      <c r="C2411" s="18">
        <f t="shared" si="37"/>
        <v>7</v>
      </c>
      <c r="D2411" t="s">
        <v>178</v>
      </c>
      <c r="E2411">
        <v>6080236</v>
      </c>
      <c r="F2411" t="s">
        <v>89</v>
      </c>
      <c r="G2411" t="s">
        <v>203</v>
      </c>
      <c r="H2411" t="s">
        <v>239</v>
      </c>
      <c r="I2411" s="4">
        <v>125766.4408</v>
      </c>
      <c r="J2411" s="4">
        <v>628832.20400000003</v>
      </c>
      <c r="L2411" s="4">
        <v>5</v>
      </c>
    </row>
    <row r="2412" spans="1:12">
      <c r="A2412" t="s">
        <v>106</v>
      </c>
      <c r="B2412" s="10">
        <v>45474</v>
      </c>
      <c r="C2412" s="18">
        <f t="shared" si="37"/>
        <v>7</v>
      </c>
      <c r="D2412" t="s">
        <v>135</v>
      </c>
      <c r="E2412">
        <v>4872948</v>
      </c>
      <c r="F2412" t="s">
        <v>88</v>
      </c>
      <c r="G2412" t="s">
        <v>203</v>
      </c>
      <c r="H2412" t="s">
        <v>243</v>
      </c>
      <c r="I2412" s="4">
        <v>100638.28079999999</v>
      </c>
      <c r="J2412" s="4">
        <v>402553.12319999997</v>
      </c>
      <c r="L2412" s="4">
        <v>4</v>
      </c>
    </row>
    <row r="2413" spans="1:12">
      <c r="A2413" t="s">
        <v>106</v>
      </c>
      <c r="B2413" s="10">
        <v>45474</v>
      </c>
      <c r="C2413" s="18">
        <f t="shared" si="37"/>
        <v>7</v>
      </c>
      <c r="D2413" t="s">
        <v>135</v>
      </c>
      <c r="E2413">
        <v>4872948</v>
      </c>
      <c r="F2413" t="s">
        <v>88</v>
      </c>
      <c r="G2413" t="s">
        <v>203</v>
      </c>
      <c r="H2413" t="s">
        <v>224</v>
      </c>
      <c r="I2413" s="4">
        <v>100638.28079999999</v>
      </c>
      <c r="J2413" s="4">
        <v>402553.12319999997</v>
      </c>
      <c r="L2413" s="4">
        <v>4</v>
      </c>
    </row>
    <row r="2414" spans="1:12">
      <c r="A2414" t="s">
        <v>106</v>
      </c>
      <c r="B2414" s="10">
        <v>45474</v>
      </c>
      <c r="C2414" s="18">
        <f t="shared" si="37"/>
        <v>7</v>
      </c>
      <c r="D2414" t="s">
        <v>135</v>
      </c>
      <c r="E2414">
        <v>4872613</v>
      </c>
      <c r="F2414" t="s">
        <v>88</v>
      </c>
      <c r="G2414" t="s">
        <v>203</v>
      </c>
      <c r="H2414" t="s">
        <v>243</v>
      </c>
      <c r="I2414" s="4">
        <v>100638.28079999999</v>
      </c>
      <c r="J2414" s="4">
        <v>201276.56159999999</v>
      </c>
      <c r="L2414" s="4">
        <v>2</v>
      </c>
    </row>
    <row r="2415" spans="1:12">
      <c r="A2415" t="s">
        <v>106</v>
      </c>
      <c r="B2415" s="10">
        <v>45474</v>
      </c>
      <c r="C2415" s="18">
        <f t="shared" si="37"/>
        <v>7</v>
      </c>
      <c r="D2415" t="s">
        <v>135</v>
      </c>
      <c r="E2415">
        <v>4872613</v>
      </c>
      <c r="F2415" t="s">
        <v>88</v>
      </c>
      <c r="G2415" t="s">
        <v>203</v>
      </c>
      <c r="H2415" t="s">
        <v>224</v>
      </c>
      <c r="I2415" s="4">
        <v>100638.28079999999</v>
      </c>
      <c r="J2415" s="4">
        <v>201276.56159999999</v>
      </c>
      <c r="L2415" s="4">
        <v>2</v>
      </c>
    </row>
    <row r="2416" spans="1:12">
      <c r="A2416" t="s">
        <v>106</v>
      </c>
      <c r="B2416" s="10">
        <v>45476</v>
      </c>
      <c r="C2416" s="18">
        <f t="shared" si="37"/>
        <v>7</v>
      </c>
      <c r="D2416" t="s">
        <v>135</v>
      </c>
      <c r="E2416">
        <v>6088435</v>
      </c>
      <c r="F2416" t="s">
        <v>90</v>
      </c>
      <c r="G2416" t="s">
        <v>203</v>
      </c>
      <c r="H2416" t="s">
        <v>243</v>
      </c>
      <c r="I2416" s="4">
        <v>100638.28079999999</v>
      </c>
      <c r="J2416" s="4">
        <v>402553.12319999997</v>
      </c>
      <c r="L2416" s="4">
        <v>4</v>
      </c>
    </row>
    <row r="2417" spans="1:12">
      <c r="A2417" t="s">
        <v>106</v>
      </c>
      <c r="B2417" s="10">
        <v>45476</v>
      </c>
      <c r="C2417" s="18">
        <f t="shared" si="37"/>
        <v>7</v>
      </c>
      <c r="D2417" t="s">
        <v>135</v>
      </c>
      <c r="E2417">
        <v>6088435</v>
      </c>
      <c r="F2417" t="s">
        <v>90</v>
      </c>
      <c r="G2417" t="s">
        <v>203</v>
      </c>
      <c r="H2417" t="s">
        <v>224</v>
      </c>
      <c r="I2417" s="4">
        <v>100638.28079999999</v>
      </c>
      <c r="J2417" s="4">
        <v>603829.68479999993</v>
      </c>
      <c r="L2417" s="4">
        <v>6</v>
      </c>
    </row>
    <row r="2418" spans="1:12">
      <c r="A2418" t="s">
        <v>106</v>
      </c>
      <c r="B2418" s="10">
        <v>45477</v>
      </c>
      <c r="C2418" s="18">
        <f t="shared" si="37"/>
        <v>7</v>
      </c>
      <c r="D2418" t="s">
        <v>135</v>
      </c>
      <c r="E2418">
        <v>4875762</v>
      </c>
      <c r="F2418" t="s">
        <v>88</v>
      </c>
      <c r="G2418" t="s">
        <v>203</v>
      </c>
      <c r="H2418" t="s">
        <v>243</v>
      </c>
      <c r="I2418" s="4">
        <v>100638.28079999999</v>
      </c>
      <c r="J2418" s="4">
        <v>201276.56159999999</v>
      </c>
      <c r="L2418" s="4">
        <v>2</v>
      </c>
    </row>
    <row r="2419" spans="1:12">
      <c r="A2419" t="s">
        <v>106</v>
      </c>
      <c r="B2419" s="10">
        <v>45477</v>
      </c>
      <c r="C2419" s="18">
        <f t="shared" si="37"/>
        <v>7</v>
      </c>
      <c r="D2419" t="s">
        <v>135</v>
      </c>
      <c r="E2419">
        <v>4875762</v>
      </c>
      <c r="F2419" t="s">
        <v>88</v>
      </c>
      <c r="G2419" t="s">
        <v>203</v>
      </c>
      <c r="H2419" t="s">
        <v>224</v>
      </c>
      <c r="I2419" s="4">
        <v>100638.28079999999</v>
      </c>
      <c r="J2419" s="4">
        <v>603829.68479999993</v>
      </c>
      <c r="L2419" s="4">
        <v>6</v>
      </c>
    </row>
    <row r="2420" spans="1:12">
      <c r="A2420" t="s">
        <v>106</v>
      </c>
      <c r="B2420" s="10">
        <v>45478</v>
      </c>
      <c r="C2420" s="18">
        <f t="shared" si="37"/>
        <v>7</v>
      </c>
      <c r="D2420" t="s">
        <v>135</v>
      </c>
      <c r="E2420">
        <v>6080798</v>
      </c>
      <c r="F2420" t="s">
        <v>88</v>
      </c>
      <c r="G2420" t="s">
        <v>204</v>
      </c>
      <c r="H2420" t="s">
        <v>219</v>
      </c>
      <c r="I2420" s="4">
        <v>44099.9208</v>
      </c>
      <c r="J2420" s="4">
        <v>220499.60399999999</v>
      </c>
      <c r="L2420" s="4">
        <v>5</v>
      </c>
    </row>
    <row r="2421" spans="1:12">
      <c r="A2421" t="s">
        <v>106</v>
      </c>
      <c r="B2421" s="10">
        <v>45479</v>
      </c>
      <c r="C2421" s="18">
        <f t="shared" si="37"/>
        <v>7</v>
      </c>
      <c r="D2421" t="s">
        <v>135</v>
      </c>
      <c r="E2421">
        <v>4878797</v>
      </c>
      <c r="F2421" t="s">
        <v>88</v>
      </c>
      <c r="G2421" t="s">
        <v>204</v>
      </c>
      <c r="H2421" t="s">
        <v>212</v>
      </c>
      <c r="I2421" s="4">
        <v>62946.040799999995</v>
      </c>
      <c r="J2421" s="4">
        <v>251784.16319999998</v>
      </c>
      <c r="L2421" s="4">
        <v>4</v>
      </c>
    </row>
    <row r="2422" spans="1:12">
      <c r="A2422" t="s">
        <v>106</v>
      </c>
      <c r="B2422" s="10">
        <v>45488</v>
      </c>
      <c r="C2422" s="18">
        <f t="shared" si="37"/>
        <v>7</v>
      </c>
      <c r="D2422" t="s">
        <v>135</v>
      </c>
      <c r="E2422">
        <v>4876331</v>
      </c>
      <c r="F2422" t="s">
        <v>89</v>
      </c>
      <c r="G2422" t="s">
        <v>203</v>
      </c>
      <c r="H2422" t="s">
        <v>236</v>
      </c>
      <c r="I2422" s="4">
        <v>100638.28079999999</v>
      </c>
      <c r="J2422" s="4">
        <v>402553.12319999997</v>
      </c>
      <c r="L2422" s="4">
        <v>4</v>
      </c>
    </row>
    <row r="2423" spans="1:12">
      <c r="A2423" t="s">
        <v>106</v>
      </c>
      <c r="B2423" s="10">
        <v>45488</v>
      </c>
      <c r="C2423" s="18">
        <f t="shared" si="37"/>
        <v>7</v>
      </c>
      <c r="D2423" t="s">
        <v>135</v>
      </c>
      <c r="E2423">
        <v>4876331</v>
      </c>
      <c r="F2423" t="s">
        <v>89</v>
      </c>
      <c r="G2423" t="s">
        <v>203</v>
      </c>
      <c r="H2423" t="s">
        <v>228</v>
      </c>
      <c r="I2423" s="4">
        <v>100638.28079999999</v>
      </c>
      <c r="J2423" s="4">
        <v>603829.68479999993</v>
      </c>
      <c r="L2423" s="4">
        <v>6</v>
      </c>
    </row>
    <row r="2424" spans="1:12">
      <c r="A2424" t="s">
        <v>106</v>
      </c>
      <c r="B2424" s="10">
        <v>45488</v>
      </c>
      <c r="C2424" s="18">
        <f t="shared" si="37"/>
        <v>7</v>
      </c>
      <c r="D2424" t="s">
        <v>135</v>
      </c>
      <c r="E2424">
        <v>4876331</v>
      </c>
      <c r="F2424" t="s">
        <v>89</v>
      </c>
      <c r="G2424" t="s">
        <v>203</v>
      </c>
      <c r="H2424" t="s">
        <v>226</v>
      </c>
      <c r="I2424" s="4">
        <v>100638.28079999999</v>
      </c>
      <c r="J2424" s="4">
        <v>603829.68479999993</v>
      </c>
      <c r="L2424" s="4">
        <v>6</v>
      </c>
    </row>
    <row r="2425" spans="1:12">
      <c r="A2425" t="s">
        <v>106</v>
      </c>
      <c r="B2425" s="10">
        <v>45488</v>
      </c>
      <c r="C2425" s="18">
        <f t="shared" si="37"/>
        <v>7</v>
      </c>
      <c r="D2425" t="s">
        <v>135</v>
      </c>
      <c r="E2425">
        <v>4876331</v>
      </c>
      <c r="F2425" t="s">
        <v>89</v>
      </c>
      <c r="G2425" t="s">
        <v>203</v>
      </c>
      <c r="H2425" t="s">
        <v>235</v>
      </c>
      <c r="I2425" s="4">
        <v>125766.4408</v>
      </c>
      <c r="J2425" s="4">
        <v>251532.88159999999</v>
      </c>
      <c r="L2425" s="4">
        <v>2</v>
      </c>
    </row>
    <row r="2426" spans="1:12">
      <c r="A2426" t="s">
        <v>106</v>
      </c>
      <c r="B2426" s="10">
        <v>45488</v>
      </c>
      <c r="C2426" s="18">
        <f t="shared" si="37"/>
        <v>7</v>
      </c>
      <c r="D2426" t="s">
        <v>135</v>
      </c>
      <c r="E2426">
        <v>4876331</v>
      </c>
      <c r="F2426" t="s">
        <v>89</v>
      </c>
      <c r="G2426" t="s">
        <v>203</v>
      </c>
      <c r="H2426" t="s">
        <v>233</v>
      </c>
      <c r="I2426" s="4">
        <v>120735.78316800001</v>
      </c>
      <c r="J2426" s="4">
        <v>362207.34950400004</v>
      </c>
      <c r="L2426" s="4">
        <v>3</v>
      </c>
    </row>
    <row r="2427" spans="1:12">
      <c r="A2427" t="s">
        <v>106</v>
      </c>
      <c r="B2427" s="10">
        <v>45488</v>
      </c>
      <c r="C2427" s="18">
        <f t="shared" si="37"/>
        <v>7</v>
      </c>
      <c r="D2427" t="s">
        <v>135</v>
      </c>
      <c r="E2427">
        <v>4872949</v>
      </c>
      <c r="F2427" t="s">
        <v>89</v>
      </c>
      <c r="G2427" t="s">
        <v>203</v>
      </c>
      <c r="H2427" t="s">
        <v>245</v>
      </c>
      <c r="I2427" s="4">
        <v>100638.28079999999</v>
      </c>
      <c r="J2427" s="4">
        <v>-100638.28079999999</v>
      </c>
      <c r="L2427" s="4">
        <v>-1</v>
      </c>
    </row>
    <row r="2428" spans="1:12">
      <c r="A2428" t="s">
        <v>106</v>
      </c>
      <c r="B2428" s="10">
        <v>45488</v>
      </c>
      <c r="C2428" s="18">
        <f t="shared" si="37"/>
        <v>7</v>
      </c>
      <c r="D2428" t="s">
        <v>135</v>
      </c>
      <c r="E2428">
        <v>4872949</v>
      </c>
      <c r="F2428" t="s">
        <v>89</v>
      </c>
      <c r="G2428" t="s">
        <v>203</v>
      </c>
      <c r="H2428" t="s">
        <v>238</v>
      </c>
      <c r="I2428" s="4">
        <v>95606.36675999999</v>
      </c>
      <c r="J2428" s="4">
        <v>191212.73351999998</v>
      </c>
      <c r="L2428" s="4">
        <v>2</v>
      </c>
    </row>
    <row r="2429" spans="1:12">
      <c r="A2429" t="s">
        <v>106</v>
      </c>
      <c r="B2429" s="10">
        <v>45488</v>
      </c>
      <c r="C2429" s="18">
        <f t="shared" si="37"/>
        <v>7</v>
      </c>
      <c r="D2429" t="s">
        <v>135</v>
      </c>
      <c r="E2429">
        <v>4872949</v>
      </c>
      <c r="F2429" t="s">
        <v>89</v>
      </c>
      <c r="G2429" t="s">
        <v>203</v>
      </c>
      <c r="H2429" t="s">
        <v>236</v>
      </c>
      <c r="I2429" s="4">
        <v>100638.28079999999</v>
      </c>
      <c r="J2429" s="4">
        <v>201276.56159999999</v>
      </c>
      <c r="L2429" s="4">
        <v>2</v>
      </c>
    </row>
    <row r="2430" spans="1:12">
      <c r="A2430" t="s">
        <v>106</v>
      </c>
      <c r="B2430" s="10">
        <v>45488</v>
      </c>
      <c r="C2430" s="18">
        <f t="shared" si="37"/>
        <v>7</v>
      </c>
      <c r="D2430" t="s">
        <v>135</v>
      </c>
      <c r="E2430">
        <v>4872949</v>
      </c>
      <c r="F2430" t="s">
        <v>89</v>
      </c>
      <c r="G2430" t="s">
        <v>203</v>
      </c>
      <c r="H2430" t="s">
        <v>230</v>
      </c>
      <c r="I2430" s="4">
        <v>100638.28079999999</v>
      </c>
      <c r="J2430" s="4">
        <v>201276.56159999999</v>
      </c>
      <c r="L2430" s="4">
        <v>2</v>
      </c>
    </row>
    <row r="2431" spans="1:12">
      <c r="A2431" t="s">
        <v>106</v>
      </c>
      <c r="B2431" s="10">
        <v>45488</v>
      </c>
      <c r="C2431" s="18">
        <f t="shared" si="37"/>
        <v>7</v>
      </c>
      <c r="D2431" t="s">
        <v>135</v>
      </c>
      <c r="E2431">
        <v>4872949</v>
      </c>
      <c r="F2431" t="s">
        <v>89</v>
      </c>
      <c r="G2431" t="s">
        <v>203</v>
      </c>
      <c r="H2431" t="s">
        <v>226</v>
      </c>
      <c r="I2431" s="4">
        <v>100638.28079999999</v>
      </c>
      <c r="J2431" s="4">
        <v>201276.56159999999</v>
      </c>
      <c r="L2431" s="4">
        <v>2</v>
      </c>
    </row>
    <row r="2432" spans="1:12">
      <c r="A2432" t="s">
        <v>106</v>
      </c>
      <c r="B2432" s="10">
        <v>45488</v>
      </c>
      <c r="C2432" s="18">
        <f t="shared" si="37"/>
        <v>7</v>
      </c>
      <c r="D2432" t="s">
        <v>135</v>
      </c>
      <c r="E2432">
        <v>4872949</v>
      </c>
      <c r="F2432" t="s">
        <v>89</v>
      </c>
      <c r="G2432" t="s">
        <v>203</v>
      </c>
      <c r="H2432" t="s">
        <v>244</v>
      </c>
      <c r="I2432" s="4">
        <v>125766.4408</v>
      </c>
      <c r="J2432" s="4">
        <v>251532.88159999999</v>
      </c>
      <c r="L2432" s="4">
        <v>2</v>
      </c>
    </row>
    <row r="2433" spans="1:12">
      <c r="A2433" t="s">
        <v>106</v>
      </c>
      <c r="B2433" s="10">
        <v>45488</v>
      </c>
      <c r="C2433" s="18">
        <f t="shared" si="37"/>
        <v>7</v>
      </c>
      <c r="D2433" t="s">
        <v>135</v>
      </c>
      <c r="E2433">
        <v>4872949</v>
      </c>
      <c r="F2433" t="s">
        <v>89</v>
      </c>
      <c r="G2433" t="s">
        <v>203</v>
      </c>
      <c r="H2433" t="s">
        <v>239</v>
      </c>
      <c r="I2433" s="4">
        <v>125766.4408</v>
      </c>
      <c r="J2433" s="4">
        <v>251532.88159999999</v>
      </c>
      <c r="L2433" s="4">
        <v>2</v>
      </c>
    </row>
    <row r="2434" spans="1:12">
      <c r="A2434" t="s">
        <v>106</v>
      </c>
      <c r="B2434" s="10">
        <v>45488</v>
      </c>
      <c r="C2434" s="18">
        <f t="shared" ref="C2434:C2497" si="38">MONTH(B2434)</f>
        <v>7</v>
      </c>
      <c r="D2434" t="s">
        <v>135</v>
      </c>
      <c r="E2434">
        <v>4872949</v>
      </c>
      <c r="F2434" t="s">
        <v>89</v>
      </c>
      <c r="G2434" t="s">
        <v>203</v>
      </c>
      <c r="H2434" t="s">
        <v>233</v>
      </c>
      <c r="I2434" s="4">
        <v>120735.78316800001</v>
      </c>
      <c r="J2434" s="4">
        <v>241471.56633600002</v>
      </c>
      <c r="L2434" s="4">
        <v>2</v>
      </c>
    </row>
    <row r="2435" spans="1:12">
      <c r="A2435" t="s">
        <v>106</v>
      </c>
      <c r="B2435" s="10">
        <v>45488</v>
      </c>
      <c r="C2435" s="18">
        <f t="shared" si="38"/>
        <v>7</v>
      </c>
      <c r="D2435" t="s">
        <v>135</v>
      </c>
      <c r="E2435">
        <v>4872949</v>
      </c>
      <c r="F2435" t="s">
        <v>89</v>
      </c>
      <c r="G2435" t="s">
        <v>203</v>
      </c>
      <c r="H2435" t="s">
        <v>229</v>
      </c>
      <c r="I2435" s="4">
        <v>125766.4408</v>
      </c>
      <c r="J2435" s="4">
        <v>251532.88159999999</v>
      </c>
      <c r="L2435" s="4">
        <v>2</v>
      </c>
    </row>
    <row r="2436" spans="1:12">
      <c r="A2436" t="s">
        <v>106</v>
      </c>
      <c r="B2436" s="10">
        <v>45488</v>
      </c>
      <c r="C2436" s="18">
        <f t="shared" si="38"/>
        <v>7</v>
      </c>
      <c r="D2436" t="s">
        <v>135</v>
      </c>
      <c r="E2436">
        <v>4872948</v>
      </c>
      <c r="F2436" t="s">
        <v>88</v>
      </c>
      <c r="G2436" t="s">
        <v>203</v>
      </c>
      <c r="H2436" t="s">
        <v>238</v>
      </c>
      <c r="I2436" s="4">
        <v>95606.36675999999</v>
      </c>
      <c r="J2436" s="4">
        <v>382425.46703999996</v>
      </c>
      <c r="L2436" s="4">
        <v>4</v>
      </c>
    </row>
    <row r="2437" spans="1:12">
      <c r="A2437" t="s">
        <v>106</v>
      </c>
      <c r="B2437" s="10">
        <v>45488</v>
      </c>
      <c r="C2437" s="18">
        <f t="shared" si="38"/>
        <v>7</v>
      </c>
      <c r="D2437" t="s">
        <v>135</v>
      </c>
      <c r="E2437">
        <v>4872948</v>
      </c>
      <c r="F2437" t="s">
        <v>88</v>
      </c>
      <c r="G2437" t="s">
        <v>203</v>
      </c>
      <c r="H2437" t="s">
        <v>236</v>
      </c>
      <c r="I2437" s="4">
        <v>100638.28079999999</v>
      </c>
      <c r="J2437" s="4">
        <v>402553.12319999997</v>
      </c>
      <c r="L2437" s="4">
        <v>4</v>
      </c>
    </row>
    <row r="2438" spans="1:12">
      <c r="A2438" t="s">
        <v>106</v>
      </c>
      <c r="B2438" s="10">
        <v>45488</v>
      </c>
      <c r="C2438" s="18">
        <f t="shared" si="38"/>
        <v>7</v>
      </c>
      <c r="D2438" t="s">
        <v>135</v>
      </c>
      <c r="E2438">
        <v>4872948</v>
      </c>
      <c r="F2438" t="s">
        <v>88</v>
      </c>
      <c r="G2438" t="s">
        <v>203</v>
      </c>
      <c r="H2438" t="s">
        <v>230</v>
      </c>
      <c r="I2438" s="4">
        <v>100638.28079999999</v>
      </c>
      <c r="J2438" s="4">
        <v>402553.12319999997</v>
      </c>
      <c r="L2438" s="4">
        <v>4</v>
      </c>
    </row>
    <row r="2439" spans="1:12">
      <c r="A2439" t="s">
        <v>106</v>
      </c>
      <c r="B2439" s="10">
        <v>45488</v>
      </c>
      <c r="C2439" s="18">
        <f t="shared" si="38"/>
        <v>7</v>
      </c>
      <c r="D2439" t="s">
        <v>135</v>
      </c>
      <c r="E2439">
        <v>4872948</v>
      </c>
      <c r="F2439" t="s">
        <v>88</v>
      </c>
      <c r="G2439" t="s">
        <v>203</v>
      </c>
      <c r="H2439" t="s">
        <v>226</v>
      </c>
      <c r="I2439" s="4">
        <v>100638.28079999999</v>
      </c>
      <c r="J2439" s="4">
        <v>402553.12319999997</v>
      </c>
      <c r="L2439" s="4">
        <v>4</v>
      </c>
    </row>
    <row r="2440" spans="1:12">
      <c r="A2440" t="s">
        <v>106</v>
      </c>
      <c r="B2440" s="10">
        <v>45488</v>
      </c>
      <c r="C2440" s="18">
        <f t="shared" si="38"/>
        <v>7</v>
      </c>
      <c r="D2440" t="s">
        <v>135</v>
      </c>
      <c r="E2440">
        <v>4872948</v>
      </c>
      <c r="F2440" t="s">
        <v>88</v>
      </c>
      <c r="G2440" t="s">
        <v>203</v>
      </c>
      <c r="H2440" t="s">
        <v>244</v>
      </c>
      <c r="I2440" s="4">
        <v>125766.4408</v>
      </c>
      <c r="J2440" s="4">
        <v>251532.88159999999</v>
      </c>
      <c r="L2440" s="4">
        <v>2</v>
      </c>
    </row>
    <row r="2441" spans="1:12">
      <c r="A2441" t="s">
        <v>106</v>
      </c>
      <c r="B2441" s="10">
        <v>45488</v>
      </c>
      <c r="C2441" s="18">
        <f t="shared" si="38"/>
        <v>7</v>
      </c>
      <c r="D2441" t="s">
        <v>135</v>
      </c>
      <c r="E2441">
        <v>4872948</v>
      </c>
      <c r="F2441" t="s">
        <v>88</v>
      </c>
      <c r="G2441" t="s">
        <v>203</v>
      </c>
      <c r="H2441" t="s">
        <v>239</v>
      </c>
      <c r="I2441" s="4">
        <v>125766.4408</v>
      </c>
      <c r="J2441" s="4">
        <v>251532.88159999999</v>
      </c>
      <c r="L2441" s="4">
        <v>2</v>
      </c>
    </row>
    <row r="2442" spans="1:12">
      <c r="A2442" t="s">
        <v>106</v>
      </c>
      <c r="B2442" s="10">
        <v>45488</v>
      </c>
      <c r="C2442" s="18">
        <f t="shared" si="38"/>
        <v>7</v>
      </c>
      <c r="D2442" t="s">
        <v>135</v>
      </c>
      <c r="E2442">
        <v>4872948</v>
      </c>
      <c r="F2442" t="s">
        <v>88</v>
      </c>
      <c r="G2442" t="s">
        <v>203</v>
      </c>
      <c r="H2442" t="s">
        <v>233</v>
      </c>
      <c r="I2442" s="4">
        <v>120735.78316800001</v>
      </c>
      <c r="J2442" s="4">
        <v>241471.56633600002</v>
      </c>
      <c r="L2442" s="4">
        <v>2</v>
      </c>
    </row>
    <row r="2443" spans="1:12">
      <c r="A2443" t="s">
        <v>106</v>
      </c>
      <c r="B2443" s="10">
        <v>45488</v>
      </c>
      <c r="C2443" s="18">
        <f t="shared" si="38"/>
        <v>7</v>
      </c>
      <c r="D2443" t="s">
        <v>135</v>
      </c>
      <c r="E2443">
        <v>4872948</v>
      </c>
      <c r="F2443" t="s">
        <v>88</v>
      </c>
      <c r="G2443" t="s">
        <v>203</v>
      </c>
      <c r="H2443" t="s">
        <v>229</v>
      </c>
      <c r="I2443" s="4">
        <v>125766.4408</v>
      </c>
      <c r="J2443" s="4">
        <v>251532.88159999999</v>
      </c>
      <c r="L2443" s="4">
        <v>2</v>
      </c>
    </row>
    <row r="2444" spans="1:12">
      <c r="A2444" t="s">
        <v>106</v>
      </c>
      <c r="B2444" s="10">
        <v>45488</v>
      </c>
      <c r="C2444" s="18">
        <f t="shared" si="38"/>
        <v>7</v>
      </c>
      <c r="D2444" t="s">
        <v>135</v>
      </c>
      <c r="E2444">
        <v>4879076</v>
      </c>
      <c r="F2444" t="s">
        <v>88</v>
      </c>
      <c r="G2444" t="s">
        <v>203</v>
      </c>
      <c r="H2444" t="s">
        <v>244</v>
      </c>
      <c r="I2444" s="4">
        <v>125766.4408</v>
      </c>
      <c r="J2444" s="4">
        <v>377299.3224</v>
      </c>
      <c r="L2444" s="4">
        <v>3</v>
      </c>
    </row>
    <row r="2445" spans="1:12">
      <c r="A2445" t="s">
        <v>106</v>
      </c>
      <c r="B2445" s="10">
        <v>45488</v>
      </c>
      <c r="C2445" s="18">
        <f t="shared" si="38"/>
        <v>7</v>
      </c>
      <c r="D2445" t="s">
        <v>135</v>
      </c>
      <c r="E2445">
        <v>4879076</v>
      </c>
      <c r="F2445" t="s">
        <v>88</v>
      </c>
      <c r="G2445" t="s">
        <v>203</v>
      </c>
      <c r="H2445" t="s">
        <v>239</v>
      </c>
      <c r="I2445" s="4">
        <v>125766.4408</v>
      </c>
      <c r="J2445" s="4">
        <v>377299.3224</v>
      </c>
      <c r="L2445" s="4">
        <v>3</v>
      </c>
    </row>
    <row r="2446" spans="1:12">
      <c r="A2446" t="s">
        <v>106</v>
      </c>
      <c r="B2446" s="10">
        <v>45488</v>
      </c>
      <c r="C2446" s="18">
        <f t="shared" si="38"/>
        <v>7</v>
      </c>
      <c r="D2446" t="s">
        <v>135</v>
      </c>
      <c r="E2446">
        <v>4879076</v>
      </c>
      <c r="F2446" t="s">
        <v>88</v>
      </c>
      <c r="G2446" t="s">
        <v>203</v>
      </c>
      <c r="H2446" t="s">
        <v>233</v>
      </c>
      <c r="I2446" s="4">
        <v>120735.78316800001</v>
      </c>
      <c r="J2446" s="4">
        <v>362207.34950400004</v>
      </c>
      <c r="L2446" s="4">
        <v>3</v>
      </c>
    </row>
    <row r="2447" spans="1:12">
      <c r="A2447" t="s">
        <v>106</v>
      </c>
      <c r="B2447" s="10">
        <v>45488</v>
      </c>
      <c r="C2447" s="18">
        <f t="shared" si="38"/>
        <v>7</v>
      </c>
      <c r="D2447" t="s">
        <v>135</v>
      </c>
      <c r="E2447">
        <v>4879076</v>
      </c>
      <c r="F2447" t="s">
        <v>88</v>
      </c>
      <c r="G2447" t="s">
        <v>203</v>
      </c>
      <c r="H2447" t="s">
        <v>229</v>
      </c>
      <c r="I2447" s="4">
        <v>125766.4408</v>
      </c>
      <c r="J2447" s="4">
        <v>377299.3224</v>
      </c>
      <c r="L2447" s="4">
        <v>3</v>
      </c>
    </row>
    <row r="2448" spans="1:12">
      <c r="A2448" t="s">
        <v>106</v>
      </c>
      <c r="B2448" s="10">
        <v>45488</v>
      </c>
      <c r="C2448" s="18">
        <f t="shared" si="38"/>
        <v>7</v>
      </c>
      <c r="D2448" t="s">
        <v>135</v>
      </c>
      <c r="E2448">
        <v>4872844</v>
      </c>
      <c r="F2448" t="s">
        <v>88</v>
      </c>
      <c r="G2448" t="s">
        <v>203</v>
      </c>
      <c r="H2448" t="s">
        <v>238</v>
      </c>
      <c r="I2448" s="4">
        <v>95606.36675999999</v>
      </c>
      <c r="J2448" s="4">
        <v>191212.73351999998</v>
      </c>
      <c r="L2448" s="4">
        <v>2</v>
      </c>
    </row>
    <row r="2449" spans="1:12">
      <c r="A2449" t="s">
        <v>106</v>
      </c>
      <c r="B2449" s="10">
        <v>45488</v>
      </c>
      <c r="C2449" s="18">
        <f t="shared" si="38"/>
        <v>7</v>
      </c>
      <c r="D2449" t="s">
        <v>135</v>
      </c>
      <c r="E2449">
        <v>4872844</v>
      </c>
      <c r="F2449" t="s">
        <v>88</v>
      </c>
      <c r="G2449" t="s">
        <v>203</v>
      </c>
      <c r="H2449" t="s">
        <v>236</v>
      </c>
      <c r="I2449" s="4">
        <v>100638.28079999999</v>
      </c>
      <c r="J2449" s="4">
        <v>201276.56159999999</v>
      </c>
      <c r="L2449" s="4">
        <v>2</v>
      </c>
    </row>
    <row r="2450" spans="1:12">
      <c r="A2450" t="s">
        <v>106</v>
      </c>
      <c r="B2450" s="10">
        <v>45488</v>
      </c>
      <c r="C2450" s="18">
        <f t="shared" si="38"/>
        <v>7</v>
      </c>
      <c r="D2450" t="s">
        <v>135</v>
      </c>
      <c r="E2450">
        <v>4872844</v>
      </c>
      <c r="F2450" t="s">
        <v>88</v>
      </c>
      <c r="G2450" t="s">
        <v>203</v>
      </c>
      <c r="H2450" t="s">
        <v>230</v>
      </c>
      <c r="I2450" s="4">
        <v>100638.28079999999</v>
      </c>
      <c r="J2450" s="4">
        <v>201276.56159999999</v>
      </c>
      <c r="L2450" s="4">
        <v>2</v>
      </c>
    </row>
    <row r="2451" spans="1:12">
      <c r="A2451" t="s">
        <v>106</v>
      </c>
      <c r="B2451" s="10">
        <v>45488</v>
      </c>
      <c r="C2451" s="18">
        <f t="shared" si="38"/>
        <v>7</v>
      </c>
      <c r="D2451" t="s">
        <v>135</v>
      </c>
      <c r="E2451">
        <v>4872844</v>
      </c>
      <c r="F2451" t="s">
        <v>88</v>
      </c>
      <c r="G2451" t="s">
        <v>203</v>
      </c>
      <c r="H2451" t="s">
        <v>226</v>
      </c>
      <c r="I2451" s="4">
        <v>100638.28079999999</v>
      </c>
      <c r="J2451" s="4">
        <v>201276.56159999999</v>
      </c>
      <c r="L2451" s="4">
        <v>2</v>
      </c>
    </row>
    <row r="2452" spans="1:12">
      <c r="A2452" t="s">
        <v>106</v>
      </c>
      <c r="B2452" s="10">
        <v>45488</v>
      </c>
      <c r="C2452" s="18">
        <f t="shared" si="38"/>
        <v>7</v>
      </c>
      <c r="D2452" t="s">
        <v>135</v>
      </c>
      <c r="E2452">
        <v>4872844</v>
      </c>
      <c r="F2452" t="s">
        <v>88</v>
      </c>
      <c r="G2452" t="s">
        <v>203</v>
      </c>
      <c r="H2452" t="s">
        <v>244</v>
      </c>
      <c r="I2452" s="4">
        <v>125766.4408</v>
      </c>
      <c r="J2452" s="4">
        <v>377299.3224</v>
      </c>
      <c r="L2452" s="4">
        <v>3</v>
      </c>
    </row>
    <row r="2453" spans="1:12">
      <c r="A2453" t="s">
        <v>106</v>
      </c>
      <c r="B2453" s="10">
        <v>45488</v>
      </c>
      <c r="C2453" s="18">
        <f t="shared" si="38"/>
        <v>7</v>
      </c>
      <c r="D2453" t="s">
        <v>135</v>
      </c>
      <c r="E2453">
        <v>4872844</v>
      </c>
      <c r="F2453" t="s">
        <v>88</v>
      </c>
      <c r="G2453" t="s">
        <v>203</v>
      </c>
      <c r="H2453" t="s">
        <v>239</v>
      </c>
      <c r="I2453" s="4">
        <v>125766.4408</v>
      </c>
      <c r="J2453" s="4">
        <v>377299.3224</v>
      </c>
      <c r="L2453" s="4">
        <v>3</v>
      </c>
    </row>
    <row r="2454" spans="1:12">
      <c r="A2454" t="s">
        <v>106</v>
      </c>
      <c r="B2454" s="10">
        <v>45488</v>
      </c>
      <c r="C2454" s="18">
        <f t="shared" si="38"/>
        <v>7</v>
      </c>
      <c r="D2454" t="s">
        <v>135</v>
      </c>
      <c r="E2454">
        <v>4872844</v>
      </c>
      <c r="F2454" t="s">
        <v>88</v>
      </c>
      <c r="G2454" t="s">
        <v>203</v>
      </c>
      <c r="H2454" t="s">
        <v>229</v>
      </c>
      <c r="I2454" s="4">
        <v>125766.4408</v>
      </c>
      <c r="J2454" s="4">
        <v>377299.3224</v>
      </c>
      <c r="L2454" s="4">
        <v>3</v>
      </c>
    </row>
    <row r="2455" spans="1:12">
      <c r="A2455" t="s">
        <v>106</v>
      </c>
      <c r="B2455" s="10">
        <v>45488</v>
      </c>
      <c r="C2455" s="18">
        <f t="shared" si="38"/>
        <v>7</v>
      </c>
      <c r="D2455" t="s">
        <v>135</v>
      </c>
      <c r="E2455">
        <v>4872613</v>
      </c>
      <c r="F2455" t="s">
        <v>88</v>
      </c>
      <c r="G2455" t="s">
        <v>203</v>
      </c>
      <c r="H2455" t="s">
        <v>230</v>
      </c>
      <c r="I2455" s="4">
        <v>100638.28079999999</v>
      </c>
      <c r="J2455" s="4">
        <v>201276.56159999999</v>
      </c>
      <c r="L2455" s="4">
        <v>2</v>
      </c>
    </row>
    <row r="2456" spans="1:12">
      <c r="A2456" t="s">
        <v>106</v>
      </c>
      <c r="B2456" s="10">
        <v>45488</v>
      </c>
      <c r="C2456" s="18">
        <f t="shared" si="38"/>
        <v>7</v>
      </c>
      <c r="D2456" t="s">
        <v>135</v>
      </c>
      <c r="E2456">
        <v>4872613</v>
      </c>
      <c r="F2456" t="s">
        <v>88</v>
      </c>
      <c r="G2456" t="s">
        <v>203</v>
      </c>
      <c r="H2456" t="s">
        <v>228</v>
      </c>
      <c r="I2456" s="4">
        <v>100638.28079999999</v>
      </c>
      <c r="J2456" s="4">
        <v>201276.56159999999</v>
      </c>
      <c r="L2456" s="4">
        <v>2</v>
      </c>
    </row>
    <row r="2457" spans="1:12">
      <c r="A2457" t="s">
        <v>106</v>
      </c>
      <c r="B2457" s="10">
        <v>45488</v>
      </c>
      <c r="C2457" s="18">
        <f t="shared" si="38"/>
        <v>7</v>
      </c>
      <c r="D2457" t="s">
        <v>135</v>
      </c>
      <c r="E2457">
        <v>4872613</v>
      </c>
      <c r="F2457" t="s">
        <v>88</v>
      </c>
      <c r="G2457" t="s">
        <v>203</v>
      </c>
      <c r="H2457" t="s">
        <v>223</v>
      </c>
      <c r="I2457" s="4">
        <v>100638.28079999999</v>
      </c>
      <c r="J2457" s="4">
        <v>201276.56159999999</v>
      </c>
      <c r="L2457" s="4">
        <v>2</v>
      </c>
    </row>
    <row r="2458" spans="1:12">
      <c r="A2458" t="s">
        <v>106</v>
      </c>
      <c r="B2458" s="10">
        <v>45488</v>
      </c>
      <c r="C2458" s="18">
        <f t="shared" si="38"/>
        <v>7</v>
      </c>
      <c r="D2458" t="s">
        <v>135</v>
      </c>
      <c r="E2458">
        <v>6088435</v>
      </c>
      <c r="F2458" t="s">
        <v>90</v>
      </c>
      <c r="G2458" t="s">
        <v>203</v>
      </c>
      <c r="H2458" t="s">
        <v>230</v>
      </c>
      <c r="I2458" s="4">
        <v>100638.28079999999</v>
      </c>
      <c r="J2458" s="4">
        <v>201276.56159999999</v>
      </c>
      <c r="L2458" s="4">
        <v>2</v>
      </c>
    </row>
    <row r="2459" spans="1:12">
      <c r="A2459" t="s">
        <v>106</v>
      </c>
      <c r="B2459" s="10">
        <v>45488</v>
      </c>
      <c r="C2459" s="18">
        <f t="shared" si="38"/>
        <v>7</v>
      </c>
      <c r="D2459" t="s">
        <v>135</v>
      </c>
      <c r="E2459">
        <v>6088435</v>
      </c>
      <c r="F2459" t="s">
        <v>90</v>
      </c>
      <c r="G2459" t="s">
        <v>203</v>
      </c>
      <c r="H2459" t="s">
        <v>228</v>
      </c>
      <c r="I2459" s="4">
        <v>100638.28079999999</v>
      </c>
      <c r="J2459" s="4">
        <v>201276.56159999999</v>
      </c>
      <c r="L2459" s="4">
        <v>2</v>
      </c>
    </row>
    <row r="2460" spans="1:12">
      <c r="A2460" t="s">
        <v>106</v>
      </c>
      <c r="B2460" s="10">
        <v>45488</v>
      </c>
      <c r="C2460" s="18">
        <f t="shared" si="38"/>
        <v>7</v>
      </c>
      <c r="D2460" t="s">
        <v>135</v>
      </c>
      <c r="E2460">
        <v>6088435</v>
      </c>
      <c r="F2460" t="s">
        <v>90</v>
      </c>
      <c r="G2460" t="s">
        <v>203</v>
      </c>
      <c r="H2460" t="s">
        <v>224</v>
      </c>
      <c r="I2460" s="4">
        <v>100638.28079999999</v>
      </c>
      <c r="J2460" s="4">
        <v>201276.56159999999</v>
      </c>
      <c r="L2460" s="4">
        <v>2</v>
      </c>
    </row>
    <row r="2461" spans="1:12">
      <c r="A2461" t="s">
        <v>106</v>
      </c>
      <c r="B2461" s="10">
        <v>45488</v>
      </c>
      <c r="C2461" s="18">
        <f t="shared" si="38"/>
        <v>7</v>
      </c>
      <c r="D2461" t="s">
        <v>135</v>
      </c>
      <c r="E2461">
        <v>6088435</v>
      </c>
      <c r="F2461" t="s">
        <v>90</v>
      </c>
      <c r="G2461" t="s">
        <v>203</v>
      </c>
      <c r="H2461" t="s">
        <v>223</v>
      </c>
      <c r="I2461" s="4">
        <v>100638.28079999999</v>
      </c>
      <c r="J2461" s="4">
        <v>201276.56159999999</v>
      </c>
      <c r="L2461" s="4">
        <v>2</v>
      </c>
    </row>
    <row r="2462" spans="1:12">
      <c r="A2462" t="s">
        <v>106</v>
      </c>
      <c r="B2462" s="10">
        <v>45488</v>
      </c>
      <c r="C2462" s="18">
        <f t="shared" si="38"/>
        <v>7</v>
      </c>
      <c r="D2462" t="s">
        <v>135</v>
      </c>
      <c r="E2462">
        <v>4873753</v>
      </c>
      <c r="F2462" t="s">
        <v>88</v>
      </c>
      <c r="G2462" t="s">
        <v>203</v>
      </c>
      <c r="H2462" t="s">
        <v>236</v>
      </c>
      <c r="I2462" s="4">
        <v>100638.28079999999</v>
      </c>
      <c r="J2462" s="4">
        <v>603829.68479999993</v>
      </c>
      <c r="L2462" s="4">
        <v>6</v>
      </c>
    </row>
    <row r="2463" spans="1:12">
      <c r="A2463" t="s">
        <v>106</v>
      </c>
      <c r="B2463" s="10">
        <v>45488</v>
      </c>
      <c r="C2463" s="18">
        <f t="shared" si="38"/>
        <v>7</v>
      </c>
      <c r="D2463" t="s">
        <v>135</v>
      </c>
      <c r="E2463">
        <v>4873753</v>
      </c>
      <c r="F2463" t="s">
        <v>88</v>
      </c>
      <c r="G2463" t="s">
        <v>203</v>
      </c>
      <c r="H2463" t="s">
        <v>226</v>
      </c>
      <c r="I2463" s="4">
        <v>100638.28079999999</v>
      </c>
      <c r="J2463" s="4">
        <v>402553.12319999997</v>
      </c>
      <c r="L2463" s="4">
        <v>4</v>
      </c>
    </row>
    <row r="2464" spans="1:12">
      <c r="A2464" t="s">
        <v>106</v>
      </c>
      <c r="B2464" s="10">
        <v>45489</v>
      </c>
      <c r="C2464" s="18">
        <f t="shared" si="38"/>
        <v>7</v>
      </c>
      <c r="D2464" t="s">
        <v>135</v>
      </c>
      <c r="E2464">
        <v>4878723</v>
      </c>
      <c r="F2464" t="s">
        <v>90</v>
      </c>
      <c r="G2464" t="s">
        <v>203</v>
      </c>
      <c r="H2464" t="s">
        <v>230</v>
      </c>
      <c r="I2464" s="4">
        <v>100638.28079999999</v>
      </c>
      <c r="J2464" s="4">
        <v>201276.56159999999</v>
      </c>
      <c r="L2464" s="4">
        <v>2</v>
      </c>
    </row>
    <row r="2465" spans="1:12">
      <c r="A2465" t="s">
        <v>106</v>
      </c>
      <c r="B2465" s="10">
        <v>45489</v>
      </c>
      <c r="C2465" s="18">
        <f t="shared" si="38"/>
        <v>7</v>
      </c>
      <c r="D2465" t="s">
        <v>135</v>
      </c>
      <c r="E2465">
        <v>4878723</v>
      </c>
      <c r="F2465" t="s">
        <v>90</v>
      </c>
      <c r="G2465" t="s">
        <v>203</v>
      </c>
      <c r="H2465" t="s">
        <v>224</v>
      </c>
      <c r="I2465" s="4">
        <v>100638.28079999999</v>
      </c>
      <c r="J2465" s="4">
        <v>603829.68479999993</v>
      </c>
      <c r="L2465" s="4">
        <v>6</v>
      </c>
    </row>
    <row r="2466" spans="1:12">
      <c r="A2466" t="s">
        <v>106</v>
      </c>
      <c r="B2466" s="10">
        <v>45489</v>
      </c>
      <c r="C2466" s="18">
        <f t="shared" si="38"/>
        <v>7</v>
      </c>
      <c r="D2466" t="s">
        <v>135</v>
      </c>
      <c r="E2466">
        <v>4878723</v>
      </c>
      <c r="F2466" t="s">
        <v>90</v>
      </c>
      <c r="G2466" t="s">
        <v>203</v>
      </c>
      <c r="H2466" t="s">
        <v>223</v>
      </c>
      <c r="I2466" s="4">
        <v>100638.28079999999</v>
      </c>
      <c r="J2466" s="4">
        <v>402553.12319999997</v>
      </c>
      <c r="L2466" s="4">
        <v>4</v>
      </c>
    </row>
    <row r="2467" spans="1:12">
      <c r="A2467" t="s">
        <v>106</v>
      </c>
      <c r="B2467" s="10">
        <v>45489</v>
      </c>
      <c r="C2467" s="18">
        <f t="shared" si="38"/>
        <v>7</v>
      </c>
      <c r="D2467" t="s">
        <v>135</v>
      </c>
      <c r="E2467">
        <v>4878723</v>
      </c>
      <c r="F2467" t="s">
        <v>90</v>
      </c>
      <c r="G2467" t="s">
        <v>203</v>
      </c>
      <c r="H2467" t="s">
        <v>235</v>
      </c>
      <c r="I2467" s="4">
        <v>125766.4408</v>
      </c>
      <c r="J2467" s="4">
        <v>377299.3224</v>
      </c>
      <c r="L2467" s="4">
        <v>3</v>
      </c>
    </row>
    <row r="2468" spans="1:12">
      <c r="A2468" t="s">
        <v>106</v>
      </c>
      <c r="B2468" s="10">
        <v>45489</v>
      </c>
      <c r="C2468" s="18">
        <f t="shared" si="38"/>
        <v>7</v>
      </c>
      <c r="D2468" t="s">
        <v>135</v>
      </c>
      <c r="E2468">
        <v>4878797</v>
      </c>
      <c r="F2468" t="s">
        <v>88</v>
      </c>
      <c r="G2468" t="s">
        <v>202</v>
      </c>
      <c r="H2468" t="s">
        <v>256</v>
      </c>
      <c r="I2468" s="4">
        <v>64202.448800000006</v>
      </c>
      <c r="J2468" s="4">
        <v>2247085.7080000001</v>
      </c>
      <c r="L2468" s="4">
        <v>35</v>
      </c>
    </row>
    <row r="2469" spans="1:12">
      <c r="A2469" t="s">
        <v>106</v>
      </c>
      <c r="B2469" s="10">
        <v>45489</v>
      </c>
      <c r="C2469" s="18">
        <f t="shared" si="38"/>
        <v>7</v>
      </c>
      <c r="D2469" t="s">
        <v>135</v>
      </c>
      <c r="E2469">
        <v>4876577</v>
      </c>
      <c r="F2469" t="s">
        <v>87</v>
      </c>
      <c r="G2469" t="s">
        <v>203</v>
      </c>
      <c r="H2469" t="s">
        <v>224</v>
      </c>
      <c r="I2469" s="4">
        <v>100638.28079999999</v>
      </c>
      <c r="J2469" s="4">
        <v>402553.12319999997</v>
      </c>
      <c r="L2469" s="4">
        <v>4</v>
      </c>
    </row>
    <row r="2470" spans="1:12">
      <c r="A2470" t="s">
        <v>106</v>
      </c>
      <c r="B2470" s="10">
        <v>45489</v>
      </c>
      <c r="C2470" s="18">
        <f t="shared" si="38"/>
        <v>7</v>
      </c>
      <c r="D2470" t="s">
        <v>135</v>
      </c>
      <c r="E2470">
        <v>4876577</v>
      </c>
      <c r="F2470" t="s">
        <v>87</v>
      </c>
      <c r="G2470" t="s">
        <v>203</v>
      </c>
      <c r="H2470" t="s">
        <v>223</v>
      </c>
      <c r="I2470" s="4">
        <v>100638.28079999999</v>
      </c>
      <c r="J2470" s="4">
        <v>402553.12319999997</v>
      </c>
      <c r="L2470" s="4">
        <v>4</v>
      </c>
    </row>
    <row r="2471" spans="1:12">
      <c r="A2471" t="s">
        <v>106</v>
      </c>
      <c r="B2471" s="10">
        <v>45489</v>
      </c>
      <c r="C2471" s="18">
        <f t="shared" si="38"/>
        <v>7</v>
      </c>
      <c r="D2471" t="s">
        <v>135</v>
      </c>
      <c r="E2471">
        <v>4876577</v>
      </c>
      <c r="F2471" t="s">
        <v>87</v>
      </c>
      <c r="G2471" t="s">
        <v>203</v>
      </c>
      <c r="H2471" t="s">
        <v>222</v>
      </c>
      <c r="I2471" s="4">
        <v>100638.28079999999</v>
      </c>
      <c r="J2471" s="4">
        <v>402553.12319999997</v>
      </c>
      <c r="L2471" s="4">
        <v>4</v>
      </c>
    </row>
    <row r="2472" spans="1:12">
      <c r="A2472" t="s">
        <v>106</v>
      </c>
      <c r="B2472" s="10">
        <v>45489</v>
      </c>
      <c r="C2472" s="18">
        <f t="shared" si="38"/>
        <v>7</v>
      </c>
      <c r="D2472" t="s">
        <v>135</v>
      </c>
      <c r="E2472">
        <v>4872844</v>
      </c>
      <c r="F2472" t="s">
        <v>88</v>
      </c>
      <c r="G2472" t="s">
        <v>204</v>
      </c>
      <c r="H2472" t="s">
        <v>219</v>
      </c>
      <c r="I2472" s="4">
        <v>44099.9208</v>
      </c>
      <c r="J2472" s="4">
        <v>793798.57440000004</v>
      </c>
      <c r="L2472" s="4">
        <v>18</v>
      </c>
    </row>
    <row r="2473" spans="1:12">
      <c r="A2473" t="s">
        <v>106</v>
      </c>
      <c r="B2473" s="10">
        <v>45489</v>
      </c>
      <c r="C2473" s="18">
        <f t="shared" si="38"/>
        <v>7</v>
      </c>
      <c r="D2473" t="s">
        <v>135</v>
      </c>
      <c r="E2473">
        <v>4872844</v>
      </c>
      <c r="F2473" t="s">
        <v>88</v>
      </c>
      <c r="G2473" t="s">
        <v>204</v>
      </c>
      <c r="H2473" t="s">
        <v>217</v>
      </c>
      <c r="I2473" s="4">
        <v>78022.936799999996</v>
      </c>
      <c r="J2473" s="4">
        <v>936275.24159999995</v>
      </c>
      <c r="L2473" s="4">
        <v>12</v>
      </c>
    </row>
    <row r="2474" spans="1:12">
      <c r="A2474" t="s">
        <v>106</v>
      </c>
      <c r="B2474" s="10">
        <v>45489</v>
      </c>
      <c r="C2474" s="18">
        <f t="shared" si="38"/>
        <v>7</v>
      </c>
      <c r="D2474" t="s">
        <v>135</v>
      </c>
      <c r="E2474">
        <v>4872844</v>
      </c>
      <c r="F2474" t="s">
        <v>88</v>
      </c>
      <c r="G2474" t="s">
        <v>204</v>
      </c>
      <c r="H2474" t="s">
        <v>213</v>
      </c>
      <c r="I2474" s="4">
        <v>119484.4008</v>
      </c>
      <c r="J2474" s="4">
        <v>5974220.04</v>
      </c>
      <c r="L2474" s="4">
        <v>50</v>
      </c>
    </row>
    <row r="2475" spans="1:12">
      <c r="A2475" t="s">
        <v>106</v>
      </c>
      <c r="B2475" s="10">
        <v>45489</v>
      </c>
      <c r="C2475" s="18">
        <f t="shared" si="38"/>
        <v>7</v>
      </c>
      <c r="D2475" t="s">
        <v>135</v>
      </c>
      <c r="E2475">
        <v>4875762</v>
      </c>
      <c r="F2475" t="s">
        <v>88</v>
      </c>
      <c r="G2475" t="s">
        <v>203</v>
      </c>
      <c r="H2475" t="s">
        <v>230</v>
      </c>
      <c r="I2475" s="4">
        <v>100638.28079999999</v>
      </c>
      <c r="J2475" s="4">
        <v>402553.12319999997</v>
      </c>
      <c r="L2475" s="4">
        <v>4</v>
      </c>
    </row>
    <row r="2476" spans="1:12">
      <c r="A2476" t="s">
        <v>106</v>
      </c>
      <c r="B2476" s="10">
        <v>45489</v>
      </c>
      <c r="C2476" s="18">
        <f t="shared" si="38"/>
        <v>7</v>
      </c>
      <c r="D2476" t="s">
        <v>135</v>
      </c>
      <c r="E2476">
        <v>4875762</v>
      </c>
      <c r="F2476" t="s">
        <v>88</v>
      </c>
      <c r="G2476" t="s">
        <v>203</v>
      </c>
      <c r="H2476" t="s">
        <v>228</v>
      </c>
      <c r="I2476" s="4">
        <v>100638.28079999999</v>
      </c>
      <c r="J2476" s="4">
        <v>402553.12319999997</v>
      </c>
      <c r="L2476" s="4">
        <v>4</v>
      </c>
    </row>
    <row r="2477" spans="1:12">
      <c r="A2477" t="s">
        <v>106</v>
      </c>
      <c r="B2477" s="10">
        <v>45489</v>
      </c>
      <c r="C2477" s="18">
        <f t="shared" si="38"/>
        <v>7</v>
      </c>
      <c r="D2477" t="s">
        <v>135</v>
      </c>
      <c r="E2477">
        <v>4875762</v>
      </c>
      <c r="F2477" t="s">
        <v>88</v>
      </c>
      <c r="G2477" t="s">
        <v>203</v>
      </c>
      <c r="H2477" t="s">
        <v>223</v>
      </c>
      <c r="I2477" s="4">
        <v>100638.28079999999</v>
      </c>
      <c r="J2477" s="4">
        <v>402553.12319999997</v>
      </c>
      <c r="L2477" s="4">
        <v>4</v>
      </c>
    </row>
    <row r="2478" spans="1:12">
      <c r="A2478" t="s">
        <v>106</v>
      </c>
      <c r="B2478" s="10">
        <v>45489</v>
      </c>
      <c r="C2478" s="18">
        <f t="shared" si="38"/>
        <v>7</v>
      </c>
      <c r="D2478" t="s">
        <v>135</v>
      </c>
      <c r="E2478">
        <v>4875762</v>
      </c>
      <c r="F2478" t="s">
        <v>88</v>
      </c>
      <c r="G2478" t="s">
        <v>203</v>
      </c>
      <c r="H2478" t="s">
        <v>235</v>
      </c>
      <c r="I2478" s="4">
        <v>125766.4408</v>
      </c>
      <c r="J2478" s="4">
        <v>251532.88159999999</v>
      </c>
      <c r="L2478" s="4">
        <v>2</v>
      </c>
    </row>
    <row r="2479" spans="1:12">
      <c r="A2479" t="s">
        <v>106</v>
      </c>
      <c r="B2479" s="10">
        <v>45490</v>
      </c>
      <c r="C2479" s="18">
        <f t="shared" si="38"/>
        <v>7</v>
      </c>
      <c r="D2479" t="s">
        <v>135</v>
      </c>
      <c r="E2479">
        <v>4878797</v>
      </c>
      <c r="F2479" t="s">
        <v>88</v>
      </c>
      <c r="G2479" t="s">
        <v>204</v>
      </c>
      <c r="H2479" t="s">
        <v>212</v>
      </c>
      <c r="I2479" s="4">
        <v>62946.040799999995</v>
      </c>
      <c r="J2479" s="4">
        <v>377676.24479999999</v>
      </c>
      <c r="L2479" s="4">
        <v>6</v>
      </c>
    </row>
    <row r="2480" spans="1:12">
      <c r="A2480" t="s">
        <v>106</v>
      </c>
      <c r="B2480" s="10">
        <v>45490</v>
      </c>
      <c r="C2480" s="18">
        <f t="shared" si="38"/>
        <v>7</v>
      </c>
      <c r="D2480" t="s">
        <v>135</v>
      </c>
      <c r="E2480">
        <v>4872836</v>
      </c>
      <c r="F2480" t="s">
        <v>88</v>
      </c>
      <c r="G2480" t="s">
        <v>203</v>
      </c>
      <c r="H2480" t="s">
        <v>224</v>
      </c>
      <c r="I2480" s="4">
        <v>100638.28079999999</v>
      </c>
      <c r="J2480" s="4">
        <v>805106.24639999995</v>
      </c>
      <c r="L2480" s="4">
        <v>8</v>
      </c>
    </row>
    <row r="2481" spans="1:12">
      <c r="A2481" t="s">
        <v>106</v>
      </c>
      <c r="B2481" s="10">
        <v>45490</v>
      </c>
      <c r="C2481" s="18">
        <f t="shared" si="38"/>
        <v>7</v>
      </c>
      <c r="D2481" t="s">
        <v>135</v>
      </c>
      <c r="E2481">
        <v>4872836</v>
      </c>
      <c r="F2481" t="s">
        <v>88</v>
      </c>
      <c r="G2481" t="s">
        <v>203</v>
      </c>
      <c r="H2481" t="s">
        <v>223</v>
      </c>
      <c r="I2481" s="4">
        <v>100638.28079999999</v>
      </c>
      <c r="J2481" s="4">
        <v>201276.56159999999</v>
      </c>
      <c r="L2481" s="4">
        <v>2</v>
      </c>
    </row>
    <row r="2482" spans="1:12">
      <c r="A2482" t="s">
        <v>106</v>
      </c>
      <c r="B2482" s="10">
        <v>45490</v>
      </c>
      <c r="C2482" s="18">
        <f t="shared" si="38"/>
        <v>7</v>
      </c>
      <c r="D2482" t="s">
        <v>135</v>
      </c>
      <c r="E2482">
        <v>4872836</v>
      </c>
      <c r="F2482" t="s">
        <v>88</v>
      </c>
      <c r="G2482" t="s">
        <v>203</v>
      </c>
      <c r="H2482" t="s">
        <v>222</v>
      </c>
      <c r="I2482" s="4">
        <v>100638.28079999999</v>
      </c>
      <c r="J2482" s="4">
        <v>603829.68479999993</v>
      </c>
      <c r="L2482" s="4">
        <v>6</v>
      </c>
    </row>
    <row r="2483" spans="1:12">
      <c r="A2483" t="s">
        <v>106</v>
      </c>
      <c r="B2483" s="10">
        <v>45490</v>
      </c>
      <c r="C2483" s="18">
        <f t="shared" si="38"/>
        <v>7</v>
      </c>
      <c r="D2483" t="s">
        <v>135</v>
      </c>
      <c r="E2483">
        <v>4872836</v>
      </c>
      <c r="F2483" t="s">
        <v>88</v>
      </c>
      <c r="G2483" t="s">
        <v>203</v>
      </c>
      <c r="H2483" t="s">
        <v>235</v>
      </c>
      <c r="I2483" s="4">
        <v>125766.4408</v>
      </c>
      <c r="J2483" s="4">
        <v>377299.3224</v>
      </c>
      <c r="L2483" s="4">
        <v>3</v>
      </c>
    </row>
    <row r="2484" spans="1:12">
      <c r="A2484" t="s">
        <v>106</v>
      </c>
      <c r="B2484" s="10">
        <v>45496</v>
      </c>
      <c r="C2484" s="18">
        <f t="shared" si="38"/>
        <v>7</v>
      </c>
      <c r="D2484" t="s">
        <v>135</v>
      </c>
      <c r="E2484">
        <v>4879076</v>
      </c>
      <c r="F2484" t="s">
        <v>88</v>
      </c>
      <c r="G2484" t="s">
        <v>203</v>
      </c>
      <c r="H2484" t="s">
        <v>234</v>
      </c>
      <c r="I2484" s="4">
        <v>100638.28079999999</v>
      </c>
      <c r="J2484" s="4">
        <v>-100638.28079999999</v>
      </c>
      <c r="L2484" s="4">
        <v>-1</v>
      </c>
    </row>
    <row r="2485" spans="1:12">
      <c r="A2485" t="s">
        <v>106</v>
      </c>
      <c r="B2485" s="10">
        <v>45498</v>
      </c>
      <c r="C2485" s="18">
        <f t="shared" si="38"/>
        <v>7</v>
      </c>
      <c r="D2485" t="s">
        <v>135</v>
      </c>
      <c r="E2485">
        <v>4875762</v>
      </c>
      <c r="F2485" t="s">
        <v>88</v>
      </c>
      <c r="G2485" t="s">
        <v>203</v>
      </c>
      <c r="H2485" t="s">
        <v>245</v>
      </c>
      <c r="I2485" s="4">
        <v>100638.28079999999</v>
      </c>
      <c r="J2485" s="4">
        <v>-100638.28079999999</v>
      </c>
      <c r="L2485" s="4">
        <v>-1</v>
      </c>
    </row>
    <row r="2486" spans="1:12">
      <c r="A2486" t="s">
        <v>106</v>
      </c>
      <c r="B2486" s="10">
        <v>45499</v>
      </c>
      <c r="C2486" s="18">
        <f t="shared" si="38"/>
        <v>7</v>
      </c>
      <c r="D2486" t="s">
        <v>135</v>
      </c>
      <c r="E2486">
        <v>4878797</v>
      </c>
      <c r="F2486" t="s">
        <v>88</v>
      </c>
      <c r="G2486" t="s">
        <v>206</v>
      </c>
      <c r="H2486" t="s">
        <v>250</v>
      </c>
      <c r="I2486" s="4">
        <v>17715.352800000001</v>
      </c>
      <c r="J2486" s="4">
        <v>3543070.56</v>
      </c>
      <c r="L2486" s="4">
        <v>200</v>
      </c>
    </row>
    <row r="2487" spans="1:12">
      <c r="A2487" t="s">
        <v>106</v>
      </c>
      <c r="B2487" s="10">
        <v>45499</v>
      </c>
      <c r="C2487" s="18">
        <f t="shared" si="38"/>
        <v>7</v>
      </c>
      <c r="D2487" t="s">
        <v>135</v>
      </c>
      <c r="E2487">
        <v>4878797</v>
      </c>
      <c r="F2487" t="s">
        <v>88</v>
      </c>
      <c r="G2487" t="s">
        <v>206</v>
      </c>
      <c r="H2487" t="s">
        <v>209</v>
      </c>
      <c r="I2487" s="4">
        <v>17715.352800000001</v>
      </c>
      <c r="J2487" s="4">
        <v>3543070.56</v>
      </c>
      <c r="L2487" s="4">
        <v>200</v>
      </c>
    </row>
    <row r="2488" spans="1:12">
      <c r="A2488" t="s">
        <v>106</v>
      </c>
      <c r="B2488" s="10">
        <v>45499</v>
      </c>
      <c r="C2488" s="18">
        <f t="shared" si="38"/>
        <v>7</v>
      </c>
      <c r="D2488" t="s">
        <v>135</v>
      </c>
      <c r="E2488">
        <v>4872948</v>
      </c>
      <c r="F2488" t="s">
        <v>88</v>
      </c>
      <c r="G2488" t="s">
        <v>203</v>
      </c>
      <c r="H2488" t="s">
        <v>245</v>
      </c>
      <c r="I2488" s="4">
        <v>100638.28079999999</v>
      </c>
      <c r="J2488" s="4">
        <v>603829.68479999993</v>
      </c>
      <c r="L2488" s="4">
        <v>6</v>
      </c>
    </row>
    <row r="2489" spans="1:12">
      <c r="A2489" t="s">
        <v>106</v>
      </c>
      <c r="B2489" s="10">
        <v>45499</v>
      </c>
      <c r="C2489" s="18">
        <f t="shared" si="38"/>
        <v>7</v>
      </c>
      <c r="D2489" t="s">
        <v>135</v>
      </c>
      <c r="E2489">
        <v>4872948</v>
      </c>
      <c r="F2489" t="s">
        <v>88</v>
      </c>
      <c r="G2489" t="s">
        <v>203</v>
      </c>
      <c r="H2489" t="s">
        <v>240</v>
      </c>
      <c r="I2489" s="4">
        <v>100638.28079999999</v>
      </c>
      <c r="J2489" s="4">
        <v>603829.68479999993</v>
      </c>
      <c r="L2489" s="4">
        <v>6</v>
      </c>
    </row>
    <row r="2490" spans="1:12">
      <c r="A2490" t="s">
        <v>106</v>
      </c>
      <c r="B2490" s="10">
        <v>45499</v>
      </c>
      <c r="C2490" s="18">
        <f t="shared" si="38"/>
        <v>7</v>
      </c>
      <c r="D2490" t="s">
        <v>135</v>
      </c>
      <c r="E2490">
        <v>4872948</v>
      </c>
      <c r="F2490" t="s">
        <v>88</v>
      </c>
      <c r="G2490" t="s">
        <v>203</v>
      </c>
      <c r="H2490" t="s">
        <v>238</v>
      </c>
      <c r="I2490" s="4">
        <v>95606.36675999999</v>
      </c>
      <c r="J2490" s="4">
        <v>573638.20055999991</v>
      </c>
      <c r="L2490" s="4">
        <v>6</v>
      </c>
    </row>
    <row r="2491" spans="1:12">
      <c r="A2491" t="s">
        <v>106</v>
      </c>
      <c r="B2491" s="10">
        <v>45499</v>
      </c>
      <c r="C2491" s="18">
        <f t="shared" si="38"/>
        <v>7</v>
      </c>
      <c r="D2491" t="s">
        <v>135</v>
      </c>
      <c r="E2491">
        <v>4872948</v>
      </c>
      <c r="F2491" t="s">
        <v>88</v>
      </c>
      <c r="G2491" t="s">
        <v>203</v>
      </c>
      <c r="H2491" t="s">
        <v>234</v>
      </c>
      <c r="I2491" s="4">
        <v>100638.28079999999</v>
      </c>
      <c r="J2491" s="4">
        <v>603829.68479999993</v>
      </c>
      <c r="L2491" s="4">
        <v>6</v>
      </c>
    </row>
    <row r="2492" spans="1:12">
      <c r="A2492" t="s">
        <v>106</v>
      </c>
      <c r="B2492" s="10">
        <v>45499</v>
      </c>
      <c r="C2492" s="18">
        <f t="shared" si="38"/>
        <v>7</v>
      </c>
      <c r="D2492" t="s">
        <v>135</v>
      </c>
      <c r="E2492">
        <v>4872948</v>
      </c>
      <c r="F2492" t="s">
        <v>88</v>
      </c>
      <c r="G2492" t="s">
        <v>203</v>
      </c>
      <c r="H2492" t="s">
        <v>222</v>
      </c>
      <c r="I2492" s="4">
        <v>100638.28079999999</v>
      </c>
      <c r="J2492" s="4">
        <v>603829.68479999993</v>
      </c>
      <c r="L2492" s="4">
        <v>6</v>
      </c>
    </row>
    <row r="2493" spans="1:12">
      <c r="A2493" t="s">
        <v>106</v>
      </c>
      <c r="B2493" s="10">
        <v>45499</v>
      </c>
      <c r="C2493" s="18">
        <f t="shared" si="38"/>
        <v>7</v>
      </c>
      <c r="D2493" t="s">
        <v>135</v>
      </c>
      <c r="E2493">
        <v>4872948</v>
      </c>
      <c r="F2493" t="s">
        <v>88</v>
      </c>
      <c r="G2493" t="s">
        <v>203</v>
      </c>
      <c r="H2493" t="s">
        <v>244</v>
      </c>
      <c r="I2493" s="4">
        <v>125766.4408</v>
      </c>
      <c r="J2493" s="4">
        <v>503065.76319999999</v>
      </c>
      <c r="L2493" s="4">
        <v>4</v>
      </c>
    </row>
    <row r="2494" spans="1:12">
      <c r="A2494" t="s">
        <v>106</v>
      </c>
      <c r="B2494" s="10">
        <v>45499</v>
      </c>
      <c r="C2494" s="18">
        <f t="shared" si="38"/>
        <v>7</v>
      </c>
      <c r="D2494" t="s">
        <v>135</v>
      </c>
      <c r="E2494">
        <v>4872948</v>
      </c>
      <c r="F2494" t="s">
        <v>88</v>
      </c>
      <c r="G2494" t="s">
        <v>203</v>
      </c>
      <c r="H2494" t="s">
        <v>239</v>
      </c>
      <c r="I2494" s="4">
        <v>125766.4408</v>
      </c>
      <c r="J2494" s="4">
        <v>503065.76319999999</v>
      </c>
      <c r="L2494" s="4">
        <v>4</v>
      </c>
    </row>
    <row r="2495" spans="1:12">
      <c r="A2495" t="s">
        <v>106</v>
      </c>
      <c r="B2495" s="10">
        <v>45499</v>
      </c>
      <c r="C2495" s="18">
        <f t="shared" si="38"/>
        <v>7</v>
      </c>
      <c r="D2495" t="s">
        <v>135</v>
      </c>
      <c r="E2495">
        <v>4872948</v>
      </c>
      <c r="F2495" t="s">
        <v>88</v>
      </c>
      <c r="G2495" t="s">
        <v>203</v>
      </c>
      <c r="H2495" t="s">
        <v>237</v>
      </c>
      <c r="I2495" s="4">
        <v>125766.4408</v>
      </c>
      <c r="J2495" s="4">
        <v>503065.76319999999</v>
      </c>
      <c r="L2495" s="4">
        <v>4</v>
      </c>
    </row>
    <row r="2496" spans="1:12">
      <c r="A2496" t="s">
        <v>106</v>
      </c>
      <c r="B2496" s="10">
        <v>45501</v>
      </c>
      <c r="C2496" s="18">
        <f t="shared" si="38"/>
        <v>7</v>
      </c>
      <c r="D2496" t="s">
        <v>135</v>
      </c>
      <c r="E2496">
        <v>4878797</v>
      </c>
      <c r="F2496" t="s">
        <v>88</v>
      </c>
      <c r="G2496" t="s">
        <v>204</v>
      </c>
      <c r="H2496" t="s">
        <v>212</v>
      </c>
      <c r="I2496" s="4">
        <v>62946.040799999995</v>
      </c>
      <c r="J2496" s="4">
        <v>629460.40799999994</v>
      </c>
      <c r="L2496" s="4">
        <v>10</v>
      </c>
    </row>
    <row r="2497" spans="1:12">
      <c r="A2497" t="s">
        <v>106</v>
      </c>
      <c r="B2497" s="10">
        <v>45501</v>
      </c>
      <c r="C2497" s="18">
        <f t="shared" si="38"/>
        <v>7</v>
      </c>
      <c r="D2497" t="s">
        <v>135</v>
      </c>
      <c r="E2497">
        <v>4873753</v>
      </c>
      <c r="F2497" t="s">
        <v>88</v>
      </c>
      <c r="G2497" t="s">
        <v>203</v>
      </c>
      <c r="H2497" t="s">
        <v>245</v>
      </c>
      <c r="I2497" s="4">
        <v>100638.28079999999</v>
      </c>
      <c r="J2497" s="4">
        <v>402553.12319999997</v>
      </c>
      <c r="L2497" s="4">
        <v>4</v>
      </c>
    </row>
    <row r="2498" spans="1:12">
      <c r="A2498" t="s">
        <v>106</v>
      </c>
      <c r="B2498" s="10">
        <v>45501</v>
      </c>
      <c r="C2498" s="18">
        <f t="shared" ref="C2498:C2561" si="39">MONTH(B2498)</f>
        <v>7</v>
      </c>
      <c r="D2498" t="s">
        <v>135</v>
      </c>
      <c r="E2498">
        <v>4873753</v>
      </c>
      <c r="F2498" t="s">
        <v>88</v>
      </c>
      <c r="G2498" t="s">
        <v>203</v>
      </c>
      <c r="H2498" t="s">
        <v>240</v>
      </c>
      <c r="I2498" s="4">
        <v>100638.28079999999</v>
      </c>
      <c r="J2498" s="4">
        <v>402553.12319999997</v>
      </c>
      <c r="L2498" s="4">
        <v>4</v>
      </c>
    </row>
    <row r="2499" spans="1:12">
      <c r="A2499" t="s">
        <v>106</v>
      </c>
      <c r="B2499" s="10">
        <v>45501</v>
      </c>
      <c r="C2499" s="18">
        <f t="shared" si="39"/>
        <v>7</v>
      </c>
      <c r="D2499" t="s">
        <v>135</v>
      </c>
      <c r="E2499">
        <v>4873753</v>
      </c>
      <c r="F2499" t="s">
        <v>88</v>
      </c>
      <c r="G2499" t="s">
        <v>203</v>
      </c>
      <c r="H2499" t="s">
        <v>238</v>
      </c>
      <c r="I2499" s="4">
        <v>95606.36675999999</v>
      </c>
      <c r="J2499" s="4">
        <v>382425.46703999996</v>
      </c>
      <c r="L2499" s="4">
        <v>4</v>
      </c>
    </row>
    <row r="2500" spans="1:12">
      <c r="A2500" t="s">
        <v>106</v>
      </c>
      <c r="B2500" s="10">
        <v>45501</v>
      </c>
      <c r="C2500" s="18">
        <f t="shared" si="39"/>
        <v>7</v>
      </c>
      <c r="D2500" t="s">
        <v>135</v>
      </c>
      <c r="E2500">
        <v>4873753</v>
      </c>
      <c r="F2500" t="s">
        <v>88</v>
      </c>
      <c r="G2500" t="s">
        <v>203</v>
      </c>
      <c r="H2500" t="s">
        <v>234</v>
      </c>
      <c r="I2500" s="4">
        <v>100638.28079999999</v>
      </c>
      <c r="J2500" s="4">
        <v>402553.12319999997</v>
      </c>
      <c r="L2500" s="4">
        <v>4</v>
      </c>
    </row>
    <row r="2501" spans="1:12">
      <c r="A2501" t="s">
        <v>106</v>
      </c>
      <c r="B2501" s="10">
        <v>45501</v>
      </c>
      <c r="C2501" s="18">
        <f t="shared" si="39"/>
        <v>7</v>
      </c>
      <c r="D2501" t="s">
        <v>135</v>
      </c>
      <c r="E2501">
        <v>4873753</v>
      </c>
      <c r="F2501" t="s">
        <v>88</v>
      </c>
      <c r="G2501" t="s">
        <v>203</v>
      </c>
      <c r="H2501" t="s">
        <v>222</v>
      </c>
      <c r="I2501" s="4">
        <v>100638.28079999999</v>
      </c>
      <c r="J2501" s="4">
        <v>402553.12319999997</v>
      </c>
      <c r="L2501" s="4">
        <v>4</v>
      </c>
    </row>
    <row r="2502" spans="1:12">
      <c r="A2502" t="s">
        <v>106</v>
      </c>
      <c r="B2502" s="10">
        <v>45502</v>
      </c>
      <c r="C2502" s="18">
        <f t="shared" si="39"/>
        <v>7</v>
      </c>
      <c r="D2502" t="s">
        <v>135</v>
      </c>
      <c r="E2502">
        <v>4878723</v>
      </c>
      <c r="F2502" t="s">
        <v>90</v>
      </c>
      <c r="G2502" t="s">
        <v>203</v>
      </c>
      <c r="H2502" t="s">
        <v>245</v>
      </c>
      <c r="I2502" s="4">
        <v>100638.28079999999</v>
      </c>
      <c r="J2502" s="4">
        <v>603829.68479999993</v>
      </c>
      <c r="L2502" s="4">
        <v>6</v>
      </c>
    </row>
    <row r="2503" spans="1:12">
      <c r="A2503" t="s">
        <v>106</v>
      </c>
      <c r="B2503" s="10">
        <v>45502</v>
      </c>
      <c r="C2503" s="18">
        <f t="shared" si="39"/>
        <v>7</v>
      </c>
      <c r="D2503" t="s">
        <v>135</v>
      </c>
      <c r="E2503">
        <v>4878723</v>
      </c>
      <c r="F2503" t="s">
        <v>90</v>
      </c>
      <c r="G2503" t="s">
        <v>203</v>
      </c>
      <c r="H2503" t="s">
        <v>240</v>
      </c>
      <c r="I2503" s="4">
        <v>100638.28079999999</v>
      </c>
      <c r="J2503" s="4">
        <v>603829.68479999993</v>
      </c>
      <c r="L2503" s="4">
        <v>6</v>
      </c>
    </row>
    <row r="2504" spans="1:12">
      <c r="A2504" t="s">
        <v>106</v>
      </c>
      <c r="B2504" s="10">
        <v>45502</v>
      </c>
      <c r="C2504" s="18">
        <f t="shared" si="39"/>
        <v>7</v>
      </c>
      <c r="D2504" t="s">
        <v>135</v>
      </c>
      <c r="E2504">
        <v>4878723</v>
      </c>
      <c r="F2504" t="s">
        <v>90</v>
      </c>
      <c r="G2504" t="s">
        <v>203</v>
      </c>
      <c r="H2504" t="s">
        <v>238</v>
      </c>
      <c r="I2504" s="4">
        <v>95606.36675999999</v>
      </c>
      <c r="J2504" s="4">
        <v>573638.20055999991</v>
      </c>
      <c r="L2504" s="4">
        <v>6</v>
      </c>
    </row>
    <row r="2505" spans="1:12">
      <c r="A2505" t="s">
        <v>106</v>
      </c>
      <c r="B2505" s="10">
        <v>45502</v>
      </c>
      <c r="C2505" s="18">
        <f t="shared" si="39"/>
        <v>7</v>
      </c>
      <c r="D2505" t="s">
        <v>135</v>
      </c>
      <c r="E2505">
        <v>4878723</v>
      </c>
      <c r="F2505" t="s">
        <v>90</v>
      </c>
      <c r="G2505" t="s">
        <v>203</v>
      </c>
      <c r="H2505" t="s">
        <v>234</v>
      </c>
      <c r="I2505" s="4">
        <v>100638.28079999999</v>
      </c>
      <c r="J2505" s="4">
        <v>402553.12319999997</v>
      </c>
      <c r="L2505" s="4">
        <v>4</v>
      </c>
    </row>
    <row r="2506" spans="1:12">
      <c r="A2506" t="s">
        <v>106</v>
      </c>
      <c r="B2506" s="10">
        <v>45502</v>
      </c>
      <c r="C2506" s="18">
        <f t="shared" si="39"/>
        <v>7</v>
      </c>
      <c r="D2506" t="s">
        <v>135</v>
      </c>
      <c r="E2506">
        <v>4878723</v>
      </c>
      <c r="F2506" t="s">
        <v>90</v>
      </c>
      <c r="G2506" t="s">
        <v>203</v>
      </c>
      <c r="H2506" t="s">
        <v>222</v>
      </c>
      <c r="I2506" s="4">
        <v>100638.28079999999</v>
      </c>
      <c r="J2506" s="4">
        <v>603829.68479999993</v>
      </c>
      <c r="L2506" s="4">
        <v>6</v>
      </c>
    </row>
    <row r="2507" spans="1:12">
      <c r="A2507" t="s">
        <v>106</v>
      </c>
      <c r="B2507" s="10">
        <v>45502</v>
      </c>
      <c r="C2507" s="18">
        <f t="shared" si="39"/>
        <v>7</v>
      </c>
      <c r="D2507" t="s">
        <v>135</v>
      </c>
      <c r="E2507">
        <v>4878723</v>
      </c>
      <c r="F2507" t="s">
        <v>90</v>
      </c>
      <c r="G2507" t="s">
        <v>203</v>
      </c>
      <c r="H2507" t="s">
        <v>244</v>
      </c>
      <c r="I2507" s="4">
        <v>125766.4408</v>
      </c>
      <c r="J2507" s="4">
        <v>503065.76319999999</v>
      </c>
      <c r="L2507" s="4">
        <v>4</v>
      </c>
    </row>
    <row r="2508" spans="1:12">
      <c r="A2508" t="s">
        <v>106</v>
      </c>
      <c r="B2508" s="10">
        <v>45502</v>
      </c>
      <c r="C2508" s="18">
        <f t="shared" si="39"/>
        <v>7</v>
      </c>
      <c r="D2508" t="s">
        <v>135</v>
      </c>
      <c r="E2508">
        <v>4878723</v>
      </c>
      <c r="F2508" t="s">
        <v>90</v>
      </c>
      <c r="G2508" t="s">
        <v>203</v>
      </c>
      <c r="H2508" t="s">
        <v>239</v>
      </c>
      <c r="I2508" s="4">
        <v>125766.4408</v>
      </c>
      <c r="J2508" s="4">
        <v>503065.76319999999</v>
      </c>
      <c r="L2508" s="4">
        <v>4</v>
      </c>
    </row>
    <row r="2509" spans="1:12">
      <c r="A2509" t="s">
        <v>106</v>
      </c>
      <c r="B2509" s="10">
        <v>45502</v>
      </c>
      <c r="C2509" s="18">
        <f t="shared" si="39"/>
        <v>7</v>
      </c>
      <c r="D2509" t="s">
        <v>135</v>
      </c>
      <c r="E2509">
        <v>4878723</v>
      </c>
      <c r="F2509" t="s">
        <v>90</v>
      </c>
      <c r="G2509" t="s">
        <v>203</v>
      </c>
      <c r="H2509" t="s">
        <v>237</v>
      </c>
      <c r="I2509" s="4">
        <v>125766.4408</v>
      </c>
      <c r="J2509" s="4">
        <v>503065.76319999999</v>
      </c>
      <c r="L2509" s="4">
        <v>4</v>
      </c>
    </row>
    <row r="2510" spans="1:12">
      <c r="A2510" t="s">
        <v>106</v>
      </c>
      <c r="B2510" s="10">
        <v>45502</v>
      </c>
      <c r="C2510" s="18">
        <f t="shared" si="39"/>
        <v>7</v>
      </c>
      <c r="D2510" t="s">
        <v>135</v>
      </c>
      <c r="E2510">
        <v>6080798</v>
      </c>
      <c r="F2510" t="s">
        <v>88</v>
      </c>
      <c r="G2510" t="s">
        <v>204</v>
      </c>
      <c r="H2510" t="s">
        <v>217</v>
      </c>
      <c r="I2510" s="4">
        <v>78022.936799999996</v>
      </c>
      <c r="J2510" s="4">
        <v>1560458.736</v>
      </c>
      <c r="L2510" s="4">
        <v>20</v>
      </c>
    </row>
    <row r="2511" spans="1:12">
      <c r="A2511" t="s">
        <v>106</v>
      </c>
      <c r="B2511" s="10">
        <v>45502</v>
      </c>
      <c r="C2511" s="18">
        <f t="shared" si="39"/>
        <v>7</v>
      </c>
      <c r="D2511" t="s">
        <v>135</v>
      </c>
      <c r="E2511">
        <v>4873753</v>
      </c>
      <c r="F2511" t="s">
        <v>88</v>
      </c>
      <c r="G2511" t="s">
        <v>203</v>
      </c>
      <c r="H2511" t="s">
        <v>245</v>
      </c>
      <c r="I2511" s="4">
        <v>100638.28079999999</v>
      </c>
      <c r="J2511" s="4">
        <v>201276.56159999999</v>
      </c>
      <c r="L2511" s="4">
        <v>2</v>
      </c>
    </row>
    <row r="2512" spans="1:12">
      <c r="A2512" t="s">
        <v>106</v>
      </c>
      <c r="B2512" s="10">
        <v>45502</v>
      </c>
      <c r="C2512" s="18">
        <f t="shared" si="39"/>
        <v>7</v>
      </c>
      <c r="D2512" t="s">
        <v>135</v>
      </c>
      <c r="E2512">
        <v>4873753</v>
      </c>
      <c r="F2512" t="s">
        <v>88</v>
      </c>
      <c r="G2512" t="s">
        <v>203</v>
      </c>
      <c r="H2512" t="s">
        <v>240</v>
      </c>
      <c r="I2512" s="4">
        <v>100638.28079999999</v>
      </c>
      <c r="J2512" s="4">
        <v>201276.56159999999</v>
      </c>
      <c r="L2512" s="4">
        <v>2</v>
      </c>
    </row>
    <row r="2513" spans="1:12">
      <c r="A2513" t="s">
        <v>106</v>
      </c>
      <c r="B2513" s="10">
        <v>45502</v>
      </c>
      <c r="C2513" s="18">
        <f t="shared" si="39"/>
        <v>7</v>
      </c>
      <c r="D2513" t="s">
        <v>135</v>
      </c>
      <c r="E2513">
        <v>4873753</v>
      </c>
      <c r="F2513" t="s">
        <v>88</v>
      </c>
      <c r="G2513" t="s">
        <v>203</v>
      </c>
      <c r="H2513" t="s">
        <v>238</v>
      </c>
      <c r="I2513" s="4">
        <v>95606.36675999999</v>
      </c>
      <c r="J2513" s="4">
        <v>191212.73351999998</v>
      </c>
      <c r="L2513" s="4">
        <v>2</v>
      </c>
    </row>
    <row r="2514" spans="1:12">
      <c r="A2514" t="s">
        <v>106</v>
      </c>
      <c r="B2514" s="10">
        <v>45502</v>
      </c>
      <c r="C2514" s="18">
        <f t="shared" si="39"/>
        <v>7</v>
      </c>
      <c r="D2514" t="s">
        <v>135</v>
      </c>
      <c r="E2514">
        <v>4873753</v>
      </c>
      <c r="F2514" t="s">
        <v>88</v>
      </c>
      <c r="G2514" t="s">
        <v>203</v>
      </c>
      <c r="H2514" t="s">
        <v>234</v>
      </c>
      <c r="I2514" s="4">
        <v>100638.28079999999</v>
      </c>
      <c r="J2514" s="4">
        <v>201276.56159999999</v>
      </c>
      <c r="L2514" s="4">
        <v>2</v>
      </c>
    </row>
    <row r="2515" spans="1:12">
      <c r="A2515" t="s">
        <v>106</v>
      </c>
      <c r="B2515" s="10">
        <v>45502</v>
      </c>
      <c r="C2515" s="18">
        <f t="shared" si="39"/>
        <v>7</v>
      </c>
      <c r="D2515" t="s">
        <v>135</v>
      </c>
      <c r="E2515">
        <v>4873753</v>
      </c>
      <c r="F2515" t="s">
        <v>88</v>
      </c>
      <c r="G2515" t="s">
        <v>203</v>
      </c>
      <c r="H2515" t="s">
        <v>222</v>
      </c>
      <c r="I2515" s="4">
        <v>100638.28079999999</v>
      </c>
      <c r="J2515" s="4">
        <v>201276.56159999999</v>
      </c>
      <c r="L2515" s="4">
        <v>2</v>
      </c>
    </row>
    <row r="2516" spans="1:12">
      <c r="A2516" t="s">
        <v>105</v>
      </c>
      <c r="B2516" s="10">
        <v>45457</v>
      </c>
      <c r="C2516" s="18">
        <f t="shared" si="39"/>
        <v>6</v>
      </c>
      <c r="D2516" t="s">
        <v>129</v>
      </c>
      <c r="E2516">
        <v>4875298</v>
      </c>
      <c r="F2516" t="s">
        <v>8</v>
      </c>
      <c r="G2516" t="s">
        <v>203</v>
      </c>
      <c r="H2516" t="s">
        <v>227</v>
      </c>
      <c r="I2516" s="4">
        <v>100638.28079999999</v>
      </c>
      <c r="J2516" s="4">
        <v>402553.12319999997</v>
      </c>
      <c r="L2516" s="4">
        <v>4</v>
      </c>
    </row>
    <row r="2517" spans="1:12">
      <c r="A2517" t="s">
        <v>105</v>
      </c>
      <c r="B2517" s="10">
        <v>45457</v>
      </c>
      <c r="C2517" s="18">
        <f t="shared" si="39"/>
        <v>6</v>
      </c>
      <c r="D2517" t="s">
        <v>129</v>
      </c>
      <c r="E2517">
        <v>4875298</v>
      </c>
      <c r="F2517" t="s">
        <v>8</v>
      </c>
      <c r="G2517" t="s">
        <v>203</v>
      </c>
      <c r="H2517" t="s">
        <v>225</v>
      </c>
      <c r="I2517" s="4">
        <v>100638.28079999999</v>
      </c>
      <c r="J2517" s="4">
        <v>402553.12319999997</v>
      </c>
      <c r="L2517" s="4">
        <v>4</v>
      </c>
    </row>
    <row r="2518" spans="1:12">
      <c r="A2518" t="s">
        <v>105</v>
      </c>
      <c r="B2518" s="10">
        <v>45463</v>
      </c>
      <c r="C2518" s="18">
        <f t="shared" si="39"/>
        <v>6</v>
      </c>
      <c r="D2518" t="s">
        <v>129</v>
      </c>
      <c r="E2518">
        <v>4875294</v>
      </c>
      <c r="F2518" t="s">
        <v>8</v>
      </c>
      <c r="G2518" t="s">
        <v>203</v>
      </c>
      <c r="H2518" t="s">
        <v>243</v>
      </c>
      <c r="I2518" s="4">
        <v>100638.28079999999</v>
      </c>
      <c r="J2518" s="4">
        <v>201276.56159999999</v>
      </c>
      <c r="L2518" s="4">
        <v>2</v>
      </c>
    </row>
    <row r="2519" spans="1:12">
      <c r="A2519" t="s">
        <v>105</v>
      </c>
      <c r="B2519" s="10">
        <v>45463</v>
      </c>
      <c r="C2519" s="18">
        <f t="shared" si="39"/>
        <v>6</v>
      </c>
      <c r="D2519" t="s">
        <v>129</v>
      </c>
      <c r="E2519">
        <v>4875294</v>
      </c>
      <c r="F2519" t="s">
        <v>8</v>
      </c>
      <c r="G2519" t="s">
        <v>203</v>
      </c>
      <c r="H2519" t="s">
        <v>242</v>
      </c>
      <c r="I2519" s="4">
        <v>100638.28079999999</v>
      </c>
      <c r="J2519" s="4">
        <v>201276.56159999999</v>
      </c>
      <c r="L2519" s="4">
        <v>2</v>
      </c>
    </row>
    <row r="2520" spans="1:12">
      <c r="A2520" t="s">
        <v>105</v>
      </c>
      <c r="B2520" s="10">
        <v>45463</v>
      </c>
      <c r="C2520" s="18">
        <f t="shared" si="39"/>
        <v>6</v>
      </c>
      <c r="D2520" t="s">
        <v>129</v>
      </c>
      <c r="E2520">
        <v>4875294</v>
      </c>
      <c r="F2520" t="s">
        <v>8</v>
      </c>
      <c r="G2520" t="s">
        <v>203</v>
      </c>
      <c r="H2520" t="s">
        <v>240</v>
      </c>
      <c r="I2520" s="4">
        <v>100638.28079999999</v>
      </c>
      <c r="J2520" s="4">
        <v>201276.56159999999</v>
      </c>
      <c r="L2520" s="4">
        <v>2</v>
      </c>
    </row>
    <row r="2521" spans="1:12">
      <c r="A2521" t="s">
        <v>105</v>
      </c>
      <c r="B2521" s="10">
        <v>45463</v>
      </c>
      <c r="C2521" s="18">
        <f t="shared" si="39"/>
        <v>6</v>
      </c>
      <c r="D2521" t="s">
        <v>129</v>
      </c>
      <c r="E2521">
        <v>4875294</v>
      </c>
      <c r="F2521" t="s">
        <v>8</v>
      </c>
      <c r="G2521" t="s">
        <v>203</v>
      </c>
      <c r="H2521" t="s">
        <v>238</v>
      </c>
      <c r="I2521" s="4">
        <v>95606.36675999999</v>
      </c>
      <c r="J2521" s="4">
        <v>191212.73351999998</v>
      </c>
      <c r="L2521" s="4">
        <v>2</v>
      </c>
    </row>
    <row r="2522" spans="1:12">
      <c r="A2522" t="s">
        <v>105</v>
      </c>
      <c r="B2522" s="10">
        <v>45463</v>
      </c>
      <c r="C2522" s="18">
        <f t="shared" si="39"/>
        <v>6</v>
      </c>
      <c r="D2522" t="s">
        <v>129</v>
      </c>
      <c r="E2522">
        <v>4875294</v>
      </c>
      <c r="F2522" t="s">
        <v>8</v>
      </c>
      <c r="G2522" t="s">
        <v>203</v>
      </c>
      <c r="H2522" t="s">
        <v>234</v>
      </c>
      <c r="I2522" s="4">
        <v>100638.28079999999</v>
      </c>
      <c r="J2522" s="4">
        <v>201276.56159999999</v>
      </c>
      <c r="L2522" s="4">
        <v>2</v>
      </c>
    </row>
    <row r="2523" spans="1:12">
      <c r="A2523" t="s">
        <v>105</v>
      </c>
      <c r="B2523" s="10">
        <v>45464</v>
      </c>
      <c r="C2523" s="18">
        <f t="shared" si="39"/>
        <v>6</v>
      </c>
      <c r="D2523" t="s">
        <v>129</v>
      </c>
      <c r="E2523">
        <v>4873800</v>
      </c>
      <c r="F2523" t="s">
        <v>8</v>
      </c>
      <c r="G2523" t="s">
        <v>203</v>
      </c>
      <c r="H2523" t="s">
        <v>243</v>
      </c>
      <c r="I2523" s="4">
        <v>100638.28079999999</v>
      </c>
      <c r="J2523" s="4">
        <v>201276.56159999999</v>
      </c>
      <c r="L2523" s="4">
        <v>2</v>
      </c>
    </row>
    <row r="2524" spans="1:12">
      <c r="A2524" t="s">
        <v>105</v>
      </c>
      <c r="B2524" s="10">
        <v>45464</v>
      </c>
      <c r="C2524" s="18">
        <f t="shared" si="39"/>
        <v>6</v>
      </c>
      <c r="D2524" t="s">
        <v>129</v>
      </c>
      <c r="E2524">
        <v>4873800</v>
      </c>
      <c r="F2524" t="s">
        <v>8</v>
      </c>
      <c r="G2524" t="s">
        <v>203</v>
      </c>
      <c r="H2524" t="s">
        <v>242</v>
      </c>
      <c r="I2524" s="4">
        <v>100638.28079999999</v>
      </c>
      <c r="J2524" s="4">
        <v>201276.56159999999</v>
      </c>
      <c r="L2524" s="4">
        <v>2</v>
      </c>
    </row>
    <row r="2525" spans="1:12">
      <c r="A2525" t="s">
        <v>105</v>
      </c>
      <c r="B2525" s="10">
        <v>45464</v>
      </c>
      <c r="C2525" s="18">
        <f t="shared" si="39"/>
        <v>6</v>
      </c>
      <c r="D2525" t="s">
        <v>129</v>
      </c>
      <c r="E2525">
        <v>4873800</v>
      </c>
      <c r="F2525" t="s">
        <v>8</v>
      </c>
      <c r="G2525" t="s">
        <v>203</v>
      </c>
      <c r="H2525" t="s">
        <v>240</v>
      </c>
      <c r="I2525" s="4">
        <v>100638.28079999999</v>
      </c>
      <c r="J2525" s="4">
        <v>201276.56159999999</v>
      </c>
      <c r="L2525" s="4">
        <v>2</v>
      </c>
    </row>
    <row r="2526" spans="1:12">
      <c r="A2526" t="s">
        <v>105</v>
      </c>
      <c r="B2526" s="10">
        <v>45464</v>
      </c>
      <c r="C2526" s="18">
        <f t="shared" si="39"/>
        <v>6</v>
      </c>
      <c r="D2526" t="s">
        <v>129</v>
      </c>
      <c r="E2526">
        <v>4873800</v>
      </c>
      <c r="F2526" t="s">
        <v>8</v>
      </c>
      <c r="G2526" t="s">
        <v>203</v>
      </c>
      <c r="H2526" t="s">
        <v>238</v>
      </c>
      <c r="I2526" s="4">
        <v>95606.36675999999</v>
      </c>
      <c r="J2526" s="4">
        <v>191212.73351999998</v>
      </c>
      <c r="L2526" s="4">
        <v>2</v>
      </c>
    </row>
    <row r="2527" spans="1:12">
      <c r="A2527" t="s">
        <v>105</v>
      </c>
      <c r="B2527" s="10">
        <v>45464</v>
      </c>
      <c r="C2527" s="18">
        <f t="shared" si="39"/>
        <v>6</v>
      </c>
      <c r="D2527" t="s">
        <v>129</v>
      </c>
      <c r="E2527">
        <v>4873800</v>
      </c>
      <c r="F2527" t="s">
        <v>8</v>
      </c>
      <c r="G2527" t="s">
        <v>203</v>
      </c>
      <c r="H2527" t="s">
        <v>234</v>
      </c>
      <c r="I2527" s="4">
        <v>100638.28079999999</v>
      </c>
      <c r="J2527" s="4">
        <v>201276.56159999999</v>
      </c>
      <c r="L2527" s="4">
        <v>2</v>
      </c>
    </row>
    <row r="2528" spans="1:12">
      <c r="A2528" t="s">
        <v>105</v>
      </c>
      <c r="B2528" s="10">
        <v>45468</v>
      </c>
      <c r="C2528" s="18">
        <f t="shared" si="39"/>
        <v>6</v>
      </c>
      <c r="D2528" t="s">
        <v>129</v>
      </c>
      <c r="E2528">
        <v>4877720</v>
      </c>
      <c r="F2528" t="s">
        <v>8</v>
      </c>
      <c r="G2528" t="s">
        <v>203</v>
      </c>
      <c r="H2528" t="s">
        <v>234</v>
      </c>
      <c r="I2528" s="4">
        <v>100638.28079999999</v>
      </c>
      <c r="J2528" s="4">
        <v>201276.56159999999</v>
      </c>
      <c r="L2528" s="4">
        <v>2</v>
      </c>
    </row>
    <row r="2529" spans="1:12">
      <c r="A2529" t="s">
        <v>105</v>
      </c>
      <c r="B2529" s="10">
        <v>45468</v>
      </c>
      <c r="C2529" s="18">
        <f t="shared" si="39"/>
        <v>6</v>
      </c>
      <c r="D2529" t="s">
        <v>129</v>
      </c>
      <c r="E2529">
        <v>4877720</v>
      </c>
      <c r="F2529" t="s">
        <v>8</v>
      </c>
      <c r="G2529" t="s">
        <v>203</v>
      </c>
      <c r="H2529" t="s">
        <v>228</v>
      </c>
      <c r="I2529" s="4">
        <v>100638.28079999999</v>
      </c>
      <c r="J2529" s="4">
        <v>201276.56159999999</v>
      </c>
      <c r="L2529" s="4">
        <v>2</v>
      </c>
    </row>
    <row r="2530" spans="1:12">
      <c r="A2530" t="s">
        <v>105</v>
      </c>
      <c r="B2530" s="10">
        <v>45468</v>
      </c>
      <c r="C2530" s="18">
        <f t="shared" si="39"/>
        <v>6</v>
      </c>
      <c r="D2530" t="s">
        <v>129</v>
      </c>
      <c r="E2530">
        <v>4877720</v>
      </c>
      <c r="F2530" t="s">
        <v>8</v>
      </c>
      <c r="G2530" t="s">
        <v>203</v>
      </c>
      <c r="H2530" t="s">
        <v>227</v>
      </c>
      <c r="I2530" s="4">
        <v>100638.28079999999</v>
      </c>
      <c r="J2530" s="4">
        <v>201276.56159999999</v>
      </c>
      <c r="L2530" s="4">
        <v>2</v>
      </c>
    </row>
    <row r="2531" spans="1:12">
      <c r="A2531" t="s">
        <v>105</v>
      </c>
      <c r="B2531" s="10">
        <v>45468</v>
      </c>
      <c r="C2531" s="18">
        <f t="shared" si="39"/>
        <v>6</v>
      </c>
      <c r="D2531" t="s">
        <v>129</v>
      </c>
      <c r="E2531">
        <v>4877720</v>
      </c>
      <c r="F2531" t="s">
        <v>8</v>
      </c>
      <c r="G2531" t="s">
        <v>203</v>
      </c>
      <c r="H2531" t="s">
        <v>223</v>
      </c>
      <c r="I2531" s="4">
        <v>100638.28079999999</v>
      </c>
      <c r="J2531" s="4">
        <v>201276.56159999999</v>
      </c>
      <c r="L2531" s="4">
        <v>2</v>
      </c>
    </row>
    <row r="2532" spans="1:12">
      <c r="A2532" t="s">
        <v>105</v>
      </c>
      <c r="B2532" s="10">
        <v>45449</v>
      </c>
      <c r="C2532" s="18">
        <f t="shared" si="39"/>
        <v>6</v>
      </c>
      <c r="D2532" t="s">
        <v>110</v>
      </c>
      <c r="E2532">
        <v>4878173</v>
      </c>
      <c r="F2532" t="s">
        <v>8</v>
      </c>
      <c r="G2532" t="s">
        <v>203</v>
      </c>
      <c r="H2532" t="s">
        <v>232</v>
      </c>
      <c r="I2532" s="4">
        <v>100638.28079999999</v>
      </c>
      <c r="J2532" s="4">
        <v>402553.12319999997</v>
      </c>
      <c r="L2532" s="4">
        <v>4</v>
      </c>
    </row>
    <row r="2533" spans="1:12">
      <c r="A2533" t="s">
        <v>105</v>
      </c>
      <c r="B2533" s="10">
        <v>45449</v>
      </c>
      <c r="C2533" s="18">
        <f t="shared" si="39"/>
        <v>6</v>
      </c>
      <c r="D2533" t="s">
        <v>110</v>
      </c>
      <c r="E2533">
        <v>4878173</v>
      </c>
      <c r="F2533" t="s">
        <v>8</v>
      </c>
      <c r="G2533" t="s">
        <v>203</v>
      </c>
      <c r="H2533" t="s">
        <v>227</v>
      </c>
      <c r="I2533" s="4">
        <v>100638.28079999999</v>
      </c>
      <c r="J2533" s="4">
        <v>402553.12319999997</v>
      </c>
      <c r="L2533" s="4">
        <v>4</v>
      </c>
    </row>
    <row r="2534" spans="1:12">
      <c r="A2534" t="s">
        <v>105</v>
      </c>
      <c r="B2534" s="10">
        <v>45449</v>
      </c>
      <c r="C2534" s="18">
        <f t="shared" si="39"/>
        <v>6</v>
      </c>
      <c r="D2534" t="s">
        <v>110</v>
      </c>
      <c r="E2534">
        <v>4878173</v>
      </c>
      <c r="F2534" t="s">
        <v>8</v>
      </c>
      <c r="G2534" t="s">
        <v>203</v>
      </c>
      <c r="H2534" t="s">
        <v>224</v>
      </c>
      <c r="I2534" s="4">
        <v>100638.28079999999</v>
      </c>
      <c r="J2534" s="4">
        <v>201276.56159999999</v>
      </c>
      <c r="L2534" s="4">
        <v>2</v>
      </c>
    </row>
    <row r="2535" spans="1:12">
      <c r="A2535" t="s">
        <v>105</v>
      </c>
      <c r="B2535" s="10">
        <v>45449</v>
      </c>
      <c r="C2535" s="18">
        <f t="shared" si="39"/>
        <v>6</v>
      </c>
      <c r="D2535" t="s">
        <v>110</v>
      </c>
      <c r="E2535">
        <v>4878173</v>
      </c>
      <c r="F2535" t="s">
        <v>8</v>
      </c>
      <c r="G2535" t="s">
        <v>203</v>
      </c>
      <c r="H2535" t="s">
        <v>235</v>
      </c>
      <c r="I2535" s="4">
        <v>125766.4408</v>
      </c>
      <c r="J2535" s="4">
        <v>251532.88159999999</v>
      </c>
      <c r="L2535" s="4">
        <v>2</v>
      </c>
    </row>
    <row r="2536" spans="1:12">
      <c r="A2536" t="s">
        <v>105</v>
      </c>
      <c r="B2536" s="10">
        <v>45449</v>
      </c>
      <c r="C2536" s="18">
        <f t="shared" si="39"/>
        <v>6</v>
      </c>
      <c r="D2536" t="s">
        <v>116</v>
      </c>
      <c r="E2536">
        <v>4878424</v>
      </c>
      <c r="F2536" t="s">
        <v>8</v>
      </c>
      <c r="G2536" t="s">
        <v>203</v>
      </c>
      <c r="H2536" t="s">
        <v>244</v>
      </c>
      <c r="I2536" s="4">
        <v>125766.4408</v>
      </c>
      <c r="J2536" s="4">
        <v>251532.88159999999</v>
      </c>
      <c r="L2536" s="4">
        <v>2</v>
      </c>
    </row>
    <row r="2537" spans="1:12">
      <c r="A2537" t="s">
        <v>105</v>
      </c>
      <c r="B2537" s="10">
        <v>45450</v>
      </c>
      <c r="C2537" s="18">
        <f t="shared" si="39"/>
        <v>6</v>
      </c>
      <c r="D2537" t="s">
        <v>127</v>
      </c>
      <c r="E2537">
        <v>4877862</v>
      </c>
      <c r="F2537" t="s">
        <v>8</v>
      </c>
      <c r="G2537" t="s">
        <v>203</v>
      </c>
      <c r="H2537" t="s">
        <v>243</v>
      </c>
      <c r="I2537" s="4">
        <v>100638.28079999999</v>
      </c>
      <c r="J2537" s="4">
        <v>201276.56159999999</v>
      </c>
      <c r="L2537" s="4">
        <v>2</v>
      </c>
    </row>
    <row r="2538" spans="1:12">
      <c r="A2538" t="s">
        <v>105</v>
      </c>
      <c r="B2538" s="10">
        <v>45450</v>
      </c>
      <c r="C2538" s="18">
        <f t="shared" si="39"/>
        <v>6</v>
      </c>
      <c r="D2538" t="s">
        <v>127</v>
      </c>
      <c r="E2538">
        <v>4877862</v>
      </c>
      <c r="F2538" t="s">
        <v>8</v>
      </c>
      <c r="G2538" t="s">
        <v>203</v>
      </c>
      <c r="H2538" t="s">
        <v>236</v>
      </c>
      <c r="I2538" s="4">
        <v>100638.28079999999</v>
      </c>
      <c r="J2538" s="4">
        <v>201276.56159999999</v>
      </c>
      <c r="L2538" s="4">
        <v>2</v>
      </c>
    </row>
    <row r="2539" spans="1:12">
      <c r="A2539" t="s">
        <v>105</v>
      </c>
      <c r="B2539" s="10">
        <v>45450</v>
      </c>
      <c r="C2539" s="18">
        <f t="shared" si="39"/>
        <v>6</v>
      </c>
      <c r="D2539" t="s">
        <v>127</v>
      </c>
      <c r="E2539">
        <v>4877862</v>
      </c>
      <c r="F2539" t="s">
        <v>8</v>
      </c>
      <c r="G2539" t="s">
        <v>203</v>
      </c>
      <c r="H2539" t="s">
        <v>228</v>
      </c>
      <c r="I2539" s="4">
        <v>100638.28079999999</v>
      </c>
      <c r="J2539" s="4">
        <v>201276.56159999999</v>
      </c>
      <c r="L2539" s="4">
        <v>2</v>
      </c>
    </row>
    <row r="2540" spans="1:12">
      <c r="A2540" t="s">
        <v>105</v>
      </c>
      <c r="B2540" s="10">
        <v>45454</v>
      </c>
      <c r="C2540" s="18">
        <f t="shared" si="39"/>
        <v>6</v>
      </c>
      <c r="D2540" t="s">
        <v>110</v>
      </c>
      <c r="E2540">
        <v>4878153</v>
      </c>
      <c r="F2540" t="s">
        <v>8</v>
      </c>
      <c r="G2540" t="s">
        <v>203</v>
      </c>
      <c r="H2540" t="s">
        <v>232</v>
      </c>
      <c r="I2540" s="4">
        <v>100638.28079999999</v>
      </c>
      <c r="J2540" s="4">
        <v>201276.56159999999</v>
      </c>
      <c r="L2540" s="4">
        <v>2</v>
      </c>
    </row>
    <row r="2541" spans="1:12">
      <c r="A2541" t="s">
        <v>105</v>
      </c>
      <c r="B2541" s="10">
        <v>45454</v>
      </c>
      <c r="C2541" s="18">
        <f t="shared" si="39"/>
        <v>6</v>
      </c>
      <c r="D2541" t="s">
        <v>110</v>
      </c>
      <c r="E2541">
        <v>4878153</v>
      </c>
      <c r="F2541" t="s">
        <v>8</v>
      </c>
      <c r="G2541" t="s">
        <v>203</v>
      </c>
      <c r="H2541" t="s">
        <v>230</v>
      </c>
      <c r="I2541" s="4">
        <v>100638.28079999999</v>
      </c>
      <c r="J2541" s="4">
        <v>201276.56159999999</v>
      </c>
      <c r="L2541" s="4">
        <v>2</v>
      </c>
    </row>
    <row r="2542" spans="1:12">
      <c r="A2542" t="s">
        <v>105</v>
      </c>
      <c r="B2542" s="10">
        <v>45454</v>
      </c>
      <c r="C2542" s="18">
        <f t="shared" si="39"/>
        <v>6</v>
      </c>
      <c r="D2542" t="s">
        <v>110</v>
      </c>
      <c r="E2542">
        <v>4878153</v>
      </c>
      <c r="F2542" t="s">
        <v>8</v>
      </c>
      <c r="G2542" t="s">
        <v>203</v>
      </c>
      <c r="H2542" t="s">
        <v>226</v>
      </c>
      <c r="I2542" s="4">
        <v>100638.28079999999</v>
      </c>
      <c r="J2542" s="4">
        <v>201276.56159999999</v>
      </c>
      <c r="L2542" s="4">
        <v>2</v>
      </c>
    </row>
    <row r="2543" spans="1:12">
      <c r="A2543" t="s">
        <v>105</v>
      </c>
      <c r="B2543" s="10">
        <v>45454</v>
      </c>
      <c r="C2543" s="18">
        <f t="shared" si="39"/>
        <v>6</v>
      </c>
      <c r="D2543" t="s">
        <v>109</v>
      </c>
      <c r="E2543">
        <v>4878203</v>
      </c>
      <c r="F2543" t="s">
        <v>8</v>
      </c>
      <c r="G2543" t="s">
        <v>203</v>
      </c>
      <c r="H2543" t="s">
        <v>227</v>
      </c>
      <c r="I2543" s="4">
        <v>100638.28079999999</v>
      </c>
      <c r="J2543" s="4">
        <v>1207659.3695999999</v>
      </c>
      <c r="K2543" s="4">
        <v>-48306.374784</v>
      </c>
      <c r="L2543" s="4">
        <v>12</v>
      </c>
    </row>
    <row r="2544" spans="1:12">
      <c r="A2544" t="s">
        <v>105</v>
      </c>
      <c r="B2544" s="10">
        <v>45454</v>
      </c>
      <c r="C2544" s="18">
        <f t="shared" si="39"/>
        <v>6</v>
      </c>
      <c r="D2544" t="s">
        <v>114</v>
      </c>
      <c r="E2544">
        <v>4878076</v>
      </c>
      <c r="F2544" t="s">
        <v>8</v>
      </c>
      <c r="G2544" t="s">
        <v>202</v>
      </c>
      <c r="H2544" t="s">
        <v>261</v>
      </c>
      <c r="I2544" s="4">
        <v>41587.104800000001</v>
      </c>
      <c r="J2544" s="4">
        <v>124761.3144</v>
      </c>
      <c r="L2544" s="4">
        <v>3</v>
      </c>
    </row>
    <row r="2545" spans="1:12">
      <c r="A2545" t="s">
        <v>105</v>
      </c>
      <c r="B2545" s="10">
        <v>45454</v>
      </c>
      <c r="C2545" s="18">
        <f t="shared" si="39"/>
        <v>6</v>
      </c>
      <c r="D2545" t="s">
        <v>114</v>
      </c>
      <c r="E2545">
        <v>4878076</v>
      </c>
      <c r="F2545" t="s">
        <v>8</v>
      </c>
      <c r="G2545" t="s">
        <v>202</v>
      </c>
      <c r="H2545" t="s">
        <v>260</v>
      </c>
      <c r="I2545" s="4">
        <v>41587.104800000001</v>
      </c>
      <c r="J2545" s="4">
        <v>124761.3144</v>
      </c>
      <c r="L2545" s="4">
        <v>3</v>
      </c>
    </row>
    <row r="2546" spans="1:12">
      <c r="A2546" t="s">
        <v>105</v>
      </c>
      <c r="B2546" s="10">
        <v>45454</v>
      </c>
      <c r="C2546" s="18">
        <f t="shared" si="39"/>
        <v>6</v>
      </c>
      <c r="D2546" t="s">
        <v>114</v>
      </c>
      <c r="E2546">
        <v>4878076</v>
      </c>
      <c r="F2546" t="s">
        <v>8</v>
      </c>
      <c r="G2546" t="s">
        <v>202</v>
      </c>
      <c r="H2546" t="s">
        <v>259</v>
      </c>
      <c r="I2546" s="4">
        <v>30279.432800000002</v>
      </c>
      <c r="J2546" s="4">
        <v>60558.865600000005</v>
      </c>
      <c r="L2546" s="4">
        <v>2</v>
      </c>
    </row>
    <row r="2547" spans="1:12">
      <c r="A2547" t="s">
        <v>105</v>
      </c>
      <c r="B2547" s="10">
        <v>45454</v>
      </c>
      <c r="C2547" s="18">
        <f t="shared" si="39"/>
        <v>6</v>
      </c>
      <c r="D2547" t="s">
        <v>114</v>
      </c>
      <c r="E2547">
        <v>4878076</v>
      </c>
      <c r="F2547" t="s">
        <v>8</v>
      </c>
      <c r="G2547" t="s">
        <v>202</v>
      </c>
      <c r="H2547" t="s">
        <v>258</v>
      </c>
      <c r="I2547" s="4">
        <v>37817.880799999999</v>
      </c>
      <c r="J2547" s="4">
        <v>75635.761599999998</v>
      </c>
      <c r="L2547" s="4">
        <v>2</v>
      </c>
    </row>
    <row r="2548" spans="1:12">
      <c r="A2548" t="s">
        <v>105</v>
      </c>
      <c r="B2548" s="10">
        <v>45454</v>
      </c>
      <c r="C2548" s="18">
        <f t="shared" si="39"/>
        <v>6</v>
      </c>
      <c r="D2548" t="s">
        <v>114</v>
      </c>
      <c r="E2548">
        <v>4878076</v>
      </c>
      <c r="F2548" t="s">
        <v>8</v>
      </c>
      <c r="G2548" t="s">
        <v>202</v>
      </c>
      <c r="H2548" t="s">
        <v>256</v>
      </c>
      <c r="I2548" s="4">
        <v>64202.448800000006</v>
      </c>
      <c r="J2548" s="4">
        <v>192607.34640000001</v>
      </c>
      <c r="L2548" s="4">
        <v>3</v>
      </c>
    </row>
    <row r="2549" spans="1:12">
      <c r="A2549" t="s">
        <v>105</v>
      </c>
      <c r="B2549" s="10">
        <v>45456</v>
      </c>
      <c r="C2549" s="18">
        <f t="shared" si="39"/>
        <v>6</v>
      </c>
      <c r="D2549" t="s">
        <v>118</v>
      </c>
      <c r="E2549">
        <v>4877622</v>
      </c>
      <c r="F2549" t="s">
        <v>8</v>
      </c>
      <c r="G2549" t="s">
        <v>203</v>
      </c>
      <c r="H2549" t="s">
        <v>244</v>
      </c>
      <c r="I2549" s="4">
        <v>125766.4408</v>
      </c>
      <c r="J2549" s="4">
        <v>251532.88159999999</v>
      </c>
      <c r="L2549" s="4">
        <v>2</v>
      </c>
    </row>
    <row r="2550" spans="1:12">
      <c r="A2550" t="s">
        <v>105</v>
      </c>
      <c r="B2550" s="10">
        <v>45456</v>
      </c>
      <c r="C2550" s="18">
        <f t="shared" si="39"/>
        <v>6</v>
      </c>
      <c r="D2550" t="s">
        <v>118</v>
      </c>
      <c r="E2550">
        <v>4877622</v>
      </c>
      <c r="F2550" t="s">
        <v>8</v>
      </c>
      <c r="G2550" t="s">
        <v>203</v>
      </c>
      <c r="H2550" t="s">
        <v>235</v>
      </c>
      <c r="I2550" s="4">
        <v>125766.4408</v>
      </c>
      <c r="J2550" s="4">
        <v>251532.88159999999</v>
      </c>
      <c r="L2550" s="4">
        <v>2</v>
      </c>
    </row>
    <row r="2551" spans="1:12">
      <c r="A2551" t="s">
        <v>105</v>
      </c>
      <c r="B2551" s="10">
        <v>45456</v>
      </c>
      <c r="C2551" s="18">
        <f t="shared" si="39"/>
        <v>6</v>
      </c>
      <c r="D2551" t="s">
        <v>117</v>
      </c>
      <c r="E2551">
        <v>4879308</v>
      </c>
      <c r="F2551" t="s">
        <v>8</v>
      </c>
      <c r="G2551" t="s">
        <v>203</v>
      </c>
      <c r="H2551" t="s">
        <v>244</v>
      </c>
      <c r="I2551" s="4">
        <v>125766.4408</v>
      </c>
      <c r="J2551" s="4">
        <v>503065.76319999999</v>
      </c>
      <c r="L2551" s="4">
        <v>4</v>
      </c>
    </row>
    <row r="2552" spans="1:12">
      <c r="A2552" t="s">
        <v>105</v>
      </c>
      <c r="B2552" s="10">
        <v>45463</v>
      </c>
      <c r="C2552" s="18">
        <f t="shared" si="39"/>
        <v>6</v>
      </c>
      <c r="D2552" t="s">
        <v>118</v>
      </c>
      <c r="E2552">
        <v>4877626</v>
      </c>
      <c r="F2552" t="s">
        <v>8</v>
      </c>
      <c r="G2552" t="s">
        <v>203</v>
      </c>
      <c r="H2552" t="s">
        <v>243</v>
      </c>
      <c r="I2552" s="4">
        <v>100638.28079999999</v>
      </c>
      <c r="J2552" s="4">
        <v>1006382.808</v>
      </c>
      <c r="L2552" s="4">
        <v>10</v>
      </c>
    </row>
    <row r="2553" spans="1:12">
      <c r="A2553" t="s">
        <v>105</v>
      </c>
      <c r="B2553" s="10">
        <v>45463</v>
      </c>
      <c r="C2553" s="18">
        <f t="shared" si="39"/>
        <v>6</v>
      </c>
      <c r="D2553" t="s">
        <v>117</v>
      </c>
      <c r="E2553">
        <v>4879308</v>
      </c>
      <c r="F2553" t="s">
        <v>8</v>
      </c>
      <c r="G2553" t="s">
        <v>203</v>
      </c>
      <c r="H2553" t="s">
        <v>244</v>
      </c>
      <c r="I2553" s="4">
        <v>125766.4408</v>
      </c>
      <c r="J2553" s="4">
        <v>628832.20400000003</v>
      </c>
      <c r="L2553" s="4">
        <v>5</v>
      </c>
    </row>
    <row r="2554" spans="1:12">
      <c r="A2554" t="s">
        <v>105</v>
      </c>
      <c r="B2554" s="10">
        <v>45465</v>
      </c>
      <c r="C2554" s="18">
        <f t="shared" si="39"/>
        <v>6</v>
      </c>
      <c r="D2554" t="s">
        <v>116</v>
      </c>
      <c r="E2554">
        <v>4878427</v>
      </c>
      <c r="F2554" t="s">
        <v>8</v>
      </c>
      <c r="G2554" t="s">
        <v>203</v>
      </c>
      <c r="H2554" t="s">
        <v>243</v>
      </c>
      <c r="I2554" s="4">
        <v>100638.28079999999</v>
      </c>
      <c r="J2554" s="4">
        <v>805106.24639999995</v>
      </c>
      <c r="L2554" s="4">
        <v>8</v>
      </c>
    </row>
    <row r="2555" spans="1:12">
      <c r="A2555" t="s">
        <v>105</v>
      </c>
      <c r="B2555" s="10">
        <v>45465</v>
      </c>
      <c r="C2555" s="18">
        <f t="shared" si="39"/>
        <v>6</v>
      </c>
      <c r="D2555" t="s">
        <v>116</v>
      </c>
      <c r="E2555">
        <v>4878427</v>
      </c>
      <c r="F2555" t="s">
        <v>8</v>
      </c>
      <c r="G2555" t="s">
        <v>203</v>
      </c>
      <c r="H2555" t="s">
        <v>242</v>
      </c>
      <c r="I2555" s="4">
        <v>100638.28079999999</v>
      </c>
      <c r="J2555" s="4">
        <v>805106.24639999995</v>
      </c>
      <c r="L2555" s="4">
        <v>8</v>
      </c>
    </row>
    <row r="2556" spans="1:12">
      <c r="A2556" t="s">
        <v>105</v>
      </c>
      <c r="B2556" s="10">
        <v>45465</v>
      </c>
      <c r="C2556" s="18">
        <f t="shared" si="39"/>
        <v>6</v>
      </c>
      <c r="D2556" t="s">
        <v>116</v>
      </c>
      <c r="E2556">
        <v>4878427</v>
      </c>
      <c r="F2556" t="s">
        <v>8</v>
      </c>
      <c r="G2556" t="s">
        <v>203</v>
      </c>
      <c r="H2556" t="s">
        <v>240</v>
      </c>
      <c r="I2556" s="4">
        <v>100638.28079999999</v>
      </c>
      <c r="J2556" s="4">
        <v>805106.24639999995</v>
      </c>
      <c r="L2556" s="4">
        <v>8</v>
      </c>
    </row>
    <row r="2557" spans="1:12">
      <c r="A2557" t="s">
        <v>105</v>
      </c>
      <c r="B2557" s="10">
        <v>45465</v>
      </c>
      <c r="C2557" s="18">
        <f t="shared" si="39"/>
        <v>6</v>
      </c>
      <c r="D2557" t="s">
        <v>116</v>
      </c>
      <c r="E2557">
        <v>4878427</v>
      </c>
      <c r="F2557" t="s">
        <v>8</v>
      </c>
      <c r="G2557" t="s">
        <v>203</v>
      </c>
      <c r="H2557" t="s">
        <v>238</v>
      </c>
      <c r="I2557" s="4">
        <v>95606.36675999999</v>
      </c>
      <c r="J2557" s="4">
        <v>764850.93407999992</v>
      </c>
      <c r="L2557" s="4">
        <v>8</v>
      </c>
    </row>
    <row r="2558" spans="1:12">
      <c r="A2558" t="s">
        <v>105</v>
      </c>
      <c r="B2558" s="10">
        <v>45465</v>
      </c>
      <c r="C2558" s="18">
        <f t="shared" si="39"/>
        <v>6</v>
      </c>
      <c r="D2558" t="s">
        <v>116</v>
      </c>
      <c r="E2558">
        <v>4878427</v>
      </c>
      <c r="F2558" t="s">
        <v>8</v>
      </c>
      <c r="G2558" t="s">
        <v>203</v>
      </c>
      <c r="H2558" t="s">
        <v>241</v>
      </c>
      <c r="I2558" s="4">
        <v>125766.4408</v>
      </c>
      <c r="J2558" s="4">
        <v>628832.20400000003</v>
      </c>
      <c r="L2558" s="4">
        <v>5</v>
      </c>
    </row>
    <row r="2559" spans="1:12">
      <c r="A2559" t="s">
        <v>105</v>
      </c>
      <c r="B2559" s="10">
        <v>45465</v>
      </c>
      <c r="C2559" s="18">
        <f t="shared" si="39"/>
        <v>6</v>
      </c>
      <c r="D2559" t="s">
        <v>116</v>
      </c>
      <c r="E2559">
        <v>4878427</v>
      </c>
      <c r="F2559" t="s">
        <v>8</v>
      </c>
      <c r="G2559" t="s">
        <v>203</v>
      </c>
      <c r="H2559" t="s">
        <v>235</v>
      </c>
      <c r="I2559" s="4">
        <v>125766.4408</v>
      </c>
      <c r="J2559" s="4">
        <v>628832.20400000003</v>
      </c>
      <c r="L2559" s="4">
        <v>5</v>
      </c>
    </row>
    <row r="2560" spans="1:12">
      <c r="A2560" t="s">
        <v>105</v>
      </c>
      <c r="B2560" s="10">
        <v>45465</v>
      </c>
      <c r="C2560" s="18">
        <f t="shared" si="39"/>
        <v>6</v>
      </c>
      <c r="D2560" t="s">
        <v>116</v>
      </c>
      <c r="E2560">
        <v>4878456</v>
      </c>
      <c r="F2560" t="s">
        <v>8</v>
      </c>
      <c r="G2560" t="s">
        <v>203</v>
      </c>
      <c r="H2560" t="s">
        <v>240</v>
      </c>
      <c r="I2560" s="4">
        <v>100638.28079999999</v>
      </c>
      <c r="J2560" s="4">
        <v>201276.56159999999</v>
      </c>
      <c r="L2560" s="4">
        <v>2</v>
      </c>
    </row>
    <row r="2561" spans="1:12">
      <c r="A2561" t="s">
        <v>105</v>
      </c>
      <c r="B2561" s="10">
        <v>45465</v>
      </c>
      <c r="C2561" s="18">
        <f t="shared" si="39"/>
        <v>6</v>
      </c>
      <c r="D2561" t="s">
        <v>116</v>
      </c>
      <c r="E2561">
        <v>4878456</v>
      </c>
      <c r="F2561" t="s">
        <v>8</v>
      </c>
      <c r="G2561" t="s">
        <v>203</v>
      </c>
      <c r="H2561" t="s">
        <v>238</v>
      </c>
      <c r="I2561" s="4">
        <v>95606.36675999999</v>
      </c>
      <c r="J2561" s="4">
        <v>191212.73351999998</v>
      </c>
      <c r="L2561" s="4">
        <v>2</v>
      </c>
    </row>
    <row r="2562" spans="1:12">
      <c r="A2562" t="s">
        <v>105</v>
      </c>
      <c r="B2562" s="10">
        <v>45465</v>
      </c>
      <c r="C2562" s="18">
        <f t="shared" ref="C2562:C2625" si="40">MONTH(B2562)</f>
        <v>6</v>
      </c>
      <c r="D2562" t="s">
        <v>116</v>
      </c>
      <c r="E2562">
        <v>4878456</v>
      </c>
      <c r="F2562" t="s">
        <v>8</v>
      </c>
      <c r="G2562" t="s">
        <v>203</v>
      </c>
      <c r="H2562" t="s">
        <v>241</v>
      </c>
      <c r="I2562" s="4">
        <v>125766.4408</v>
      </c>
      <c r="J2562" s="4">
        <v>125766.4408</v>
      </c>
      <c r="L2562" s="4">
        <v>1</v>
      </c>
    </row>
    <row r="2563" spans="1:12">
      <c r="A2563" t="s">
        <v>107</v>
      </c>
      <c r="B2563" s="10">
        <v>45446</v>
      </c>
      <c r="C2563" s="18">
        <f t="shared" si="40"/>
        <v>6</v>
      </c>
      <c r="D2563" t="s">
        <v>151</v>
      </c>
      <c r="E2563">
        <v>4876098</v>
      </c>
      <c r="F2563" t="s">
        <v>8</v>
      </c>
      <c r="G2563" t="s">
        <v>204</v>
      </c>
      <c r="H2563" t="s">
        <v>220</v>
      </c>
      <c r="I2563" s="4">
        <v>37817.880799999999</v>
      </c>
      <c r="J2563" s="4">
        <v>1626168.8743999999</v>
      </c>
      <c r="L2563" s="4">
        <v>43</v>
      </c>
    </row>
    <row r="2564" spans="1:12">
      <c r="A2564" t="s">
        <v>107</v>
      </c>
      <c r="B2564" s="10">
        <v>45447</v>
      </c>
      <c r="C2564" s="18">
        <f t="shared" si="40"/>
        <v>6</v>
      </c>
      <c r="D2564" t="s">
        <v>187</v>
      </c>
      <c r="E2564">
        <v>4878757</v>
      </c>
      <c r="F2564" t="s">
        <v>8</v>
      </c>
      <c r="G2564" t="s">
        <v>203</v>
      </c>
      <c r="H2564" t="s">
        <v>242</v>
      </c>
      <c r="I2564" s="4">
        <v>100638.28079999999</v>
      </c>
      <c r="J2564" s="4">
        <v>201276.56159999999</v>
      </c>
      <c r="L2564" s="4">
        <v>2</v>
      </c>
    </row>
    <row r="2565" spans="1:12">
      <c r="A2565" t="s">
        <v>107</v>
      </c>
      <c r="B2565" s="10">
        <v>45448</v>
      </c>
      <c r="C2565" s="18">
        <f t="shared" si="40"/>
        <v>6</v>
      </c>
      <c r="D2565" t="s">
        <v>183</v>
      </c>
      <c r="E2565">
        <v>4874373</v>
      </c>
      <c r="F2565" t="s">
        <v>8</v>
      </c>
      <c r="G2565" t="s">
        <v>202</v>
      </c>
      <c r="H2565" t="s">
        <v>260</v>
      </c>
      <c r="I2565" s="4">
        <v>41587.104800000001</v>
      </c>
      <c r="J2565" s="4">
        <v>4158710.48</v>
      </c>
      <c r="K2565" s="4">
        <v>-207935.524</v>
      </c>
      <c r="L2565" s="4">
        <v>100</v>
      </c>
    </row>
    <row r="2566" spans="1:12">
      <c r="A2566" t="s">
        <v>107</v>
      </c>
      <c r="B2566" s="10">
        <v>45448</v>
      </c>
      <c r="C2566" s="18">
        <f t="shared" si="40"/>
        <v>6</v>
      </c>
      <c r="D2566" t="s">
        <v>183</v>
      </c>
      <c r="E2566">
        <v>4874373</v>
      </c>
      <c r="F2566" t="s">
        <v>8</v>
      </c>
      <c r="G2566" t="s">
        <v>202</v>
      </c>
      <c r="H2566" t="s">
        <v>259</v>
      </c>
      <c r="I2566" s="4">
        <v>30279.432800000002</v>
      </c>
      <c r="J2566" s="4">
        <v>6055886.5600000005</v>
      </c>
      <c r="K2566" s="4">
        <v>-302794.32800000004</v>
      </c>
      <c r="L2566" s="4">
        <v>200</v>
      </c>
    </row>
    <row r="2567" spans="1:12">
      <c r="A2567" t="s">
        <v>107</v>
      </c>
      <c r="B2567" s="10">
        <v>45448</v>
      </c>
      <c r="C2567" s="18">
        <f t="shared" si="40"/>
        <v>6</v>
      </c>
      <c r="D2567" t="s">
        <v>183</v>
      </c>
      <c r="E2567">
        <v>4874373</v>
      </c>
      <c r="F2567" t="s">
        <v>8</v>
      </c>
      <c r="G2567" t="s">
        <v>202</v>
      </c>
      <c r="H2567" t="s">
        <v>257</v>
      </c>
      <c r="I2567" s="4">
        <v>56664.000799999994</v>
      </c>
      <c r="J2567" s="4">
        <v>3626496.0511999996</v>
      </c>
      <c r="K2567" s="4">
        <v>-181324.80256000001</v>
      </c>
      <c r="L2567" s="4">
        <v>64</v>
      </c>
    </row>
    <row r="2568" spans="1:12">
      <c r="A2568" t="s">
        <v>107</v>
      </c>
      <c r="B2568" s="10">
        <v>45448</v>
      </c>
      <c r="C2568" s="18">
        <f t="shared" si="40"/>
        <v>6</v>
      </c>
      <c r="D2568" t="s">
        <v>183</v>
      </c>
      <c r="E2568">
        <v>4874373</v>
      </c>
      <c r="F2568" t="s">
        <v>8</v>
      </c>
      <c r="G2568" t="s">
        <v>202</v>
      </c>
      <c r="H2568" t="s">
        <v>256</v>
      </c>
      <c r="I2568" s="4">
        <v>64202.448800000006</v>
      </c>
      <c r="J2568" s="4">
        <v>6420244.8800000008</v>
      </c>
      <c r="K2568" s="4">
        <v>-321012.24400000001</v>
      </c>
      <c r="L2568" s="4">
        <v>100</v>
      </c>
    </row>
    <row r="2569" spans="1:12">
      <c r="A2569" t="s">
        <v>107</v>
      </c>
      <c r="B2569" s="10">
        <v>45448</v>
      </c>
      <c r="C2569" s="18">
        <f t="shared" si="40"/>
        <v>6</v>
      </c>
      <c r="D2569" t="s">
        <v>189</v>
      </c>
      <c r="E2569">
        <v>4878855</v>
      </c>
      <c r="F2569" t="s">
        <v>8</v>
      </c>
      <c r="G2569" t="s">
        <v>205</v>
      </c>
      <c r="H2569" t="s">
        <v>211</v>
      </c>
      <c r="I2569" s="4">
        <v>5151.2727999999997</v>
      </c>
      <c r="J2569" s="4">
        <v>180294.54799999998</v>
      </c>
      <c r="K2569" s="4">
        <v>-3605.8909599999997</v>
      </c>
      <c r="L2569" s="4">
        <v>35</v>
      </c>
    </row>
    <row r="2570" spans="1:12">
      <c r="A2570" t="s">
        <v>107</v>
      </c>
      <c r="B2570" s="10">
        <v>45449</v>
      </c>
      <c r="C2570" s="18">
        <f t="shared" si="40"/>
        <v>6</v>
      </c>
      <c r="D2570" t="s">
        <v>151</v>
      </c>
      <c r="E2570">
        <v>4874397</v>
      </c>
      <c r="F2570" t="s">
        <v>8</v>
      </c>
      <c r="G2570" t="s">
        <v>203</v>
      </c>
      <c r="H2570" t="s">
        <v>227</v>
      </c>
      <c r="I2570" s="4">
        <v>100638.28079999999</v>
      </c>
      <c r="J2570" s="4">
        <v>-301914.84239999996</v>
      </c>
      <c r="L2570" s="4">
        <v>-3</v>
      </c>
    </row>
    <row r="2571" spans="1:12">
      <c r="A2571" t="s">
        <v>107</v>
      </c>
      <c r="B2571" s="10">
        <v>45450</v>
      </c>
      <c r="C2571" s="18">
        <f t="shared" si="40"/>
        <v>6</v>
      </c>
      <c r="D2571" t="s">
        <v>151</v>
      </c>
      <c r="E2571">
        <v>4876098</v>
      </c>
      <c r="F2571" t="s">
        <v>8</v>
      </c>
      <c r="G2571" t="s">
        <v>204</v>
      </c>
      <c r="H2571" t="s">
        <v>218</v>
      </c>
      <c r="I2571" s="4">
        <v>71740.896800000002</v>
      </c>
      <c r="J2571" s="4">
        <v>3587044.8400000003</v>
      </c>
      <c r="L2571" s="4">
        <v>50</v>
      </c>
    </row>
    <row r="2572" spans="1:12">
      <c r="A2572" t="s">
        <v>107</v>
      </c>
      <c r="B2572" s="10">
        <v>45450</v>
      </c>
      <c r="C2572" s="18">
        <f t="shared" si="40"/>
        <v>6</v>
      </c>
      <c r="D2572" t="s">
        <v>151</v>
      </c>
      <c r="E2572">
        <v>4876098</v>
      </c>
      <c r="F2572" t="s">
        <v>8</v>
      </c>
      <c r="G2572" t="s">
        <v>204</v>
      </c>
      <c r="H2572" t="s">
        <v>217</v>
      </c>
      <c r="I2572" s="4">
        <v>78022.936799999996</v>
      </c>
      <c r="J2572" s="4">
        <v>3901146.84</v>
      </c>
      <c r="L2572" s="4">
        <v>50</v>
      </c>
    </row>
    <row r="2573" spans="1:12">
      <c r="A2573" t="s">
        <v>107</v>
      </c>
      <c r="B2573" s="10">
        <v>45458</v>
      </c>
      <c r="C2573" s="18">
        <f t="shared" si="40"/>
        <v>6</v>
      </c>
      <c r="D2573" t="s">
        <v>151</v>
      </c>
      <c r="E2573">
        <v>4876098</v>
      </c>
      <c r="F2573" t="s">
        <v>8</v>
      </c>
      <c r="G2573" t="s">
        <v>204</v>
      </c>
      <c r="H2573" t="s">
        <v>214</v>
      </c>
      <c r="I2573" s="4">
        <v>119484.4008</v>
      </c>
      <c r="J2573" s="4">
        <v>5974220.04</v>
      </c>
      <c r="L2573" s="4">
        <v>50</v>
      </c>
    </row>
    <row r="2574" spans="1:12">
      <c r="A2574" t="s">
        <v>107</v>
      </c>
      <c r="B2574" s="10">
        <v>45460</v>
      </c>
      <c r="C2574" s="18">
        <f t="shared" si="40"/>
        <v>6</v>
      </c>
      <c r="D2574" t="s">
        <v>140</v>
      </c>
      <c r="E2574">
        <v>4874346</v>
      </c>
      <c r="F2574" t="s">
        <v>8</v>
      </c>
      <c r="G2574" t="s">
        <v>203</v>
      </c>
      <c r="H2574" t="s">
        <v>227</v>
      </c>
      <c r="I2574" s="4">
        <v>100638.28079999999</v>
      </c>
      <c r="J2574" s="4">
        <v>301914.84239999996</v>
      </c>
      <c r="L2574" s="4">
        <v>3</v>
      </c>
    </row>
    <row r="2575" spans="1:12">
      <c r="A2575" t="s">
        <v>107</v>
      </c>
      <c r="B2575" s="10">
        <v>45469</v>
      </c>
      <c r="C2575" s="18">
        <f t="shared" si="40"/>
        <v>6</v>
      </c>
      <c r="D2575" t="s">
        <v>151</v>
      </c>
      <c r="E2575">
        <v>4876098</v>
      </c>
      <c r="F2575" t="s">
        <v>8</v>
      </c>
      <c r="G2575" t="s">
        <v>204</v>
      </c>
      <c r="H2575" t="s">
        <v>212</v>
      </c>
      <c r="I2575" s="4">
        <v>62946.040799999995</v>
      </c>
      <c r="J2575" s="4">
        <v>1133028.7344</v>
      </c>
      <c r="L2575" s="4">
        <v>18</v>
      </c>
    </row>
    <row r="2576" spans="1:12">
      <c r="A2576" t="s">
        <v>91</v>
      </c>
      <c r="B2576" s="10">
        <v>45466</v>
      </c>
      <c r="C2576" s="18">
        <f t="shared" si="40"/>
        <v>6</v>
      </c>
      <c r="D2576" t="s">
        <v>149</v>
      </c>
      <c r="E2576">
        <v>6474241</v>
      </c>
      <c r="F2576" t="s">
        <v>88</v>
      </c>
      <c r="G2576" t="s">
        <v>203</v>
      </c>
      <c r="H2576" t="s">
        <v>234</v>
      </c>
      <c r="I2576" s="4">
        <v>100638.28079999999</v>
      </c>
      <c r="J2576" s="4">
        <v>1006382.808</v>
      </c>
      <c r="K2576" s="4">
        <v>-43346.076000000001</v>
      </c>
      <c r="L2576" s="4">
        <v>10</v>
      </c>
    </row>
    <row r="2577" spans="1:12">
      <c r="A2577" t="s">
        <v>91</v>
      </c>
      <c r="B2577" s="10">
        <v>45466</v>
      </c>
      <c r="C2577" s="18">
        <f t="shared" si="40"/>
        <v>6</v>
      </c>
      <c r="D2577" t="s">
        <v>149</v>
      </c>
      <c r="E2577">
        <v>6474241</v>
      </c>
      <c r="F2577" t="s">
        <v>88</v>
      </c>
      <c r="G2577" t="s">
        <v>203</v>
      </c>
      <c r="H2577" t="s">
        <v>227</v>
      </c>
      <c r="I2577" s="4">
        <v>100638.28079999999</v>
      </c>
      <c r="J2577" s="4">
        <v>1006382.808</v>
      </c>
      <c r="K2577" s="4">
        <v>-43346.076000000001</v>
      </c>
      <c r="L2577" s="4">
        <v>10</v>
      </c>
    </row>
    <row r="2578" spans="1:12">
      <c r="A2578" t="s">
        <v>91</v>
      </c>
      <c r="B2578" s="10">
        <v>45471</v>
      </c>
      <c r="C2578" s="18">
        <f t="shared" si="40"/>
        <v>6</v>
      </c>
      <c r="D2578" t="s">
        <v>149</v>
      </c>
      <c r="E2578">
        <v>6474241</v>
      </c>
      <c r="F2578" t="s">
        <v>88</v>
      </c>
      <c r="G2578" t="s">
        <v>204</v>
      </c>
      <c r="H2578" t="s">
        <v>212</v>
      </c>
      <c r="I2578" s="4">
        <v>62946.040799999995</v>
      </c>
      <c r="J2578" s="4">
        <v>1888381.2239999999</v>
      </c>
      <c r="K2578" s="4">
        <v>-56538.36</v>
      </c>
      <c r="L2578" s="4">
        <v>30</v>
      </c>
    </row>
    <row r="2579" spans="1:12">
      <c r="A2579" t="s">
        <v>93</v>
      </c>
      <c r="B2579" s="10">
        <v>45447</v>
      </c>
      <c r="C2579" s="18">
        <f t="shared" si="40"/>
        <v>6</v>
      </c>
      <c r="D2579" t="s">
        <v>155</v>
      </c>
      <c r="E2579">
        <v>4879013</v>
      </c>
      <c r="F2579" t="s">
        <v>88</v>
      </c>
      <c r="G2579" t="s">
        <v>202</v>
      </c>
      <c r="H2579" t="s">
        <v>256</v>
      </c>
      <c r="I2579" s="4">
        <v>64202.448800000006</v>
      </c>
      <c r="J2579" s="4">
        <v>770429.38560000004</v>
      </c>
      <c r="L2579" s="4">
        <v>12</v>
      </c>
    </row>
    <row r="2580" spans="1:12">
      <c r="A2580" t="s">
        <v>93</v>
      </c>
      <c r="B2580" s="10">
        <v>45457</v>
      </c>
      <c r="C2580" s="18">
        <f t="shared" si="40"/>
        <v>6</v>
      </c>
      <c r="D2580" t="s">
        <v>176</v>
      </c>
      <c r="E2580">
        <v>4878650</v>
      </c>
      <c r="F2580" t="s">
        <v>87</v>
      </c>
      <c r="G2580" t="s">
        <v>203</v>
      </c>
      <c r="H2580" t="s">
        <v>240</v>
      </c>
      <c r="I2580" s="4">
        <v>100638.28079999999</v>
      </c>
      <c r="J2580" s="4">
        <v>201276.56159999999</v>
      </c>
      <c r="L2580" s="4">
        <v>2</v>
      </c>
    </row>
    <row r="2581" spans="1:12">
      <c r="A2581" t="s">
        <v>93</v>
      </c>
      <c r="B2581" s="10">
        <v>45457</v>
      </c>
      <c r="C2581" s="18">
        <f t="shared" si="40"/>
        <v>6</v>
      </c>
      <c r="D2581" t="s">
        <v>176</v>
      </c>
      <c r="E2581">
        <v>4878650</v>
      </c>
      <c r="F2581" t="s">
        <v>87</v>
      </c>
      <c r="G2581" t="s">
        <v>203</v>
      </c>
      <c r="H2581" t="s">
        <v>228</v>
      </c>
      <c r="I2581" s="4">
        <v>100638.28079999999</v>
      </c>
      <c r="J2581" s="4">
        <v>201276.56159999999</v>
      </c>
      <c r="L2581" s="4">
        <v>2</v>
      </c>
    </row>
    <row r="2582" spans="1:12">
      <c r="A2582" t="s">
        <v>93</v>
      </c>
      <c r="B2582" s="10">
        <v>45457</v>
      </c>
      <c r="C2582" s="18">
        <f t="shared" si="40"/>
        <v>6</v>
      </c>
      <c r="D2582" t="s">
        <v>176</v>
      </c>
      <c r="E2582">
        <v>4878650</v>
      </c>
      <c r="F2582" t="s">
        <v>87</v>
      </c>
      <c r="G2582" t="s">
        <v>203</v>
      </c>
      <c r="H2582" t="s">
        <v>224</v>
      </c>
      <c r="I2582" s="4">
        <v>100638.28079999999</v>
      </c>
      <c r="J2582" s="4">
        <v>201276.56159999999</v>
      </c>
      <c r="L2582" s="4">
        <v>2</v>
      </c>
    </row>
    <row r="2583" spans="1:12">
      <c r="A2583" t="s">
        <v>93</v>
      </c>
      <c r="B2583" s="10">
        <v>45457</v>
      </c>
      <c r="C2583" s="18">
        <f t="shared" si="40"/>
        <v>6</v>
      </c>
      <c r="D2583" t="s">
        <v>176</v>
      </c>
      <c r="E2583">
        <v>4878650</v>
      </c>
      <c r="F2583" t="s">
        <v>87</v>
      </c>
      <c r="G2583" t="s">
        <v>203</v>
      </c>
      <c r="H2583" t="s">
        <v>239</v>
      </c>
      <c r="I2583" s="4">
        <v>125766.4408</v>
      </c>
      <c r="J2583" s="4">
        <v>251532.88159999999</v>
      </c>
      <c r="L2583" s="4">
        <v>2</v>
      </c>
    </row>
    <row r="2584" spans="1:12">
      <c r="A2584" t="s">
        <v>93</v>
      </c>
      <c r="B2584" s="10">
        <v>45457</v>
      </c>
      <c r="C2584" s="18">
        <f t="shared" si="40"/>
        <v>6</v>
      </c>
      <c r="D2584" t="s">
        <v>176</v>
      </c>
      <c r="E2584">
        <v>4878650</v>
      </c>
      <c r="F2584" t="s">
        <v>87</v>
      </c>
      <c r="G2584" t="s">
        <v>203</v>
      </c>
      <c r="H2584" t="s">
        <v>237</v>
      </c>
      <c r="I2584" s="4">
        <v>125766.4408</v>
      </c>
      <c r="J2584" s="4">
        <v>251532.88159999999</v>
      </c>
      <c r="L2584" s="4">
        <v>2</v>
      </c>
    </row>
    <row r="2585" spans="1:12">
      <c r="A2585" t="s">
        <v>93</v>
      </c>
      <c r="B2585" s="10">
        <v>45457</v>
      </c>
      <c r="C2585" s="18">
        <f t="shared" si="40"/>
        <v>6</v>
      </c>
      <c r="D2585" t="s">
        <v>176</v>
      </c>
      <c r="E2585">
        <v>4878650</v>
      </c>
      <c r="F2585" t="s">
        <v>87</v>
      </c>
      <c r="G2585" t="s">
        <v>203</v>
      </c>
      <c r="H2585" t="s">
        <v>233</v>
      </c>
      <c r="I2585" s="4">
        <v>120735.78316800001</v>
      </c>
      <c r="J2585" s="4">
        <v>241471.56633600002</v>
      </c>
      <c r="L2585" s="4">
        <v>2</v>
      </c>
    </row>
    <row r="2586" spans="1:12">
      <c r="A2586" t="s">
        <v>93</v>
      </c>
      <c r="B2586" s="10">
        <v>45460</v>
      </c>
      <c r="C2586" s="18">
        <f t="shared" si="40"/>
        <v>6</v>
      </c>
      <c r="D2586" t="s">
        <v>155</v>
      </c>
      <c r="E2586">
        <v>4873595</v>
      </c>
      <c r="F2586" t="s">
        <v>87</v>
      </c>
      <c r="G2586" t="s">
        <v>203</v>
      </c>
      <c r="H2586" t="s">
        <v>224</v>
      </c>
      <c r="I2586" s="4">
        <v>100638.28079999999</v>
      </c>
      <c r="J2586" s="4">
        <v>201276.56159999999</v>
      </c>
      <c r="L2586" s="4">
        <v>2</v>
      </c>
    </row>
    <row r="2587" spans="1:12">
      <c r="A2587" t="s">
        <v>93</v>
      </c>
      <c r="B2587" s="10">
        <v>45460</v>
      </c>
      <c r="C2587" s="18">
        <f t="shared" si="40"/>
        <v>6</v>
      </c>
      <c r="D2587" t="s">
        <v>155</v>
      </c>
      <c r="E2587">
        <v>4873595</v>
      </c>
      <c r="F2587" t="s">
        <v>87</v>
      </c>
      <c r="G2587" t="s">
        <v>203</v>
      </c>
      <c r="H2587" t="s">
        <v>223</v>
      </c>
      <c r="I2587" s="4">
        <v>100638.28079999999</v>
      </c>
      <c r="J2587" s="4">
        <v>201276.56159999999</v>
      </c>
      <c r="L2587" s="4">
        <v>2</v>
      </c>
    </row>
    <row r="2588" spans="1:12">
      <c r="A2588" t="s">
        <v>93</v>
      </c>
      <c r="B2588" s="10">
        <v>45462</v>
      </c>
      <c r="C2588" s="18">
        <f t="shared" si="40"/>
        <v>6</v>
      </c>
      <c r="D2588" t="s">
        <v>137</v>
      </c>
      <c r="E2588">
        <v>6080700</v>
      </c>
      <c r="F2588" t="s">
        <v>87</v>
      </c>
      <c r="G2588" t="s">
        <v>203</v>
      </c>
      <c r="H2588" t="s">
        <v>242</v>
      </c>
      <c r="I2588" s="4">
        <v>100638.28079999999</v>
      </c>
      <c r="J2588" s="4">
        <v>201276.56159999999</v>
      </c>
      <c r="L2588" s="4">
        <v>2</v>
      </c>
    </row>
    <row r="2589" spans="1:12">
      <c r="A2589" t="s">
        <v>93</v>
      </c>
      <c r="B2589" s="10">
        <v>45462</v>
      </c>
      <c r="C2589" s="18">
        <f t="shared" si="40"/>
        <v>6</v>
      </c>
      <c r="D2589" t="s">
        <v>137</v>
      </c>
      <c r="E2589">
        <v>6080700</v>
      </c>
      <c r="F2589" t="s">
        <v>87</v>
      </c>
      <c r="G2589" t="s">
        <v>203</v>
      </c>
      <c r="H2589" t="s">
        <v>236</v>
      </c>
      <c r="I2589" s="4">
        <v>100638.28079999999</v>
      </c>
      <c r="J2589" s="4">
        <v>201276.56159999999</v>
      </c>
      <c r="L2589" s="4">
        <v>2</v>
      </c>
    </row>
    <row r="2590" spans="1:12">
      <c r="A2590" t="s">
        <v>93</v>
      </c>
      <c r="B2590" s="10">
        <v>45466</v>
      </c>
      <c r="C2590" s="18">
        <f t="shared" si="40"/>
        <v>6</v>
      </c>
      <c r="D2590" t="s">
        <v>153</v>
      </c>
      <c r="E2590">
        <v>4878925</v>
      </c>
      <c r="F2590" t="s">
        <v>89</v>
      </c>
      <c r="G2590" t="s">
        <v>203</v>
      </c>
      <c r="H2590" t="s">
        <v>242</v>
      </c>
      <c r="I2590" s="4">
        <v>100638.28079999999</v>
      </c>
      <c r="J2590" s="4">
        <v>201276.56159999999</v>
      </c>
      <c r="L2590" s="4">
        <v>2</v>
      </c>
    </row>
    <row r="2591" spans="1:12">
      <c r="A2591" t="s">
        <v>93</v>
      </c>
      <c r="B2591" s="10">
        <v>45466</v>
      </c>
      <c r="C2591" s="18">
        <f t="shared" si="40"/>
        <v>6</v>
      </c>
      <c r="D2591" t="s">
        <v>153</v>
      </c>
      <c r="E2591">
        <v>4878925</v>
      </c>
      <c r="F2591" t="s">
        <v>89</v>
      </c>
      <c r="G2591" t="s">
        <v>203</v>
      </c>
      <c r="H2591" t="s">
        <v>236</v>
      </c>
      <c r="I2591" s="4">
        <v>100638.28079999999</v>
      </c>
      <c r="J2591" s="4">
        <v>201276.56159999999</v>
      </c>
      <c r="L2591" s="4">
        <v>2</v>
      </c>
    </row>
    <row r="2592" spans="1:12">
      <c r="A2592" t="s">
        <v>93</v>
      </c>
      <c r="B2592" s="10">
        <v>45466</v>
      </c>
      <c r="C2592" s="18">
        <f t="shared" si="40"/>
        <v>6</v>
      </c>
      <c r="D2592" t="s">
        <v>153</v>
      </c>
      <c r="E2592">
        <v>4878925</v>
      </c>
      <c r="F2592" t="s">
        <v>89</v>
      </c>
      <c r="G2592" t="s">
        <v>203</v>
      </c>
      <c r="H2592" t="s">
        <v>228</v>
      </c>
      <c r="I2592" s="4">
        <v>100638.28079999999</v>
      </c>
      <c r="J2592" s="4">
        <v>201276.56159999999</v>
      </c>
      <c r="L2592" s="4">
        <v>2</v>
      </c>
    </row>
    <row r="2593" spans="1:12">
      <c r="A2593" t="s">
        <v>93</v>
      </c>
      <c r="B2593" s="10">
        <v>45466</v>
      </c>
      <c r="C2593" s="18">
        <f t="shared" si="40"/>
        <v>6</v>
      </c>
      <c r="D2593" t="s">
        <v>153</v>
      </c>
      <c r="E2593">
        <v>4878925</v>
      </c>
      <c r="F2593" t="s">
        <v>89</v>
      </c>
      <c r="G2593" t="s">
        <v>203</v>
      </c>
      <c r="H2593" t="s">
        <v>224</v>
      </c>
      <c r="I2593" s="4">
        <v>100638.28079999999</v>
      </c>
      <c r="J2593" s="4">
        <v>201276.56159999999</v>
      </c>
      <c r="L2593" s="4">
        <v>2</v>
      </c>
    </row>
    <row r="2594" spans="1:12">
      <c r="A2594" t="s">
        <v>93</v>
      </c>
      <c r="B2594" s="10">
        <v>45469</v>
      </c>
      <c r="C2594" s="18">
        <f t="shared" si="40"/>
        <v>6</v>
      </c>
      <c r="D2594" t="s">
        <v>194</v>
      </c>
      <c r="E2594">
        <v>4873457</v>
      </c>
      <c r="F2594" t="s">
        <v>90</v>
      </c>
      <c r="G2594" t="s">
        <v>203</v>
      </c>
      <c r="H2594" t="s">
        <v>242</v>
      </c>
      <c r="I2594" s="4">
        <v>100638.28079999999</v>
      </c>
      <c r="J2594" s="4">
        <v>201276.56159999999</v>
      </c>
      <c r="L2594" s="4">
        <v>2</v>
      </c>
    </row>
    <row r="2595" spans="1:12">
      <c r="A2595" t="s">
        <v>93</v>
      </c>
      <c r="B2595" s="10">
        <v>45469</v>
      </c>
      <c r="C2595" s="18">
        <f t="shared" si="40"/>
        <v>6</v>
      </c>
      <c r="D2595" t="s">
        <v>194</v>
      </c>
      <c r="E2595">
        <v>4873457</v>
      </c>
      <c r="F2595" t="s">
        <v>90</v>
      </c>
      <c r="G2595" t="s">
        <v>203</v>
      </c>
      <c r="H2595" t="s">
        <v>228</v>
      </c>
      <c r="I2595" s="4">
        <v>100638.28079999999</v>
      </c>
      <c r="J2595" s="4">
        <v>201276.56159999999</v>
      </c>
      <c r="L2595" s="4">
        <v>2</v>
      </c>
    </row>
    <row r="2596" spans="1:12">
      <c r="A2596" t="s">
        <v>93</v>
      </c>
      <c r="B2596" s="10">
        <v>45469</v>
      </c>
      <c r="C2596" s="18">
        <f t="shared" si="40"/>
        <v>6</v>
      </c>
      <c r="D2596" t="s">
        <v>194</v>
      </c>
      <c r="E2596">
        <v>4873457</v>
      </c>
      <c r="F2596" t="s">
        <v>90</v>
      </c>
      <c r="G2596" t="s">
        <v>203</v>
      </c>
      <c r="H2596" t="s">
        <v>224</v>
      </c>
      <c r="I2596" s="4">
        <v>100638.28079999999</v>
      </c>
      <c r="J2596" s="4">
        <v>201276.56159999999</v>
      </c>
      <c r="L2596" s="4">
        <v>2</v>
      </c>
    </row>
    <row r="2597" spans="1:12">
      <c r="A2597" t="s">
        <v>93</v>
      </c>
      <c r="B2597" s="10">
        <v>45469</v>
      </c>
      <c r="C2597" s="18">
        <f t="shared" si="40"/>
        <v>6</v>
      </c>
      <c r="D2597" t="s">
        <v>194</v>
      </c>
      <c r="E2597">
        <v>4873457</v>
      </c>
      <c r="F2597" t="s">
        <v>90</v>
      </c>
      <c r="G2597" t="s">
        <v>203</v>
      </c>
      <c r="H2597" t="s">
        <v>223</v>
      </c>
      <c r="I2597" s="4">
        <v>100638.28079999999</v>
      </c>
      <c r="J2597" s="4">
        <v>201276.56159999999</v>
      </c>
      <c r="L2597" s="4">
        <v>2</v>
      </c>
    </row>
    <row r="2598" spans="1:12">
      <c r="A2598" t="s">
        <v>93</v>
      </c>
      <c r="B2598" s="10">
        <v>45469</v>
      </c>
      <c r="C2598" s="18">
        <f t="shared" si="40"/>
        <v>6</v>
      </c>
      <c r="D2598" t="s">
        <v>194</v>
      </c>
      <c r="E2598">
        <v>4873457</v>
      </c>
      <c r="F2598" t="s">
        <v>90</v>
      </c>
      <c r="G2598" t="s">
        <v>203</v>
      </c>
      <c r="H2598" t="s">
        <v>239</v>
      </c>
      <c r="I2598" s="4">
        <v>125766.4408</v>
      </c>
      <c r="J2598" s="4">
        <v>125766.4408</v>
      </c>
      <c r="L2598" s="4">
        <v>1</v>
      </c>
    </row>
    <row r="2599" spans="1:12">
      <c r="A2599" t="s">
        <v>93</v>
      </c>
      <c r="B2599" s="10">
        <v>45469</v>
      </c>
      <c r="C2599" s="18">
        <f t="shared" si="40"/>
        <v>6</v>
      </c>
      <c r="D2599" t="s">
        <v>194</v>
      </c>
      <c r="E2599">
        <v>4873457</v>
      </c>
      <c r="F2599" t="s">
        <v>90</v>
      </c>
      <c r="G2599" t="s">
        <v>203</v>
      </c>
      <c r="H2599" t="s">
        <v>237</v>
      </c>
      <c r="I2599" s="4">
        <v>125766.4408</v>
      </c>
      <c r="J2599" s="4">
        <v>125766.4408</v>
      </c>
      <c r="L2599" s="4">
        <v>1</v>
      </c>
    </row>
    <row r="2600" spans="1:12">
      <c r="A2600" t="s">
        <v>93</v>
      </c>
      <c r="B2600" s="10">
        <v>45469</v>
      </c>
      <c r="C2600" s="18">
        <f t="shared" si="40"/>
        <v>6</v>
      </c>
      <c r="D2600" t="s">
        <v>194</v>
      </c>
      <c r="E2600">
        <v>4873457</v>
      </c>
      <c r="F2600" t="s">
        <v>90</v>
      </c>
      <c r="G2600" t="s">
        <v>203</v>
      </c>
      <c r="H2600" t="s">
        <v>233</v>
      </c>
      <c r="I2600" s="4">
        <v>120735.78316800001</v>
      </c>
      <c r="J2600" s="4">
        <v>120735.78316800001</v>
      </c>
      <c r="L2600" s="4">
        <v>1</v>
      </c>
    </row>
    <row r="2601" spans="1:12">
      <c r="A2601" t="s">
        <v>93</v>
      </c>
      <c r="B2601" s="10">
        <v>45469</v>
      </c>
      <c r="C2601" s="18">
        <f t="shared" si="40"/>
        <v>6</v>
      </c>
      <c r="D2601" t="s">
        <v>195</v>
      </c>
      <c r="E2601">
        <v>6080030</v>
      </c>
      <c r="F2601" t="s">
        <v>87</v>
      </c>
      <c r="G2601" t="s">
        <v>203</v>
      </c>
      <c r="H2601" t="s">
        <v>229</v>
      </c>
      <c r="I2601" s="4">
        <v>125766.4408</v>
      </c>
      <c r="J2601" s="4">
        <v>251532.88159999999</v>
      </c>
      <c r="L2601" s="4">
        <v>2</v>
      </c>
    </row>
    <row r="2602" spans="1:12">
      <c r="A2602" t="s">
        <v>94</v>
      </c>
      <c r="B2602" s="10">
        <v>45452</v>
      </c>
      <c r="C2602" s="18">
        <f t="shared" si="40"/>
        <v>6</v>
      </c>
      <c r="D2602" t="s">
        <v>150</v>
      </c>
      <c r="E2602">
        <v>4876291</v>
      </c>
      <c r="F2602" t="s">
        <v>87</v>
      </c>
      <c r="G2602" t="s">
        <v>203</v>
      </c>
      <c r="H2602" t="s">
        <v>240</v>
      </c>
      <c r="I2602" s="4">
        <v>100638.28079999999</v>
      </c>
      <c r="J2602" s="4">
        <v>1006382.808</v>
      </c>
      <c r="L2602" s="4">
        <v>10</v>
      </c>
    </row>
    <row r="2603" spans="1:12">
      <c r="A2603" t="s">
        <v>94</v>
      </c>
      <c r="B2603" s="10">
        <v>45456</v>
      </c>
      <c r="C2603" s="18">
        <f t="shared" si="40"/>
        <v>6</v>
      </c>
      <c r="D2603" t="s">
        <v>150</v>
      </c>
      <c r="E2603">
        <v>4879054</v>
      </c>
      <c r="F2603" t="s">
        <v>87</v>
      </c>
      <c r="G2603" t="s">
        <v>203</v>
      </c>
      <c r="H2603" t="s">
        <v>245</v>
      </c>
      <c r="I2603" s="4">
        <v>100638.28079999999</v>
      </c>
      <c r="J2603" s="4">
        <v>301914.84239999996</v>
      </c>
      <c r="L2603" s="4">
        <v>3</v>
      </c>
    </row>
    <row r="2604" spans="1:12">
      <c r="A2604" t="s">
        <v>94</v>
      </c>
      <c r="B2604" s="10">
        <v>45456</v>
      </c>
      <c r="C2604" s="18">
        <f t="shared" si="40"/>
        <v>6</v>
      </c>
      <c r="D2604" t="s">
        <v>150</v>
      </c>
      <c r="E2604">
        <v>4879054</v>
      </c>
      <c r="F2604" t="s">
        <v>87</v>
      </c>
      <c r="G2604" t="s">
        <v>203</v>
      </c>
      <c r="H2604" t="s">
        <v>243</v>
      </c>
      <c r="I2604" s="4">
        <v>100638.28079999999</v>
      </c>
      <c r="J2604" s="4">
        <v>301914.84239999996</v>
      </c>
      <c r="L2604" s="4">
        <v>3</v>
      </c>
    </row>
    <row r="2605" spans="1:12">
      <c r="A2605" t="s">
        <v>94</v>
      </c>
      <c r="B2605" s="10">
        <v>45456</v>
      </c>
      <c r="C2605" s="18">
        <f t="shared" si="40"/>
        <v>6</v>
      </c>
      <c r="D2605" t="s">
        <v>150</v>
      </c>
      <c r="E2605">
        <v>4879054</v>
      </c>
      <c r="F2605" t="s">
        <v>87</v>
      </c>
      <c r="G2605" t="s">
        <v>203</v>
      </c>
      <c r="H2605" t="s">
        <v>238</v>
      </c>
      <c r="I2605" s="4">
        <v>95606.36675999999</v>
      </c>
      <c r="J2605" s="4">
        <v>286819.10027999996</v>
      </c>
      <c r="L2605" s="4">
        <v>3</v>
      </c>
    </row>
    <row r="2606" spans="1:12">
      <c r="A2606" t="s">
        <v>94</v>
      </c>
      <c r="B2606" s="10">
        <v>45456</v>
      </c>
      <c r="C2606" s="18">
        <f t="shared" si="40"/>
        <v>6</v>
      </c>
      <c r="D2606" t="s">
        <v>150</v>
      </c>
      <c r="E2606">
        <v>4875835</v>
      </c>
      <c r="F2606" t="s">
        <v>90</v>
      </c>
      <c r="G2606" t="s">
        <v>203</v>
      </c>
      <c r="H2606" t="s">
        <v>245</v>
      </c>
      <c r="I2606" s="4">
        <v>100638.28079999999</v>
      </c>
      <c r="J2606" s="4">
        <v>704467.9656</v>
      </c>
      <c r="L2606" s="4">
        <v>7</v>
      </c>
    </row>
    <row r="2607" spans="1:12">
      <c r="A2607" t="s">
        <v>94</v>
      </c>
      <c r="B2607" s="10">
        <v>45456</v>
      </c>
      <c r="C2607" s="18">
        <f t="shared" si="40"/>
        <v>6</v>
      </c>
      <c r="D2607" t="s">
        <v>150</v>
      </c>
      <c r="E2607">
        <v>4875835</v>
      </c>
      <c r="F2607" t="s">
        <v>90</v>
      </c>
      <c r="G2607" t="s">
        <v>203</v>
      </c>
      <c r="H2607" t="s">
        <v>243</v>
      </c>
      <c r="I2607" s="4">
        <v>100638.28079999999</v>
      </c>
      <c r="J2607" s="4">
        <v>704467.9656</v>
      </c>
      <c r="L2607" s="4">
        <v>7</v>
      </c>
    </row>
    <row r="2608" spans="1:12">
      <c r="A2608" t="s">
        <v>94</v>
      </c>
      <c r="B2608" s="10">
        <v>45456</v>
      </c>
      <c r="C2608" s="18">
        <f t="shared" si="40"/>
        <v>6</v>
      </c>
      <c r="D2608" t="s">
        <v>150</v>
      </c>
      <c r="E2608">
        <v>4875835</v>
      </c>
      <c r="F2608" t="s">
        <v>90</v>
      </c>
      <c r="G2608" t="s">
        <v>203</v>
      </c>
      <c r="H2608" t="s">
        <v>238</v>
      </c>
      <c r="I2608" s="4">
        <v>95606.36675999999</v>
      </c>
      <c r="J2608" s="4">
        <v>573638.20055999991</v>
      </c>
      <c r="L2608" s="4">
        <v>6</v>
      </c>
    </row>
    <row r="2609" spans="1:12">
      <c r="A2609" t="s">
        <v>95</v>
      </c>
      <c r="B2609" s="10">
        <v>45446</v>
      </c>
      <c r="C2609" s="18">
        <f t="shared" si="40"/>
        <v>6</v>
      </c>
      <c r="D2609" t="s">
        <v>188</v>
      </c>
      <c r="E2609">
        <v>4876241</v>
      </c>
      <c r="F2609" t="s">
        <v>89</v>
      </c>
      <c r="G2609" t="s">
        <v>203</v>
      </c>
      <c r="H2609" t="s">
        <v>225</v>
      </c>
      <c r="I2609" s="4">
        <v>100638.28079999999</v>
      </c>
      <c r="J2609" s="4">
        <v>603829.68479999993</v>
      </c>
      <c r="L2609" s="4">
        <v>6</v>
      </c>
    </row>
    <row r="2610" spans="1:12">
      <c r="A2610" t="s">
        <v>95</v>
      </c>
      <c r="B2610" s="10">
        <v>45446</v>
      </c>
      <c r="C2610" s="18">
        <f t="shared" si="40"/>
        <v>6</v>
      </c>
      <c r="D2610" t="s">
        <v>188</v>
      </c>
      <c r="E2610">
        <v>4877018</v>
      </c>
      <c r="F2610" t="s">
        <v>89</v>
      </c>
      <c r="G2610" t="s">
        <v>203</v>
      </c>
      <c r="H2610" t="s">
        <v>230</v>
      </c>
      <c r="I2610" s="4">
        <v>100638.28079999999</v>
      </c>
      <c r="J2610" s="4">
        <v>2012765.6159999999</v>
      </c>
      <c r="L2610" s="4">
        <v>20</v>
      </c>
    </row>
    <row r="2611" spans="1:12">
      <c r="A2611" t="s">
        <v>95</v>
      </c>
      <c r="B2611" s="10">
        <v>45447</v>
      </c>
      <c r="C2611" s="18">
        <f t="shared" si="40"/>
        <v>6</v>
      </c>
      <c r="D2611" t="s">
        <v>188</v>
      </c>
      <c r="E2611">
        <v>4879158</v>
      </c>
      <c r="F2611" t="s">
        <v>87</v>
      </c>
      <c r="G2611" t="s">
        <v>203</v>
      </c>
      <c r="H2611" t="s">
        <v>225</v>
      </c>
      <c r="I2611" s="4">
        <v>100638.28079999999</v>
      </c>
      <c r="J2611" s="4">
        <v>1207659.3695999999</v>
      </c>
      <c r="L2611" s="4">
        <v>12</v>
      </c>
    </row>
    <row r="2612" spans="1:12">
      <c r="A2612" t="s">
        <v>95</v>
      </c>
      <c r="B2612" s="10">
        <v>45447</v>
      </c>
      <c r="C2612" s="18">
        <f t="shared" si="40"/>
        <v>6</v>
      </c>
      <c r="D2612" t="s">
        <v>188</v>
      </c>
      <c r="E2612">
        <v>4878830</v>
      </c>
      <c r="F2612" t="s">
        <v>90</v>
      </c>
      <c r="G2612" t="s">
        <v>203</v>
      </c>
      <c r="H2612" t="s">
        <v>225</v>
      </c>
      <c r="I2612" s="4">
        <v>100638.28079999999</v>
      </c>
      <c r="J2612" s="4">
        <v>805106.24639999995</v>
      </c>
      <c r="L2612" s="4">
        <v>8</v>
      </c>
    </row>
    <row r="2613" spans="1:12">
      <c r="A2613" t="s">
        <v>95</v>
      </c>
      <c r="B2613" s="10">
        <v>45447</v>
      </c>
      <c r="C2613" s="18">
        <f t="shared" si="40"/>
        <v>6</v>
      </c>
      <c r="D2613" t="s">
        <v>188</v>
      </c>
      <c r="E2613">
        <v>4878830</v>
      </c>
      <c r="F2613" t="s">
        <v>90</v>
      </c>
      <c r="G2613" t="s">
        <v>203</v>
      </c>
      <c r="H2613" t="s">
        <v>229</v>
      </c>
      <c r="I2613" s="4">
        <v>125766.4408</v>
      </c>
      <c r="J2613" s="4">
        <v>503065.76319999999</v>
      </c>
      <c r="L2613" s="4">
        <v>4</v>
      </c>
    </row>
    <row r="2614" spans="1:12">
      <c r="A2614" t="s">
        <v>95</v>
      </c>
      <c r="B2614" s="10">
        <v>45448</v>
      </c>
      <c r="C2614" s="18">
        <f t="shared" si="40"/>
        <v>6</v>
      </c>
      <c r="D2614" t="s">
        <v>146</v>
      </c>
      <c r="E2614">
        <v>4878859</v>
      </c>
      <c r="F2614" t="s">
        <v>87</v>
      </c>
      <c r="G2614" t="s">
        <v>203</v>
      </c>
      <c r="H2614" t="s">
        <v>240</v>
      </c>
      <c r="I2614" s="4">
        <v>100638.28079999999</v>
      </c>
      <c r="J2614" s="4">
        <v>201276.56159999999</v>
      </c>
      <c r="L2614" s="4">
        <v>2</v>
      </c>
    </row>
    <row r="2615" spans="1:12">
      <c r="A2615" t="s">
        <v>95</v>
      </c>
      <c r="B2615" s="10">
        <v>45449</v>
      </c>
      <c r="C2615" s="18">
        <f t="shared" si="40"/>
        <v>6</v>
      </c>
      <c r="D2615" t="s">
        <v>188</v>
      </c>
      <c r="E2615">
        <v>4877183</v>
      </c>
      <c r="F2615" t="s">
        <v>90</v>
      </c>
      <c r="G2615" t="s">
        <v>203</v>
      </c>
      <c r="H2615" t="s">
        <v>225</v>
      </c>
      <c r="I2615" s="4">
        <v>100638.28079999999</v>
      </c>
      <c r="J2615" s="4">
        <v>201276.56159999999</v>
      </c>
      <c r="L2615" s="4">
        <v>2</v>
      </c>
    </row>
    <row r="2616" spans="1:12">
      <c r="A2616" t="s">
        <v>95</v>
      </c>
      <c r="B2616" s="10">
        <v>45449</v>
      </c>
      <c r="C2616" s="18">
        <f t="shared" si="40"/>
        <v>6</v>
      </c>
      <c r="D2616" t="s">
        <v>188</v>
      </c>
      <c r="E2616">
        <v>4877183</v>
      </c>
      <c r="F2616" t="s">
        <v>90</v>
      </c>
      <c r="G2616" t="s">
        <v>203</v>
      </c>
      <c r="H2616" t="s">
        <v>239</v>
      </c>
      <c r="I2616" s="4">
        <v>125766.4408</v>
      </c>
      <c r="J2616" s="4">
        <v>125766.4408</v>
      </c>
      <c r="L2616" s="4">
        <v>1</v>
      </c>
    </row>
    <row r="2617" spans="1:12">
      <c r="A2617" t="s">
        <v>95</v>
      </c>
      <c r="B2617" s="10">
        <v>45451</v>
      </c>
      <c r="C2617" s="18">
        <f t="shared" si="40"/>
        <v>6</v>
      </c>
      <c r="D2617" t="s">
        <v>188</v>
      </c>
      <c r="E2617">
        <v>4876393</v>
      </c>
      <c r="F2617" t="s">
        <v>87</v>
      </c>
      <c r="G2617" t="s">
        <v>203</v>
      </c>
      <c r="H2617" t="s">
        <v>225</v>
      </c>
      <c r="I2617" s="4">
        <v>100638.28079999999</v>
      </c>
      <c r="J2617" s="4">
        <v>603829.68479999993</v>
      </c>
      <c r="L2617" s="4">
        <v>6</v>
      </c>
    </row>
    <row r="2618" spans="1:12">
      <c r="A2618" t="s">
        <v>95</v>
      </c>
      <c r="B2618" s="10">
        <v>45451</v>
      </c>
      <c r="C2618" s="18">
        <f t="shared" si="40"/>
        <v>6</v>
      </c>
      <c r="D2618" t="s">
        <v>188</v>
      </c>
      <c r="E2618">
        <v>4876465</v>
      </c>
      <c r="F2618" t="s">
        <v>87</v>
      </c>
      <c r="G2618" t="s">
        <v>203</v>
      </c>
      <c r="H2618" t="s">
        <v>225</v>
      </c>
      <c r="I2618" s="4">
        <v>100638.28079999999</v>
      </c>
      <c r="J2618" s="4">
        <v>201276.56159999999</v>
      </c>
      <c r="L2618" s="4">
        <v>2</v>
      </c>
    </row>
    <row r="2619" spans="1:12">
      <c r="A2619" t="s">
        <v>95</v>
      </c>
      <c r="B2619" s="10">
        <v>45451</v>
      </c>
      <c r="C2619" s="18">
        <f t="shared" si="40"/>
        <v>6</v>
      </c>
      <c r="D2619" t="s">
        <v>188</v>
      </c>
      <c r="E2619">
        <v>4876465</v>
      </c>
      <c r="F2619" t="s">
        <v>87</v>
      </c>
      <c r="G2619" t="s">
        <v>203</v>
      </c>
      <c r="H2619" t="s">
        <v>229</v>
      </c>
      <c r="I2619" s="4">
        <v>125766.4408</v>
      </c>
      <c r="J2619" s="4">
        <v>251532.88159999999</v>
      </c>
      <c r="L2619" s="4">
        <v>2</v>
      </c>
    </row>
    <row r="2620" spans="1:12">
      <c r="A2620" t="s">
        <v>95</v>
      </c>
      <c r="B2620" s="10">
        <v>45451</v>
      </c>
      <c r="C2620" s="18">
        <f t="shared" si="40"/>
        <v>6</v>
      </c>
      <c r="D2620" t="s">
        <v>188</v>
      </c>
      <c r="E2620">
        <v>4876091</v>
      </c>
      <c r="F2620" t="s">
        <v>90</v>
      </c>
      <c r="G2620" t="s">
        <v>203</v>
      </c>
      <c r="H2620" t="s">
        <v>225</v>
      </c>
      <c r="I2620" s="4">
        <v>100638.28079999999</v>
      </c>
      <c r="J2620" s="4">
        <v>201276.56159999999</v>
      </c>
      <c r="L2620" s="4">
        <v>2</v>
      </c>
    </row>
    <row r="2621" spans="1:12">
      <c r="A2621" t="s">
        <v>95</v>
      </c>
      <c r="B2621" s="10">
        <v>45451</v>
      </c>
      <c r="C2621" s="18">
        <f t="shared" si="40"/>
        <v>6</v>
      </c>
      <c r="D2621" t="s">
        <v>188</v>
      </c>
      <c r="E2621">
        <v>4878040</v>
      </c>
      <c r="F2621" t="s">
        <v>88</v>
      </c>
      <c r="G2621" t="s">
        <v>203</v>
      </c>
      <c r="H2621" t="s">
        <v>225</v>
      </c>
      <c r="I2621" s="4">
        <v>100638.28079999999</v>
      </c>
      <c r="J2621" s="4">
        <v>201276.56159999999</v>
      </c>
      <c r="L2621" s="4">
        <v>2</v>
      </c>
    </row>
    <row r="2622" spans="1:12">
      <c r="A2622" t="s">
        <v>95</v>
      </c>
      <c r="B2622" s="10">
        <v>45453</v>
      </c>
      <c r="C2622" s="18">
        <f t="shared" si="40"/>
        <v>6</v>
      </c>
      <c r="D2622" t="s">
        <v>188</v>
      </c>
      <c r="E2622">
        <v>4878777</v>
      </c>
      <c r="F2622" t="s">
        <v>87</v>
      </c>
      <c r="G2622" t="s">
        <v>203</v>
      </c>
      <c r="H2622" t="s">
        <v>225</v>
      </c>
      <c r="I2622" s="4">
        <v>100638.28079999999</v>
      </c>
      <c r="J2622" s="4">
        <v>603829.68479999993</v>
      </c>
      <c r="L2622" s="4">
        <v>6</v>
      </c>
    </row>
    <row r="2623" spans="1:12">
      <c r="A2623" t="s">
        <v>95</v>
      </c>
      <c r="B2623" s="10">
        <v>45453</v>
      </c>
      <c r="C2623" s="18">
        <f t="shared" si="40"/>
        <v>6</v>
      </c>
      <c r="D2623" t="s">
        <v>188</v>
      </c>
      <c r="E2623">
        <v>4878777</v>
      </c>
      <c r="F2623" t="s">
        <v>87</v>
      </c>
      <c r="G2623" t="s">
        <v>203</v>
      </c>
      <c r="H2623" t="s">
        <v>229</v>
      </c>
      <c r="I2623" s="4">
        <v>125766.4408</v>
      </c>
      <c r="J2623" s="4">
        <v>503065.76319999999</v>
      </c>
      <c r="L2623" s="4">
        <v>4</v>
      </c>
    </row>
    <row r="2624" spans="1:12">
      <c r="A2624" t="s">
        <v>95</v>
      </c>
      <c r="B2624" s="10">
        <v>45454</v>
      </c>
      <c r="C2624" s="18">
        <f t="shared" si="40"/>
        <v>6</v>
      </c>
      <c r="D2624" t="s">
        <v>191</v>
      </c>
      <c r="E2624">
        <v>4876412</v>
      </c>
      <c r="F2624" t="s">
        <v>89</v>
      </c>
      <c r="G2624" t="s">
        <v>203</v>
      </c>
      <c r="H2624" t="s">
        <v>225</v>
      </c>
      <c r="I2624" s="4">
        <v>100638.28079999999</v>
      </c>
      <c r="J2624" s="4">
        <v>201276.56159999999</v>
      </c>
      <c r="L2624" s="4">
        <v>2</v>
      </c>
    </row>
    <row r="2625" spans="1:12">
      <c r="A2625" t="s">
        <v>95</v>
      </c>
      <c r="B2625" s="10">
        <v>45454</v>
      </c>
      <c r="C2625" s="18">
        <f t="shared" si="40"/>
        <v>6</v>
      </c>
      <c r="D2625" t="s">
        <v>191</v>
      </c>
      <c r="E2625">
        <v>4876412</v>
      </c>
      <c r="F2625" t="s">
        <v>89</v>
      </c>
      <c r="G2625" t="s">
        <v>203</v>
      </c>
      <c r="H2625" t="s">
        <v>229</v>
      </c>
      <c r="I2625" s="4">
        <v>125766.4408</v>
      </c>
      <c r="J2625" s="4">
        <v>251532.88159999999</v>
      </c>
      <c r="L2625" s="4">
        <v>2</v>
      </c>
    </row>
    <row r="2626" spans="1:12">
      <c r="A2626" t="s">
        <v>95</v>
      </c>
      <c r="B2626" s="10">
        <v>45455</v>
      </c>
      <c r="C2626" s="18">
        <f t="shared" ref="C2626:C2689" si="41">MONTH(B2626)</f>
        <v>6</v>
      </c>
      <c r="D2626" t="s">
        <v>146</v>
      </c>
      <c r="E2626">
        <v>6080417</v>
      </c>
      <c r="F2626" t="s">
        <v>87</v>
      </c>
      <c r="G2626" t="s">
        <v>203</v>
      </c>
      <c r="H2626" t="s">
        <v>225</v>
      </c>
      <c r="I2626" s="4">
        <v>100638.28079999999</v>
      </c>
      <c r="J2626" s="4">
        <v>201276.56159999999</v>
      </c>
      <c r="L2626" s="4">
        <v>2</v>
      </c>
    </row>
    <row r="2627" spans="1:12">
      <c r="A2627" t="s">
        <v>95</v>
      </c>
      <c r="B2627" s="10">
        <v>45455</v>
      </c>
      <c r="C2627" s="18">
        <f t="shared" si="41"/>
        <v>6</v>
      </c>
      <c r="D2627" t="s">
        <v>146</v>
      </c>
      <c r="E2627">
        <v>6080417</v>
      </c>
      <c r="F2627" t="s">
        <v>87</v>
      </c>
      <c r="G2627" t="s">
        <v>203</v>
      </c>
      <c r="H2627" t="s">
        <v>239</v>
      </c>
      <c r="I2627" s="4">
        <v>125766.4408</v>
      </c>
      <c r="J2627" s="4">
        <v>251532.88159999999</v>
      </c>
      <c r="L2627" s="4">
        <v>2</v>
      </c>
    </row>
    <row r="2628" spans="1:12">
      <c r="A2628" t="s">
        <v>95</v>
      </c>
      <c r="B2628" s="10">
        <v>45456</v>
      </c>
      <c r="C2628" s="18">
        <f t="shared" si="41"/>
        <v>6</v>
      </c>
      <c r="D2628" t="s">
        <v>188</v>
      </c>
      <c r="E2628">
        <v>4876079</v>
      </c>
      <c r="F2628" t="s">
        <v>87</v>
      </c>
      <c r="G2628" t="s">
        <v>203</v>
      </c>
      <c r="H2628" t="s">
        <v>222</v>
      </c>
      <c r="I2628" s="4">
        <v>100638.28079999999</v>
      </c>
      <c r="J2628" s="4">
        <v>201276.56159999999</v>
      </c>
      <c r="L2628" s="4">
        <v>2</v>
      </c>
    </row>
    <row r="2629" spans="1:12">
      <c r="A2629" t="s">
        <v>95</v>
      </c>
      <c r="B2629" s="10">
        <v>45456</v>
      </c>
      <c r="C2629" s="18">
        <f t="shared" si="41"/>
        <v>6</v>
      </c>
      <c r="D2629" t="s">
        <v>188</v>
      </c>
      <c r="E2629">
        <v>4876079</v>
      </c>
      <c r="F2629" t="s">
        <v>87</v>
      </c>
      <c r="G2629" t="s">
        <v>203</v>
      </c>
      <c r="H2629" t="s">
        <v>229</v>
      </c>
      <c r="I2629" s="4">
        <v>125766.4408</v>
      </c>
      <c r="J2629" s="4">
        <v>125766.4408</v>
      </c>
      <c r="L2629" s="4">
        <v>1</v>
      </c>
    </row>
    <row r="2630" spans="1:12">
      <c r="A2630" t="s">
        <v>95</v>
      </c>
      <c r="B2630" s="10">
        <v>45458</v>
      </c>
      <c r="C2630" s="18">
        <f t="shared" si="41"/>
        <v>6</v>
      </c>
      <c r="D2630" t="s">
        <v>188</v>
      </c>
      <c r="E2630">
        <v>4876149</v>
      </c>
      <c r="F2630" t="s">
        <v>88</v>
      </c>
      <c r="G2630" t="s">
        <v>203</v>
      </c>
      <c r="H2630" t="s">
        <v>239</v>
      </c>
      <c r="I2630" s="4">
        <v>125766.4408</v>
      </c>
      <c r="J2630" s="4">
        <v>251532.88159999999</v>
      </c>
      <c r="L2630" s="4">
        <v>2</v>
      </c>
    </row>
    <row r="2631" spans="1:12">
      <c r="A2631" t="s">
        <v>95</v>
      </c>
      <c r="B2631" s="10">
        <v>45463</v>
      </c>
      <c r="C2631" s="18">
        <f t="shared" si="41"/>
        <v>6</v>
      </c>
      <c r="D2631" t="s">
        <v>188</v>
      </c>
      <c r="E2631">
        <v>4875916</v>
      </c>
      <c r="F2631" t="s">
        <v>89</v>
      </c>
      <c r="G2631" t="s">
        <v>203</v>
      </c>
      <c r="H2631" t="s">
        <v>225</v>
      </c>
      <c r="I2631" s="4">
        <v>100638.28079999999</v>
      </c>
      <c r="J2631" s="4">
        <v>1006382.808</v>
      </c>
      <c r="L2631" s="4">
        <v>10</v>
      </c>
    </row>
    <row r="2632" spans="1:12">
      <c r="A2632" t="s">
        <v>95</v>
      </c>
      <c r="B2632" s="10">
        <v>45465</v>
      </c>
      <c r="C2632" s="18">
        <f t="shared" si="41"/>
        <v>6</v>
      </c>
      <c r="D2632" t="s">
        <v>188</v>
      </c>
      <c r="E2632">
        <v>6080485</v>
      </c>
      <c r="F2632" t="s">
        <v>87</v>
      </c>
      <c r="G2632" t="s">
        <v>203</v>
      </c>
      <c r="H2632" t="s">
        <v>222</v>
      </c>
      <c r="I2632" s="4">
        <v>100638.28079999999</v>
      </c>
      <c r="J2632" s="4">
        <v>1006382.808</v>
      </c>
      <c r="L2632" s="4">
        <v>10</v>
      </c>
    </row>
    <row r="2633" spans="1:12">
      <c r="A2633" t="s">
        <v>95</v>
      </c>
      <c r="B2633" s="10">
        <v>45465</v>
      </c>
      <c r="C2633" s="18">
        <f t="shared" si="41"/>
        <v>6</v>
      </c>
      <c r="D2633" t="s">
        <v>188</v>
      </c>
      <c r="E2633">
        <v>4878040</v>
      </c>
      <c r="F2633" t="s">
        <v>88</v>
      </c>
      <c r="G2633" t="s">
        <v>203</v>
      </c>
      <c r="H2633" t="s">
        <v>222</v>
      </c>
      <c r="I2633" s="4">
        <v>100638.28079999999</v>
      </c>
      <c r="J2633" s="4">
        <v>201276.56159999999</v>
      </c>
      <c r="L2633" s="4">
        <v>2</v>
      </c>
    </row>
    <row r="2634" spans="1:12">
      <c r="A2634" t="s">
        <v>95</v>
      </c>
      <c r="B2634" s="10">
        <v>45466</v>
      </c>
      <c r="C2634" s="18">
        <f t="shared" si="41"/>
        <v>6</v>
      </c>
      <c r="D2634" t="s">
        <v>188</v>
      </c>
      <c r="E2634">
        <v>4877018</v>
      </c>
      <c r="F2634" t="s">
        <v>89</v>
      </c>
      <c r="G2634" t="s">
        <v>203</v>
      </c>
      <c r="H2634" t="s">
        <v>242</v>
      </c>
      <c r="I2634" s="4">
        <v>100638.28079999999</v>
      </c>
      <c r="J2634" s="4">
        <v>1006382.808</v>
      </c>
      <c r="L2634" s="4">
        <v>10</v>
      </c>
    </row>
    <row r="2635" spans="1:12">
      <c r="A2635" t="s">
        <v>95</v>
      </c>
      <c r="B2635" s="10">
        <v>45466</v>
      </c>
      <c r="C2635" s="18">
        <f t="shared" si="41"/>
        <v>6</v>
      </c>
      <c r="D2635" t="s">
        <v>188</v>
      </c>
      <c r="E2635">
        <v>4877018</v>
      </c>
      <c r="F2635" t="s">
        <v>89</v>
      </c>
      <c r="G2635" t="s">
        <v>203</v>
      </c>
      <c r="H2635" t="s">
        <v>240</v>
      </c>
      <c r="I2635" s="4">
        <v>100638.28079999999</v>
      </c>
      <c r="J2635" s="4">
        <v>1408935.9312</v>
      </c>
      <c r="L2635" s="4">
        <v>14</v>
      </c>
    </row>
    <row r="2636" spans="1:12">
      <c r="A2636" t="s">
        <v>95</v>
      </c>
      <c r="B2636" s="10">
        <v>45466</v>
      </c>
      <c r="C2636" s="18">
        <f t="shared" si="41"/>
        <v>6</v>
      </c>
      <c r="D2636" t="s">
        <v>188</v>
      </c>
      <c r="E2636">
        <v>4877018</v>
      </c>
      <c r="F2636" t="s">
        <v>89</v>
      </c>
      <c r="G2636" t="s">
        <v>203</v>
      </c>
      <c r="H2636" t="s">
        <v>232</v>
      </c>
      <c r="I2636" s="4">
        <v>100638.28079999999</v>
      </c>
      <c r="J2636" s="4">
        <v>603829.68479999993</v>
      </c>
      <c r="L2636" s="4">
        <v>6</v>
      </c>
    </row>
    <row r="2637" spans="1:12">
      <c r="A2637" t="s">
        <v>95</v>
      </c>
      <c r="B2637" s="10">
        <v>45466</v>
      </c>
      <c r="C2637" s="18">
        <f t="shared" si="41"/>
        <v>6</v>
      </c>
      <c r="D2637" t="s">
        <v>188</v>
      </c>
      <c r="E2637">
        <v>4877018</v>
      </c>
      <c r="F2637" t="s">
        <v>89</v>
      </c>
      <c r="G2637" t="s">
        <v>203</v>
      </c>
      <c r="H2637" t="s">
        <v>235</v>
      </c>
      <c r="I2637" s="4">
        <v>125766.4408</v>
      </c>
      <c r="J2637" s="4">
        <v>2515328.8160000001</v>
      </c>
      <c r="L2637" s="4">
        <v>20</v>
      </c>
    </row>
    <row r="2638" spans="1:12">
      <c r="A2638" t="s">
        <v>95</v>
      </c>
      <c r="B2638" s="10">
        <v>45468</v>
      </c>
      <c r="C2638" s="18">
        <f t="shared" si="41"/>
        <v>6</v>
      </c>
      <c r="D2638" t="s">
        <v>188</v>
      </c>
      <c r="E2638">
        <v>4876241</v>
      </c>
      <c r="F2638" t="s">
        <v>89</v>
      </c>
      <c r="G2638" t="s">
        <v>203</v>
      </c>
      <c r="H2638" t="s">
        <v>238</v>
      </c>
      <c r="I2638" s="4">
        <v>95606.36675999999</v>
      </c>
      <c r="J2638" s="4">
        <v>956063.66759999993</v>
      </c>
      <c r="L2638" s="4">
        <v>10</v>
      </c>
    </row>
    <row r="2639" spans="1:12">
      <c r="A2639" t="s">
        <v>95</v>
      </c>
      <c r="B2639" s="10">
        <v>45469</v>
      </c>
      <c r="C2639" s="18">
        <f t="shared" si="41"/>
        <v>6</v>
      </c>
      <c r="D2639" t="s">
        <v>145</v>
      </c>
      <c r="E2639">
        <v>4876396</v>
      </c>
      <c r="F2639" t="s">
        <v>87</v>
      </c>
      <c r="G2639" t="s">
        <v>203</v>
      </c>
      <c r="H2639" t="s">
        <v>243</v>
      </c>
      <c r="I2639" s="4">
        <v>100638.28079999999</v>
      </c>
      <c r="J2639" s="4">
        <v>1006382.808</v>
      </c>
      <c r="L2639" s="4">
        <v>10</v>
      </c>
    </row>
    <row r="2640" spans="1:12">
      <c r="A2640" t="s">
        <v>95</v>
      </c>
      <c r="B2640" s="10">
        <v>45470</v>
      </c>
      <c r="C2640" s="18">
        <f t="shared" si="41"/>
        <v>6</v>
      </c>
      <c r="D2640" t="s">
        <v>181</v>
      </c>
      <c r="E2640">
        <v>4876011</v>
      </c>
      <c r="F2640" t="s">
        <v>87</v>
      </c>
      <c r="G2640" t="s">
        <v>203</v>
      </c>
      <c r="H2640" t="s">
        <v>240</v>
      </c>
      <c r="I2640" s="4">
        <v>100638.28079999999</v>
      </c>
      <c r="J2640" s="4">
        <v>603829.68479999993</v>
      </c>
      <c r="L2640" s="4">
        <v>6</v>
      </c>
    </row>
    <row r="2641" spans="1:12">
      <c r="A2641" t="s">
        <v>95</v>
      </c>
      <c r="B2641" s="10">
        <v>45472</v>
      </c>
      <c r="C2641" s="18">
        <f t="shared" si="41"/>
        <v>6</v>
      </c>
      <c r="D2641" t="s">
        <v>188</v>
      </c>
      <c r="E2641">
        <v>4878670</v>
      </c>
      <c r="F2641" t="s">
        <v>90</v>
      </c>
      <c r="G2641" t="s">
        <v>203</v>
      </c>
      <c r="H2641" t="s">
        <v>234</v>
      </c>
      <c r="I2641" s="4">
        <v>100638.28079999999</v>
      </c>
      <c r="J2641" s="4">
        <v>201276.56159999999</v>
      </c>
      <c r="L2641" s="4">
        <v>2</v>
      </c>
    </row>
    <row r="2642" spans="1:12">
      <c r="A2642" t="s">
        <v>95</v>
      </c>
      <c r="B2642" s="10">
        <v>45472</v>
      </c>
      <c r="C2642" s="18">
        <f t="shared" si="41"/>
        <v>6</v>
      </c>
      <c r="D2642" t="s">
        <v>188</v>
      </c>
      <c r="E2642">
        <v>4878040</v>
      </c>
      <c r="F2642" t="s">
        <v>88</v>
      </c>
      <c r="G2642" t="s">
        <v>203</v>
      </c>
      <c r="H2642" t="s">
        <v>235</v>
      </c>
      <c r="I2642" s="4">
        <v>125766.4408</v>
      </c>
      <c r="J2642" s="4">
        <v>251532.88159999999</v>
      </c>
      <c r="L2642" s="4">
        <v>2</v>
      </c>
    </row>
    <row r="2643" spans="1:12">
      <c r="A2643" t="s">
        <v>106</v>
      </c>
      <c r="B2643" s="10">
        <v>45467</v>
      </c>
      <c r="C2643" s="18">
        <f t="shared" si="41"/>
        <v>6</v>
      </c>
      <c r="D2643" t="s">
        <v>138</v>
      </c>
      <c r="E2643">
        <v>4872536</v>
      </c>
      <c r="F2643" t="s">
        <v>8</v>
      </c>
      <c r="G2643" t="s">
        <v>203</v>
      </c>
      <c r="H2643" t="s">
        <v>236</v>
      </c>
      <c r="I2643" s="4">
        <v>100638.28079999999</v>
      </c>
      <c r="J2643" s="4">
        <v>503191.40399999998</v>
      </c>
      <c r="L2643" s="4">
        <v>5</v>
      </c>
    </row>
    <row r="2644" spans="1:12">
      <c r="A2644" t="s">
        <v>106</v>
      </c>
      <c r="B2644" s="10">
        <v>45467</v>
      </c>
      <c r="C2644" s="18">
        <f t="shared" si="41"/>
        <v>6</v>
      </c>
      <c r="D2644" t="s">
        <v>138</v>
      </c>
      <c r="E2644">
        <v>4872536</v>
      </c>
      <c r="F2644" t="s">
        <v>8</v>
      </c>
      <c r="G2644" t="s">
        <v>203</v>
      </c>
      <c r="H2644" t="s">
        <v>234</v>
      </c>
      <c r="I2644" s="4">
        <v>100638.28079999999</v>
      </c>
      <c r="J2644" s="4">
        <v>503191.40399999998</v>
      </c>
      <c r="L2644" s="4">
        <v>5</v>
      </c>
    </row>
    <row r="2645" spans="1:12">
      <c r="A2645" t="s">
        <v>106</v>
      </c>
      <c r="B2645" s="10">
        <v>45470</v>
      </c>
      <c r="C2645" s="18">
        <f t="shared" si="41"/>
        <v>6</v>
      </c>
      <c r="D2645" t="s">
        <v>138</v>
      </c>
      <c r="E2645">
        <v>4873251</v>
      </c>
      <c r="F2645" t="s">
        <v>8</v>
      </c>
      <c r="G2645" t="s">
        <v>203</v>
      </c>
      <c r="H2645" t="s">
        <v>236</v>
      </c>
      <c r="I2645" s="4">
        <v>100638.28079999999</v>
      </c>
      <c r="J2645" s="4">
        <v>503191.40399999998</v>
      </c>
      <c r="L2645" s="4">
        <v>5</v>
      </c>
    </row>
    <row r="2646" spans="1:12">
      <c r="A2646" t="s">
        <v>106</v>
      </c>
      <c r="B2646" s="10">
        <v>45470</v>
      </c>
      <c r="C2646" s="18">
        <f t="shared" si="41"/>
        <v>6</v>
      </c>
      <c r="D2646" t="s">
        <v>138</v>
      </c>
      <c r="E2646">
        <v>4873251</v>
      </c>
      <c r="F2646" t="s">
        <v>8</v>
      </c>
      <c r="G2646" t="s">
        <v>203</v>
      </c>
      <c r="H2646" t="s">
        <v>234</v>
      </c>
      <c r="I2646" s="4">
        <v>100638.28079999999</v>
      </c>
      <c r="J2646" s="4">
        <v>503191.40399999998</v>
      </c>
      <c r="L2646" s="4">
        <v>5</v>
      </c>
    </row>
    <row r="2647" spans="1:12">
      <c r="A2647" t="s">
        <v>108</v>
      </c>
      <c r="B2647" s="10">
        <v>45448</v>
      </c>
      <c r="C2647" s="18">
        <f t="shared" si="41"/>
        <v>6</v>
      </c>
      <c r="D2647" t="s">
        <v>170</v>
      </c>
      <c r="E2647">
        <v>6080759</v>
      </c>
      <c r="F2647" t="s">
        <v>87</v>
      </c>
      <c r="G2647" t="s">
        <v>203</v>
      </c>
      <c r="H2647" t="s">
        <v>238</v>
      </c>
      <c r="I2647" s="4">
        <v>95606.36675999999</v>
      </c>
      <c r="J2647" s="4">
        <v>95606.36675999999</v>
      </c>
      <c r="L2647" s="4">
        <v>1</v>
      </c>
    </row>
    <row r="2648" spans="1:12">
      <c r="A2648" t="s">
        <v>108</v>
      </c>
      <c r="B2648" s="10">
        <v>45453</v>
      </c>
      <c r="C2648" s="18">
        <f t="shared" si="41"/>
        <v>6</v>
      </c>
      <c r="D2648" t="s">
        <v>170</v>
      </c>
      <c r="E2648">
        <v>6080413</v>
      </c>
      <c r="F2648" t="s">
        <v>88</v>
      </c>
      <c r="G2648" t="s">
        <v>204</v>
      </c>
      <c r="H2648" t="s">
        <v>216</v>
      </c>
      <c r="I2648" s="4">
        <v>113202.36079999999</v>
      </c>
      <c r="J2648" s="4">
        <v>113202.36079999999</v>
      </c>
      <c r="L2648" s="4">
        <v>1</v>
      </c>
    </row>
    <row r="2649" spans="1:12">
      <c r="A2649" t="s">
        <v>108</v>
      </c>
      <c r="B2649" s="10">
        <v>45454</v>
      </c>
      <c r="C2649" s="18">
        <f t="shared" si="41"/>
        <v>6</v>
      </c>
      <c r="D2649" t="s">
        <v>169</v>
      </c>
      <c r="E2649">
        <v>6080235</v>
      </c>
      <c r="F2649" t="s">
        <v>89</v>
      </c>
      <c r="G2649" t="s">
        <v>203</v>
      </c>
      <c r="H2649" t="s">
        <v>238</v>
      </c>
      <c r="I2649" s="4">
        <v>95606.36675999999</v>
      </c>
      <c r="J2649" s="4">
        <v>191212.73351999998</v>
      </c>
      <c r="L2649" s="4">
        <v>2</v>
      </c>
    </row>
    <row r="2650" spans="1:12">
      <c r="A2650" t="s">
        <v>108</v>
      </c>
      <c r="B2650" s="10">
        <v>45457</v>
      </c>
      <c r="C2650" s="18">
        <f t="shared" si="41"/>
        <v>6</v>
      </c>
      <c r="D2650" t="s">
        <v>169</v>
      </c>
      <c r="E2650">
        <v>4876999</v>
      </c>
      <c r="F2650" t="s">
        <v>89</v>
      </c>
      <c r="G2650" t="s">
        <v>203</v>
      </c>
      <c r="H2650" t="s">
        <v>239</v>
      </c>
      <c r="I2650" s="4">
        <v>125766.4408</v>
      </c>
      <c r="J2650" s="4">
        <v>251532.88159999999</v>
      </c>
      <c r="L2650" s="4">
        <v>2</v>
      </c>
    </row>
    <row r="2651" spans="1:12">
      <c r="A2651" t="s">
        <v>108</v>
      </c>
      <c r="B2651" s="10">
        <v>45458</v>
      </c>
      <c r="C2651" s="18">
        <f t="shared" si="41"/>
        <v>6</v>
      </c>
      <c r="D2651" t="s">
        <v>170</v>
      </c>
      <c r="E2651">
        <v>6080413</v>
      </c>
      <c r="F2651" t="s">
        <v>88</v>
      </c>
      <c r="G2651" t="s">
        <v>204</v>
      </c>
      <c r="H2651" t="s">
        <v>215</v>
      </c>
      <c r="I2651" s="4">
        <v>75510.12079999999</v>
      </c>
      <c r="J2651" s="4">
        <v>75510.12079999999</v>
      </c>
      <c r="L2651" s="4">
        <v>1</v>
      </c>
    </row>
    <row r="2652" spans="1:12">
      <c r="A2652" t="s">
        <v>108</v>
      </c>
      <c r="B2652" s="10">
        <v>45461</v>
      </c>
      <c r="C2652" s="18">
        <f t="shared" si="41"/>
        <v>6</v>
      </c>
      <c r="D2652" t="s">
        <v>170</v>
      </c>
      <c r="E2652">
        <v>6080413</v>
      </c>
      <c r="F2652" t="s">
        <v>88</v>
      </c>
      <c r="G2652" t="s">
        <v>204</v>
      </c>
      <c r="H2652" t="s">
        <v>221</v>
      </c>
      <c r="I2652" s="4">
        <v>25253.800799999997</v>
      </c>
      <c r="J2652" s="4">
        <v>25253.800799999997</v>
      </c>
      <c r="L2652" s="4">
        <v>1</v>
      </c>
    </row>
    <row r="2653" spans="1:12">
      <c r="A2653" t="s">
        <v>108</v>
      </c>
      <c r="B2653" s="10">
        <v>45461</v>
      </c>
      <c r="C2653" s="18">
        <f t="shared" si="41"/>
        <v>6</v>
      </c>
      <c r="D2653" t="s">
        <v>170</v>
      </c>
      <c r="E2653">
        <v>6080413</v>
      </c>
      <c r="F2653" t="s">
        <v>88</v>
      </c>
      <c r="G2653" t="s">
        <v>204</v>
      </c>
      <c r="H2653" t="s">
        <v>220</v>
      </c>
      <c r="I2653" s="4">
        <v>37817.880799999999</v>
      </c>
      <c r="J2653" s="4">
        <v>37817.880799999999</v>
      </c>
      <c r="L2653" s="4">
        <v>1</v>
      </c>
    </row>
    <row r="2654" spans="1:12">
      <c r="A2654" t="s">
        <v>108</v>
      </c>
      <c r="B2654" s="10">
        <v>45470</v>
      </c>
      <c r="C2654" s="18">
        <f t="shared" si="41"/>
        <v>6</v>
      </c>
      <c r="D2654" t="s">
        <v>172</v>
      </c>
      <c r="E2654">
        <v>4876994</v>
      </c>
      <c r="F2654" t="s">
        <v>89</v>
      </c>
      <c r="G2654" t="s">
        <v>203</v>
      </c>
      <c r="H2654" t="s">
        <v>240</v>
      </c>
      <c r="I2654" s="4">
        <v>100638.28079999999</v>
      </c>
      <c r="J2654" s="4">
        <v>201276.56159999999</v>
      </c>
      <c r="L2654" s="4">
        <v>2</v>
      </c>
    </row>
    <row r="2655" spans="1:12">
      <c r="A2655" t="s">
        <v>108</v>
      </c>
      <c r="B2655" s="10">
        <v>45470</v>
      </c>
      <c r="C2655" s="18">
        <f t="shared" si="41"/>
        <v>6</v>
      </c>
      <c r="D2655" t="s">
        <v>172</v>
      </c>
      <c r="E2655">
        <v>4876994</v>
      </c>
      <c r="F2655" t="s">
        <v>89</v>
      </c>
      <c r="G2655" t="s">
        <v>203</v>
      </c>
      <c r="H2655" t="s">
        <v>244</v>
      </c>
      <c r="I2655" s="4">
        <v>125766.4408</v>
      </c>
      <c r="J2655" s="4">
        <v>125766.4408</v>
      </c>
      <c r="L2655" s="4">
        <v>1</v>
      </c>
    </row>
    <row r="2656" spans="1:12">
      <c r="A2656" t="s">
        <v>108</v>
      </c>
      <c r="B2656" s="10">
        <v>45470</v>
      </c>
      <c r="C2656" s="18">
        <f t="shared" si="41"/>
        <v>6</v>
      </c>
      <c r="D2656" t="s">
        <v>172</v>
      </c>
      <c r="E2656">
        <v>4876994</v>
      </c>
      <c r="F2656" t="s">
        <v>89</v>
      </c>
      <c r="G2656" t="s">
        <v>203</v>
      </c>
      <c r="H2656" t="s">
        <v>239</v>
      </c>
      <c r="I2656" s="4">
        <v>125766.4408</v>
      </c>
      <c r="J2656" s="4">
        <v>125766.4408</v>
      </c>
      <c r="L2656" s="4">
        <v>1</v>
      </c>
    </row>
    <row r="2657" spans="1:12">
      <c r="A2657" t="s">
        <v>108</v>
      </c>
      <c r="B2657" s="10">
        <v>45471</v>
      </c>
      <c r="C2657" s="18">
        <f t="shared" si="41"/>
        <v>6</v>
      </c>
      <c r="D2657" t="s">
        <v>169</v>
      </c>
      <c r="E2657">
        <v>4877395</v>
      </c>
      <c r="F2657" t="s">
        <v>87</v>
      </c>
      <c r="G2657" t="s">
        <v>203</v>
      </c>
      <c r="H2657" t="s">
        <v>239</v>
      </c>
      <c r="I2657" s="4">
        <v>125766.4408</v>
      </c>
      <c r="J2657" s="4">
        <v>754598.64480000001</v>
      </c>
      <c r="L2657" s="4">
        <v>6</v>
      </c>
    </row>
    <row r="2658" spans="1:12">
      <c r="A2658" t="s">
        <v>106</v>
      </c>
      <c r="B2658" s="10">
        <v>45444</v>
      </c>
      <c r="C2658" s="18">
        <f t="shared" si="41"/>
        <v>6</v>
      </c>
      <c r="D2658" t="s">
        <v>135</v>
      </c>
      <c r="E2658">
        <v>4872838</v>
      </c>
      <c r="F2658" t="s">
        <v>87</v>
      </c>
      <c r="G2658" t="s">
        <v>203</v>
      </c>
      <c r="H2658" t="s">
        <v>236</v>
      </c>
      <c r="I2658" s="4">
        <v>100638.28079999999</v>
      </c>
      <c r="J2658" s="4">
        <v>-1308297.6503999999</v>
      </c>
      <c r="L2658" s="4">
        <v>-13</v>
      </c>
    </row>
    <row r="2659" spans="1:12">
      <c r="A2659" t="s">
        <v>106</v>
      </c>
      <c r="B2659" s="10">
        <v>45444</v>
      </c>
      <c r="C2659" s="18">
        <f t="shared" si="41"/>
        <v>6</v>
      </c>
      <c r="D2659" t="s">
        <v>135</v>
      </c>
      <c r="E2659">
        <v>4872613</v>
      </c>
      <c r="F2659" t="s">
        <v>88</v>
      </c>
      <c r="G2659" t="s">
        <v>203</v>
      </c>
      <c r="H2659" t="s">
        <v>224</v>
      </c>
      <c r="I2659" s="4">
        <v>100638.28079999999</v>
      </c>
      <c r="J2659" s="4">
        <v>402553.12319999997</v>
      </c>
      <c r="L2659" s="4">
        <v>4</v>
      </c>
    </row>
    <row r="2660" spans="1:12">
      <c r="A2660" t="s">
        <v>106</v>
      </c>
      <c r="B2660" s="10">
        <v>45447</v>
      </c>
      <c r="C2660" s="18">
        <f t="shared" si="41"/>
        <v>6</v>
      </c>
      <c r="D2660" t="s">
        <v>135</v>
      </c>
      <c r="E2660">
        <v>4876577</v>
      </c>
      <c r="F2660" t="s">
        <v>87</v>
      </c>
      <c r="G2660" t="s">
        <v>203</v>
      </c>
      <c r="H2660" t="s">
        <v>233</v>
      </c>
      <c r="I2660" s="4">
        <v>120735.78316800001</v>
      </c>
      <c r="J2660" s="4">
        <v>482943.13267200004</v>
      </c>
      <c r="L2660" s="4">
        <v>4</v>
      </c>
    </row>
    <row r="2661" spans="1:12">
      <c r="A2661" t="s">
        <v>106</v>
      </c>
      <c r="B2661" s="10">
        <v>45447</v>
      </c>
      <c r="C2661" s="18">
        <f t="shared" si="41"/>
        <v>6</v>
      </c>
      <c r="D2661" t="s">
        <v>135</v>
      </c>
      <c r="E2661">
        <v>4872845</v>
      </c>
      <c r="F2661" t="s">
        <v>87</v>
      </c>
      <c r="G2661" t="s">
        <v>203</v>
      </c>
      <c r="H2661" t="s">
        <v>226</v>
      </c>
      <c r="I2661" s="4">
        <v>100638.28079999999</v>
      </c>
      <c r="J2661" s="4">
        <v>201276.56159999999</v>
      </c>
      <c r="L2661" s="4">
        <v>2</v>
      </c>
    </row>
    <row r="2662" spans="1:12">
      <c r="A2662" t="s">
        <v>106</v>
      </c>
      <c r="B2662" s="10">
        <v>45447</v>
      </c>
      <c r="C2662" s="18">
        <f t="shared" si="41"/>
        <v>6</v>
      </c>
      <c r="D2662" t="s">
        <v>135</v>
      </c>
      <c r="E2662">
        <v>4872404</v>
      </c>
      <c r="F2662" t="s">
        <v>87</v>
      </c>
      <c r="G2662" t="s">
        <v>203</v>
      </c>
      <c r="H2662" t="s">
        <v>245</v>
      </c>
      <c r="I2662" s="4">
        <v>100638.28079999999</v>
      </c>
      <c r="J2662" s="4">
        <v>402553.12319999997</v>
      </c>
      <c r="L2662" s="4">
        <v>4</v>
      </c>
    </row>
    <row r="2663" spans="1:12">
      <c r="A2663" t="s">
        <v>106</v>
      </c>
      <c r="B2663" s="10">
        <v>45447</v>
      </c>
      <c r="C2663" s="18">
        <f t="shared" si="41"/>
        <v>6</v>
      </c>
      <c r="D2663" t="s">
        <v>135</v>
      </c>
      <c r="E2663">
        <v>4872404</v>
      </c>
      <c r="F2663" t="s">
        <v>87</v>
      </c>
      <c r="G2663" t="s">
        <v>203</v>
      </c>
      <c r="H2663" t="s">
        <v>243</v>
      </c>
      <c r="I2663" s="4">
        <v>100638.28079999999</v>
      </c>
      <c r="J2663" s="4">
        <v>402553.12319999997</v>
      </c>
      <c r="L2663" s="4">
        <v>4</v>
      </c>
    </row>
    <row r="2664" spans="1:12">
      <c r="A2664" t="s">
        <v>106</v>
      </c>
      <c r="B2664" s="10">
        <v>45447</v>
      </c>
      <c r="C2664" s="18">
        <f t="shared" si="41"/>
        <v>6</v>
      </c>
      <c r="D2664" t="s">
        <v>135</v>
      </c>
      <c r="E2664">
        <v>4872404</v>
      </c>
      <c r="F2664" t="s">
        <v>87</v>
      </c>
      <c r="G2664" t="s">
        <v>203</v>
      </c>
      <c r="H2664" t="s">
        <v>226</v>
      </c>
      <c r="I2664" s="4">
        <v>100638.28079999999</v>
      </c>
      <c r="J2664" s="4">
        <v>402553.12319999997</v>
      </c>
      <c r="L2664" s="4">
        <v>4</v>
      </c>
    </row>
    <row r="2665" spans="1:12">
      <c r="A2665" t="s">
        <v>106</v>
      </c>
      <c r="B2665" s="10">
        <v>45447</v>
      </c>
      <c r="C2665" s="18">
        <f t="shared" si="41"/>
        <v>6</v>
      </c>
      <c r="D2665" t="s">
        <v>135</v>
      </c>
      <c r="E2665">
        <v>4872404</v>
      </c>
      <c r="F2665" t="s">
        <v>87</v>
      </c>
      <c r="G2665" t="s">
        <v>203</v>
      </c>
      <c r="H2665" t="s">
        <v>225</v>
      </c>
      <c r="I2665" s="4">
        <v>100638.28079999999</v>
      </c>
      <c r="J2665" s="4">
        <v>402553.12319999997</v>
      </c>
      <c r="L2665" s="4">
        <v>4</v>
      </c>
    </row>
    <row r="2666" spans="1:12">
      <c r="A2666" t="s">
        <v>106</v>
      </c>
      <c r="B2666" s="10">
        <v>45447</v>
      </c>
      <c r="C2666" s="18">
        <f t="shared" si="41"/>
        <v>6</v>
      </c>
      <c r="D2666" t="s">
        <v>135</v>
      </c>
      <c r="E2666">
        <v>4872404</v>
      </c>
      <c r="F2666" t="s">
        <v>87</v>
      </c>
      <c r="G2666" t="s">
        <v>203</v>
      </c>
      <c r="H2666" t="s">
        <v>224</v>
      </c>
      <c r="I2666" s="4">
        <v>100638.28079999999</v>
      </c>
      <c r="J2666" s="4">
        <v>402553.12319999997</v>
      </c>
      <c r="L2666" s="4">
        <v>4</v>
      </c>
    </row>
    <row r="2667" spans="1:12">
      <c r="A2667" t="s">
        <v>106</v>
      </c>
      <c r="B2667" s="10">
        <v>45448</v>
      </c>
      <c r="C2667" s="18">
        <f t="shared" si="41"/>
        <v>6</v>
      </c>
      <c r="D2667" t="s">
        <v>135</v>
      </c>
      <c r="E2667">
        <v>4872949</v>
      </c>
      <c r="F2667" t="s">
        <v>89</v>
      </c>
      <c r="G2667" t="s">
        <v>203</v>
      </c>
      <c r="H2667" t="s">
        <v>245</v>
      </c>
      <c r="I2667" s="4">
        <v>100638.28079999999</v>
      </c>
      <c r="J2667" s="4">
        <v>402553.12319999997</v>
      </c>
      <c r="L2667" s="4">
        <v>4</v>
      </c>
    </row>
    <row r="2668" spans="1:12">
      <c r="A2668" t="s">
        <v>106</v>
      </c>
      <c r="B2668" s="10">
        <v>45448</v>
      </c>
      <c r="C2668" s="18">
        <f t="shared" si="41"/>
        <v>6</v>
      </c>
      <c r="D2668" t="s">
        <v>135</v>
      </c>
      <c r="E2668">
        <v>4872949</v>
      </c>
      <c r="F2668" t="s">
        <v>89</v>
      </c>
      <c r="G2668" t="s">
        <v>203</v>
      </c>
      <c r="H2668" t="s">
        <v>240</v>
      </c>
      <c r="I2668" s="4">
        <v>100638.28079999999</v>
      </c>
      <c r="J2668" s="4">
        <v>402553.12319999997</v>
      </c>
      <c r="L2668" s="4">
        <v>4</v>
      </c>
    </row>
    <row r="2669" spans="1:12">
      <c r="A2669" t="s">
        <v>106</v>
      </c>
      <c r="B2669" s="10">
        <v>45448</v>
      </c>
      <c r="C2669" s="18">
        <f t="shared" si="41"/>
        <v>6</v>
      </c>
      <c r="D2669" t="s">
        <v>135</v>
      </c>
      <c r="E2669">
        <v>4872949</v>
      </c>
      <c r="F2669" t="s">
        <v>89</v>
      </c>
      <c r="G2669" t="s">
        <v>203</v>
      </c>
      <c r="H2669" t="s">
        <v>238</v>
      </c>
      <c r="I2669" s="4">
        <v>95606.36675999999</v>
      </c>
      <c r="J2669" s="4">
        <v>382425.46703999996</v>
      </c>
      <c r="L2669" s="4">
        <v>4</v>
      </c>
    </row>
    <row r="2670" spans="1:12">
      <c r="A2670" t="s">
        <v>106</v>
      </c>
      <c r="B2670" s="10">
        <v>45448</v>
      </c>
      <c r="C2670" s="18">
        <f t="shared" si="41"/>
        <v>6</v>
      </c>
      <c r="D2670" t="s">
        <v>135</v>
      </c>
      <c r="E2670">
        <v>4872949</v>
      </c>
      <c r="F2670" t="s">
        <v>89</v>
      </c>
      <c r="G2670" t="s">
        <v>203</v>
      </c>
      <c r="H2670" t="s">
        <v>239</v>
      </c>
      <c r="I2670" s="4">
        <v>125766.4408</v>
      </c>
      <c r="J2670" s="4">
        <v>503065.76319999999</v>
      </c>
      <c r="L2670" s="4">
        <v>4</v>
      </c>
    </row>
    <row r="2671" spans="1:12">
      <c r="A2671" t="s">
        <v>106</v>
      </c>
      <c r="B2671" s="10">
        <v>45448</v>
      </c>
      <c r="C2671" s="18">
        <f t="shared" si="41"/>
        <v>6</v>
      </c>
      <c r="D2671" t="s">
        <v>135</v>
      </c>
      <c r="E2671">
        <v>4872949</v>
      </c>
      <c r="F2671" t="s">
        <v>89</v>
      </c>
      <c r="G2671" t="s">
        <v>203</v>
      </c>
      <c r="H2671" t="s">
        <v>233</v>
      </c>
      <c r="I2671" s="4">
        <v>120735.78316800001</v>
      </c>
      <c r="J2671" s="4">
        <v>482943.13267200004</v>
      </c>
      <c r="L2671" s="4">
        <v>4</v>
      </c>
    </row>
    <row r="2672" spans="1:12">
      <c r="A2672" t="s">
        <v>106</v>
      </c>
      <c r="B2672" s="10">
        <v>45448</v>
      </c>
      <c r="C2672" s="18">
        <f t="shared" si="41"/>
        <v>6</v>
      </c>
      <c r="D2672" t="s">
        <v>135</v>
      </c>
      <c r="E2672">
        <v>4878582</v>
      </c>
      <c r="F2672" t="s">
        <v>90</v>
      </c>
      <c r="G2672" t="s">
        <v>203</v>
      </c>
      <c r="H2672" t="s">
        <v>239</v>
      </c>
      <c r="I2672" s="4">
        <v>125766.4408</v>
      </c>
      <c r="J2672" s="4">
        <v>251532.88159999999</v>
      </c>
      <c r="L2672" s="4">
        <v>2</v>
      </c>
    </row>
    <row r="2673" spans="1:12">
      <c r="A2673" t="s">
        <v>106</v>
      </c>
      <c r="B2673" s="10">
        <v>45448</v>
      </c>
      <c r="C2673" s="18">
        <f t="shared" si="41"/>
        <v>6</v>
      </c>
      <c r="D2673" t="s">
        <v>135</v>
      </c>
      <c r="E2673">
        <v>4878582</v>
      </c>
      <c r="F2673" t="s">
        <v>90</v>
      </c>
      <c r="G2673" t="s">
        <v>203</v>
      </c>
      <c r="H2673" t="s">
        <v>233</v>
      </c>
      <c r="I2673" s="4">
        <v>120735.78316800001</v>
      </c>
      <c r="J2673" s="4">
        <v>603678.91584000003</v>
      </c>
      <c r="L2673" s="4">
        <v>5</v>
      </c>
    </row>
    <row r="2674" spans="1:12">
      <c r="A2674" t="s">
        <v>106</v>
      </c>
      <c r="B2674" s="10">
        <v>45448</v>
      </c>
      <c r="C2674" s="18">
        <f t="shared" si="41"/>
        <v>6</v>
      </c>
      <c r="D2674" t="s">
        <v>135</v>
      </c>
      <c r="E2674">
        <v>4873908</v>
      </c>
      <c r="F2674" t="s">
        <v>89</v>
      </c>
      <c r="G2674" t="s">
        <v>203</v>
      </c>
      <c r="H2674" t="s">
        <v>239</v>
      </c>
      <c r="I2674" s="4">
        <v>125766.4408</v>
      </c>
      <c r="J2674" s="4">
        <v>377299.3224</v>
      </c>
      <c r="L2674" s="4">
        <v>3</v>
      </c>
    </row>
    <row r="2675" spans="1:12">
      <c r="A2675" t="s">
        <v>106</v>
      </c>
      <c r="B2675" s="10">
        <v>45448</v>
      </c>
      <c r="C2675" s="18">
        <f t="shared" si="41"/>
        <v>6</v>
      </c>
      <c r="D2675" t="s">
        <v>135</v>
      </c>
      <c r="E2675">
        <v>4873908</v>
      </c>
      <c r="F2675" t="s">
        <v>89</v>
      </c>
      <c r="G2675" t="s">
        <v>203</v>
      </c>
      <c r="H2675" t="s">
        <v>233</v>
      </c>
      <c r="I2675" s="4">
        <v>120735.78316800001</v>
      </c>
      <c r="J2675" s="4">
        <v>362207.34950400004</v>
      </c>
      <c r="L2675" s="4">
        <v>3</v>
      </c>
    </row>
    <row r="2676" spans="1:12">
      <c r="A2676" t="s">
        <v>106</v>
      </c>
      <c r="B2676" s="10">
        <v>45448</v>
      </c>
      <c r="C2676" s="18">
        <f t="shared" si="41"/>
        <v>6</v>
      </c>
      <c r="D2676" t="s">
        <v>135</v>
      </c>
      <c r="E2676">
        <v>4872614</v>
      </c>
      <c r="F2676" t="s">
        <v>90</v>
      </c>
      <c r="G2676" t="s">
        <v>203</v>
      </c>
      <c r="H2676" t="s">
        <v>245</v>
      </c>
      <c r="I2676" s="4">
        <v>100638.28079999999</v>
      </c>
      <c r="J2676" s="4">
        <v>1006382.808</v>
      </c>
      <c r="L2676" s="4">
        <v>10</v>
      </c>
    </row>
    <row r="2677" spans="1:12">
      <c r="A2677" t="s">
        <v>106</v>
      </c>
      <c r="B2677" s="10">
        <v>45448</v>
      </c>
      <c r="C2677" s="18">
        <f t="shared" si="41"/>
        <v>6</v>
      </c>
      <c r="D2677" t="s">
        <v>135</v>
      </c>
      <c r="E2677">
        <v>4872614</v>
      </c>
      <c r="F2677" t="s">
        <v>90</v>
      </c>
      <c r="G2677" t="s">
        <v>203</v>
      </c>
      <c r="H2677" t="s">
        <v>240</v>
      </c>
      <c r="I2677" s="4">
        <v>100638.28079999999</v>
      </c>
      <c r="J2677" s="4">
        <v>1006382.808</v>
      </c>
      <c r="L2677" s="4">
        <v>10</v>
      </c>
    </row>
    <row r="2678" spans="1:12">
      <c r="A2678" t="s">
        <v>106</v>
      </c>
      <c r="B2678" s="10">
        <v>45448</v>
      </c>
      <c r="C2678" s="18">
        <f t="shared" si="41"/>
        <v>6</v>
      </c>
      <c r="D2678" t="s">
        <v>135</v>
      </c>
      <c r="E2678">
        <v>4872614</v>
      </c>
      <c r="F2678" t="s">
        <v>90</v>
      </c>
      <c r="G2678" t="s">
        <v>203</v>
      </c>
      <c r="H2678" t="s">
        <v>238</v>
      </c>
      <c r="I2678" s="4">
        <v>95606.36675999999</v>
      </c>
      <c r="J2678" s="4">
        <v>956063.66759999993</v>
      </c>
      <c r="L2678" s="4">
        <v>10</v>
      </c>
    </row>
    <row r="2679" spans="1:12">
      <c r="A2679" t="s">
        <v>106</v>
      </c>
      <c r="B2679" s="10">
        <v>45448</v>
      </c>
      <c r="C2679" s="18">
        <f t="shared" si="41"/>
        <v>6</v>
      </c>
      <c r="D2679" t="s">
        <v>135</v>
      </c>
      <c r="E2679">
        <v>4872614</v>
      </c>
      <c r="F2679" t="s">
        <v>90</v>
      </c>
      <c r="G2679" t="s">
        <v>203</v>
      </c>
      <c r="H2679" t="s">
        <v>234</v>
      </c>
      <c r="I2679" s="4">
        <v>100638.28079999999</v>
      </c>
      <c r="J2679" s="4">
        <v>1006382.808</v>
      </c>
      <c r="L2679" s="4">
        <v>10</v>
      </c>
    </row>
    <row r="2680" spans="1:12">
      <c r="A2680" t="s">
        <v>106</v>
      </c>
      <c r="B2680" s="10">
        <v>45448</v>
      </c>
      <c r="C2680" s="18">
        <f t="shared" si="41"/>
        <v>6</v>
      </c>
      <c r="D2680" t="s">
        <v>135</v>
      </c>
      <c r="E2680">
        <v>4872614</v>
      </c>
      <c r="F2680" t="s">
        <v>90</v>
      </c>
      <c r="G2680" t="s">
        <v>203</v>
      </c>
      <c r="H2680" t="s">
        <v>239</v>
      </c>
      <c r="I2680" s="4">
        <v>125766.4408</v>
      </c>
      <c r="J2680" s="4">
        <v>503065.76319999999</v>
      </c>
      <c r="L2680" s="4">
        <v>4</v>
      </c>
    </row>
    <row r="2681" spans="1:12">
      <c r="A2681" t="s">
        <v>106</v>
      </c>
      <c r="B2681" s="10">
        <v>45448</v>
      </c>
      <c r="C2681" s="18">
        <f t="shared" si="41"/>
        <v>6</v>
      </c>
      <c r="D2681" t="s">
        <v>135</v>
      </c>
      <c r="E2681">
        <v>4872614</v>
      </c>
      <c r="F2681" t="s">
        <v>90</v>
      </c>
      <c r="G2681" t="s">
        <v>203</v>
      </c>
      <c r="H2681" t="s">
        <v>233</v>
      </c>
      <c r="I2681" s="4">
        <v>120735.78316800001</v>
      </c>
      <c r="J2681" s="4">
        <v>482943.13267200004</v>
      </c>
      <c r="L2681" s="4">
        <v>4</v>
      </c>
    </row>
    <row r="2682" spans="1:12">
      <c r="A2682" t="s">
        <v>106</v>
      </c>
      <c r="B2682" s="10">
        <v>45448</v>
      </c>
      <c r="C2682" s="18">
        <f t="shared" si="41"/>
        <v>6</v>
      </c>
      <c r="D2682" t="s">
        <v>135</v>
      </c>
      <c r="E2682">
        <v>4873204</v>
      </c>
      <c r="F2682" t="s">
        <v>88</v>
      </c>
      <c r="G2682" t="s">
        <v>203</v>
      </c>
      <c r="H2682" t="s">
        <v>245</v>
      </c>
      <c r="I2682" s="4">
        <v>100638.28079999999</v>
      </c>
      <c r="J2682" s="4">
        <v>402553.12319999997</v>
      </c>
      <c r="L2682" s="4">
        <v>4</v>
      </c>
    </row>
    <row r="2683" spans="1:12">
      <c r="A2683" t="s">
        <v>106</v>
      </c>
      <c r="B2683" s="10">
        <v>45448</v>
      </c>
      <c r="C2683" s="18">
        <f t="shared" si="41"/>
        <v>6</v>
      </c>
      <c r="D2683" t="s">
        <v>135</v>
      </c>
      <c r="E2683">
        <v>4873204</v>
      </c>
      <c r="F2683" t="s">
        <v>88</v>
      </c>
      <c r="G2683" t="s">
        <v>203</v>
      </c>
      <c r="H2683" t="s">
        <v>243</v>
      </c>
      <c r="I2683" s="4">
        <v>100638.28079999999</v>
      </c>
      <c r="J2683" s="4">
        <v>402553.12319999997</v>
      </c>
      <c r="L2683" s="4">
        <v>4</v>
      </c>
    </row>
    <row r="2684" spans="1:12">
      <c r="A2684" t="s">
        <v>106</v>
      </c>
      <c r="B2684" s="10">
        <v>45448</v>
      </c>
      <c r="C2684" s="18">
        <f t="shared" si="41"/>
        <v>6</v>
      </c>
      <c r="D2684" t="s">
        <v>135</v>
      </c>
      <c r="E2684">
        <v>4873204</v>
      </c>
      <c r="F2684" t="s">
        <v>88</v>
      </c>
      <c r="G2684" t="s">
        <v>203</v>
      </c>
      <c r="H2684" t="s">
        <v>240</v>
      </c>
      <c r="I2684" s="4">
        <v>100638.28079999999</v>
      </c>
      <c r="J2684" s="4">
        <v>402553.12319999997</v>
      </c>
      <c r="L2684" s="4">
        <v>4</v>
      </c>
    </row>
    <row r="2685" spans="1:12">
      <c r="A2685" t="s">
        <v>106</v>
      </c>
      <c r="B2685" s="10">
        <v>45448</v>
      </c>
      <c r="C2685" s="18">
        <f t="shared" si="41"/>
        <v>6</v>
      </c>
      <c r="D2685" t="s">
        <v>135</v>
      </c>
      <c r="E2685">
        <v>4873204</v>
      </c>
      <c r="F2685" t="s">
        <v>88</v>
      </c>
      <c r="G2685" t="s">
        <v>203</v>
      </c>
      <c r="H2685" t="s">
        <v>238</v>
      </c>
      <c r="I2685" s="4">
        <v>95606.36675999999</v>
      </c>
      <c r="J2685" s="4">
        <v>382425.46703999996</v>
      </c>
      <c r="L2685" s="4">
        <v>4</v>
      </c>
    </row>
    <row r="2686" spans="1:12">
      <c r="A2686" t="s">
        <v>106</v>
      </c>
      <c r="B2686" s="10">
        <v>45448</v>
      </c>
      <c r="C2686" s="18">
        <f t="shared" si="41"/>
        <v>6</v>
      </c>
      <c r="D2686" t="s">
        <v>135</v>
      </c>
      <c r="E2686">
        <v>4872844</v>
      </c>
      <c r="F2686" t="s">
        <v>88</v>
      </c>
      <c r="G2686" t="s">
        <v>203</v>
      </c>
      <c r="H2686" t="s">
        <v>245</v>
      </c>
      <c r="I2686" s="4">
        <v>100638.28079999999</v>
      </c>
      <c r="J2686" s="4">
        <v>402553.12319999997</v>
      </c>
      <c r="L2686" s="4">
        <v>4</v>
      </c>
    </row>
    <row r="2687" spans="1:12">
      <c r="A2687" t="s">
        <v>106</v>
      </c>
      <c r="B2687" s="10">
        <v>45448</v>
      </c>
      <c r="C2687" s="18">
        <f t="shared" si="41"/>
        <v>6</v>
      </c>
      <c r="D2687" t="s">
        <v>135</v>
      </c>
      <c r="E2687">
        <v>4872844</v>
      </c>
      <c r="F2687" t="s">
        <v>88</v>
      </c>
      <c r="G2687" t="s">
        <v>203</v>
      </c>
      <c r="H2687" t="s">
        <v>243</v>
      </c>
      <c r="I2687" s="4">
        <v>100638.28079999999</v>
      </c>
      <c r="J2687" s="4">
        <v>402553.12319999997</v>
      </c>
      <c r="L2687" s="4">
        <v>4</v>
      </c>
    </row>
    <row r="2688" spans="1:12">
      <c r="A2688" t="s">
        <v>106</v>
      </c>
      <c r="B2688" s="10">
        <v>45448</v>
      </c>
      <c r="C2688" s="18">
        <f t="shared" si="41"/>
        <v>6</v>
      </c>
      <c r="D2688" t="s">
        <v>135</v>
      </c>
      <c r="E2688">
        <v>4872844</v>
      </c>
      <c r="F2688" t="s">
        <v>88</v>
      </c>
      <c r="G2688" t="s">
        <v>203</v>
      </c>
      <c r="H2688" t="s">
        <v>240</v>
      </c>
      <c r="I2688" s="4">
        <v>100638.28079999999</v>
      </c>
      <c r="J2688" s="4">
        <v>402553.12319999997</v>
      </c>
      <c r="L2688" s="4">
        <v>4</v>
      </c>
    </row>
    <row r="2689" spans="1:12">
      <c r="A2689" t="s">
        <v>106</v>
      </c>
      <c r="B2689" s="10">
        <v>45448</v>
      </c>
      <c r="C2689" s="18">
        <f t="shared" si="41"/>
        <v>6</v>
      </c>
      <c r="D2689" t="s">
        <v>135</v>
      </c>
      <c r="E2689">
        <v>4872844</v>
      </c>
      <c r="F2689" t="s">
        <v>88</v>
      </c>
      <c r="G2689" t="s">
        <v>203</v>
      </c>
      <c r="H2689" t="s">
        <v>238</v>
      </c>
      <c r="I2689" s="4">
        <v>95606.36675999999</v>
      </c>
      <c r="J2689" s="4">
        <v>382425.46703999996</v>
      </c>
      <c r="L2689" s="4">
        <v>4</v>
      </c>
    </row>
    <row r="2690" spans="1:12">
      <c r="A2690" t="s">
        <v>106</v>
      </c>
      <c r="B2690" s="10">
        <v>45448</v>
      </c>
      <c r="C2690" s="18">
        <f t="shared" ref="C2690:C2753" si="42">MONTH(B2690)</f>
        <v>6</v>
      </c>
      <c r="D2690" t="s">
        <v>135</v>
      </c>
      <c r="E2690">
        <v>4872844</v>
      </c>
      <c r="F2690" t="s">
        <v>88</v>
      </c>
      <c r="G2690" t="s">
        <v>203</v>
      </c>
      <c r="H2690" t="s">
        <v>234</v>
      </c>
      <c r="I2690" s="4">
        <v>100638.28079999999</v>
      </c>
      <c r="J2690" s="4">
        <v>402553.12319999997</v>
      </c>
      <c r="L2690" s="4">
        <v>4</v>
      </c>
    </row>
    <row r="2691" spans="1:12">
      <c r="A2691" t="s">
        <v>106</v>
      </c>
      <c r="B2691" s="10">
        <v>45448</v>
      </c>
      <c r="C2691" s="18">
        <f t="shared" si="42"/>
        <v>6</v>
      </c>
      <c r="D2691" t="s">
        <v>135</v>
      </c>
      <c r="E2691">
        <v>4872613</v>
      </c>
      <c r="F2691" t="s">
        <v>88</v>
      </c>
      <c r="G2691" t="s">
        <v>203</v>
      </c>
      <c r="H2691" t="s">
        <v>245</v>
      </c>
      <c r="I2691" s="4">
        <v>100638.28079999999</v>
      </c>
      <c r="J2691" s="4">
        <v>603829.68479999993</v>
      </c>
      <c r="L2691" s="4">
        <v>6</v>
      </c>
    </row>
    <row r="2692" spans="1:12">
      <c r="A2692" t="s">
        <v>106</v>
      </c>
      <c r="B2692" s="10">
        <v>45448</v>
      </c>
      <c r="C2692" s="18">
        <f t="shared" si="42"/>
        <v>6</v>
      </c>
      <c r="D2692" t="s">
        <v>135</v>
      </c>
      <c r="E2692">
        <v>4872613</v>
      </c>
      <c r="F2692" t="s">
        <v>88</v>
      </c>
      <c r="G2692" t="s">
        <v>203</v>
      </c>
      <c r="H2692" t="s">
        <v>243</v>
      </c>
      <c r="I2692" s="4">
        <v>100638.28079999999</v>
      </c>
      <c r="J2692" s="4">
        <v>603829.68479999993</v>
      </c>
      <c r="L2692" s="4">
        <v>6</v>
      </c>
    </row>
    <row r="2693" spans="1:12">
      <c r="A2693" t="s">
        <v>106</v>
      </c>
      <c r="B2693" s="10">
        <v>45448</v>
      </c>
      <c r="C2693" s="18">
        <f t="shared" si="42"/>
        <v>6</v>
      </c>
      <c r="D2693" t="s">
        <v>135</v>
      </c>
      <c r="E2693">
        <v>4872613</v>
      </c>
      <c r="F2693" t="s">
        <v>88</v>
      </c>
      <c r="G2693" t="s">
        <v>203</v>
      </c>
      <c r="H2693" t="s">
        <v>240</v>
      </c>
      <c r="I2693" s="4">
        <v>100638.28079999999</v>
      </c>
      <c r="J2693" s="4">
        <v>603829.68479999993</v>
      </c>
      <c r="L2693" s="4">
        <v>6</v>
      </c>
    </row>
    <row r="2694" spans="1:12">
      <c r="A2694" t="s">
        <v>106</v>
      </c>
      <c r="B2694" s="10">
        <v>45448</v>
      </c>
      <c r="C2694" s="18">
        <f t="shared" si="42"/>
        <v>6</v>
      </c>
      <c r="D2694" t="s">
        <v>135</v>
      </c>
      <c r="E2694">
        <v>4872613</v>
      </c>
      <c r="F2694" t="s">
        <v>88</v>
      </c>
      <c r="G2694" t="s">
        <v>203</v>
      </c>
      <c r="H2694" t="s">
        <v>238</v>
      </c>
      <c r="I2694" s="4">
        <v>95606.36675999999</v>
      </c>
      <c r="J2694" s="4">
        <v>573638.20055999991</v>
      </c>
      <c r="L2694" s="4">
        <v>6</v>
      </c>
    </row>
    <row r="2695" spans="1:12">
      <c r="A2695" t="s">
        <v>106</v>
      </c>
      <c r="B2695" s="10">
        <v>45448</v>
      </c>
      <c r="C2695" s="18">
        <f t="shared" si="42"/>
        <v>6</v>
      </c>
      <c r="D2695" t="s">
        <v>135</v>
      </c>
      <c r="E2695">
        <v>4872613</v>
      </c>
      <c r="F2695" t="s">
        <v>88</v>
      </c>
      <c r="G2695" t="s">
        <v>203</v>
      </c>
      <c r="H2695" t="s">
        <v>234</v>
      </c>
      <c r="I2695" s="4">
        <v>100638.28079999999</v>
      </c>
      <c r="J2695" s="4">
        <v>603829.68479999993</v>
      </c>
      <c r="L2695" s="4">
        <v>6</v>
      </c>
    </row>
    <row r="2696" spans="1:12">
      <c r="A2696" t="s">
        <v>106</v>
      </c>
      <c r="B2696" s="10">
        <v>45448</v>
      </c>
      <c r="C2696" s="18">
        <f t="shared" si="42"/>
        <v>6</v>
      </c>
      <c r="D2696" t="s">
        <v>135</v>
      </c>
      <c r="E2696">
        <v>4872585</v>
      </c>
      <c r="F2696" t="s">
        <v>90</v>
      </c>
      <c r="G2696" t="s">
        <v>203</v>
      </c>
      <c r="H2696" t="s">
        <v>245</v>
      </c>
      <c r="I2696" s="4">
        <v>100638.28079999999</v>
      </c>
      <c r="J2696" s="4">
        <v>201276.56159999999</v>
      </c>
      <c r="L2696" s="4">
        <v>2</v>
      </c>
    </row>
    <row r="2697" spans="1:12">
      <c r="A2697" t="s">
        <v>106</v>
      </c>
      <c r="B2697" s="10">
        <v>45448</v>
      </c>
      <c r="C2697" s="18">
        <f t="shared" si="42"/>
        <v>6</v>
      </c>
      <c r="D2697" t="s">
        <v>135</v>
      </c>
      <c r="E2697">
        <v>4872585</v>
      </c>
      <c r="F2697" t="s">
        <v>90</v>
      </c>
      <c r="G2697" t="s">
        <v>203</v>
      </c>
      <c r="H2697" t="s">
        <v>243</v>
      </c>
      <c r="I2697" s="4">
        <v>100638.28079999999</v>
      </c>
      <c r="J2697" s="4">
        <v>201276.56159999999</v>
      </c>
      <c r="L2697" s="4">
        <v>2</v>
      </c>
    </row>
    <row r="2698" spans="1:12">
      <c r="A2698" t="s">
        <v>106</v>
      </c>
      <c r="B2698" s="10">
        <v>45448</v>
      </c>
      <c r="C2698" s="18">
        <f t="shared" si="42"/>
        <v>6</v>
      </c>
      <c r="D2698" t="s">
        <v>135</v>
      </c>
      <c r="E2698">
        <v>4872585</v>
      </c>
      <c r="F2698" t="s">
        <v>90</v>
      </c>
      <c r="G2698" t="s">
        <v>203</v>
      </c>
      <c r="H2698" t="s">
        <v>240</v>
      </c>
      <c r="I2698" s="4">
        <v>100638.28079999999</v>
      </c>
      <c r="J2698" s="4">
        <v>201276.56159999999</v>
      </c>
      <c r="L2698" s="4">
        <v>2</v>
      </c>
    </row>
    <row r="2699" spans="1:12">
      <c r="A2699" t="s">
        <v>106</v>
      </c>
      <c r="B2699" s="10">
        <v>45448</v>
      </c>
      <c r="C2699" s="18">
        <f t="shared" si="42"/>
        <v>6</v>
      </c>
      <c r="D2699" t="s">
        <v>135</v>
      </c>
      <c r="E2699">
        <v>4872585</v>
      </c>
      <c r="F2699" t="s">
        <v>90</v>
      </c>
      <c r="G2699" t="s">
        <v>203</v>
      </c>
      <c r="H2699" t="s">
        <v>238</v>
      </c>
      <c r="I2699" s="4">
        <v>95606.36675999999</v>
      </c>
      <c r="J2699" s="4">
        <v>191212.73351999998</v>
      </c>
      <c r="L2699" s="4">
        <v>2</v>
      </c>
    </row>
    <row r="2700" spans="1:12">
      <c r="A2700" t="s">
        <v>106</v>
      </c>
      <c r="B2700" s="10">
        <v>45448</v>
      </c>
      <c r="C2700" s="18">
        <f t="shared" si="42"/>
        <v>6</v>
      </c>
      <c r="D2700" t="s">
        <v>135</v>
      </c>
      <c r="E2700">
        <v>4872585</v>
      </c>
      <c r="F2700" t="s">
        <v>90</v>
      </c>
      <c r="G2700" t="s">
        <v>203</v>
      </c>
      <c r="H2700" t="s">
        <v>225</v>
      </c>
      <c r="I2700" s="4">
        <v>100638.28079999999</v>
      </c>
      <c r="J2700" s="4">
        <v>201276.56159999999</v>
      </c>
      <c r="L2700" s="4">
        <v>2</v>
      </c>
    </row>
    <row r="2701" spans="1:12">
      <c r="A2701" t="s">
        <v>106</v>
      </c>
      <c r="B2701" s="10">
        <v>45448</v>
      </c>
      <c r="C2701" s="18">
        <f t="shared" si="42"/>
        <v>6</v>
      </c>
      <c r="D2701" t="s">
        <v>135</v>
      </c>
      <c r="E2701">
        <v>4873557</v>
      </c>
      <c r="F2701" t="s">
        <v>90</v>
      </c>
      <c r="G2701" t="s">
        <v>203</v>
      </c>
      <c r="H2701" t="s">
        <v>245</v>
      </c>
      <c r="I2701" s="4">
        <v>100638.28079999999</v>
      </c>
      <c r="J2701" s="4">
        <v>201276.56159999999</v>
      </c>
      <c r="L2701" s="4">
        <v>2</v>
      </c>
    </row>
    <row r="2702" spans="1:12">
      <c r="A2702" t="s">
        <v>106</v>
      </c>
      <c r="B2702" s="10">
        <v>45448</v>
      </c>
      <c r="C2702" s="18">
        <f t="shared" si="42"/>
        <v>6</v>
      </c>
      <c r="D2702" t="s">
        <v>135</v>
      </c>
      <c r="E2702">
        <v>4873557</v>
      </c>
      <c r="F2702" t="s">
        <v>90</v>
      </c>
      <c r="G2702" t="s">
        <v>203</v>
      </c>
      <c r="H2702" t="s">
        <v>240</v>
      </c>
      <c r="I2702" s="4">
        <v>100638.28079999999</v>
      </c>
      <c r="J2702" s="4">
        <v>201276.56159999999</v>
      </c>
      <c r="L2702" s="4">
        <v>2</v>
      </c>
    </row>
    <row r="2703" spans="1:12">
      <c r="A2703" t="s">
        <v>106</v>
      </c>
      <c r="B2703" s="10">
        <v>45448</v>
      </c>
      <c r="C2703" s="18">
        <f t="shared" si="42"/>
        <v>6</v>
      </c>
      <c r="D2703" t="s">
        <v>135</v>
      </c>
      <c r="E2703">
        <v>4873557</v>
      </c>
      <c r="F2703" t="s">
        <v>90</v>
      </c>
      <c r="G2703" t="s">
        <v>203</v>
      </c>
      <c r="H2703" t="s">
        <v>238</v>
      </c>
      <c r="I2703" s="4">
        <v>95606.36675999999</v>
      </c>
      <c r="J2703" s="4">
        <v>191212.73351999998</v>
      </c>
      <c r="L2703" s="4">
        <v>2</v>
      </c>
    </row>
    <row r="2704" spans="1:12">
      <c r="A2704" t="s">
        <v>106</v>
      </c>
      <c r="B2704" s="10">
        <v>45448</v>
      </c>
      <c r="C2704" s="18">
        <f t="shared" si="42"/>
        <v>6</v>
      </c>
      <c r="D2704" t="s">
        <v>135</v>
      </c>
      <c r="E2704">
        <v>4873557</v>
      </c>
      <c r="F2704" t="s">
        <v>90</v>
      </c>
      <c r="G2704" t="s">
        <v>203</v>
      </c>
      <c r="H2704" t="s">
        <v>234</v>
      </c>
      <c r="I2704" s="4">
        <v>100638.28079999999</v>
      </c>
      <c r="J2704" s="4">
        <v>201276.56159999999</v>
      </c>
      <c r="L2704" s="4">
        <v>2</v>
      </c>
    </row>
    <row r="2705" spans="1:12">
      <c r="A2705" t="s">
        <v>106</v>
      </c>
      <c r="B2705" s="10">
        <v>45449</v>
      </c>
      <c r="C2705" s="18">
        <f t="shared" si="42"/>
        <v>6</v>
      </c>
      <c r="D2705" t="s">
        <v>135</v>
      </c>
      <c r="E2705">
        <v>4878723</v>
      </c>
      <c r="F2705" t="s">
        <v>90</v>
      </c>
      <c r="G2705" t="s">
        <v>203</v>
      </c>
      <c r="H2705" t="s">
        <v>245</v>
      </c>
      <c r="I2705" s="4">
        <v>100638.28079999999</v>
      </c>
      <c r="J2705" s="4">
        <v>201276.56159999999</v>
      </c>
      <c r="L2705" s="4">
        <v>2</v>
      </c>
    </row>
    <row r="2706" spans="1:12">
      <c r="A2706" t="s">
        <v>106</v>
      </c>
      <c r="B2706" s="10">
        <v>45449</v>
      </c>
      <c r="C2706" s="18">
        <f t="shared" si="42"/>
        <v>6</v>
      </c>
      <c r="D2706" t="s">
        <v>135</v>
      </c>
      <c r="E2706">
        <v>4878723</v>
      </c>
      <c r="F2706" t="s">
        <v>90</v>
      </c>
      <c r="G2706" t="s">
        <v>203</v>
      </c>
      <c r="H2706" t="s">
        <v>243</v>
      </c>
      <c r="I2706" s="4">
        <v>100638.28079999999</v>
      </c>
      <c r="J2706" s="4">
        <v>201276.56159999999</v>
      </c>
      <c r="L2706" s="4">
        <v>2</v>
      </c>
    </row>
    <row r="2707" spans="1:12">
      <c r="A2707" t="s">
        <v>106</v>
      </c>
      <c r="B2707" s="10">
        <v>45449</v>
      </c>
      <c r="C2707" s="18">
        <f t="shared" si="42"/>
        <v>6</v>
      </c>
      <c r="D2707" t="s">
        <v>135</v>
      </c>
      <c r="E2707">
        <v>4878723</v>
      </c>
      <c r="F2707" t="s">
        <v>90</v>
      </c>
      <c r="G2707" t="s">
        <v>203</v>
      </c>
      <c r="H2707" t="s">
        <v>240</v>
      </c>
      <c r="I2707" s="4">
        <v>100638.28079999999</v>
      </c>
      <c r="J2707" s="4">
        <v>201276.56159999999</v>
      </c>
      <c r="L2707" s="4">
        <v>2</v>
      </c>
    </row>
    <row r="2708" spans="1:12">
      <c r="A2708" t="s">
        <v>106</v>
      </c>
      <c r="B2708" s="10">
        <v>45449</v>
      </c>
      <c r="C2708" s="18">
        <f t="shared" si="42"/>
        <v>6</v>
      </c>
      <c r="D2708" t="s">
        <v>135</v>
      </c>
      <c r="E2708">
        <v>4878723</v>
      </c>
      <c r="F2708" t="s">
        <v>90</v>
      </c>
      <c r="G2708" t="s">
        <v>203</v>
      </c>
      <c r="H2708" t="s">
        <v>238</v>
      </c>
      <c r="I2708" s="4">
        <v>95606.36675999999</v>
      </c>
      <c r="J2708" s="4">
        <v>191212.73351999998</v>
      </c>
      <c r="L2708" s="4">
        <v>2</v>
      </c>
    </row>
    <row r="2709" spans="1:12">
      <c r="A2709" t="s">
        <v>106</v>
      </c>
      <c r="B2709" s="10">
        <v>45449</v>
      </c>
      <c r="C2709" s="18">
        <f t="shared" si="42"/>
        <v>6</v>
      </c>
      <c r="D2709" t="s">
        <v>135</v>
      </c>
      <c r="E2709">
        <v>4878723</v>
      </c>
      <c r="F2709" t="s">
        <v>90</v>
      </c>
      <c r="G2709" t="s">
        <v>203</v>
      </c>
      <c r="H2709" t="s">
        <v>234</v>
      </c>
      <c r="I2709" s="4">
        <v>100638.28079999999</v>
      </c>
      <c r="J2709" s="4">
        <v>201276.56159999999</v>
      </c>
      <c r="L2709" s="4">
        <v>2</v>
      </c>
    </row>
    <row r="2710" spans="1:12">
      <c r="A2710" t="s">
        <v>106</v>
      </c>
      <c r="B2710" s="10">
        <v>45449</v>
      </c>
      <c r="C2710" s="18">
        <f t="shared" si="42"/>
        <v>6</v>
      </c>
      <c r="D2710" t="s">
        <v>135</v>
      </c>
      <c r="E2710">
        <v>4876277</v>
      </c>
      <c r="F2710" t="s">
        <v>87</v>
      </c>
      <c r="G2710" t="s">
        <v>204</v>
      </c>
      <c r="H2710" t="s">
        <v>214</v>
      </c>
      <c r="I2710" s="4">
        <v>119484.4008</v>
      </c>
      <c r="J2710" s="4">
        <v>119484.4008</v>
      </c>
      <c r="L2710" s="4">
        <v>1</v>
      </c>
    </row>
    <row r="2711" spans="1:12">
      <c r="A2711" t="s">
        <v>106</v>
      </c>
      <c r="B2711" s="10">
        <v>45449</v>
      </c>
      <c r="C2711" s="18">
        <f t="shared" si="42"/>
        <v>6</v>
      </c>
      <c r="D2711" t="s">
        <v>135</v>
      </c>
      <c r="E2711">
        <v>4876277</v>
      </c>
      <c r="F2711" t="s">
        <v>87</v>
      </c>
      <c r="G2711" t="s">
        <v>204</v>
      </c>
      <c r="H2711" t="s">
        <v>220</v>
      </c>
      <c r="I2711" s="4">
        <v>37817.880799999999</v>
      </c>
      <c r="J2711" s="4">
        <v>378178.80799999996</v>
      </c>
      <c r="L2711" s="4">
        <v>10</v>
      </c>
    </row>
    <row r="2712" spans="1:12">
      <c r="A2712" t="s">
        <v>106</v>
      </c>
      <c r="B2712" s="10">
        <v>45449</v>
      </c>
      <c r="C2712" s="18">
        <f t="shared" si="42"/>
        <v>6</v>
      </c>
      <c r="D2712" t="s">
        <v>135</v>
      </c>
      <c r="E2712">
        <v>4876277</v>
      </c>
      <c r="F2712" t="s">
        <v>87</v>
      </c>
      <c r="G2712" t="s">
        <v>204</v>
      </c>
      <c r="H2712" t="s">
        <v>212</v>
      </c>
      <c r="I2712" s="4">
        <v>62946.040799999995</v>
      </c>
      <c r="J2712" s="4">
        <v>629460.40799999994</v>
      </c>
      <c r="L2712" s="4">
        <v>10</v>
      </c>
    </row>
    <row r="2713" spans="1:12">
      <c r="A2713" t="s">
        <v>106</v>
      </c>
      <c r="B2713" s="10">
        <v>45450</v>
      </c>
      <c r="C2713" s="18">
        <f t="shared" si="42"/>
        <v>6</v>
      </c>
      <c r="D2713" t="s">
        <v>135</v>
      </c>
      <c r="E2713">
        <v>4873291</v>
      </c>
      <c r="F2713" t="s">
        <v>89</v>
      </c>
      <c r="G2713" t="s">
        <v>203</v>
      </c>
      <c r="H2713" t="s">
        <v>245</v>
      </c>
      <c r="I2713" s="4">
        <v>100638.28079999999</v>
      </c>
      <c r="J2713" s="4">
        <v>402553.12319999997</v>
      </c>
      <c r="L2713" s="4">
        <v>4</v>
      </c>
    </row>
    <row r="2714" spans="1:12">
      <c r="A2714" t="s">
        <v>106</v>
      </c>
      <c r="B2714" s="10">
        <v>45450</v>
      </c>
      <c r="C2714" s="18">
        <f t="shared" si="42"/>
        <v>6</v>
      </c>
      <c r="D2714" t="s">
        <v>135</v>
      </c>
      <c r="E2714">
        <v>4873291</v>
      </c>
      <c r="F2714" t="s">
        <v>89</v>
      </c>
      <c r="G2714" t="s">
        <v>203</v>
      </c>
      <c r="H2714" t="s">
        <v>243</v>
      </c>
      <c r="I2714" s="4">
        <v>100638.28079999999</v>
      </c>
      <c r="J2714" s="4">
        <v>402553.12319999997</v>
      </c>
      <c r="L2714" s="4">
        <v>4</v>
      </c>
    </row>
    <row r="2715" spans="1:12">
      <c r="A2715" t="s">
        <v>106</v>
      </c>
      <c r="B2715" s="10">
        <v>45450</v>
      </c>
      <c r="C2715" s="18">
        <f t="shared" si="42"/>
        <v>6</v>
      </c>
      <c r="D2715" t="s">
        <v>135</v>
      </c>
      <c r="E2715">
        <v>4873291</v>
      </c>
      <c r="F2715" t="s">
        <v>89</v>
      </c>
      <c r="G2715" t="s">
        <v>203</v>
      </c>
      <c r="H2715" t="s">
        <v>240</v>
      </c>
      <c r="I2715" s="4">
        <v>100638.28079999999</v>
      </c>
      <c r="J2715" s="4">
        <v>402553.12319999997</v>
      </c>
      <c r="L2715" s="4">
        <v>4</v>
      </c>
    </row>
    <row r="2716" spans="1:12">
      <c r="A2716" t="s">
        <v>106</v>
      </c>
      <c r="B2716" s="10">
        <v>45450</v>
      </c>
      <c r="C2716" s="18">
        <f t="shared" si="42"/>
        <v>6</v>
      </c>
      <c r="D2716" t="s">
        <v>135</v>
      </c>
      <c r="E2716">
        <v>4873291</v>
      </c>
      <c r="F2716" t="s">
        <v>89</v>
      </c>
      <c r="G2716" t="s">
        <v>203</v>
      </c>
      <c r="H2716" t="s">
        <v>234</v>
      </c>
      <c r="I2716" s="4">
        <v>100638.28079999999</v>
      </c>
      <c r="J2716" s="4">
        <v>402553.12319999997</v>
      </c>
      <c r="L2716" s="4">
        <v>4</v>
      </c>
    </row>
    <row r="2717" spans="1:12">
      <c r="A2717" t="s">
        <v>106</v>
      </c>
      <c r="B2717" s="10">
        <v>45450</v>
      </c>
      <c r="C2717" s="18">
        <f t="shared" si="42"/>
        <v>6</v>
      </c>
      <c r="D2717" t="s">
        <v>135</v>
      </c>
      <c r="E2717">
        <v>4873291</v>
      </c>
      <c r="F2717" t="s">
        <v>89</v>
      </c>
      <c r="G2717" t="s">
        <v>203</v>
      </c>
      <c r="H2717" t="s">
        <v>228</v>
      </c>
      <c r="I2717" s="4">
        <v>100638.28079999999</v>
      </c>
      <c r="J2717" s="4">
        <v>402553.12319999997</v>
      </c>
      <c r="L2717" s="4">
        <v>4</v>
      </c>
    </row>
    <row r="2718" spans="1:12">
      <c r="A2718" t="s">
        <v>106</v>
      </c>
      <c r="B2718" s="10">
        <v>45450</v>
      </c>
      <c r="C2718" s="18">
        <f t="shared" si="42"/>
        <v>6</v>
      </c>
      <c r="D2718" t="s">
        <v>135</v>
      </c>
      <c r="E2718">
        <v>4876003</v>
      </c>
      <c r="F2718" t="s">
        <v>89</v>
      </c>
      <c r="G2718" t="s">
        <v>203</v>
      </c>
      <c r="H2718" t="s">
        <v>240</v>
      </c>
      <c r="I2718" s="4">
        <v>100638.28079999999</v>
      </c>
      <c r="J2718" s="4">
        <v>402553.12319999997</v>
      </c>
      <c r="L2718" s="4">
        <v>4</v>
      </c>
    </row>
    <row r="2719" spans="1:12">
      <c r="A2719" t="s">
        <v>106</v>
      </c>
      <c r="B2719" s="10">
        <v>45450</v>
      </c>
      <c r="C2719" s="18">
        <f t="shared" si="42"/>
        <v>6</v>
      </c>
      <c r="D2719" t="s">
        <v>135</v>
      </c>
      <c r="E2719">
        <v>4876003</v>
      </c>
      <c r="F2719" t="s">
        <v>89</v>
      </c>
      <c r="G2719" t="s">
        <v>203</v>
      </c>
      <c r="H2719" t="s">
        <v>236</v>
      </c>
      <c r="I2719" s="4">
        <v>100638.28079999999</v>
      </c>
      <c r="J2719" s="4">
        <v>402553.12319999997</v>
      </c>
      <c r="L2719" s="4">
        <v>4</v>
      </c>
    </row>
    <row r="2720" spans="1:12">
      <c r="A2720" t="s">
        <v>106</v>
      </c>
      <c r="B2720" s="10">
        <v>45450</v>
      </c>
      <c r="C2720" s="18">
        <f t="shared" si="42"/>
        <v>6</v>
      </c>
      <c r="D2720" t="s">
        <v>135</v>
      </c>
      <c r="E2720">
        <v>4873753</v>
      </c>
      <c r="F2720" t="s">
        <v>88</v>
      </c>
      <c r="G2720" t="s">
        <v>203</v>
      </c>
      <c r="H2720" t="s">
        <v>245</v>
      </c>
      <c r="I2720" s="4">
        <v>100638.28079999999</v>
      </c>
      <c r="J2720" s="4">
        <v>201276.56159999999</v>
      </c>
      <c r="L2720" s="4">
        <v>2</v>
      </c>
    </row>
    <row r="2721" spans="1:12">
      <c r="A2721" t="s">
        <v>106</v>
      </c>
      <c r="B2721" s="10">
        <v>45450</v>
      </c>
      <c r="C2721" s="18">
        <f t="shared" si="42"/>
        <v>6</v>
      </c>
      <c r="D2721" t="s">
        <v>135</v>
      </c>
      <c r="E2721">
        <v>4873753</v>
      </c>
      <c r="F2721" t="s">
        <v>88</v>
      </c>
      <c r="G2721" t="s">
        <v>203</v>
      </c>
      <c r="H2721" t="s">
        <v>236</v>
      </c>
      <c r="I2721" s="4">
        <v>100638.28079999999</v>
      </c>
      <c r="J2721" s="4">
        <v>402553.12319999997</v>
      </c>
      <c r="L2721" s="4">
        <v>4</v>
      </c>
    </row>
    <row r="2722" spans="1:12">
      <c r="A2722" t="s">
        <v>106</v>
      </c>
      <c r="B2722" s="10">
        <v>45450</v>
      </c>
      <c r="C2722" s="18">
        <f t="shared" si="42"/>
        <v>6</v>
      </c>
      <c r="D2722" t="s">
        <v>135</v>
      </c>
      <c r="E2722">
        <v>4873753</v>
      </c>
      <c r="F2722" t="s">
        <v>88</v>
      </c>
      <c r="G2722" t="s">
        <v>203</v>
      </c>
      <c r="H2722" t="s">
        <v>234</v>
      </c>
      <c r="I2722" s="4">
        <v>100638.28079999999</v>
      </c>
      <c r="J2722" s="4">
        <v>402553.12319999997</v>
      </c>
      <c r="L2722" s="4">
        <v>4</v>
      </c>
    </row>
    <row r="2723" spans="1:12">
      <c r="A2723" t="s">
        <v>106</v>
      </c>
      <c r="B2723" s="10">
        <v>45451</v>
      </c>
      <c r="C2723" s="18">
        <f t="shared" si="42"/>
        <v>6</v>
      </c>
      <c r="D2723" t="s">
        <v>135</v>
      </c>
      <c r="E2723">
        <v>4878723</v>
      </c>
      <c r="F2723" t="s">
        <v>90</v>
      </c>
      <c r="G2723" t="s">
        <v>203</v>
      </c>
      <c r="H2723" t="s">
        <v>240</v>
      </c>
      <c r="I2723" s="4">
        <v>100638.28079999999</v>
      </c>
      <c r="J2723" s="4">
        <v>201276.56159999999</v>
      </c>
      <c r="L2723" s="4">
        <v>2</v>
      </c>
    </row>
    <row r="2724" spans="1:12">
      <c r="A2724" t="s">
        <v>106</v>
      </c>
      <c r="B2724" s="10">
        <v>45451</v>
      </c>
      <c r="C2724" s="18">
        <f t="shared" si="42"/>
        <v>6</v>
      </c>
      <c r="D2724" t="s">
        <v>135</v>
      </c>
      <c r="E2724">
        <v>4878723</v>
      </c>
      <c r="F2724" t="s">
        <v>90</v>
      </c>
      <c r="G2724" t="s">
        <v>203</v>
      </c>
      <c r="H2724" t="s">
        <v>224</v>
      </c>
      <c r="I2724" s="4">
        <v>100638.28079999999</v>
      </c>
      <c r="J2724" s="4">
        <v>201276.56159999999</v>
      </c>
      <c r="L2724" s="4">
        <v>2</v>
      </c>
    </row>
    <row r="2725" spans="1:12">
      <c r="A2725" t="s">
        <v>106</v>
      </c>
      <c r="B2725" s="10">
        <v>45451</v>
      </c>
      <c r="C2725" s="18">
        <f t="shared" si="42"/>
        <v>6</v>
      </c>
      <c r="D2725" t="s">
        <v>135</v>
      </c>
      <c r="E2725">
        <v>4878723</v>
      </c>
      <c r="F2725" t="s">
        <v>90</v>
      </c>
      <c r="G2725" t="s">
        <v>203</v>
      </c>
      <c r="H2725" t="s">
        <v>222</v>
      </c>
      <c r="I2725" s="4">
        <v>100638.28079999999</v>
      </c>
      <c r="J2725" s="4">
        <v>201276.56159999999</v>
      </c>
      <c r="L2725" s="4">
        <v>2</v>
      </c>
    </row>
    <row r="2726" spans="1:12">
      <c r="A2726" t="s">
        <v>106</v>
      </c>
      <c r="B2726" s="10">
        <v>45451</v>
      </c>
      <c r="C2726" s="18">
        <f t="shared" si="42"/>
        <v>6</v>
      </c>
      <c r="D2726" t="s">
        <v>135</v>
      </c>
      <c r="E2726">
        <v>4876339</v>
      </c>
      <c r="F2726" t="s">
        <v>90</v>
      </c>
      <c r="G2726" t="s">
        <v>203</v>
      </c>
      <c r="H2726" t="s">
        <v>240</v>
      </c>
      <c r="I2726" s="4">
        <v>100638.28079999999</v>
      </c>
      <c r="J2726" s="4">
        <v>201276.56159999999</v>
      </c>
      <c r="L2726" s="4">
        <v>2</v>
      </c>
    </row>
    <row r="2727" spans="1:12">
      <c r="A2727" t="s">
        <v>106</v>
      </c>
      <c r="B2727" s="10">
        <v>45451</v>
      </c>
      <c r="C2727" s="18">
        <f t="shared" si="42"/>
        <v>6</v>
      </c>
      <c r="D2727" t="s">
        <v>135</v>
      </c>
      <c r="E2727">
        <v>4876339</v>
      </c>
      <c r="F2727" t="s">
        <v>90</v>
      </c>
      <c r="G2727" t="s">
        <v>203</v>
      </c>
      <c r="H2727" t="s">
        <v>228</v>
      </c>
      <c r="I2727" s="4">
        <v>100638.28079999999</v>
      </c>
      <c r="J2727" s="4">
        <v>201276.56159999999</v>
      </c>
      <c r="L2727" s="4">
        <v>2</v>
      </c>
    </row>
    <row r="2728" spans="1:12">
      <c r="A2728" t="s">
        <v>106</v>
      </c>
      <c r="B2728" s="10">
        <v>45451</v>
      </c>
      <c r="C2728" s="18">
        <f t="shared" si="42"/>
        <v>6</v>
      </c>
      <c r="D2728" t="s">
        <v>135</v>
      </c>
      <c r="E2728">
        <v>4876339</v>
      </c>
      <c r="F2728" t="s">
        <v>90</v>
      </c>
      <c r="G2728" t="s">
        <v>203</v>
      </c>
      <c r="H2728" t="s">
        <v>222</v>
      </c>
      <c r="I2728" s="4">
        <v>100638.28079999999</v>
      </c>
      <c r="J2728" s="4">
        <v>201276.56159999999</v>
      </c>
      <c r="L2728" s="4">
        <v>2</v>
      </c>
    </row>
    <row r="2729" spans="1:12">
      <c r="A2729" t="s">
        <v>106</v>
      </c>
      <c r="B2729" s="10">
        <v>45451</v>
      </c>
      <c r="C2729" s="18">
        <f t="shared" si="42"/>
        <v>6</v>
      </c>
      <c r="D2729" t="s">
        <v>135</v>
      </c>
      <c r="E2729">
        <v>4872844</v>
      </c>
      <c r="F2729" t="s">
        <v>88</v>
      </c>
      <c r="G2729" t="s">
        <v>204</v>
      </c>
      <c r="H2729" t="s">
        <v>214</v>
      </c>
      <c r="I2729" s="4">
        <v>119484.4008</v>
      </c>
      <c r="J2729" s="4">
        <v>1553297.2104</v>
      </c>
      <c r="L2729" s="4">
        <v>13</v>
      </c>
    </row>
    <row r="2730" spans="1:12">
      <c r="A2730" t="s">
        <v>106</v>
      </c>
      <c r="B2730" s="10">
        <v>45451</v>
      </c>
      <c r="C2730" s="18">
        <f t="shared" si="42"/>
        <v>6</v>
      </c>
      <c r="D2730" t="s">
        <v>135</v>
      </c>
      <c r="E2730">
        <v>4876277</v>
      </c>
      <c r="F2730" t="s">
        <v>87</v>
      </c>
      <c r="G2730" t="s">
        <v>204</v>
      </c>
      <c r="H2730" t="s">
        <v>221</v>
      </c>
      <c r="I2730" s="4">
        <v>25253.800799999997</v>
      </c>
      <c r="J2730" s="4">
        <v>227284.20719999998</v>
      </c>
      <c r="L2730" s="4">
        <v>9</v>
      </c>
    </row>
    <row r="2731" spans="1:12">
      <c r="A2731" t="s">
        <v>106</v>
      </c>
      <c r="B2731" s="10">
        <v>45451</v>
      </c>
      <c r="C2731" s="18">
        <f t="shared" si="42"/>
        <v>6</v>
      </c>
      <c r="D2731" t="s">
        <v>135</v>
      </c>
      <c r="E2731">
        <v>4876277</v>
      </c>
      <c r="F2731" t="s">
        <v>87</v>
      </c>
      <c r="G2731" t="s">
        <v>204</v>
      </c>
      <c r="H2731" t="s">
        <v>220</v>
      </c>
      <c r="I2731" s="4">
        <v>37817.880799999999</v>
      </c>
      <c r="J2731" s="4">
        <v>189089.40399999998</v>
      </c>
      <c r="L2731" s="4">
        <v>5</v>
      </c>
    </row>
    <row r="2732" spans="1:12">
      <c r="A2732" t="s">
        <v>106</v>
      </c>
      <c r="B2732" s="10">
        <v>45451</v>
      </c>
      <c r="C2732" s="18">
        <f t="shared" si="42"/>
        <v>6</v>
      </c>
      <c r="D2732" t="s">
        <v>135</v>
      </c>
      <c r="E2732">
        <v>4876277</v>
      </c>
      <c r="F2732" t="s">
        <v>87</v>
      </c>
      <c r="G2732" t="s">
        <v>204</v>
      </c>
      <c r="H2732" t="s">
        <v>212</v>
      </c>
      <c r="I2732" s="4">
        <v>62946.040799999995</v>
      </c>
      <c r="J2732" s="4">
        <v>377676.24479999999</v>
      </c>
      <c r="L2732" s="4">
        <v>6</v>
      </c>
    </row>
    <row r="2733" spans="1:12">
      <c r="A2733" t="s">
        <v>106</v>
      </c>
      <c r="B2733" s="10">
        <v>45452</v>
      </c>
      <c r="C2733" s="18">
        <f t="shared" si="42"/>
        <v>6</v>
      </c>
      <c r="D2733" t="s">
        <v>135</v>
      </c>
      <c r="E2733">
        <v>4876277</v>
      </c>
      <c r="F2733" t="s">
        <v>87</v>
      </c>
      <c r="G2733" t="s">
        <v>204</v>
      </c>
      <c r="H2733" t="s">
        <v>221</v>
      </c>
      <c r="I2733" s="4">
        <v>25253.800799999997</v>
      </c>
      <c r="J2733" s="4">
        <v>530329.81679999991</v>
      </c>
      <c r="L2733" s="4">
        <v>21</v>
      </c>
    </row>
    <row r="2734" spans="1:12">
      <c r="A2734" t="s">
        <v>106</v>
      </c>
      <c r="B2734" s="10">
        <v>45452</v>
      </c>
      <c r="C2734" s="18">
        <f t="shared" si="42"/>
        <v>6</v>
      </c>
      <c r="D2734" t="s">
        <v>135</v>
      </c>
      <c r="E2734">
        <v>6080660</v>
      </c>
      <c r="F2734" t="s">
        <v>87</v>
      </c>
      <c r="G2734" t="s">
        <v>203</v>
      </c>
      <c r="H2734" t="s">
        <v>245</v>
      </c>
      <c r="I2734" s="4">
        <v>100638.28079999999</v>
      </c>
      <c r="J2734" s="4">
        <v>201276.56159999999</v>
      </c>
      <c r="L2734" s="4">
        <v>2</v>
      </c>
    </row>
    <row r="2735" spans="1:12">
      <c r="A2735" t="s">
        <v>106</v>
      </c>
      <c r="B2735" s="10">
        <v>45453</v>
      </c>
      <c r="C2735" s="18">
        <f t="shared" si="42"/>
        <v>6</v>
      </c>
      <c r="D2735" t="s">
        <v>135</v>
      </c>
      <c r="E2735">
        <v>4879076</v>
      </c>
      <c r="F2735" t="s">
        <v>88</v>
      </c>
      <c r="G2735" t="s">
        <v>203</v>
      </c>
      <c r="H2735" t="s">
        <v>245</v>
      </c>
      <c r="I2735" s="4">
        <v>100638.28079999999</v>
      </c>
      <c r="J2735" s="4">
        <v>201276.56159999999</v>
      </c>
      <c r="L2735" s="4">
        <v>2</v>
      </c>
    </row>
    <row r="2736" spans="1:12">
      <c r="A2736" t="s">
        <v>106</v>
      </c>
      <c r="B2736" s="10">
        <v>45453</v>
      </c>
      <c r="C2736" s="18">
        <f t="shared" si="42"/>
        <v>6</v>
      </c>
      <c r="D2736" t="s">
        <v>135</v>
      </c>
      <c r="E2736">
        <v>4879076</v>
      </c>
      <c r="F2736" t="s">
        <v>88</v>
      </c>
      <c r="G2736" t="s">
        <v>203</v>
      </c>
      <c r="H2736" t="s">
        <v>240</v>
      </c>
      <c r="I2736" s="4">
        <v>100638.28079999999</v>
      </c>
      <c r="J2736" s="4">
        <v>201276.56159999999</v>
      </c>
      <c r="L2736" s="4">
        <v>2</v>
      </c>
    </row>
    <row r="2737" spans="1:12">
      <c r="A2737" t="s">
        <v>106</v>
      </c>
      <c r="B2737" s="10">
        <v>45453</v>
      </c>
      <c r="C2737" s="18">
        <f t="shared" si="42"/>
        <v>6</v>
      </c>
      <c r="D2737" t="s">
        <v>135</v>
      </c>
      <c r="E2737">
        <v>4879076</v>
      </c>
      <c r="F2737" t="s">
        <v>88</v>
      </c>
      <c r="G2737" t="s">
        <v>203</v>
      </c>
      <c r="H2737" t="s">
        <v>228</v>
      </c>
      <c r="I2737" s="4">
        <v>100638.28079999999</v>
      </c>
      <c r="J2737" s="4">
        <v>201276.56159999999</v>
      </c>
      <c r="L2737" s="4">
        <v>2</v>
      </c>
    </row>
    <row r="2738" spans="1:12">
      <c r="A2738" t="s">
        <v>106</v>
      </c>
      <c r="B2738" s="10">
        <v>45453</v>
      </c>
      <c r="C2738" s="18">
        <f t="shared" si="42"/>
        <v>6</v>
      </c>
      <c r="D2738" t="s">
        <v>135</v>
      </c>
      <c r="E2738">
        <v>4879076</v>
      </c>
      <c r="F2738" t="s">
        <v>88</v>
      </c>
      <c r="G2738" t="s">
        <v>203</v>
      </c>
      <c r="H2738" t="s">
        <v>222</v>
      </c>
      <c r="I2738" s="4">
        <v>100638.28079999999</v>
      </c>
      <c r="J2738" s="4">
        <v>201276.56159999999</v>
      </c>
      <c r="L2738" s="4">
        <v>2</v>
      </c>
    </row>
    <row r="2739" spans="1:12">
      <c r="A2739" t="s">
        <v>106</v>
      </c>
      <c r="B2739" s="10">
        <v>45453</v>
      </c>
      <c r="C2739" s="18">
        <f t="shared" si="42"/>
        <v>6</v>
      </c>
      <c r="D2739" t="s">
        <v>135</v>
      </c>
      <c r="E2739">
        <v>4872950</v>
      </c>
      <c r="F2739" t="s">
        <v>88</v>
      </c>
      <c r="G2739" t="s">
        <v>203</v>
      </c>
      <c r="H2739" t="s">
        <v>245</v>
      </c>
      <c r="I2739" s="4">
        <v>100638.28079999999</v>
      </c>
      <c r="J2739" s="4">
        <v>402553.12319999997</v>
      </c>
      <c r="L2739" s="4">
        <v>4</v>
      </c>
    </row>
    <row r="2740" spans="1:12">
      <c r="A2740" t="s">
        <v>106</v>
      </c>
      <c r="B2740" s="10">
        <v>45453</v>
      </c>
      <c r="C2740" s="18">
        <f t="shared" si="42"/>
        <v>6</v>
      </c>
      <c r="D2740" t="s">
        <v>135</v>
      </c>
      <c r="E2740">
        <v>4872950</v>
      </c>
      <c r="F2740" t="s">
        <v>88</v>
      </c>
      <c r="G2740" t="s">
        <v>203</v>
      </c>
      <c r="H2740" t="s">
        <v>243</v>
      </c>
      <c r="I2740" s="4">
        <v>100638.28079999999</v>
      </c>
      <c r="J2740" s="4">
        <v>402553.12319999997</v>
      </c>
      <c r="L2740" s="4">
        <v>4</v>
      </c>
    </row>
    <row r="2741" spans="1:12">
      <c r="A2741" t="s">
        <v>106</v>
      </c>
      <c r="B2741" s="10">
        <v>45453</v>
      </c>
      <c r="C2741" s="18">
        <f t="shared" si="42"/>
        <v>6</v>
      </c>
      <c r="D2741" t="s">
        <v>135</v>
      </c>
      <c r="E2741">
        <v>4872950</v>
      </c>
      <c r="F2741" t="s">
        <v>88</v>
      </c>
      <c r="G2741" t="s">
        <v>203</v>
      </c>
      <c r="H2741" t="s">
        <v>240</v>
      </c>
      <c r="I2741" s="4">
        <v>100638.28079999999</v>
      </c>
      <c r="J2741" s="4">
        <v>402553.12319999997</v>
      </c>
      <c r="L2741" s="4">
        <v>4</v>
      </c>
    </row>
    <row r="2742" spans="1:12">
      <c r="A2742" t="s">
        <v>106</v>
      </c>
      <c r="B2742" s="10">
        <v>45453</v>
      </c>
      <c r="C2742" s="18">
        <f t="shared" si="42"/>
        <v>6</v>
      </c>
      <c r="D2742" t="s">
        <v>135</v>
      </c>
      <c r="E2742">
        <v>4872950</v>
      </c>
      <c r="F2742" t="s">
        <v>88</v>
      </c>
      <c r="G2742" t="s">
        <v>203</v>
      </c>
      <c r="H2742" t="s">
        <v>234</v>
      </c>
      <c r="I2742" s="4">
        <v>100638.28079999999</v>
      </c>
      <c r="J2742" s="4">
        <v>402553.12319999997</v>
      </c>
      <c r="L2742" s="4">
        <v>4</v>
      </c>
    </row>
    <row r="2743" spans="1:12">
      <c r="A2743" t="s">
        <v>106</v>
      </c>
      <c r="B2743" s="10">
        <v>45453</v>
      </c>
      <c r="C2743" s="18">
        <f t="shared" si="42"/>
        <v>6</v>
      </c>
      <c r="D2743" t="s">
        <v>135</v>
      </c>
      <c r="E2743">
        <v>4872950</v>
      </c>
      <c r="F2743" t="s">
        <v>88</v>
      </c>
      <c r="G2743" t="s">
        <v>203</v>
      </c>
      <c r="H2743" t="s">
        <v>228</v>
      </c>
      <c r="I2743" s="4">
        <v>100638.28079999999</v>
      </c>
      <c r="J2743" s="4">
        <v>402553.12319999997</v>
      </c>
      <c r="L2743" s="4">
        <v>4</v>
      </c>
    </row>
    <row r="2744" spans="1:12">
      <c r="A2744" t="s">
        <v>106</v>
      </c>
      <c r="B2744" s="10">
        <v>45461</v>
      </c>
      <c r="C2744" s="18">
        <f t="shared" si="42"/>
        <v>6</v>
      </c>
      <c r="D2744" t="s">
        <v>135</v>
      </c>
      <c r="E2744">
        <v>4873635</v>
      </c>
      <c r="F2744" t="s">
        <v>88</v>
      </c>
      <c r="G2744" t="s">
        <v>203</v>
      </c>
      <c r="H2744" t="s">
        <v>245</v>
      </c>
      <c r="I2744" s="4">
        <v>100638.28079999999</v>
      </c>
      <c r="J2744" s="4">
        <v>201276.56159999999</v>
      </c>
      <c r="L2744" s="4">
        <v>2</v>
      </c>
    </row>
    <row r="2745" spans="1:12">
      <c r="A2745" t="s">
        <v>106</v>
      </c>
      <c r="B2745" s="10">
        <v>45461</v>
      </c>
      <c r="C2745" s="18">
        <f t="shared" si="42"/>
        <v>6</v>
      </c>
      <c r="D2745" t="s">
        <v>135</v>
      </c>
      <c r="E2745">
        <v>4873635</v>
      </c>
      <c r="F2745" t="s">
        <v>88</v>
      </c>
      <c r="G2745" t="s">
        <v>203</v>
      </c>
      <c r="H2745" t="s">
        <v>243</v>
      </c>
      <c r="I2745" s="4">
        <v>100638.28079999999</v>
      </c>
      <c r="J2745" s="4">
        <v>201276.56159999999</v>
      </c>
      <c r="L2745" s="4">
        <v>2</v>
      </c>
    </row>
    <row r="2746" spans="1:12">
      <c r="A2746" t="s">
        <v>106</v>
      </c>
      <c r="B2746" s="10">
        <v>45461</v>
      </c>
      <c r="C2746" s="18">
        <f t="shared" si="42"/>
        <v>6</v>
      </c>
      <c r="D2746" t="s">
        <v>135</v>
      </c>
      <c r="E2746">
        <v>4873635</v>
      </c>
      <c r="F2746" t="s">
        <v>88</v>
      </c>
      <c r="G2746" t="s">
        <v>203</v>
      </c>
      <c r="H2746" t="s">
        <v>240</v>
      </c>
      <c r="I2746" s="4">
        <v>100638.28079999999</v>
      </c>
      <c r="J2746" s="4">
        <v>201276.56159999999</v>
      </c>
      <c r="L2746" s="4">
        <v>2</v>
      </c>
    </row>
    <row r="2747" spans="1:12">
      <c r="A2747" t="s">
        <v>106</v>
      </c>
      <c r="B2747" s="10">
        <v>45461</v>
      </c>
      <c r="C2747" s="18">
        <f t="shared" si="42"/>
        <v>6</v>
      </c>
      <c r="D2747" t="s">
        <v>135</v>
      </c>
      <c r="E2747">
        <v>4873635</v>
      </c>
      <c r="F2747" t="s">
        <v>88</v>
      </c>
      <c r="G2747" t="s">
        <v>203</v>
      </c>
      <c r="H2747" t="s">
        <v>234</v>
      </c>
      <c r="I2747" s="4">
        <v>100638.28079999999</v>
      </c>
      <c r="J2747" s="4">
        <v>201276.56159999999</v>
      </c>
      <c r="L2747" s="4">
        <v>2</v>
      </c>
    </row>
    <row r="2748" spans="1:12">
      <c r="A2748" t="s">
        <v>106</v>
      </c>
      <c r="B2748" s="10">
        <v>45461</v>
      </c>
      <c r="C2748" s="18">
        <f t="shared" si="42"/>
        <v>6</v>
      </c>
      <c r="D2748" t="s">
        <v>135</v>
      </c>
      <c r="E2748">
        <v>4873635</v>
      </c>
      <c r="F2748" t="s">
        <v>88</v>
      </c>
      <c r="G2748" t="s">
        <v>203</v>
      </c>
      <c r="H2748" t="s">
        <v>228</v>
      </c>
      <c r="I2748" s="4">
        <v>100638.28079999999</v>
      </c>
      <c r="J2748" s="4">
        <v>201276.56159999999</v>
      </c>
      <c r="L2748" s="4">
        <v>2</v>
      </c>
    </row>
    <row r="2749" spans="1:12">
      <c r="A2749" t="s">
        <v>106</v>
      </c>
      <c r="B2749" s="10">
        <v>45461</v>
      </c>
      <c r="C2749" s="18">
        <f t="shared" si="42"/>
        <v>6</v>
      </c>
      <c r="D2749" t="s">
        <v>135</v>
      </c>
      <c r="E2749">
        <v>4872947</v>
      </c>
      <c r="F2749" t="s">
        <v>88</v>
      </c>
      <c r="G2749" t="s">
        <v>204</v>
      </c>
      <c r="H2749" t="s">
        <v>218</v>
      </c>
      <c r="I2749" s="4">
        <v>71740.896800000002</v>
      </c>
      <c r="J2749" s="4">
        <v>143481.7936</v>
      </c>
      <c r="L2749" s="4">
        <v>2</v>
      </c>
    </row>
    <row r="2750" spans="1:12">
      <c r="A2750" t="s">
        <v>106</v>
      </c>
      <c r="B2750" s="10">
        <v>45461</v>
      </c>
      <c r="C2750" s="18">
        <f t="shared" si="42"/>
        <v>6</v>
      </c>
      <c r="D2750" t="s">
        <v>135</v>
      </c>
      <c r="E2750">
        <v>4875762</v>
      </c>
      <c r="F2750" t="s">
        <v>88</v>
      </c>
      <c r="G2750" t="s">
        <v>203</v>
      </c>
      <c r="H2750" t="s">
        <v>245</v>
      </c>
      <c r="I2750" s="4">
        <v>100638.28079999999</v>
      </c>
      <c r="J2750" s="4">
        <v>201276.56159999999</v>
      </c>
      <c r="L2750" s="4">
        <v>2</v>
      </c>
    </row>
    <row r="2751" spans="1:12">
      <c r="A2751" t="s">
        <v>106</v>
      </c>
      <c r="B2751" s="10">
        <v>45461</v>
      </c>
      <c r="C2751" s="18">
        <f t="shared" si="42"/>
        <v>6</v>
      </c>
      <c r="D2751" t="s">
        <v>135</v>
      </c>
      <c r="E2751">
        <v>4875762</v>
      </c>
      <c r="F2751" t="s">
        <v>88</v>
      </c>
      <c r="G2751" t="s">
        <v>203</v>
      </c>
      <c r="H2751" t="s">
        <v>243</v>
      </c>
      <c r="I2751" s="4">
        <v>100638.28079999999</v>
      </c>
      <c r="J2751" s="4">
        <v>201276.56159999999</v>
      </c>
      <c r="L2751" s="4">
        <v>2</v>
      </c>
    </row>
    <row r="2752" spans="1:12">
      <c r="A2752" t="s">
        <v>106</v>
      </c>
      <c r="B2752" s="10">
        <v>45461</v>
      </c>
      <c r="C2752" s="18">
        <f t="shared" si="42"/>
        <v>6</v>
      </c>
      <c r="D2752" t="s">
        <v>135</v>
      </c>
      <c r="E2752">
        <v>4875762</v>
      </c>
      <c r="F2752" t="s">
        <v>88</v>
      </c>
      <c r="G2752" t="s">
        <v>203</v>
      </c>
      <c r="H2752" t="s">
        <v>240</v>
      </c>
      <c r="I2752" s="4">
        <v>100638.28079999999</v>
      </c>
      <c r="J2752" s="4">
        <v>201276.56159999999</v>
      </c>
      <c r="L2752" s="4">
        <v>2</v>
      </c>
    </row>
    <row r="2753" spans="1:12">
      <c r="A2753" t="s">
        <v>106</v>
      </c>
      <c r="B2753" s="10">
        <v>45461</v>
      </c>
      <c r="C2753" s="18">
        <f t="shared" si="42"/>
        <v>6</v>
      </c>
      <c r="D2753" t="s">
        <v>135</v>
      </c>
      <c r="E2753">
        <v>4875762</v>
      </c>
      <c r="F2753" t="s">
        <v>88</v>
      </c>
      <c r="G2753" t="s">
        <v>203</v>
      </c>
      <c r="H2753" t="s">
        <v>234</v>
      </c>
      <c r="I2753" s="4">
        <v>100638.28079999999</v>
      </c>
      <c r="J2753" s="4">
        <v>201276.56159999999</v>
      </c>
      <c r="L2753" s="4">
        <v>2</v>
      </c>
    </row>
    <row r="2754" spans="1:12">
      <c r="A2754" t="s">
        <v>106</v>
      </c>
      <c r="B2754" s="10">
        <v>45461</v>
      </c>
      <c r="C2754" s="18">
        <f t="shared" ref="C2754:C2817" si="43">MONTH(B2754)</f>
        <v>6</v>
      </c>
      <c r="D2754" t="s">
        <v>135</v>
      </c>
      <c r="E2754">
        <v>4875762</v>
      </c>
      <c r="F2754" t="s">
        <v>88</v>
      </c>
      <c r="G2754" t="s">
        <v>203</v>
      </c>
      <c r="H2754" t="s">
        <v>228</v>
      </c>
      <c r="I2754" s="4">
        <v>100638.28079999999</v>
      </c>
      <c r="J2754" s="4">
        <v>201276.56159999999</v>
      </c>
      <c r="L2754" s="4">
        <v>2</v>
      </c>
    </row>
    <row r="2755" spans="1:12">
      <c r="A2755" t="s">
        <v>106</v>
      </c>
      <c r="B2755" s="10">
        <v>45463</v>
      </c>
      <c r="C2755" s="18">
        <f t="shared" si="43"/>
        <v>6</v>
      </c>
      <c r="D2755" t="s">
        <v>135</v>
      </c>
      <c r="E2755">
        <v>6088435</v>
      </c>
      <c r="F2755" t="s">
        <v>90</v>
      </c>
      <c r="G2755" t="s">
        <v>203</v>
      </c>
      <c r="H2755" t="s">
        <v>245</v>
      </c>
      <c r="I2755" s="4">
        <v>100638.28079999999</v>
      </c>
      <c r="J2755" s="4">
        <v>201276.56159999999</v>
      </c>
      <c r="L2755" s="4">
        <v>2</v>
      </c>
    </row>
    <row r="2756" spans="1:12">
      <c r="A2756" t="s">
        <v>106</v>
      </c>
      <c r="B2756" s="10">
        <v>45466</v>
      </c>
      <c r="C2756" s="18">
        <f t="shared" si="43"/>
        <v>6</v>
      </c>
      <c r="D2756" t="s">
        <v>135</v>
      </c>
      <c r="E2756">
        <v>4872845</v>
      </c>
      <c r="F2756" t="s">
        <v>87</v>
      </c>
      <c r="G2756" t="s">
        <v>203</v>
      </c>
      <c r="H2756" t="s">
        <v>226</v>
      </c>
      <c r="I2756" s="4">
        <v>100638.28079999999</v>
      </c>
      <c r="J2756" s="4">
        <v>201276.56159999999</v>
      </c>
      <c r="L2756" s="4">
        <v>2</v>
      </c>
    </row>
    <row r="2757" spans="1:12">
      <c r="A2757" t="s">
        <v>106</v>
      </c>
      <c r="B2757" s="10">
        <v>45466</v>
      </c>
      <c r="C2757" s="18">
        <f t="shared" si="43"/>
        <v>6</v>
      </c>
      <c r="D2757" t="s">
        <v>135</v>
      </c>
      <c r="E2757">
        <v>4872613</v>
      </c>
      <c r="F2757" t="s">
        <v>88</v>
      </c>
      <c r="G2757" t="s">
        <v>203</v>
      </c>
      <c r="H2757" t="s">
        <v>243</v>
      </c>
      <c r="I2757" s="4">
        <v>100638.28079999999</v>
      </c>
      <c r="J2757" s="4">
        <v>201276.56159999999</v>
      </c>
      <c r="L2757" s="4">
        <v>2</v>
      </c>
    </row>
    <row r="2758" spans="1:12">
      <c r="A2758" t="s">
        <v>106</v>
      </c>
      <c r="B2758" s="10">
        <v>45466</v>
      </c>
      <c r="C2758" s="18">
        <f t="shared" si="43"/>
        <v>6</v>
      </c>
      <c r="D2758" t="s">
        <v>135</v>
      </c>
      <c r="E2758">
        <v>4872613</v>
      </c>
      <c r="F2758" t="s">
        <v>88</v>
      </c>
      <c r="G2758" t="s">
        <v>203</v>
      </c>
      <c r="H2758" t="s">
        <v>240</v>
      </c>
      <c r="I2758" s="4">
        <v>100638.28079999999</v>
      </c>
      <c r="J2758" s="4">
        <v>201276.56159999999</v>
      </c>
      <c r="L2758" s="4">
        <v>2</v>
      </c>
    </row>
    <row r="2759" spans="1:12">
      <c r="A2759" t="s">
        <v>106</v>
      </c>
      <c r="B2759" s="10">
        <v>45466</v>
      </c>
      <c r="C2759" s="18">
        <f t="shared" si="43"/>
        <v>6</v>
      </c>
      <c r="D2759" t="s">
        <v>135</v>
      </c>
      <c r="E2759">
        <v>4872613</v>
      </c>
      <c r="F2759" t="s">
        <v>88</v>
      </c>
      <c r="G2759" t="s">
        <v>203</v>
      </c>
      <c r="H2759" t="s">
        <v>236</v>
      </c>
      <c r="I2759" s="4">
        <v>100638.28079999999</v>
      </c>
      <c r="J2759" s="4">
        <v>201276.56159999999</v>
      </c>
      <c r="L2759" s="4">
        <v>2</v>
      </c>
    </row>
    <row r="2760" spans="1:12">
      <c r="A2760" t="s">
        <v>106</v>
      </c>
      <c r="B2760" s="10">
        <v>45466</v>
      </c>
      <c r="C2760" s="18">
        <f t="shared" si="43"/>
        <v>6</v>
      </c>
      <c r="D2760" t="s">
        <v>135</v>
      </c>
      <c r="E2760">
        <v>4872613</v>
      </c>
      <c r="F2760" t="s">
        <v>88</v>
      </c>
      <c r="G2760" t="s">
        <v>203</v>
      </c>
      <c r="H2760" t="s">
        <v>234</v>
      </c>
      <c r="I2760" s="4">
        <v>100638.28079999999</v>
      </c>
      <c r="J2760" s="4">
        <v>201276.56159999999</v>
      </c>
      <c r="L2760" s="4">
        <v>2</v>
      </c>
    </row>
    <row r="2761" spans="1:12">
      <c r="A2761" t="s">
        <v>106</v>
      </c>
      <c r="B2761" s="10">
        <v>45466</v>
      </c>
      <c r="C2761" s="18">
        <f t="shared" si="43"/>
        <v>6</v>
      </c>
      <c r="D2761" t="s">
        <v>135</v>
      </c>
      <c r="E2761">
        <v>4872947</v>
      </c>
      <c r="F2761" t="s">
        <v>88</v>
      </c>
      <c r="G2761" t="s">
        <v>203</v>
      </c>
      <c r="H2761" t="s">
        <v>245</v>
      </c>
      <c r="I2761" s="4">
        <v>100638.28079999999</v>
      </c>
      <c r="J2761" s="4">
        <v>805106.24639999995</v>
      </c>
      <c r="L2761" s="4">
        <v>8</v>
      </c>
    </row>
    <row r="2762" spans="1:12">
      <c r="A2762" t="s">
        <v>106</v>
      </c>
      <c r="B2762" s="10">
        <v>45466</v>
      </c>
      <c r="C2762" s="18">
        <f t="shared" si="43"/>
        <v>6</v>
      </c>
      <c r="D2762" t="s">
        <v>135</v>
      </c>
      <c r="E2762">
        <v>4872947</v>
      </c>
      <c r="F2762" t="s">
        <v>88</v>
      </c>
      <c r="G2762" t="s">
        <v>203</v>
      </c>
      <c r="H2762" t="s">
        <v>240</v>
      </c>
      <c r="I2762" s="4">
        <v>100638.28079999999</v>
      </c>
      <c r="J2762" s="4">
        <v>1006382.808</v>
      </c>
      <c r="L2762" s="4">
        <v>10</v>
      </c>
    </row>
    <row r="2763" spans="1:12">
      <c r="A2763" t="s">
        <v>106</v>
      </c>
      <c r="B2763" s="10">
        <v>45466</v>
      </c>
      <c r="C2763" s="18">
        <f t="shared" si="43"/>
        <v>6</v>
      </c>
      <c r="D2763" t="s">
        <v>135</v>
      </c>
      <c r="E2763">
        <v>4872947</v>
      </c>
      <c r="F2763" t="s">
        <v>88</v>
      </c>
      <c r="G2763" t="s">
        <v>203</v>
      </c>
      <c r="H2763" t="s">
        <v>236</v>
      </c>
      <c r="I2763" s="4">
        <v>100638.28079999999</v>
      </c>
      <c r="J2763" s="4">
        <v>201276.56159999999</v>
      </c>
      <c r="L2763" s="4">
        <v>2</v>
      </c>
    </row>
    <row r="2764" spans="1:12">
      <c r="A2764" t="s">
        <v>106</v>
      </c>
      <c r="B2764" s="10">
        <v>45466</v>
      </c>
      <c r="C2764" s="18">
        <f t="shared" si="43"/>
        <v>6</v>
      </c>
      <c r="D2764" t="s">
        <v>135</v>
      </c>
      <c r="E2764">
        <v>4872947</v>
      </c>
      <c r="F2764" t="s">
        <v>88</v>
      </c>
      <c r="G2764" t="s">
        <v>203</v>
      </c>
      <c r="H2764" t="s">
        <v>234</v>
      </c>
      <c r="I2764" s="4">
        <v>100638.28079999999</v>
      </c>
      <c r="J2764" s="4">
        <v>805106.24639999995</v>
      </c>
      <c r="L2764" s="4">
        <v>8</v>
      </c>
    </row>
    <row r="2765" spans="1:12">
      <c r="A2765" t="s">
        <v>106</v>
      </c>
      <c r="B2765" s="10">
        <v>45466</v>
      </c>
      <c r="C2765" s="18">
        <f t="shared" si="43"/>
        <v>6</v>
      </c>
      <c r="D2765" t="s">
        <v>135</v>
      </c>
      <c r="E2765">
        <v>4873753</v>
      </c>
      <c r="F2765" t="s">
        <v>88</v>
      </c>
      <c r="G2765" t="s">
        <v>203</v>
      </c>
      <c r="H2765" t="s">
        <v>226</v>
      </c>
      <c r="I2765" s="4">
        <v>100638.28079999999</v>
      </c>
      <c r="J2765" s="4">
        <v>1006382.808</v>
      </c>
      <c r="L2765" s="4">
        <v>10</v>
      </c>
    </row>
    <row r="2766" spans="1:12">
      <c r="A2766" t="s">
        <v>106</v>
      </c>
      <c r="B2766" s="10">
        <v>45467</v>
      </c>
      <c r="C2766" s="18">
        <f t="shared" si="43"/>
        <v>6</v>
      </c>
      <c r="D2766" t="s">
        <v>135</v>
      </c>
      <c r="E2766">
        <v>4872844</v>
      </c>
      <c r="F2766" t="s">
        <v>88</v>
      </c>
      <c r="G2766" t="s">
        <v>204</v>
      </c>
      <c r="H2766" t="s">
        <v>218</v>
      </c>
      <c r="I2766" s="4">
        <v>71740.896800000002</v>
      </c>
      <c r="J2766" s="4">
        <v>717408.96799999999</v>
      </c>
      <c r="L2766" s="4">
        <v>10</v>
      </c>
    </row>
    <row r="2767" spans="1:12">
      <c r="A2767" t="s">
        <v>106</v>
      </c>
      <c r="B2767" s="10">
        <v>45470</v>
      </c>
      <c r="C2767" s="18">
        <f t="shared" si="43"/>
        <v>6</v>
      </c>
      <c r="D2767" t="s">
        <v>135</v>
      </c>
      <c r="E2767">
        <v>4872948</v>
      </c>
      <c r="F2767" t="s">
        <v>88</v>
      </c>
      <c r="G2767" t="s">
        <v>203</v>
      </c>
      <c r="H2767" t="s">
        <v>240</v>
      </c>
      <c r="I2767" s="4">
        <v>100638.28079999999</v>
      </c>
      <c r="J2767" s="4">
        <v>1006382.808</v>
      </c>
      <c r="L2767" s="4">
        <v>10</v>
      </c>
    </row>
    <row r="2768" spans="1:12">
      <c r="A2768" t="s">
        <v>106</v>
      </c>
      <c r="B2768" s="10">
        <v>45470</v>
      </c>
      <c r="C2768" s="18">
        <f t="shared" si="43"/>
        <v>6</v>
      </c>
      <c r="D2768" t="s">
        <v>135</v>
      </c>
      <c r="E2768">
        <v>4872948</v>
      </c>
      <c r="F2768" t="s">
        <v>88</v>
      </c>
      <c r="G2768" t="s">
        <v>203</v>
      </c>
      <c r="H2768" t="s">
        <v>224</v>
      </c>
      <c r="I2768" s="4">
        <v>100638.28079999999</v>
      </c>
      <c r="J2768" s="4">
        <v>1006382.808</v>
      </c>
      <c r="L2768" s="4">
        <v>10</v>
      </c>
    </row>
    <row r="2769" spans="1:12">
      <c r="A2769" t="s">
        <v>106</v>
      </c>
      <c r="B2769" s="10">
        <v>45471</v>
      </c>
      <c r="C2769" s="18">
        <f t="shared" si="43"/>
        <v>6</v>
      </c>
      <c r="D2769" t="s">
        <v>135</v>
      </c>
      <c r="E2769">
        <v>4873291</v>
      </c>
      <c r="F2769" t="s">
        <v>89</v>
      </c>
      <c r="G2769" t="s">
        <v>203</v>
      </c>
      <c r="H2769" t="s">
        <v>240</v>
      </c>
      <c r="I2769" s="4">
        <v>100638.28079999999</v>
      </c>
      <c r="J2769" s="4">
        <v>201276.56159999999</v>
      </c>
      <c r="L2769" s="4">
        <v>2</v>
      </c>
    </row>
    <row r="2770" spans="1:12">
      <c r="A2770" t="s">
        <v>106</v>
      </c>
      <c r="B2770" s="10">
        <v>45471</v>
      </c>
      <c r="C2770" s="18">
        <f t="shared" si="43"/>
        <v>6</v>
      </c>
      <c r="D2770" t="s">
        <v>135</v>
      </c>
      <c r="E2770">
        <v>4873291</v>
      </c>
      <c r="F2770" t="s">
        <v>89</v>
      </c>
      <c r="G2770" t="s">
        <v>203</v>
      </c>
      <c r="H2770" t="s">
        <v>226</v>
      </c>
      <c r="I2770" s="4">
        <v>100638.28079999999</v>
      </c>
      <c r="J2770" s="4">
        <v>805106.24639999995</v>
      </c>
      <c r="L2770" s="4">
        <v>8</v>
      </c>
    </row>
    <row r="2771" spans="1:12">
      <c r="A2771" t="s">
        <v>106</v>
      </c>
      <c r="B2771" s="10">
        <v>45471</v>
      </c>
      <c r="C2771" s="18">
        <f t="shared" si="43"/>
        <v>6</v>
      </c>
      <c r="D2771" t="s">
        <v>135</v>
      </c>
      <c r="E2771">
        <v>4873291</v>
      </c>
      <c r="F2771" t="s">
        <v>89</v>
      </c>
      <c r="G2771" t="s">
        <v>203</v>
      </c>
      <c r="H2771" t="s">
        <v>224</v>
      </c>
      <c r="I2771" s="4">
        <v>100638.28079999999</v>
      </c>
      <c r="J2771" s="4">
        <v>1006382.808</v>
      </c>
      <c r="L2771" s="4">
        <v>10</v>
      </c>
    </row>
    <row r="2772" spans="1:12">
      <c r="A2772" t="s">
        <v>106</v>
      </c>
      <c r="B2772" s="10">
        <v>45472</v>
      </c>
      <c r="C2772" s="18">
        <f t="shared" si="43"/>
        <v>6</v>
      </c>
      <c r="D2772" t="s">
        <v>135</v>
      </c>
      <c r="E2772">
        <v>4876670</v>
      </c>
      <c r="F2772" t="s">
        <v>89</v>
      </c>
      <c r="G2772" t="s">
        <v>203</v>
      </c>
      <c r="H2772" t="s">
        <v>243</v>
      </c>
      <c r="I2772" s="4">
        <v>100638.28079999999</v>
      </c>
      <c r="J2772" s="4">
        <v>201276.56159999999</v>
      </c>
      <c r="L2772" s="4">
        <v>2</v>
      </c>
    </row>
    <row r="2773" spans="1:12">
      <c r="A2773" t="s">
        <v>106</v>
      </c>
      <c r="B2773" s="10">
        <v>45472</v>
      </c>
      <c r="C2773" s="18">
        <f t="shared" si="43"/>
        <v>6</v>
      </c>
      <c r="D2773" t="s">
        <v>135</v>
      </c>
      <c r="E2773">
        <v>4876670</v>
      </c>
      <c r="F2773" t="s">
        <v>89</v>
      </c>
      <c r="G2773" t="s">
        <v>203</v>
      </c>
      <c r="H2773" t="s">
        <v>224</v>
      </c>
      <c r="I2773" s="4">
        <v>100638.28079999999</v>
      </c>
      <c r="J2773" s="4">
        <v>201276.56159999999</v>
      </c>
      <c r="L2773" s="4">
        <v>2</v>
      </c>
    </row>
    <row r="2774" spans="1:12">
      <c r="A2774" t="s">
        <v>106</v>
      </c>
      <c r="B2774" s="10">
        <v>45472</v>
      </c>
      <c r="C2774" s="18">
        <f t="shared" si="43"/>
        <v>6</v>
      </c>
      <c r="D2774" t="s">
        <v>135</v>
      </c>
      <c r="E2774">
        <v>4873291</v>
      </c>
      <c r="F2774" t="s">
        <v>89</v>
      </c>
      <c r="G2774" t="s">
        <v>203</v>
      </c>
      <c r="H2774" t="s">
        <v>245</v>
      </c>
      <c r="I2774" s="4">
        <v>100638.28079999999</v>
      </c>
      <c r="J2774" s="4">
        <v>-100638.28079999999</v>
      </c>
      <c r="L2774" s="4">
        <v>-1</v>
      </c>
    </row>
    <row r="2775" spans="1:12">
      <c r="A2775" t="s">
        <v>264</v>
      </c>
      <c r="B2775" s="10">
        <v>45444</v>
      </c>
      <c r="C2775" s="18">
        <f t="shared" si="43"/>
        <v>6</v>
      </c>
      <c r="D2775" t="s">
        <v>196</v>
      </c>
      <c r="E2775">
        <v>4871600</v>
      </c>
      <c r="F2775" t="s">
        <v>8</v>
      </c>
      <c r="G2775" t="s">
        <v>203</v>
      </c>
      <c r="H2775" t="s">
        <v>242</v>
      </c>
      <c r="I2775" s="4">
        <v>100638.28079999999</v>
      </c>
      <c r="J2775" s="4">
        <v>1610212.4927999999</v>
      </c>
      <c r="K2775" s="4">
        <v>-69353.72159999999</v>
      </c>
      <c r="L2775" s="4">
        <v>16</v>
      </c>
    </row>
    <row r="2776" spans="1:12">
      <c r="A2776" t="s">
        <v>264</v>
      </c>
      <c r="B2776" s="10">
        <v>45444</v>
      </c>
      <c r="C2776" s="18">
        <f t="shared" si="43"/>
        <v>6</v>
      </c>
      <c r="D2776" t="s">
        <v>196</v>
      </c>
      <c r="E2776">
        <v>4871600</v>
      </c>
      <c r="F2776" t="s">
        <v>8</v>
      </c>
      <c r="G2776" t="s">
        <v>203</v>
      </c>
      <c r="H2776" t="s">
        <v>238</v>
      </c>
      <c r="I2776" s="4">
        <v>95606.36675999999</v>
      </c>
      <c r="J2776" s="4">
        <v>1529701.8681599998</v>
      </c>
      <c r="K2776" s="4">
        <v>-69353.72159999999</v>
      </c>
      <c r="L2776" s="4">
        <v>16</v>
      </c>
    </row>
    <row r="2777" spans="1:12">
      <c r="A2777" t="s">
        <v>264</v>
      </c>
      <c r="B2777" s="10">
        <v>45444</v>
      </c>
      <c r="C2777" s="18">
        <f t="shared" si="43"/>
        <v>6</v>
      </c>
      <c r="D2777" t="s">
        <v>196</v>
      </c>
      <c r="E2777">
        <v>4871600</v>
      </c>
      <c r="F2777" t="s">
        <v>8</v>
      </c>
      <c r="G2777" t="s">
        <v>203</v>
      </c>
      <c r="H2777" t="s">
        <v>232</v>
      </c>
      <c r="I2777" s="4">
        <v>100638.28079999999</v>
      </c>
      <c r="J2777" s="4">
        <v>1610212.4927999999</v>
      </c>
      <c r="K2777" s="4">
        <v>-69353.72159999999</v>
      </c>
      <c r="L2777" s="4">
        <v>16</v>
      </c>
    </row>
    <row r="2778" spans="1:12">
      <c r="A2778" t="s">
        <v>264</v>
      </c>
      <c r="B2778" s="10">
        <v>45444</v>
      </c>
      <c r="C2778" s="18">
        <f t="shared" si="43"/>
        <v>6</v>
      </c>
      <c r="D2778" t="s">
        <v>196</v>
      </c>
      <c r="E2778">
        <v>4871600</v>
      </c>
      <c r="F2778" t="s">
        <v>8</v>
      </c>
      <c r="G2778" t="s">
        <v>203</v>
      </c>
      <c r="H2778" t="s">
        <v>226</v>
      </c>
      <c r="I2778" s="4">
        <v>100638.28079999999</v>
      </c>
      <c r="J2778" s="4">
        <v>1610212.4927999999</v>
      </c>
      <c r="K2778" s="4">
        <v>-69353.72159999999</v>
      </c>
      <c r="L2778" s="4">
        <v>16</v>
      </c>
    </row>
    <row r="2779" spans="1:12">
      <c r="A2779" t="s">
        <v>264</v>
      </c>
      <c r="B2779" s="10">
        <v>45444</v>
      </c>
      <c r="C2779" s="18">
        <f t="shared" si="43"/>
        <v>6</v>
      </c>
      <c r="D2779" t="s">
        <v>196</v>
      </c>
      <c r="E2779">
        <v>4871600</v>
      </c>
      <c r="F2779" t="s">
        <v>8</v>
      </c>
      <c r="G2779" t="s">
        <v>203</v>
      </c>
      <c r="H2779" t="s">
        <v>239</v>
      </c>
      <c r="I2779" s="4">
        <v>125766.4408</v>
      </c>
      <c r="J2779" s="4">
        <v>628832.20400000003</v>
      </c>
      <c r="K2779" s="4">
        <v>-28269.18</v>
      </c>
      <c r="L2779" s="4">
        <v>5</v>
      </c>
    </row>
    <row r="2780" spans="1:12">
      <c r="A2780" t="s">
        <v>264</v>
      </c>
      <c r="B2780" s="10">
        <v>45444</v>
      </c>
      <c r="C2780" s="18">
        <f t="shared" si="43"/>
        <v>6</v>
      </c>
      <c r="D2780" t="s">
        <v>196</v>
      </c>
      <c r="E2780">
        <v>4871600</v>
      </c>
      <c r="F2780" t="s">
        <v>8</v>
      </c>
      <c r="G2780" t="s">
        <v>203</v>
      </c>
      <c r="H2780" t="s">
        <v>235</v>
      </c>
      <c r="I2780" s="4">
        <v>125766.4408</v>
      </c>
      <c r="J2780" s="4">
        <v>1257664.4080000001</v>
      </c>
      <c r="K2780" s="4">
        <v>-56538.36</v>
      </c>
      <c r="L2780" s="4">
        <v>10</v>
      </c>
    </row>
    <row r="2781" spans="1:12">
      <c r="A2781" t="s">
        <v>264</v>
      </c>
      <c r="B2781" s="10">
        <v>45444</v>
      </c>
      <c r="C2781" s="18">
        <f t="shared" si="43"/>
        <v>6</v>
      </c>
      <c r="D2781" t="s">
        <v>196</v>
      </c>
      <c r="E2781">
        <v>4874006</v>
      </c>
      <c r="F2781" t="s">
        <v>8</v>
      </c>
      <c r="G2781" t="s">
        <v>202</v>
      </c>
      <c r="H2781" t="s">
        <v>259</v>
      </c>
      <c r="I2781" s="4">
        <v>30279.432800000002</v>
      </c>
      <c r="J2781" s="4">
        <v>3027943.2800000003</v>
      </c>
      <c r="K2781" s="4">
        <v>-150768.95999999999</v>
      </c>
      <c r="L2781" s="4">
        <v>100</v>
      </c>
    </row>
    <row r="2782" spans="1:12">
      <c r="A2782" t="s">
        <v>264</v>
      </c>
      <c r="B2782" s="10">
        <v>45444</v>
      </c>
      <c r="C2782" s="18">
        <f t="shared" si="43"/>
        <v>6</v>
      </c>
      <c r="D2782" t="s">
        <v>196</v>
      </c>
      <c r="E2782">
        <v>4874006</v>
      </c>
      <c r="F2782" t="s">
        <v>8</v>
      </c>
      <c r="G2782" t="s">
        <v>202</v>
      </c>
      <c r="H2782" t="s">
        <v>258</v>
      </c>
      <c r="I2782" s="4">
        <v>37817.880799999999</v>
      </c>
      <c r="J2782" s="4">
        <v>3781788.08</v>
      </c>
      <c r="K2782" s="4">
        <v>-188461.2</v>
      </c>
      <c r="L2782" s="4">
        <v>100</v>
      </c>
    </row>
    <row r="2783" spans="1:12">
      <c r="A2783" t="s">
        <v>264</v>
      </c>
      <c r="B2783" s="10">
        <v>45444</v>
      </c>
      <c r="C2783" s="18">
        <f t="shared" si="43"/>
        <v>6</v>
      </c>
      <c r="D2783" t="s">
        <v>196</v>
      </c>
      <c r="E2783">
        <v>4872058</v>
      </c>
      <c r="F2783" t="s">
        <v>8</v>
      </c>
      <c r="G2783" t="s">
        <v>203</v>
      </c>
      <c r="H2783" t="s">
        <v>240</v>
      </c>
      <c r="I2783" s="4">
        <v>100638.28079999999</v>
      </c>
      <c r="J2783" s="4">
        <v>1006382.808</v>
      </c>
      <c r="K2783" s="4">
        <v>-43346.076000000001</v>
      </c>
      <c r="L2783" s="4">
        <v>10</v>
      </c>
    </row>
    <row r="2784" spans="1:12">
      <c r="A2784" t="s">
        <v>264</v>
      </c>
      <c r="B2784" s="10">
        <v>45444</v>
      </c>
      <c r="C2784" s="18">
        <f t="shared" si="43"/>
        <v>6</v>
      </c>
      <c r="D2784" t="s">
        <v>196</v>
      </c>
      <c r="E2784">
        <v>4872058</v>
      </c>
      <c r="F2784" t="s">
        <v>8</v>
      </c>
      <c r="G2784" t="s">
        <v>203</v>
      </c>
      <c r="H2784" t="s">
        <v>234</v>
      </c>
      <c r="I2784" s="4">
        <v>100638.28079999999</v>
      </c>
      <c r="J2784" s="4">
        <v>1006382.808</v>
      </c>
      <c r="K2784" s="4">
        <v>-43346.076000000001</v>
      </c>
      <c r="L2784" s="4">
        <v>10</v>
      </c>
    </row>
    <row r="2785" spans="1:12">
      <c r="A2785" t="s">
        <v>264</v>
      </c>
      <c r="B2785" s="10">
        <v>45444</v>
      </c>
      <c r="C2785" s="18">
        <f t="shared" si="43"/>
        <v>6</v>
      </c>
      <c r="D2785" t="s">
        <v>196</v>
      </c>
      <c r="E2785">
        <v>4873615</v>
      </c>
      <c r="F2785" t="s">
        <v>8</v>
      </c>
      <c r="G2785" t="s">
        <v>203</v>
      </c>
      <c r="H2785" t="s">
        <v>230</v>
      </c>
      <c r="I2785" s="4">
        <v>100638.28079999999</v>
      </c>
      <c r="J2785" s="4">
        <v>2012765.6159999999</v>
      </c>
      <c r="K2785" s="4">
        <v>-86692.152000000002</v>
      </c>
      <c r="L2785" s="4">
        <v>20</v>
      </c>
    </row>
    <row r="2786" spans="1:12">
      <c r="A2786" t="s">
        <v>264</v>
      </c>
      <c r="B2786" s="10">
        <v>45444</v>
      </c>
      <c r="C2786" s="18">
        <f t="shared" si="43"/>
        <v>6</v>
      </c>
      <c r="D2786" t="s">
        <v>196</v>
      </c>
      <c r="E2786">
        <v>4873615</v>
      </c>
      <c r="F2786" t="s">
        <v>8</v>
      </c>
      <c r="G2786" t="s">
        <v>203</v>
      </c>
      <c r="H2786" t="s">
        <v>225</v>
      </c>
      <c r="I2786" s="4">
        <v>100638.28079999999</v>
      </c>
      <c r="J2786" s="4">
        <v>2012765.6159999999</v>
      </c>
      <c r="K2786" s="4">
        <v>-86692.152000000002</v>
      </c>
      <c r="L2786" s="4">
        <v>20</v>
      </c>
    </row>
    <row r="2787" spans="1:12">
      <c r="A2787" t="s">
        <v>264</v>
      </c>
      <c r="B2787" s="10">
        <v>45444</v>
      </c>
      <c r="C2787" s="18">
        <f t="shared" si="43"/>
        <v>6</v>
      </c>
      <c r="D2787" t="s">
        <v>196</v>
      </c>
      <c r="E2787">
        <v>4875440</v>
      </c>
      <c r="F2787" t="s">
        <v>8</v>
      </c>
      <c r="G2787" t="s">
        <v>204</v>
      </c>
      <c r="H2787" t="s">
        <v>214</v>
      </c>
      <c r="I2787" s="4">
        <v>119484.4008</v>
      </c>
      <c r="J2787" s="4">
        <v>1194844.0079999999</v>
      </c>
      <c r="K2787" s="4">
        <v>-59679.38</v>
      </c>
      <c r="L2787" s="4">
        <v>10</v>
      </c>
    </row>
    <row r="2788" spans="1:12">
      <c r="A2788" t="s">
        <v>264</v>
      </c>
      <c r="B2788" s="10">
        <v>45444</v>
      </c>
      <c r="C2788" s="18">
        <f t="shared" si="43"/>
        <v>6</v>
      </c>
      <c r="D2788" t="s">
        <v>196</v>
      </c>
      <c r="E2788">
        <v>4875440</v>
      </c>
      <c r="F2788" t="s">
        <v>8</v>
      </c>
      <c r="G2788" t="s">
        <v>204</v>
      </c>
      <c r="H2788" t="s">
        <v>213</v>
      </c>
      <c r="I2788" s="4">
        <v>119484.4008</v>
      </c>
      <c r="J2788" s="4">
        <v>1194844.0079999999</v>
      </c>
      <c r="K2788" s="4">
        <v>-59679.38</v>
      </c>
      <c r="L2788" s="4">
        <v>10</v>
      </c>
    </row>
    <row r="2789" spans="1:12">
      <c r="A2789" t="s">
        <v>264</v>
      </c>
      <c r="B2789" s="10">
        <v>45444</v>
      </c>
      <c r="C2789" s="18">
        <f t="shared" si="43"/>
        <v>6</v>
      </c>
      <c r="D2789" t="s">
        <v>196</v>
      </c>
      <c r="E2789">
        <v>4876759</v>
      </c>
      <c r="F2789" t="s">
        <v>8</v>
      </c>
      <c r="G2789" t="s">
        <v>203</v>
      </c>
      <c r="H2789" t="s">
        <v>245</v>
      </c>
      <c r="I2789" s="4">
        <v>100638.28079999999</v>
      </c>
      <c r="J2789" s="4">
        <v>4830637.4783999994</v>
      </c>
      <c r="K2789" s="4">
        <v>-208061.16479999997</v>
      </c>
      <c r="L2789" s="4">
        <v>48</v>
      </c>
    </row>
    <row r="2790" spans="1:12">
      <c r="A2790" t="s">
        <v>264</v>
      </c>
      <c r="B2790" s="10">
        <v>45444</v>
      </c>
      <c r="C2790" s="18">
        <f t="shared" si="43"/>
        <v>6</v>
      </c>
      <c r="D2790" t="s">
        <v>196</v>
      </c>
      <c r="E2790">
        <v>4876759</v>
      </c>
      <c r="F2790" t="s">
        <v>8</v>
      </c>
      <c r="G2790" t="s">
        <v>203</v>
      </c>
      <c r="H2790" t="s">
        <v>242</v>
      </c>
      <c r="I2790" s="4">
        <v>100638.28079999999</v>
      </c>
      <c r="J2790" s="4">
        <v>1207659.3695999999</v>
      </c>
      <c r="K2790" s="4">
        <v>-52015.291199999992</v>
      </c>
      <c r="L2790" s="4">
        <v>12</v>
      </c>
    </row>
    <row r="2791" spans="1:12">
      <c r="A2791" t="s">
        <v>264</v>
      </c>
      <c r="B2791" s="10">
        <v>45444</v>
      </c>
      <c r="C2791" s="18">
        <f t="shared" si="43"/>
        <v>6</v>
      </c>
      <c r="D2791" t="s">
        <v>196</v>
      </c>
      <c r="E2791">
        <v>4876759</v>
      </c>
      <c r="F2791" t="s">
        <v>8</v>
      </c>
      <c r="G2791" t="s">
        <v>203</v>
      </c>
      <c r="H2791" t="s">
        <v>240</v>
      </c>
      <c r="I2791" s="4">
        <v>100638.28079999999</v>
      </c>
      <c r="J2791" s="4">
        <v>2012765.6159999999</v>
      </c>
      <c r="K2791" s="4">
        <v>-86692.152000000002</v>
      </c>
      <c r="L2791" s="4">
        <v>20</v>
      </c>
    </row>
    <row r="2792" spans="1:12">
      <c r="A2792" t="s">
        <v>264</v>
      </c>
      <c r="B2792" s="10">
        <v>45444</v>
      </c>
      <c r="C2792" s="18">
        <f t="shared" si="43"/>
        <v>6</v>
      </c>
      <c r="D2792" t="s">
        <v>196</v>
      </c>
      <c r="E2792">
        <v>4876759</v>
      </c>
      <c r="F2792" t="s">
        <v>8</v>
      </c>
      <c r="G2792" t="s">
        <v>203</v>
      </c>
      <c r="H2792" t="s">
        <v>234</v>
      </c>
      <c r="I2792" s="4">
        <v>100638.28079999999</v>
      </c>
      <c r="J2792" s="4">
        <v>4025531.2319999998</v>
      </c>
      <c r="K2792" s="4">
        <v>-173384.304</v>
      </c>
      <c r="L2792" s="4">
        <v>40</v>
      </c>
    </row>
    <row r="2793" spans="1:12">
      <c r="A2793" t="s">
        <v>264</v>
      </c>
      <c r="B2793" s="10">
        <v>45444</v>
      </c>
      <c r="C2793" s="18">
        <f t="shared" si="43"/>
        <v>6</v>
      </c>
      <c r="D2793" t="s">
        <v>196</v>
      </c>
      <c r="E2793">
        <v>4876759</v>
      </c>
      <c r="F2793" t="s">
        <v>8</v>
      </c>
      <c r="G2793" t="s">
        <v>203</v>
      </c>
      <c r="H2793" t="s">
        <v>232</v>
      </c>
      <c r="I2793" s="4">
        <v>100638.28079999999</v>
      </c>
      <c r="J2793" s="4">
        <v>4025531.2319999998</v>
      </c>
      <c r="K2793" s="4">
        <v>-173384.304</v>
      </c>
      <c r="L2793" s="4">
        <v>40</v>
      </c>
    </row>
    <row r="2794" spans="1:12">
      <c r="A2794" t="s">
        <v>264</v>
      </c>
      <c r="B2794" s="10">
        <v>45444</v>
      </c>
      <c r="C2794" s="18">
        <f t="shared" si="43"/>
        <v>6</v>
      </c>
      <c r="D2794" t="s">
        <v>196</v>
      </c>
      <c r="E2794">
        <v>4876759</v>
      </c>
      <c r="F2794" t="s">
        <v>8</v>
      </c>
      <c r="G2794" t="s">
        <v>203</v>
      </c>
      <c r="H2794" t="s">
        <v>226</v>
      </c>
      <c r="I2794" s="4">
        <v>100638.28079999999</v>
      </c>
      <c r="J2794" s="4">
        <v>2012765.6159999999</v>
      </c>
      <c r="K2794" s="4">
        <v>-86692.152000000002</v>
      </c>
      <c r="L2794" s="4">
        <v>20</v>
      </c>
    </row>
    <row r="2795" spans="1:12">
      <c r="A2795" t="s">
        <v>264</v>
      </c>
      <c r="B2795" s="10">
        <v>45444</v>
      </c>
      <c r="C2795" s="18">
        <f t="shared" si="43"/>
        <v>6</v>
      </c>
      <c r="D2795" t="s">
        <v>196</v>
      </c>
      <c r="E2795">
        <v>4876759</v>
      </c>
      <c r="F2795" t="s">
        <v>8</v>
      </c>
      <c r="G2795" t="s">
        <v>203</v>
      </c>
      <c r="H2795" t="s">
        <v>224</v>
      </c>
      <c r="I2795" s="4">
        <v>100638.28079999999</v>
      </c>
      <c r="J2795" s="4">
        <v>2012765.6159999999</v>
      </c>
      <c r="K2795" s="4">
        <v>-86692.152000000002</v>
      </c>
      <c r="L2795" s="4">
        <v>20</v>
      </c>
    </row>
    <row r="2796" spans="1:12">
      <c r="A2796" t="s">
        <v>264</v>
      </c>
      <c r="B2796" s="10">
        <v>45444</v>
      </c>
      <c r="C2796" s="18">
        <f t="shared" si="43"/>
        <v>6</v>
      </c>
      <c r="D2796" t="s">
        <v>196</v>
      </c>
      <c r="E2796">
        <v>4876759</v>
      </c>
      <c r="F2796" t="s">
        <v>8</v>
      </c>
      <c r="G2796" t="s">
        <v>203</v>
      </c>
      <c r="H2796" t="s">
        <v>239</v>
      </c>
      <c r="I2796" s="4">
        <v>125766.4408</v>
      </c>
      <c r="J2796" s="4">
        <v>6288322.04</v>
      </c>
      <c r="K2796" s="4">
        <v>-282691.8</v>
      </c>
      <c r="L2796" s="4">
        <v>50</v>
      </c>
    </row>
    <row r="2797" spans="1:12">
      <c r="A2797" t="s">
        <v>264</v>
      </c>
      <c r="B2797" s="10">
        <v>45444</v>
      </c>
      <c r="C2797" s="18">
        <f t="shared" si="43"/>
        <v>6</v>
      </c>
      <c r="D2797" t="s">
        <v>196</v>
      </c>
      <c r="E2797">
        <v>4876759</v>
      </c>
      <c r="F2797" t="s">
        <v>8</v>
      </c>
      <c r="G2797" t="s">
        <v>203</v>
      </c>
      <c r="H2797" t="s">
        <v>235</v>
      </c>
      <c r="I2797" s="4">
        <v>125766.4408</v>
      </c>
      <c r="J2797" s="4">
        <v>5533723.3952000001</v>
      </c>
      <c r="K2797" s="4">
        <v>-248768.78400000001</v>
      </c>
      <c r="L2797" s="4">
        <v>44</v>
      </c>
    </row>
    <row r="2798" spans="1:12">
      <c r="A2798" t="s">
        <v>264</v>
      </c>
      <c r="B2798" s="10">
        <v>45444</v>
      </c>
      <c r="C2798" s="18">
        <f t="shared" si="43"/>
        <v>6</v>
      </c>
      <c r="D2798" t="s">
        <v>196</v>
      </c>
      <c r="E2798">
        <v>4876759</v>
      </c>
      <c r="F2798" t="s">
        <v>8</v>
      </c>
      <c r="G2798" t="s">
        <v>203</v>
      </c>
      <c r="H2798" t="s">
        <v>233</v>
      </c>
      <c r="I2798" s="4">
        <v>120735.78316800001</v>
      </c>
      <c r="J2798" s="4">
        <v>6036789.1584000001</v>
      </c>
      <c r="K2798" s="4">
        <v>-282691.8</v>
      </c>
      <c r="L2798" s="4">
        <v>50</v>
      </c>
    </row>
    <row r="2799" spans="1:12">
      <c r="A2799" t="s">
        <v>264</v>
      </c>
      <c r="B2799" s="10">
        <v>45444</v>
      </c>
      <c r="C2799" s="18">
        <f t="shared" si="43"/>
        <v>6</v>
      </c>
      <c r="D2799" t="s">
        <v>196</v>
      </c>
      <c r="E2799">
        <v>4872592</v>
      </c>
      <c r="F2799" t="s">
        <v>8</v>
      </c>
      <c r="G2799" t="s">
        <v>203</v>
      </c>
      <c r="H2799" t="s">
        <v>242</v>
      </c>
      <c r="I2799" s="4">
        <v>100638.28079999999</v>
      </c>
      <c r="J2799" s="4">
        <v>3019148.4239999996</v>
      </c>
      <c r="K2799" s="4">
        <v>-130038.22799999999</v>
      </c>
      <c r="L2799" s="4">
        <v>30</v>
      </c>
    </row>
    <row r="2800" spans="1:12">
      <c r="A2800" t="s">
        <v>264</v>
      </c>
      <c r="B2800" s="10">
        <v>45444</v>
      </c>
      <c r="C2800" s="18">
        <f t="shared" si="43"/>
        <v>6</v>
      </c>
      <c r="D2800" t="s">
        <v>196</v>
      </c>
      <c r="E2800">
        <v>4872210</v>
      </c>
      <c r="F2800" t="s">
        <v>8</v>
      </c>
      <c r="G2800" t="s">
        <v>203</v>
      </c>
      <c r="H2800" t="s">
        <v>225</v>
      </c>
      <c r="I2800" s="4">
        <v>100638.28079999999</v>
      </c>
      <c r="J2800" s="4">
        <v>6038296.8479999993</v>
      </c>
      <c r="K2800" s="4">
        <v>-260076.45599999998</v>
      </c>
      <c r="L2800" s="4">
        <v>60</v>
      </c>
    </row>
    <row r="2801" spans="1:12">
      <c r="A2801" t="s">
        <v>264</v>
      </c>
      <c r="B2801" s="10">
        <v>45444</v>
      </c>
      <c r="C2801" s="18">
        <f t="shared" si="43"/>
        <v>6</v>
      </c>
      <c r="D2801" t="s">
        <v>196</v>
      </c>
      <c r="E2801">
        <v>4872210</v>
      </c>
      <c r="F2801" t="s">
        <v>8</v>
      </c>
      <c r="G2801" t="s">
        <v>203</v>
      </c>
      <c r="H2801" t="s">
        <v>222</v>
      </c>
      <c r="I2801" s="4">
        <v>100638.28079999999</v>
      </c>
      <c r="J2801" s="4">
        <v>4025531.2319999998</v>
      </c>
      <c r="K2801" s="4">
        <v>-173384.304</v>
      </c>
      <c r="L2801" s="4">
        <v>40</v>
      </c>
    </row>
    <row r="2802" spans="1:12">
      <c r="A2802" t="s">
        <v>264</v>
      </c>
      <c r="B2802" s="10">
        <v>45444</v>
      </c>
      <c r="C2802" s="18">
        <f t="shared" si="43"/>
        <v>6</v>
      </c>
      <c r="D2802" t="s">
        <v>196</v>
      </c>
      <c r="E2802">
        <v>4872210</v>
      </c>
      <c r="F2802" t="s">
        <v>8</v>
      </c>
      <c r="G2802" t="s">
        <v>203</v>
      </c>
      <c r="H2802" t="s">
        <v>239</v>
      </c>
      <c r="I2802" s="4">
        <v>125766.4408</v>
      </c>
      <c r="J2802" s="4">
        <v>2263795.9344000001</v>
      </c>
      <c r="K2802" s="4">
        <v>-101769.048</v>
      </c>
      <c r="L2802" s="4">
        <v>18</v>
      </c>
    </row>
    <row r="2803" spans="1:12">
      <c r="A2803" t="s">
        <v>264</v>
      </c>
      <c r="B2803" s="10">
        <v>45445</v>
      </c>
      <c r="C2803" s="18">
        <f t="shared" si="43"/>
        <v>6</v>
      </c>
      <c r="D2803" t="s">
        <v>196</v>
      </c>
      <c r="E2803">
        <v>4874006</v>
      </c>
      <c r="F2803" t="s">
        <v>8</v>
      </c>
      <c r="G2803" t="s">
        <v>203</v>
      </c>
      <c r="H2803" t="s">
        <v>232</v>
      </c>
      <c r="I2803" s="4">
        <v>100638.28079999999</v>
      </c>
      <c r="J2803" s="4">
        <v>201276.56159999999</v>
      </c>
      <c r="K2803" s="4">
        <v>-8669.2151999999987</v>
      </c>
      <c r="L2803" s="4">
        <v>2</v>
      </c>
    </row>
    <row r="2804" spans="1:12">
      <c r="A2804" t="s">
        <v>264</v>
      </c>
      <c r="B2804" s="10">
        <v>45445</v>
      </c>
      <c r="C2804" s="18">
        <f t="shared" si="43"/>
        <v>6</v>
      </c>
      <c r="D2804" t="s">
        <v>196</v>
      </c>
      <c r="E2804">
        <v>4872158</v>
      </c>
      <c r="F2804" t="s">
        <v>8</v>
      </c>
      <c r="G2804" t="s">
        <v>203</v>
      </c>
      <c r="H2804" t="s">
        <v>245</v>
      </c>
      <c r="I2804" s="4">
        <v>100638.28079999999</v>
      </c>
      <c r="J2804" s="4">
        <v>7447232.7791999998</v>
      </c>
      <c r="K2804" s="4">
        <v>-320760.96240000002</v>
      </c>
      <c r="L2804" s="4">
        <v>74</v>
      </c>
    </row>
    <row r="2805" spans="1:12">
      <c r="A2805" t="s">
        <v>264</v>
      </c>
      <c r="B2805" s="10">
        <v>45445</v>
      </c>
      <c r="C2805" s="18">
        <f t="shared" si="43"/>
        <v>6</v>
      </c>
      <c r="D2805" t="s">
        <v>196</v>
      </c>
      <c r="E2805">
        <v>4872158</v>
      </c>
      <c r="F2805" t="s">
        <v>8</v>
      </c>
      <c r="G2805" t="s">
        <v>203</v>
      </c>
      <c r="H2805" t="s">
        <v>243</v>
      </c>
      <c r="I2805" s="4">
        <v>100638.28079999999</v>
      </c>
      <c r="J2805" s="4">
        <v>5031914.04</v>
      </c>
      <c r="K2805" s="4">
        <v>-216730.38</v>
      </c>
      <c r="L2805" s="4">
        <v>50</v>
      </c>
    </row>
    <row r="2806" spans="1:12">
      <c r="A2806" t="s">
        <v>264</v>
      </c>
      <c r="B2806" s="10">
        <v>45445</v>
      </c>
      <c r="C2806" s="18">
        <f t="shared" si="43"/>
        <v>6</v>
      </c>
      <c r="D2806" t="s">
        <v>196</v>
      </c>
      <c r="E2806">
        <v>4872158</v>
      </c>
      <c r="F2806" t="s">
        <v>8</v>
      </c>
      <c r="G2806" t="s">
        <v>203</v>
      </c>
      <c r="H2806" t="s">
        <v>240</v>
      </c>
      <c r="I2806" s="4">
        <v>100638.28079999999</v>
      </c>
      <c r="J2806" s="4">
        <v>7447232.7791999998</v>
      </c>
      <c r="K2806" s="4">
        <v>-320760.96240000002</v>
      </c>
      <c r="L2806" s="4">
        <v>74</v>
      </c>
    </row>
    <row r="2807" spans="1:12">
      <c r="A2807" t="s">
        <v>264</v>
      </c>
      <c r="B2807" s="10">
        <v>45445</v>
      </c>
      <c r="C2807" s="18">
        <f t="shared" si="43"/>
        <v>6</v>
      </c>
      <c r="D2807" t="s">
        <v>196</v>
      </c>
      <c r="E2807">
        <v>4872158</v>
      </c>
      <c r="F2807" t="s">
        <v>8</v>
      </c>
      <c r="G2807" t="s">
        <v>203</v>
      </c>
      <c r="H2807" t="s">
        <v>238</v>
      </c>
      <c r="I2807" s="4">
        <v>95606.36675999999</v>
      </c>
      <c r="J2807" s="4">
        <v>3250616.4698399995</v>
      </c>
      <c r="K2807" s="4">
        <v>-147376.65840000001</v>
      </c>
      <c r="L2807" s="4">
        <v>34</v>
      </c>
    </row>
    <row r="2808" spans="1:12">
      <c r="A2808" t="s">
        <v>264</v>
      </c>
      <c r="B2808" s="10">
        <v>45445</v>
      </c>
      <c r="C2808" s="18">
        <f t="shared" si="43"/>
        <v>6</v>
      </c>
      <c r="D2808" t="s">
        <v>196</v>
      </c>
      <c r="E2808">
        <v>4872158</v>
      </c>
      <c r="F2808" t="s">
        <v>8</v>
      </c>
      <c r="G2808" t="s">
        <v>203</v>
      </c>
      <c r="H2808" t="s">
        <v>234</v>
      </c>
      <c r="I2808" s="4">
        <v>100638.28079999999</v>
      </c>
      <c r="J2808" s="4">
        <v>5031914.04</v>
      </c>
      <c r="K2808" s="4">
        <v>-216730.38</v>
      </c>
      <c r="L2808" s="4">
        <v>50</v>
      </c>
    </row>
    <row r="2809" spans="1:12">
      <c r="A2809" t="s">
        <v>264</v>
      </c>
      <c r="B2809" s="10">
        <v>45445</v>
      </c>
      <c r="C2809" s="18">
        <f t="shared" si="43"/>
        <v>6</v>
      </c>
      <c r="D2809" t="s">
        <v>196</v>
      </c>
      <c r="E2809">
        <v>4872158</v>
      </c>
      <c r="F2809" t="s">
        <v>8</v>
      </c>
      <c r="G2809" t="s">
        <v>203</v>
      </c>
      <c r="H2809" t="s">
        <v>228</v>
      </c>
      <c r="I2809" s="4">
        <v>100638.28079999999</v>
      </c>
      <c r="J2809" s="4">
        <v>1610212.4927999999</v>
      </c>
      <c r="K2809" s="4">
        <v>-69353.72159999999</v>
      </c>
      <c r="L2809" s="4">
        <v>16</v>
      </c>
    </row>
    <row r="2810" spans="1:12">
      <c r="A2810" t="s">
        <v>264</v>
      </c>
      <c r="B2810" s="10">
        <v>45445</v>
      </c>
      <c r="C2810" s="18">
        <f t="shared" si="43"/>
        <v>6</v>
      </c>
      <c r="D2810" t="s">
        <v>196</v>
      </c>
      <c r="E2810">
        <v>4872158</v>
      </c>
      <c r="F2810" t="s">
        <v>8</v>
      </c>
      <c r="G2810" t="s">
        <v>203</v>
      </c>
      <c r="H2810" t="s">
        <v>226</v>
      </c>
      <c r="I2810" s="4">
        <v>100638.28079999999</v>
      </c>
      <c r="J2810" s="4">
        <v>3220424.9855999998</v>
      </c>
      <c r="K2810" s="4">
        <v>-138707.44319999998</v>
      </c>
      <c r="L2810" s="4">
        <v>32</v>
      </c>
    </row>
    <row r="2811" spans="1:12">
      <c r="A2811" t="s">
        <v>264</v>
      </c>
      <c r="B2811" s="10">
        <v>45445</v>
      </c>
      <c r="C2811" s="18">
        <f t="shared" si="43"/>
        <v>6</v>
      </c>
      <c r="D2811" t="s">
        <v>196</v>
      </c>
      <c r="E2811">
        <v>4872158</v>
      </c>
      <c r="F2811" t="s">
        <v>8</v>
      </c>
      <c r="G2811" t="s">
        <v>203</v>
      </c>
      <c r="H2811" t="s">
        <v>225</v>
      </c>
      <c r="I2811" s="4">
        <v>100638.28079999999</v>
      </c>
      <c r="J2811" s="4">
        <v>603829.68479999993</v>
      </c>
      <c r="K2811" s="4">
        <v>-26007.645599999996</v>
      </c>
      <c r="L2811" s="4">
        <v>6</v>
      </c>
    </row>
    <row r="2812" spans="1:12">
      <c r="A2812" t="s">
        <v>264</v>
      </c>
      <c r="B2812" s="10">
        <v>45445</v>
      </c>
      <c r="C2812" s="18">
        <f t="shared" si="43"/>
        <v>6</v>
      </c>
      <c r="D2812" t="s">
        <v>196</v>
      </c>
      <c r="E2812">
        <v>4872158</v>
      </c>
      <c r="F2812" t="s">
        <v>8</v>
      </c>
      <c r="G2812" t="s">
        <v>203</v>
      </c>
      <c r="H2812" t="s">
        <v>224</v>
      </c>
      <c r="I2812" s="4">
        <v>100638.28079999999</v>
      </c>
      <c r="J2812" s="4">
        <v>5031914.04</v>
      </c>
      <c r="K2812" s="4">
        <v>-216730.38</v>
      </c>
      <c r="L2812" s="4">
        <v>50</v>
      </c>
    </row>
    <row r="2813" spans="1:12">
      <c r="A2813" t="s">
        <v>264</v>
      </c>
      <c r="B2813" s="10">
        <v>45445</v>
      </c>
      <c r="C2813" s="18">
        <f t="shared" si="43"/>
        <v>6</v>
      </c>
      <c r="D2813" t="s">
        <v>196</v>
      </c>
      <c r="E2813">
        <v>4872158</v>
      </c>
      <c r="F2813" t="s">
        <v>8</v>
      </c>
      <c r="G2813" t="s">
        <v>203</v>
      </c>
      <c r="H2813" t="s">
        <v>222</v>
      </c>
      <c r="I2813" s="4">
        <v>100638.28079999999</v>
      </c>
      <c r="J2813" s="4">
        <v>603829.68479999993</v>
      </c>
      <c r="K2813" s="4">
        <v>-26007.645599999996</v>
      </c>
      <c r="L2813" s="4">
        <v>6</v>
      </c>
    </row>
    <row r="2814" spans="1:12">
      <c r="A2814" t="s">
        <v>264</v>
      </c>
      <c r="B2814" s="10">
        <v>45445</v>
      </c>
      <c r="C2814" s="18">
        <f t="shared" si="43"/>
        <v>6</v>
      </c>
      <c r="D2814" t="s">
        <v>196</v>
      </c>
      <c r="E2814">
        <v>4872158</v>
      </c>
      <c r="F2814" t="s">
        <v>8</v>
      </c>
      <c r="G2814" t="s">
        <v>203</v>
      </c>
      <c r="H2814" t="s">
        <v>239</v>
      </c>
      <c r="I2814" s="4">
        <v>125766.4408</v>
      </c>
      <c r="J2814" s="4">
        <v>1634963.7304</v>
      </c>
      <c r="K2814" s="4">
        <v>-73499.868000000002</v>
      </c>
      <c r="L2814" s="4">
        <v>13</v>
      </c>
    </row>
    <row r="2815" spans="1:12">
      <c r="A2815" t="s">
        <v>264</v>
      </c>
      <c r="B2815" s="10">
        <v>45445</v>
      </c>
      <c r="C2815" s="18">
        <f t="shared" si="43"/>
        <v>6</v>
      </c>
      <c r="D2815" t="s">
        <v>196</v>
      </c>
      <c r="E2815">
        <v>4872158</v>
      </c>
      <c r="F2815" t="s">
        <v>8</v>
      </c>
      <c r="G2815" t="s">
        <v>203</v>
      </c>
      <c r="H2815" t="s">
        <v>233</v>
      </c>
      <c r="I2815" s="4">
        <v>120735.78316800001</v>
      </c>
      <c r="J2815" s="4">
        <v>2414715.6633600001</v>
      </c>
      <c r="K2815" s="4">
        <v>-113076.72</v>
      </c>
      <c r="L2815" s="4">
        <v>20</v>
      </c>
    </row>
    <row r="2816" spans="1:12">
      <c r="A2816" t="s">
        <v>264</v>
      </c>
      <c r="B2816" s="10">
        <v>45445</v>
      </c>
      <c r="C2816" s="18">
        <f t="shared" si="43"/>
        <v>6</v>
      </c>
      <c r="D2816" t="s">
        <v>196</v>
      </c>
      <c r="E2816">
        <v>4872162</v>
      </c>
      <c r="F2816" t="s">
        <v>8</v>
      </c>
      <c r="G2816" t="s">
        <v>204</v>
      </c>
      <c r="H2816" t="s">
        <v>218</v>
      </c>
      <c r="I2816" s="4">
        <v>71740.896800000002</v>
      </c>
      <c r="J2816" s="4">
        <v>1291336.1424</v>
      </c>
      <c r="K2816" s="4">
        <v>-64453.7304</v>
      </c>
      <c r="L2816" s="4">
        <v>18</v>
      </c>
    </row>
    <row r="2817" spans="1:12">
      <c r="A2817" t="s">
        <v>264</v>
      </c>
      <c r="B2817" s="10">
        <v>45445</v>
      </c>
      <c r="C2817" s="18">
        <f t="shared" si="43"/>
        <v>6</v>
      </c>
      <c r="D2817" t="s">
        <v>196</v>
      </c>
      <c r="E2817">
        <v>4872162</v>
      </c>
      <c r="F2817" t="s">
        <v>8</v>
      </c>
      <c r="G2817" t="s">
        <v>204</v>
      </c>
      <c r="H2817" t="s">
        <v>217</v>
      </c>
      <c r="I2817" s="4">
        <v>78022.936799999996</v>
      </c>
      <c r="J2817" s="4">
        <v>1560458.736</v>
      </c>
      <c r="K2817" s="4">
        <v>-71615.256000000008</v>
      </c>
      <c r="L2817" s="4">
        <v>20</v>
      </c>
    </row>
    <row r="2818" spans="1:12">
      <c r="A2818" t="s">
        <v>264</v>
      </c>
      <c r="B2818" s="10">
        <v>45445</v>
      </c>
      <c r="C2818" s="18">
        <f t="shared" ref="C2818:C2881" si="44">MONTH(B2818)</f>
        <v>6</v>
      </c>
      <c r="D2818" t="s">
        <v>196</v>
      </c>
      <c r="E2818">
        <v>4872162</v>
      </c>
      <c r="F2818" t="s">
        <v>8</v>
      </c>
      <c r="G2818" t="s">
        <v>204</v>
      </c>
      <c r="H2818" t="s">
        <v>212</v>
      </c>
      <c r="I2818" s="4">
        <v>62946.040799999995</v>
      </c>
      <c r="J2818" s="4">
        <v>629460.40799999994</v>
      </c>
      <c r="K2818" s="4">
        <v>-18846.12</v>
      </c>
      <c r="L2818" s="4">
        <v>10</v>
      </c>
    </row>
    <row r="2819" spans="1:12">
      <c r="A2819" t="s">
        <v>264</v>
      </c>
      <c r="B2819" s="10">
        <v>45445</v>
      </c>
      <c r="C2819" s="18">
        <f t="shared" si="44"/>
        <v>6</v>
      </c>
      <c r="D2819" t="s">
        <v>196</v>
      </c>
      <c r="E2819">
        <v>4872162</v>
      </c>
      <c r="F2819" t="s">
        <v>8</v>
      </c>
      <c r="G2819" t="s">
        <v>202</v>
      </c>
      <c r="H2819" t="s">
        <v>261</v>
      </c>
      <c r="I2819" s="4">
        <v>41587.104800000001</v>
      </c>
      <c r="J2819" s="4">
        <v>4158710.48</v>
      </c>
      <c r="K2819" s="4">
        <v>-207307.32</v>
      </c>
      <c r="L2819" s="4">
        <v>100</v>
      </c>
    </row>
    <row r="2820" spans="1:12">
      <c r="A2820" t="s">
        <v>264</v>
      </c>
      <c r="B2820" s="10">
        <v>45445</v>
      </c>
      <c r="C2820" s="18">
        <f t="shared" si="44"/>
        <v>6</v>
      </c>
      <c r="D2820" t="s">
        <v>196</v>
      </c>
      <c r="E2820">
        <v>4872162</v>
      </c>
      <c r="F2820" t="s">
        <v>8</v>
      </c>
      <c r="G2820" t="s">
        <v>202</v>
      </c>
      <c r="H2820" t="s">
        <v>260</v>
      </c>
      <c r="I2820" s="4">
        <v>41587.104800000001</v>
      </c>
      <c r="J2820" s="4">
        <v>4158710.48</v>
      </c>
      <c r="K2820" s="4">
        <v>-207307.32</v>
      </c>
      <c r="L2820" s="4">
        <v>100</v>
      </c>
    </row>
    <row r="2821" spans="1:12">
      <c r="A2821" t="s">
        <v>264</v>
      </c>
      <c r="B2821" s="10">
        <v>45445</v>
      </c>
      <c r="C2821" s="18">
        <f t="shared" si="44"/>
        <v>6</v>
      </c>
      <c r="D2821" t="s">
        <v>196</v>
      </c>
      <c r="E2821">
        <v>4872162</v>
      </c>
      <c r="F2821" t="s">
        <v>8</v>
      </c>
      <c r="G2821" t="s">
        <v>202</v>
      </c>
      <c r="H2821" t="s">
        <v>259</v>
      </c>
      <c r="I2821" s="4">
        <v>30279.432800000002</v>
      </c>
      <c r="J2821" s="4">
        <v>3027943.2800000003</v>
      </c>
      <c r="K2821" s="4">
        <v>-150768.95999999999</v>
      </c>
      <c r="L2821" s="4">
        <v>100</v>
      </c>
    </row>
    <row r="2822" spans="1:12">
      <c r="A2822" t="s">
        <v>264</v>
      </c>
      <c r="B2822" s="10">
        <v>45445</v>
      </c>
      <c r="C2822" s="18">
        <f t="shared" si="44"/>
        <v>6</v>
      </c>
      <c r="D2822" t="s">
        <v>196</v>
      </c>
      <c r="E2822">
        <v>4872162</v>
      </c>
      <c r="F2822" t="s">
        <v>8</v>
      </c>
      <c r="G2822" t="s">
        <v>202</v>
      </c>
      <c r="H2822" t="s">
        <v>258</v>
      </c>
      <c r="I2822" s="4">
        <v>37817.880799999999</v>
      </c>
      <c r="J2822" s="4">
        <v>3781788.08</v>
      </c>
      <c r="K2822" s="4">
        <v>-188461.2</v>
      </c>
      <c r="L2822" s="4">
        <v>100</v>
      </c>
    </row>
    <row r="2823" spans="1:12">
      <c r="A2823" t="s">
        <v>264</v>
      </c>
      <c r="B2823" s="10">
        <v>45445</v>
      </c>
      <c r="C2823" s="18">
        <f t="shared" si="44"/>
        <v>6</v>
      </c>
      <c r="D2823" t="s">
        <v>196</v>
      </c>
      <c r="E2823">
        <v>4872379</v>
      </c>
      <c r="F2823" t="s">
        <v>8</v>
      </c>
      <c r="G2823" t="s">
        <v>205</v>
      </c>
      <c r="H2823" t="s">
        <v>246</v>
      </c>
      <c r="I2823" s="4">
        <v>5967.9380000000001</v>
      </c>
      <c r="J2823" s="4">
        <v>596793.80000000005</v>
      </c>
      <c r="K2823" s="4">
        <v>-31410.2</v>
      </c>
      <c r="L2823" s="4">
        <v>100</v>
      </c>
    </row>
    <row r="2824" spans="1:12">
      <c r="A2824" t="s">
        <v>264</v>
      </c>
      <c r="B2824" s="10">
        <v>45446</v>
      </c>
      <c r="C2824" s="18">
        <f t="shared" si="44"/>
        <v>6</v>
      </c>
      <c r="D2824" t="s">
        <v>196</v>
      </c>
      <c r="E2824">
        <v>4871600</v>
      </c>
      <c r="F2824" t="s">
        <v>8</v>
      </c>
      <c r="G2824" t="s">
        <v>204</v>
      </c>
      <c r="H2824" t="s">
        <v>217</v>
      </c>
      <c r="I2824" s="4">
        <v>78022.936799999996</v>
      </c>
      <c r="J2824" s="4">
        <v>312091.74719999998</v>
      </c>
      <c r="K2824" s="4">
        <v>-14323.051199999998</v>
      </c>
      <c r="L2824" s="4">
        <v>4</v>
      </c>
    </row>
    <row r="2825" spans="1:12">
      <c r="A2825" t="s">
        <v>264</v>
      </c>
      <c r="B2825" s="10">
        <v>45446</v>
      </c>
      <c r="C2825" s="18">
        <f t="shared" si="44"/>
        <v>6</v>
      </c>
      <c r="D2825" t="s">
        <v>196</v>
      </c>
      <c r="E2825">
        <v>4878874</v>
      </c>
      <c r="F2825" t="s">
        <v>8</v>
      </c>
      <c r="G2825" t="s">
        <v>206</v>
      </c>
      <c r="H2825" t="s">
        <v>249</v>
      </c>
      <c r="I2825" s="4">
        <v>17715.352800000001</v>
      </c>
      <c r="J2825" s="4">
        <v>1771535.28</v>
      </c>
      <c r="K2825" s="4">
        <v>-75384.479999999996</v>
      </c>
      <c r="L2825" s="4">
        <v>100</v>
      </c>
    </row>
    <row r="2826" spans="1:12">
      <c r="A2826" t="s">
        <v>264</v>
      </c>
      <c r="B2826" s="10">
        <v>45446</v>
      </c>
      <c r="C2826" s="18">
        <f t="shared" si="44"/>
        <v>6</v>
      </c>
      <c r="D2826" t="s">
        <v>196</v>
      </c>
      <c r="E2826">
        <v>4878874</v>
      </c>
      <c r="F2826" t="s">
        <v>8</v>
      </c>
      <c r="G2826" t="s">
        <v>206</v>
      </c>
      <c r="H2826" t="s">
        <v>209</v>
      </c>
      <c r="I2826" s="4">
        <v>17715.352800000001</v>
      </c>
      <c r="J2826" s="4">
        <v>1771535.28</v>
      </c>
      <c r="K2826" s="4">
        <v>-75384.479999999996</v>
      </c>
      <c r="L2826" s="4">
        <v>100</v>
      </c>
    </row>
    <row r="2827" spans="1:12">
      <c r="A2827" t="s">
        <v>264</v>
      </c>
      <c r="B2827" s="10">
        <v>45446</v>
      </c>
      <c r="C2827" s="18">
        <f t="shared" si="44"/>
        <v>6</v>
      </c>
      <c r="D2827" t="s">
        <v>196</v>
      </c>
      <c r="E2827">
        <v>4872571</v>
      </c>
      <c r="F2827" t="s">
        <v>8</v>
      </c>
      <c r="G2827" t="s">
        <v>203</v>
      </c>
      <c r="H2827" t="s">
        <v>243</v>
      </c>
      <c r="I2827" s="4">
        <v>100638.28079999999</v>
      </c>
      <c r="J2827" s="4">
        <v>805106.24639999995</v>
      </c>
      <c r="K2827" s="4">
        <v>-34676.860799999995</v>
      </c>
      <c r="L2827" s="4">
        <v>8</v>
      </c>
    </row>
    <row r="2828" spans="1:12">
      <c r="A2828" t="s">
        <v>264</v>
      </c>
      <c r="B2828" s="10">
        <v>45446</v>
      </c>
      <c r="C2828" s="18">
        <f t="shared" si="44"/>
        <v>6</v>
      </c>
      <c r="D2828" t="s">
        <v>196</v>
      </c>
      <c r="E2828">
        <v>4872571</v>
      </c>
      <c r="F2828" t="s">
        <v>8</v>
      </c>
      <c r="G2828" t="s">
        <v>203</v>
      </c>
      <c r="H2828" t="s">
        <v>234</v>
      </c>
      <c r="I2828" s="4">
        <v>100638.28079999999</v>
      </c>
      <c r="J2828" s="4">
        <v>805106.24639999995</v>
      </c>
      <c r="K2828" s="4">
        <v>-34676.860799999995</v>
      </c>
      <c r="L2828" s="4">
        <v>8</v>
      </c>
    </row>
    <row r="2829" spans="1:12">
      <c r="A2829" t="s">
        <v>264</v>
      </c>
      <c r="B2829" s="10">
        <v>45446</v>
      </c>
      <c r="C2829" s="18">
        <f t="shared" si="44"/>
        <v>6</v>
      </c>
      <c r="D2829" t="s">
        <v>196</v>
      </c>
      <c r="E2829">
        <v>4872571</v>
      </c>
      <c r="F2829" t="s">
        <v>8</v>
      </c>
      <c r="G2829" t="s">
        <v>203</v>
      </c>
      <c r="H2829" t="s">
        <v>232</v>
      </c>
      <c r="I2829" s="4">
        <v>100638.28079999999</v>
      </c>
      <c r="J2829" s="4">
        <v>805106.24639999995</v>
      </c>
      <c r="K2829" s="4">
        <v>-34676.860799999995</v>
      </c>
      <c r="L2829" s="4">
        <v>8</v>
      </c>
    </row>
    <row r="2830" spans="1:12">
      <c r="A2830" t="s">
        <v>264</v>
      </c>
      <c r="B2830" s="10">
        <v>45446</v>
      </c>
      <c r="C2830" s="18">
        <f t="shared" si="44"/>
        <v>6</v>
      </c>
      <c r="D2830" t="s">
        <v>196</v>
      </c>
      <c r="E2830">
        <v>4872571</v>
      </c>
      <c r="F2830" t="s">
        <v>8</v>
      </c>
      <c r="G2830" t="s">
        <v>203</v>
      </c>
      <c r="H2830" t="s">
        <v>227</v>
      </c>
      <c r="I2830" s="4">
        <v>100638.28079999999</v>
      </c>
      <c r="J2830" s="4">
        <v>805106.24639999995</v>
      </c>
      <c r="K2830" s="4">
        <v>-34676.860799999995</v>
      </c>
      <c r="L2830" s="4">
        <v>8</v>
      </c>
    </row>
    <row r="2831" spans="1:12">
      <c r="A2831" t="s">
        <v>264</v>
      </c>
      <c r="B2831" s="10">
        <v>45446</v>
      </c>
      <c r="C2831" s="18">
        <f t="shared" si="44"/>
        <v>6</v>
      </c>
      <c r="D2831" t="s">
        <v>196</v>
      </c>
      <c r="E2831">
        <v>4873921</v>
      </c>
      <c r="F2831" t="s">
        <v>8</v>
      </c>
      <c r="G2831" t="s">
        <v>202</v>
      </c>
      <c r="H2831" t="s">
        <v>257</v>
      </c>
      <c r="I2831" s="4">
        <v>56664.000799999994</v>
      </c>
      <c r="J2831" s="4">
        <v>1133280.0159999998</v>
      </c>
      <c r="K2831" s="4">
        <v>-56538.36</v>
      </c>
      <c r="L2831" s="4">
        <v>20</v>
      </c>
    </row>
    <row r="2832" spans="1:12">
      <c r="A2832" t="s">
        <v>264</v>
      </c>
      <c r="B2832" s="10">
        <v>45446</v>
      </c>
      <c r="C2832" s="18">
        <f t="shared" si="44"/>
        <v>6</v>
      </c>
      <c r="D2832" t="s">
        <v>196</v>
      </c>
      <c r="E2832">
        <v>4871657</v>
      </c>
      <c r="F2832" t="s">
        <v>8</v>
      </c>
      <c r="G2832" t="s">
        <v>202</v>
      </c>
      <c r="H2832" t="s">
        <v>254</v>
      </c>
      <c r="I2832" s="4">
        <v>37817.880799999999</v>
      </c>
      <c r="J2832" s="4">
        <v>75635.761599999998</v>
      </c>
      <c r="K2832" s="4">
        <v>-3769.2239999999997</v>
      </c>
      <c r="L2832" s="4">
        <v>2</v>
      </c>
    </row>
    <row r="2833" spans="1:12">
      <c r="A2833" t="s">
        <v>264</v>
      </c>
      <c r="B2833" s="10">
        <v>45446</v>
      </c>
      <c r="C2833" s="18">
        <f t="shared" si="44"/>
        <v>6</v>
      </c>
      <c r="D2833" t="s">
        <v>196</v>
      </c>
      <c r="E2833">
        <v>4873723</v>
      </c>
      <c r="F2833" t="s">
        <v>8</v>
      </c>
      <c r="G2833" t="s">
        <v>203</v>
      </c>
      <c r="H2833" t="s">
        <v>243</v>
      </c>
      <c r="I2833" s="4">
        <v>100638.28079999999</v>
      </c>
      <c r="J2833" s="4">
        <v>603829.68479999993</v>
      </c>
      <c r="K2833" s="4">
        <v>-26007.645599999996</v>
      </c>
      <c r="L2833" s="4">
        <v>6</v>
      </c>
    </row>
    <row r="2834" spans="1:12">
      <c r="A2834" t="s">
        <v>264</v>
      </c>
      <c r="B2834" s="10">
        <v>45446</v>
      </c>
      <c r="C2834" s="18">
        <f t="shared" si="44"/>
        <v>6</v>
      </c>
      <c r="D2834" t="s">
        <v>196</v>
      </c>
      <c r="E2834">
        <v>4873723</v>
      </c>
      <c r="F2834" t="s">
        <v>8</v>
      </c>
      <c r="G2834" t="s">
        <v>203</v>
      </c>
      <c r="H2834" t="s">
        <v>227</v>
      </c>
      <c r="I2834" s="4">
        <v>100638.28079999999</v>
      </c>
      <c r="J2834" s="4">
        <v>603829.68479999993</v>
      </c>
      <c r="K2834" s="4">
        <v>-26007.645599999996</v>
      </c>
      <c r="L2834" s="4">
        <v>6</v>
      </c>
    </row>
    <row r="2835" spans="1:12">
      <c r="A2835" t="s">
        <v>264</v>
      </c>
      <c r="B2835" s="10">
        <v>45446</v>
      </c>
      <c r="C2835" s="18">
        <f t="shared" si="44"/>
        <v>6</v>
      </c>
      <c r="D2835" t="s">
        <v>196</v>
      </c>
      <c r="E2835">
        <v>4873723</v>
      </c>
      <c r="F2835" t="s">
        <v>8</v>
      </c>
      <c r="G2835" t="s">
        <v>203</v>
      </c>
      <c r="H2835" t="s">
        <v>226</v>
      </c>
      <c r="I2835" s="4">
        <v>100638.28079999999</v>
      </c>
      <c r="J2835" s="4">
        <v>603829.68479999993</v>
      </c>
      <c r="K2835" s="4">
        <v>-26007.645599999996</v>
      </c>
      <c r="L2835" s="4">
        <v>6</v>
      </c>
    </row>
    <row r="2836" spans="1:12">
      <c r="A2836" t="s">
        <v>264</v>
      </c>
      <c r="B2836" s="10">
        <v>45446</v>
      </c>
      <c r="C2836" s="18">
        <f t="shared" si="44"/>
        <v>6</v>
      </c>
      <c r="D2836" t="s">
        <v>196</v>
      </c>
      <c r="E2836">
        <v>4873723</v>
      </c>
      <c r="F2836" t="s">
        <v>8</v>
      </c>
      <c r="G2836" t="s">
        <v>203</v>
      </c>
      <c r="H2836" t="s">
        <v>224</v>
      </c>
      <c r="I2836" s="4">
        <v>100638.28079999999</v>
      </c>
      <c r="J2836" s="4">
        <v>603829.68479999993</v>
      </c>
      <c r="K2836" s="4">
        <v>-26007.645599999996</v>
      </c>
      <c r="L2836" s="4">
        <v>6</v>
      </c>
    </row>
    <row r="2837" spans="1:12">
      <c r="A2837" t="s">
        <v>264</v>
      </c>
      <c r="B2837" s="10">
        <v>45446</v>
      </c>
      <c r="C2837" s="18">
        <f t="shared" si="44"/>
        <v>6</v>
      </c>
      <c r="D2837" t="s">
        <v>196</v>
      </c>
      <c r="E2837">
        <v>4873128</v>
      </c>
      <c r="F2837" t="s">
        <v>8</v>
      </c>
      <c r="G2837" t="s">
        <v>206</v>
      </c>
      <c r="H2837" t="s">
        <v>248</v>
      </c>
      <c r="I2837" s="4">
        <v>16207.663200000001</v>
      </c>
      <c r="J2837" s="4">
        <v>1620766.32</v>
      </c>
      <c r="K2837" s="4">
        <v>-72243.460000000006</v>
      </c>
      <c r="L2837" s="4">
        <v>100</v>
      </c>
    </row>
    <row r="2838" spans="1:12">
      <c r="A2838" t="s">
        <v>264</v>
      </c>
      <c r="B2838" s="10">
        <v>45446</v>
      </c>
      <c r="C2838" s="18">
        <f t="shared" si="44"/>
        <v>6</v>
      </c>
      <c r="D2838" t="s">
        <v>196</v>
      </c>
      <c r="E2838">
        <v>4872180</v>
      </c>
      <c r="F2838" t="s">
        <v>8</v>
      </c>
      <c r="G2838" t="s">
        <v>203</v>
      </c>
      <c r="H2838" t="s">
        <v>232</v>
      </c>
      <c r="I2838" s="4">
        <v>100638.28079999999</v>
      </c>
      <c r="J2838" s="4">
        <v>603829.68479999993</v>
      </c>
      <c r="K2838" s="4">
        <v>-26007.645599999996</v>
      </c>
      <c r="L2838" s="4">
        <v>6</v>
      </c>
    </row>
    <row r="2839" spans="1:12">
      <c r="A2839" t="s">
        <v>264</v>
      </c>
      <c r="B2839" s="10">
        <v>45446</v>
      </c>
      <c r="C2839" s="18">
        <f t="shared" si="44"/>
        <v>6</v>
      </c>
      <c r="D2839" t="s">
        <v>196</v>
      </c>
      <c r="E2839">
        <v>4872180</v>
      </c>
      <c r="F2839" t="s">
        <v>8</v>
      </c>
      <c r="G2839" t="s">
        <v>203</v>
      </c>
      <c r="H2839" t="s">
        <v>227</v>
      </c>
      <c r="I2839" s="4">
        <v>100638.28079999999</v>
      </c>
      <c r="J2839" s="4">
        <v>603829.68479999993</v>
      </c>
      <c r="K2839" s="4">
        <v>-26007.645599999996</v>
      </c>
      <c r="L2839" s="4">
        <v>6</v>
      </c>
    </row>
    <row r="2840" spans="1:12">
      <c r="A2840" t="s">
        <v>264</v>
      </c>
      <c r="B2840" s="10">
        <v>45446</v>
      </c>
      <c r="C2840" s="18">
        <f t="shared" si="44"/>
        <v>6</v>
      </c>
      <c r="D2840" t="s">
        <v>196</v>
      </c>
      <c r="E2840">
        <v>4872180</v>
      </c>
      <c r="F2840" t="s">
        <v>8</v>
      </c>
      <c r="G2840" t="s">
        <v>203</v>
      </c>
      <c r="H2840" t="s">
        <v>226</v>
      </c>
      <c r="I2840" s="4">
        <v>100638.28079999999</v>
      </c>
      <c r="J2840" s="4">
        <v>603829.68479999993</v>
      </c>
      <c r="K2840" s="4">
        <v>-26007.645599999996</v>
      </c>
      <c r="L2840" s="4">
        <v>6</v>
      </c>
    </row>
    <row r="2841" spans="1:12">
      <c r="A2841" t="s">
        <v>264</v>
      </c>
      <c r="B2841" s="10">
        <v>45446</v>
      </c>
      <c r="C2841" s="18">
        <f t="shared" si="44"/>
        <v>6</v>
      </c>
      <c r="D2841" t="s">
        <v>196</v>
      </c>
      <c r="E2841">
        <v>4872180</v>
      </c>
      <c r="F2841" t="s">
        <v>8</v>
      </c>
      <c r="G2841" t="s">
        <v>203</v>
      </c>
      <c r="H2841" t="s">
        <v>224</v>
      </c>
      <c r="I2841" s="4">
        <v>100638.28079999999</v>
      </c>
      <c r="J2841" s="4">
        <v>603829.68479999993</v>
      </c>
      <c r="K2841" s="4">
        <v>-26007.645599999996</v>
      </c>
      <c r="L2841" s="4">
        <v>6</v>
      </c>
    </row>
    <row r="2842" spans="1:12">
      <c r="A2842" t="s">
        <v>264</v>
      </c>
      <c r="B2842" s="10">
        <v>45446</v>
      </c>
      <c r="C2842" s="18">
        <f t="shared" si="44"/>
        <v>6</v>
      </c>
      <c r="D2842" t="s">
        <v>196</v>
      </c>
      <c r="E2842">
        <v>4872592</v>
      </c>
      <c r="F2842" t="s">
        <v>8</v>
      </c>
      <c r="G2842" t="s">
        <v>202</v>
      </c>
      <c r="H2842" t="s">
        <v>256</v>
      </c>
      <c r="I2842" s="4">
        <v>64202.448800000006</v>
      </c>
      <c r="J2842" s="4">
        <v>385214.69280000002</v>
      </c>
      <c r="K2842" s="4">
        <v>-19223.042399999998</v>
      </c>
      <c r="L2842" s="4">
        <v>6</v>
      </c>
    </row>
    <row r="2843" spans="1:12">
      <c r="A2843" t="s">
        <v>264</v>
      </c>
      <c r="B2843" s="10">
        <v>45447</v>
      </c>
      <c r="C2843" s="18">
        <f t="shared" si="44"/>
        <v>6</v>
      </c>
      <c r="D2843" t="s">
        <v>196</v>
      </c>
      <c r="E2843">
        <v>4873836</v>
      </c>
      <c r="F2843" t="s">
        <v>8</v>
      </c>
      <c r="G2843" t="s">
        <v>202</v>
      </c>
      <c r="H2843" t="s">
        <v>259</v>
      </c>
      <c r="I2843" s="4">
        <v>30279.432800000002</v>
      </c>
      <c r="J2843" s="4">
        <v>1513971.6400000001</v>
      </c>
      <c r="K2843" s="4">
        <v>-75384.479999999996</v>
      </c>
      <c r="L2843" s="4">
        <v>50</v>
      </c>
    </row>
    <row r="2844" spans="1:12">
      <c r="A2844" t="s">
        <v>264</v>
      </c>
      <c r="B2844" s="10">
        <v>45447</v>
      </c>
      <c r="C2844" s="18">
        <f t="shared" si="44"/>
        <v>6</v>
      </c>
      <c r="D2844" t="s">
        <v>196</v>
      </c>
      <c r="E2844">
        <v>4876422</v>
      </c>
      <c r="F2844" t="s">
        <v>8</v>
      </c>
      <c r="G2844" t="s">
        <v>203</v>
      </c>
      <c r="H2844" t="s">
        <v>233</v>
      </c>
      <c r="I2844" s="4">
        <v>120735.78316800001</v>
      </c>
      <c r="J2844" s="4">
        <v>482943.13267200004</v>
      </c>
      <c r="K2844" s="4">
        <v>-22615.344000000001</v>
      </c>
      <c r="L2844" s="4">
        <v>4</v>
      </c>
    </row>
    <row r="2845" spans="1:12">
      <c r="A2845" t="s">
        <v>264</v>
      </c>
      <c r="B2845" s="10">
        <v>45447</v>
      </c>
      <c r="C2845" s="18">
        <f t="shared" si="44"/>
        <v>6</v>
      </c>
      <c r="D2845" t="s">
        <v>196</v>
      </c>
      <c r="E2845">
        <v>4876422</v>
      </c>
      <c r="F2845" t="s">
        <v>8</v>
      </c>
      <c r="G2845" t="s">
        <v>203</v>
      </c>
      <c r="H2845" t="s">
        <v>229</v>
      </c>
      <c r="I2845" s="4">
        <v>125766.4408</v>
      </c>
      <c r="J2845" s="4">
        <v>1760730.1712</v>
      </c>
      <c r="K2845" s="4">
        <v>-79153.703999999998</v>
      </c>
      <c r="L2845" s="4">
        <v>14</v>
      </c>
    </row>
    <row r="2846" spans="1:12">
      <c r="A2846" t="s">
        <v>264</v>
      </c>
      <c r="B2846" s="10">
        <v>45447</v>
      </c>
      <c r="C2846" s="18">
        <f t="shared" si="44"/>
        <v>6</v>
      </c>
      <c r="D2846" t="s">
        <v>196</v>
      </c>
      <c r="E2846">
        <v>4876950</v>
      </c>
      <c r="F2846" t="s">
        <v>8</v>
      </c>
      <c r="G2846" t="s">
        <v>202</v>
      </c>
      <c r="H2846" t="s">
        <v>257</v>
      </c>
      <c r="I2846" s="4">
        <v>56664.000799999994</v>
      </c>
      <c r="J2846" s="4">
        <v>623304.00879999995</v>
      </c>
      <c r="K2846" s="4">
        <v>-31096.098000000002</v>
      </c>
      <c r="L2846" s="4">
        <v>11</v>
      </c>
    </row>
    <row r="2847" spans="1:12">
      <c r="A2847" t="s">
        <v>264</v>
      </c>
      <c r="B2847" s="10">
        <v>45447</v>
      </c>
      <c r="C2847" s="18">
        <f t="shared" si="44"/>
        <v>6</v>
      </c>
      <c r="D2847" t="s">
        <v>196</v>
      </c>
      <c r="E2847">
        <v>4874586</v>
      </c>
      <c r="F2847" t="s">
        <v>8</v>
      </c>
      <c r="G2847" t="s">
        <v>202</v>
      </c>
      <c r="H2847" t="s">
        <v>260</v>
      </c>
      <c r="I2847" s="4">
        <v>41587.104800000001</v>
      </c>
      <c r="J2847" s="4">
        <v>4158710.48</v>
      </c>
      <c r="K2847" s="4">
        <v>-207307.32</v>
      </c>
      <c r="L2847" s="4">
        <v>100</v>
      </c>
    </row>
    <row r="2848" spans="1:12">
      <c r="A2848" t="s">
        <v>264</v>
      </c>
      <c r="B2848" s="10">
        <v>45447</v>
      </c>
      <c r="C2848" s="18">
        <f t="shared" si="44"/>
        <v>6</v>
      </c>
      <c r="D2848" t="s">
        <v>196</v>
      </c>
      <c r="E2848">
        <v>4874586</v>
      </c>
      <c r="F2848" t="s">
        <v>8</v>
      </c>
      <c r="G2848" t="s">
        <v>202</v>
      </c>
      <c r="H2848" t="s">
        <v>259</v>
      </c>
      <c r="I2848" s="4">
        <v>30279.432800000002</v>
      </c>
      <c r="J2848" s="4">
        <v>6055886.5600000005</v>
      </c>
      <c r="K2848" s="4">
        <v>-301537.91999999998</v>
      </c>
      <c r="L2848" s="4">
        <v>200</v>
      </c>
    </row>
    <row r="2849" spans="1:12">
      <c r="A2849" t="s">
        <v>264</v>
      </c>
      <c r="B2849" s="10">
        <v>45447</v>
      </c>
      <c r="C2849" s="18">
        <f t="shared" si="44"/>
        <v>6</v>
      </c>
      <c r="D2849" t="s">
        <v>196</v>
      </c>
      <c r="E2849">
        <v>4874586</v>
      </c>
      <c r="F2849" t="s">
        <v>8</v>
      </c>
      <c r="G2849" t="s">
        <v>202</v>
      </c>
      <c r="H2849" t="s">
        <v>257</v>
      </c>
      <c r="I2849" s="4">
        <v>56664.000799999994</v>
      </c>
      <c r="J2849" s="4">
        <v>3626496.0511999996</v>
      </c>
      <c r="K2849" s="4">
        <v>-180922.75200000001</v>
      </c>
      <c r="L2849" s="4">
        <v>64</v>
      </c>
    </row>
    <row r="2850" spans="1:12">
      <c r="A2850" t="s">
        <v>264</v>
      </c>
      <c r="B2850" s="10">
        <v>45447</v>
      </c>
      <c r="C2850" s="18">
        <f t="shared" si="44"/>
        <v>6</v>
      </c>
      <c r="D2850" t="s">
        <v>196</v>
      </c>
      <c r="E2850">
        <v>4874586</v>
      </c>
      <c r="F2850" t="s">
        <v>8</v>
      </c>
      <c r="G2850" t="s">
        <v>202</v>
      </c>
      <c r="H2850" t="s">
        <v>256</v>
      </c>
      <c r="I2850" s="4">
        <v>64202.448800000006</v>
      </c>
      <c r="J2850" s="4">
        <v>6420244.8800000008</v>
      </c>
      <c r="K2850" s="4">
        <v>-320384.03999999998</v>
      </c>
      <c r="L2850" s="4">
        <v>100</v>
      </c>
    </row>
    <row r="2851" spans="1:12">
      <c r="A2851" t="s">
        <v>264</v>
      </c>
      <c r="B2851" s="10">
        <v>45447</v>
      </c>
      <c r="C2851" s="18">
        <f t="shared" si="44"/>
        <v>6</v>
      </c>
      <c r="D2851" t="s">
        <v>196</v>
      </c>
      <c r="E2851">
        <v>4872203</v>
      </c>
      <c r="F2851" t="s">
        <v>8</v>
      </c>
      <c r="G2851" t="s">
        <v>202</v>
      </c>
      <c r="H2851" t="s">
        <v>254</v>
      </c>
      <c r="I2851" s="4">
        <v>37817.880799999999</v>
      </c>
      <c r="J2851" s="4">
        <v>1210172.1856</v>
      </c>
      <c r="K2851" s="4">
        <v>-60307.583999999995</v>
      </c>
      <c r="L2851" s="4">
        <v>32</v>
      </c>
    </row>
    <row r="2852" spans="1:12">
      <c r="A2852" t="s">
        <v>264</v>
      </c>
      <c r="B2852" s="10">
        <v>45447</v>
      </c>
      <c r="C2852" s="18">
        <f t="shared" si="44"/>
        <v>6</v>
      </c>
      <c r="D2852" t="s">
        <v>196</v>
      </c>
      <c r="E2852">
        <v>4872592</v>
      </c>
      <c r="F2852" t="s">
        <v>8</v>
      </c>
      <c r="G2852" t="s">
        <v>202</v>
      </c>
      <c r="H2852" t="s">
        <v>256</v>
      </c>
      <c r="I2852" s="4">
        <v>64202.448800000006</v>
      </c>
      <c r="J2852" s="4">
        <v>385214.69280000002</v>
      </c>
      <c r="K2852" s="4">
        <v>-19223.042399999998</v>
      </c>
      <c r="L2852" s="4">
        <v>6</v>
      </c>
    </row>
    <row r="2853" spans="1:12">
      <c r="A2853" t="s">
        <v>264</v>
      </c>
      <c r="B2853" s="10">
        <v>45448</v>
      </c>
      <c r="C2853" s="18">
        <f t="shared" si="44"/>
        <v>6</v>
      </c>
      <c r="D2853" t="s">
        <v>196</v>
      </c>
      <c r="E2853">
        <v>4873570</v>
      </c>
      <c r="F2853" t="s">
        <v>8</v>
      </c>
      <c r="G2853" t="s">
        <v>203</v>
      </c>
      <c r="H2853" t="s">
        <v>240</v>
      </c>
      <c r="I2853" s="4">
        <v>100638.28079999999</v>
      </c>
      <c r="J2853" s="4">
        <v>1006382.808</v>
      </c>
      <c r="K2853" s="4">
        <v>-43346.076000000001</v>
      </c>
      <c r="L2853" s="4">
        <v>10</v>
      </c>
    </row>
    <row r="2854" spans="1:12">
      <c r="A2854" t="s">
        <v>264</v>
      </c>
      <c r="B2854" s="10">
        <v>45448</v>
      </c>
      <c r="C2854" s="18">
        <f t="shared" si="44"/>
        <v>6</v>
      </c>
      <c r="D2854" t="s">
        <v>196</v>
      </c>
      <c r="E2854">
        <v>4873570</v>
      </c>
      <c r="F2854" t="s">
        <v>8</v>
      </c>
      <c r="G2854" t="s">
        <v>203</v>
      </c>
      <c r="H2854" t="s">
        <v>236</v>
      </c>
      <c r="I2854" s="4">
        <v>100638.28079999999</v>
      </c>
      <c r="J2854" s="4">
        <v>1006382.808</v>
      </c>
      <c r="K2854" s="4">
        <v>-43346.076000000001</v>
      </c>
      <c r="L2854" s="4">
        <v>10</v>
      </c>
    </row>
    <row r="2855" spans="1:12">
      <c r="A2855" t="s">
        <v>264</v>
      </c>
      <c r="B2855" s="10">
        <v>45448</v>
      </c>
      <c r="C2855" s="18">
        <f t="shared" si="44"/>
        <v>6</v>
      </c>
      <c r="D2855" t="s">
        <v>196</v>
      </c>
      <c r="E2855">
        <v>4873570</v>
      </c>
      <c r="F2855" t="s">
        <v>8</v>
      </c>
      <c r="G2855" t="s">
        <v>203</v>
      </c>
      <c r="H2855" t="s">
        <v>232</v>
      </c>
      <c r="I2855" s="4">
        <v>100638.28079999999</v>
      </c>
      <c r="J2855" s="4">
        <v>2012765.6159999999</v>
      </c>
      <c r="K2855" s="4">
        <v>-86692.152000000002</v>
      </c>
      <c r="L2855" s="4">
        <v>20</v>
      </c>
    </row>
    <row r="2856" spans="1:12">
      <c r="A2856" t="s">
        <v>264</v>
      </c>
      <c r="B2856" s="10">
        <v>45448</v>
      </c>
      <c r="C2856" s="18">
        <f t="shared" si="44"/>
        <v>6</v>
      </c>
      <c r="D2856" t="s">
        <v>196</v>
      </c>
      <c r="E2856">
        <v>4873570</v>
      </c>
      <c r="F2856" t="s">
        <v>8</v>
      </c>
      <c r="G2856" t="s">
        <v>203</v>
      </c>
      <c r="H2856" t="s">
        <v>230</v>
      </c>
      <c r="I2856" s="4">
        <v>100638.28079999999</v>
      </c>
      <c r="J2856" s="4">
        <v>2012765.6159999999</v>
      </c>
      <c r="K2856" s="4">
        <v>-86692.152000000002</v>
      </c>
      <c r="L2856" s="4">
        <v>20</v>
      </c>
    </row>
    <row r="2857" spans="1:12">
      <c r="A2857" t="s">
        <v>264</v>
      </c>
      <c r="B2857" s="10">
        <v>45448</v>
      </c>
      <c r="C2857" s="18">
        <f t="shared" si="44"/>
        <v>6</v>
      </c>
      <c r="D2857" t="s">
        <v>196</v>
      </c>
      <c r="E2857">
        <v>4873570</v>
      </c>
      <c r="F2857" t="s">
        <v>8</v>
      </c>
      <c r="G2857" t="s">
        <v>203</v>
      </c>
      <c r="H2857" t="s">
        <v>228</v>
      </c>
      <c r="I2857" s="4">
        <v>100638.28079999999</v>
      </c>
      <c r="J2857" s="4">
        <v>1006382.808</v>
      </c>
      <c r="K2857" s="4">
        <v>-43346.076000000001</v>
      </c>
      <c r="L2857" s="4">
        <v>10</v>
      </c>
    </row>
    <row r="2858" spans="1:12">
      <c r="A2858" t="s">
        <v>264</v>
      </c>
      <c r="B2858" s="10">
        <v>45448</v>
      </c>
      <c r="C2858" s="18">
        <f t="shared" si="44"/>
        <v>6</v>
      </c>
      <c r="D2858" t="s">
        <v>196</v>
      </c>
      <c r="E2858">
        <v>4873570</v>
      </c>
      <c r="F2858" t="s">
        <v>8</v>
      </c>
      <c r="G2858" t="s">
        <v>203</v>
      </c>
      <c r="H2858" t="s">
        <v>227</v>
      </c>
      <c r="I2858" s="4">
        <v>100638.28079999999</v>
      </c>
      <c r="J2858" s="4">
        <v>2012765.6159999999</v>
      </c>
      <c r="K2858" s="4">
        <v>-86692.152000000002</v>
      </c>
      <c r="L2858" s="4">
        <v>20</v>
      </c>
    </row>
    <row r="2859" spans="1:12">
      <c r="A2859" t="s">
        <v>264</v>
      </c>
      <c r="B2859" s="10">
        <v>45448</v>
      </c>
      <c r="C2859" s="18">
        <f t="shared" si="44"/>
        <v>6</v>
      </c>
      <c r="D2859" t="s">
        <v>196</v>
      </c>
      <c r="E2859">
        <v>4873570</v>
      </c>
      <c r="F2859" t="s">
        <v>8</v>
      </c>
      <c r="G2859" t="s">
        <v>203</v>
      </c>
      <c r="H2859" t="s">
        <v>226</v>
      </c>
      <c r="I2859" s="4">
        <v>100638.28079999999</v>
      </c>
      <c r="J2859" s="4">
        <v>1006382.808</v>
      </c>
      <c r="K2859" s="4">
        <v>-43346.076000000001</v>
      </c>
      <c r="L2859" s="4">
        <v>10</v>
      </c>
    </row>
    <row r="2860" spans="1:12">
      <c r="A2860" t="s">
        <v>264</v>
      </c>
      <c r="B2860" s="10">
        <v>45448</v>
      </c>
      <c r="C2860" s="18">
        <f t="shared" si="44"/>
        <v>6</v>
      </c>
      <c r="D2860" t="s">
        <v>196</v>
      </c>
      <c r="E2860">
        <v>4873570</v>
      </c>
      <c r="F2860" t="s">
        <v>8</v>
      </c>
      <c r="G2860" t="s">
        <v>203</v>
      </c>
      <c r="H2860" t="s">
        <v>224</v>
      </c>
      <c r="I2860" s="4">
        <v>100638.28079999999</v>
      </c>
      <c r="J2860" s="4">
        <v>1006382.808</v>
      </c>
      <c r="K2860" s="4">
        <v>-43346.076000000001</v>
      </c>
      <c r="L2860" s="4">
        <v>10</v>
      </c>
    </row>
    <row r="2861" spans="1:12">
      <c r="A2861" t="s">
        <v>264</v>
      </c>
      <c r="B2861" s="10">
        <v>45448</v>
      </c>
      <c r="C2861" s="18">
        <f t="shared" si="44"/>
        <v>6</v>
      </c>
      <c r="D2861" t="s">
        <v>196</v>
      </c>
      <c r="E2861">
        <v>4872189</v>
      </c>
      <c r="F2861" t="s">
        <v>8</v>
      </c>
      <c r="G2861" t="s">
        <v>203</v>
      </c>
      <c r="H2861" t="s">
        <v>230</v>
      </c>
      <c r="I2861" s="4">
        <v>100638.28079999999</v>
      </c>
      <c r="J2861" s="4">
        <v>1006382.808</v>
      </c>
      <c r="K2861" s="4">
        <v>-43346.076000000001</v>
      </c>
      <c r="L2861" s="4">
        <v>10</v>
      </c>
    </row>
    <row r="2862" spans="1:12">
      <c r="A2862" t="s">
        <v>264</v>
      </c>
      <c r="B2862" s="10">
        <v>45448</v>
      </c>
      <c r="C2862" s="18">
        <f t="shared" si="44"/>
        <v>6</v>
      </c>
      <c r="D2862" t="s">
        <v>196</v>
      </c>
      <c r="E2862">
        <v>4872189</v>
      </c>
      <c r="F2862" t="s">
        <v>8</v>
      </c>
      <c r="G2862" t="s">
        <v>203</v>
      </c>
      <c r="H2862" t="s">
        <v>228</v>
      </c>
      <c r="I2862" s="4">
        <v>100638.28079999999</v>
      </c>
      <c r="J2862" s="4">
        <v>1006382.808</v>
      </c>
      <c r="K2862" s="4">
        <v>-43346.076000000001</v>
      </c>
      <c r="L2862" s="4">
        <v>10</v>
      </c>
    </row>
    <row r="2863" spans="1:12">
      <c r="A2863" t="s">
        <v>264</v>
      </c>
      <c r="B2863" s="10">
        <v>45448</v>
      </c>
      <c r="C2863" s="18">
        <f t="shared" si="44"/>
        <v>6</v>
      </c>
      <c r="D2863" t="s">
        <v>196</v>
      </c>
      <c r="E2863">
        <v>4872189</v>
      </c>
      <c r="F2863" t="s">
        <v>8</v>
      </c>
      <c r="G2863" t="s">
        <v>203</v>
      </c>
      <c r="H2863" t="s">
        <v>227</v>
      </c>
      <c r="I2863" s="4">
        <v>100638.28079999999</v>
      </c>
      <c r="J2863" s="4">
        <v>1006382.808</v>
      </c>
      <c r="K2863" s="4">
        <v>-43346.076000000001</v>
      </c>
      <c r="L2863" s="4">
        <v>10</v>
      </c>
    </row>
    <row r="2864" spans="1:12">
      <c r="A2864" t="s">
        <v>264</v>
      </c>
      <c r="B2864" s="10">
        <v>45448</v>
      </c>
      <c r="C2864" s="18">
        <f t="shared" si="44"/>
        <v>6</v>
      </c>
      <c r="D2864" t="s">
        <v>196</v>
      </c>
      <c r="E2864">
        <v>4872189</v>
      </c>
      <c r="F2864" t="s">
        <v>8</v>
      </c>
      <c r="G2864" t="s">
        <v>203</v>
      </c>
      <c r="H2864" t="s">
        <v>224</v>
      </c>
      <c r="I2864" s="4">
        <v>100638.28079999999</v>
      </c>
      <c r="J2864" s="4">
        <v>1006382.808</v>
      </c>
      <c r="K2864" s="4">
        <v>-43346.076000000001</v>
      </c>
      <c r="L2864" s="4">
        <v>10</v>
      </c>
    </row>
    <row r="2865" spans="1:12">
      <c r="A2865" t="s">
        <v>264</v>
      </c>
      <c r="B2865" s="10">
        <v>45448</v>
      </c>
      <c r="C2865" s="18">
        <f t="shared" si="44"/>
        <v>6</v>
      </c>
      <c r="D2865" t="s">
        <v>196</v>
      </c>
      <c r="E2865">
        <v>4875440</v>
      </c>
      <c r="F2865" t="s">
        <v>8</v>
      </c>
      <c r="G2865" t="s">
        <v>202</v>
      </c>
      <c r="H2865" t="s">
        <v>260</v>
      </c>
      <c r="I2865" s="4">
        <v>41587.104800000001</v>
      </c>
      <c r="J2865" s="4">
        <v>831742.09600000002</v>
      </c>
      <c r="K2865" s="4">
        <v>-41461.464</v>
      </c>
      <c r="L2865" s="4">
        <v>20</v>
      </c>
    </row>
    <row r="2866" spans="1:12">
      <c r="A2866" t="s">
        <v>264</v>
      </c>
      <c r="B2866" s="10">
        <v>45448</v>
      </c>
      <c r="C2866" s="18">
        <f t="shared" si="44"/>
        <v>6</v>
      </c>
      <c r="D2866" t="s">
        <v>196</v>
      </c>
      <c r="E2866">
        <v>4875440</v>
      </c>
      <c r="F2866" t="s">
        <v>8</v>
      </c>
      <c r="G2866" t="s">
        <v>202</v>
      </c>
      <c r="H2866" t="s">
        <v>258</v>
      </c>
      <c r="I2866" s="4">
        <v>37817.880799999999</v>
      </c>
      <c r="J2866" s="4">
        <v>3781788.08</v>
      </c>
      <c r="K2866" s="4">
        <v>-188461.2</v>
      </c>
      <c r="L2866" s="4">
        <v>100</v>
      </c>
    </row>
    <row r="2867" spans="1:12">
      <c r="A2867" t="s">
        <v>264</v>
      </c>
      <c r="B2867" s="10">
        <v>45448</v>
      </c>
      <c r="C2867" s="18">
        <f t="shared" si="44"/>
        <v>6</v>
      </c>
      <c r="D2867" t="s">
        <v>196</v>
      </c>
      <c r="E2867">
        <v>4877306</v>
      </c>
      <c r="F2867" t="s">
        <v>8</v>
      </c>
      <c r="G2867" t="s">
        <v>203</v>
      </c>
      <c r="H2867" t="s">
        <v>232</v>
      </c>
      <c r="I2867" s="4">
        <v>100638.28079999999</v>
      </c>
      <c r="J2867" s="4">
        <v>201276.56159999999</v>
      </c>
      <c r="K2867" s="4">
        <v>-8669.2151999999987</v>
      </c>
      <c r="L2867" s="4">
        <v>2</v>
      </c>
    </row>
    <row r="2868" spans="1:12">
      <c r="A2868" t="s">
        <v>264</v>
      </c>
      <c r="B2868" s="10">
        <v>45448</v>
      </c>
      <c r="C2868" s="18">
        <f t="shared" si="44"/>
        <v>6</v>
      </c>
      <c r="D2868" t="s">
        <v>196</v>
      </c>
      <c r="E2868">
        <v>4877306</v>
      </c>
      <c r="F2868" t="s">
        <v>8</v>
      </c>
      <c r="G2868" t="s">
        <v>203</v>
      </c>
      <c r="H2868" t="s">
        <v>227</v>
      </c>
      <c r="I2868" s="4">
        <v>100638.28079999999</v>
      </c>
      <c r="J2868" s="4">
        <v>201276.56159999999</v>
      </c>
      <c r="K2868" s="4">
        <v>-8669.2151999999987</v>
      </c>
      <c r="L2868" s="4">
        <v>2</v>
      </c>
    </row>
    <row r="2869" spans="1:12">
      <c r="A2869" t="s">
        <v>264</v>
      </c>
      <c r="B2869" s="10">
        <v>45448</v>
      </c>
      <c r="C2869" s="18">
        <f t="shared" si="44"/>
        <v>6</v>
      </c>
      <c r="D2869" t="s">
        <v>196</v>
      </c>
      <c r="E2869">
        <v>4877306</v>
      </c>
      <c r="F2869" t="s">
        <v>8</v>
      </c>
      <c r="G2869" t="s">
        <v>203</v>
      </c>
      <c r="H2869" t="s">
        <v>224</v>
      </c>
      <c r="I2869" s="4">
        <v>100638.28079999999</v>
      </c>
      <c r="J2869" s="4">
        <v>201276.56159999999</v>
      </c>
      <c r="K2869" s="4">
        <v>-8669.2151999999987</v>
      </c>
      <c r="L2869" s="4">
        <v>2</v>
      </c>
    </row>
    <row r="2870" spans="1:12">
      <c r="A2870" t="s">
        <v>264</v>
      </c>
      <c r="B2870" s="10">
        <v>45449</v>
      </c>
      <c r="C2870" s="18">
        <f t="shared" si="44"/>
        <v>6</v>
      </c>
      <c r="D2870" t="s">
        <v>196</v>
      </c>
      <c r="E2870">
        <v>4874586</v>
      </c>
      <c r="F2870" t="s">
        <v>8</v>
      </c>
      <c r="G2870" t="s">
        <v>204</v>
      </c>
      <c r="H2870" t="s">
        <v>218</v>
      </c>
      <c r="I2870" s="4">
        <v>71740.896800000002</v>
      </c>
      <c r="J2870" s="4">
        <v>3587044.8400000003</v>
      </c>
      <c r="K2870" s="4">
        <v>-179038.13999999998</v>
      </c>
      <c r="L2870" s="4">
        <v>50</v>
      </c>
    </row>
    <row r="2871" spans="1:12">
      <c r="A2871" t="s">
        <v>264</v>
      </c>
      <c r="B2871" s="10">
        <v>45449</v>
      </c>
      <c r="C2871" s="18">
        <f t="shared" si="44"/>
        <v>6</v>
      </c>
      <c r="D2871" t="s">
        <v>196</v>
      </c>
      <c r="E2871">
        <v>4874586</v>
      </c>
      <c r="F2871" t="s">
        <v>8</v>
      </c>
      <c r="G2871" t="s">
        <v>204</v>
      </c>
      <c r="H2871" t="s">
        <v>217</v>
      </c>
      <c r="I2871" s="4">
        <v>78022.936799999996</v>
      </c>
      <c r="J2871" s="4">
        <v>3901146.84</v>
      </c>
      <c r="K2871" s="4">
        <v>-179038.13999999998</v>
      </c>
      <c r="L2871" s="4">
        <v>50</v>
      </c>
    </row>
    <row r="2872" spans="1:12">
      <c r="A2872" t="s">
        <v>264</v>
      </c>
      <c r="B2872" s="10">
        <v>45449</v>
      </c>
      <c r="C2872" s="18">
        <f t="shared" si="44"/>
        <v>6</v>
      </c>
      <c r="D2872" t="s">
        <v>196</v>
      </c>
      <c r="E2872">
        <v>4872127</v>
      </c>
      <c r="F2872" t="s">
        <v>8</v>
      </c>
      <c r="G2872" t="s">
        <v>203</v>
      </c>
      <c r="H2872" t="s">
        <v>243</v>
      </c>
      <c r="I2872" s="4">
        <v>100638.28079999999</v>
      </c>
      <c r="J2872" s="4">
        <v>402553.12319999997</v>
      </c>
      <c r="K2872" s="4">
        <v>-17338.430399999997</v>
      </c>
      <c r="L2872" s="4">
        <v>4</v>
      </c>
    </row>
    <row r="2873" spans="1:12">
      <c r="A2873" t="s">
        <v>264</v>
      </c>
      <c r="B2873" s="10">
        <v>45449</v>
      </c>
      <c r="C2873" s="18">
        <f t="shared" si="44"/>
        <v>6</v>
      </c>
      <c r="D2873" t="s">
        <v>196</v>
      </c>
      <c r="E2873">
        <v>4872127</v>
      </c>
      <c r="F2873" t="s">
        <v>8</v>
      </c>
      <c r="G2873" t="s">
        <v>203</v>
      </c>
      <c r="H2873" t="s">
        <v>240</v>
      </c>
      <c r="I2873" s="4">
        <v>100638.28079999999</v>
      </c>
      <c r="J2873" s="4">
        <v>201276.56159999999</v>
      </c>
      <c r="K2873" s="4">
        <v>-8669.2151999999987</v>
      </c>
      <c r="L2873" s="4">
        <v>2</v>
      </c>
    </row>
    <row r="2874" spans="1:12">
      <c r="A2874" t="s">
        <v>264</v>
      </c>
      <c r="B2874" s="10">
        <v>45449</v>
      </c>
      <c r="C2874" s="18">
        <f t="shared" si="44"/>
        <v>6</v>
      </c>
      <c r="D2874" t="s">
        <v>196</v>
      </c>
      <c r="E2874">
        <v>4872127</v>
      </c>
      <c r="F2874" t="s">
        <v>8</v>
      </c>
      <c r="G2874" t="s">
        <v>203</v>
      </c>
      <c r="H2874" t="s">
        <v>236</v>
      </c>
      <c r="I2874" s="4">
        <v>100638.28079999999</v>
      </c>
      <c r="J2874" s="4">
        <v>1006382.808</v>
      </c>
      <c r="K2874" s="4">
        <v>-43346.076000000001</v>
      </c>
      <c r="L2874" s="4">
        <v>10</v>
      </c>
    </row>
    <row r="2875" spans="1:12">
      <c r="A2875" t="s">
        <v>264</v>
      </c>
      <c r="B2875" s="10">
        <v>45449</v>
      </c>
      <c r="C2875" s="18">
        <f t="shared" si="44"/>
        <v>6</v>
      </c>
      <c r="D2875" t="s">
        <v>196</v>
      </c>
      <c r="E2875">
        <v>4872127</v>
      </c>
      <c r="F2875" t="s">
        <v>8</v>
      </c>
      <c r="G2875" t="s">
        <v>203</v>
      </c>
      <c r="H2875" t="s">
        <v>234</v>
      </c>
      <c r="I2875" s="4">
        <v>100638.28079999999</v>
      </c>
      <c r="J2875" s="4">
        <v>402553.12319999997</v>
      </c>
      <c r="K2875" s="4">
        <v>-17338.430399999997</v>
      </c>
      <c r="L2875" s="4">
        <v>4</v>
      </c>
    </row>
    <row r="2876" spans="1:12">
      <c r="A2876" t="s">
        <v>264</v>
      </c>
      <c r="B2876" s="10">
        <v>45449</v>
      </c>
      <c r="C2876" s="18">
        <f t="shared" si="44"/>
        <v>6</v>
      </c>
      <c r="D2876" t="s">
        <v>196</v>
      </c>
      <c r="E2876">
        <v>4872127</v>
      </c>
      <c r="F2876" t="s">
        <v>8</v>
      </c>
      <c r="G2876" t="s">
        <v>203</v>
      </c>
      <c r="H2876" t="s">
        <v>230</v>
      </c>
      <c r="I2876" s="4">
        <v>100638.28079999999</v>
      </c>
      <c r="J2876" s="4">
        <v>1006382.808</v>
      </c>
      <c r="K2876" s="4">
        <v>-43346.076000000001</v>
      </c>
      <c r="L2876" s="4">
        <v>10</v>
      </c>
    </row>
    <row r="2877" spans="1:12">
      <c r="A2877" t="s">
        <v>264</v>
      </c>
      <c r="B2877" s="10">
        <v>45449</v>
      </c>
      <c r="C2877" s="18">
        <f t="shared" si="44"/>
        <v>6</v>
      </c>
      <c r="D2877" t="s">
        <v>196</v>
      </c>
      <c r="E2877">
        <v>4872127</v>
      </c>
      <c r="F2877" t="s">
        <v>8</v>
      </c>
      <c r="G2877" t="s">
        <v>203</v>
      </c>
      <c r="H2877" t="s">
        <v>228</v>
      </c>
      <c r="I2877" s="4">
        <v>100638.28079999999</v>
      </c>
      <c r="J2877" s="4">
        <v>1006382.808</v>
      </c>
      <c r="K2877" s="4">
        <v>-43346.076000000001</v>
      </c>
      <c r="L2877" s="4">
        <v>10</v>
      </c>
    </row>
    <row r="2878" spans="1:12">
      <c r="A2878" t="s">
        <v>264</v>
      </c>
      <c r="B2878" s="10">
        <v>45449</v>
      </c>
      <c r="C2878" s="18">
        <f t="shared" si="44"/>
        <v>6</v>
      </c>
      <c r="D2878" t="s">
        <v>196</v>
      </c>
      <c r="E2878">
        <v>4877306</v>
      </c>
      <c r="F2878" t="s">
        <v>8</v>
      </c>
      <c r="G2878" t="s">
        <v>203</v>
      </c>
      <c r="H2878" t="s">
        <v>243</v>
      </c>
      <c r="I2878" s="4">
        <v>100638.28079999999</v>
      </c>
      <c r="J2878" s="4">
        <v>201276.56159999999</v>
      </c>
      <c r="K2878" s="4">
        <v>-8669.2151999999987</v>
      </c>
      <c r="L2878" s="4">
        <v>2</v>
      </c>
    </row>
    <row r="2879" spans="1:12">
      <c r="A2879" t="s">
        <v>264</v>
      </c>
      <c r="B2879" s="10">
        <v>45449</v>
      </c>
      <c r="C2879" s="18">
        <f t="shared" si="44"/>
        <v>6</v>
      </c>
      <c r="D2879" t="s">
        <v>196</v>
      </c>
      <c r="E2879">
        <v>4877306</v>
      </c>
      <c r="F2879" t="s">
        <v>8</v>
      </c>
      <c r="G2879" t="s">
        <v>203</v>
      </c>
      <c r="H2879" t="s">
        <v>236</v>
      </c>
      <c r="I2879" s="4">
        <v>100638.28079999999</v>
      </c>
      <c r="J2879" s="4">
        <v>201276.56159999999</v>
      </c>
      <c r="K2879" s="4">
        <v>-8669.2151999999987</v>
      </c>
      <c r="L2879" s="4">
        <v>2</v>
      </c>
    </row>
    <row r="2880" spans="1:12">
      <c r="A2880" t="s">
        <v>264</v>
      </c>
      <c r="B2880" s="10">
        <v>45449</v>
      </c>
      <c r="C2880" s="18">
        <f t="shared" si="44"/>
        <v>6</v>
      </c>
      <c r="D2880" t="s">
        <v>196</v>
      </c>
      <c r="E2880">
        <v>4877306</v>
      </c>
      <c r="F2880" t="s">
        <v>8</v>
      </c>
      <c r="G2880" t="s">
        <v>203</v>
      </c>
      <c r="H2880" t="s">
        <v>232</v>
      </c>
      <c r="I2880" s="4">
        <v>100638.28079999999</v>
      </c>
      <c r="J2880" s="4">
        <v>201276.56159999999</v>
      </c>
      <c r="K2880" s="4">
        <v>-8669.2151999999987</v>
      </c>
      <c r="L2880" s="4">
        <v>2</v>
      </c>
    </row>
    <row r="2881" spans="1:12">
      <c r="A2881" t="s">
        <v>264</v>
      </c>
      <c r="B2881" s="10">
        <v>45449</v>
      </c>
      <c r="C2881" s="18">
        <f t="shared" si="44"/>
        <v>6</v>
      </c>
      <c r="D2881" t="s">
        <v>196</v>
      </c>
      <c r="E2881">
        <v>4877306</v>
      </c>
      <c r="F2881" t="s">
        <v>8</v>
      </c>
      <c r="G2881" t="s">
        <v>203</v>
      </c>
      <c r="H2881" t="s">
        <v>228</v>
      </c>
      <c r="I2881" s="4">
        <v>100638.28079999999</v>
      </c>
      <c r="J2881" s="4">
        <v>201276.56159999999</v>
      </c>
      <c r="K2881" s="4">
        <v>-8669.2151999999987</v>
      </c>
      <c r="L2881" s="4">
        <v>2</v>
      </c>
    </row>
    <row r="2882" spans="1:12">
      <c r="A2882" t="s">
        <v>264</v>
      </c>
      <c r="B2882" s="10">
        <v>45449</v>
      </c>
      <c r="C2882" s="18">
        <f t="shared" ref="C2882:C2945" si="45">MONTH(B2882)</f>
        <v>6</v>
      </c>
      <c r="D2882" t="s">
        <v>196</v>
      </c>
      <c r="E2882">
        <v>4877306</v>
      </c>
      <c r="F2882" t="s">
        <v>8</v>
      </c>
      <c r="G2882" t="s">
        <v>203</v>
      </c>
      <c r="H2882" t="s">
        <v>227</v>
      </c>
      <c r="I2882" s="4">
        <v>100638.28079999999</v>
      </c>
      <c r="J2882" s="4">
        <v>201276.56159999999</v>
      </c>
      <c r="K2882" s="4">
        <v>-8669.2151999999987</v>
      </c>
      <c r="L2882" s="4">
        <v>2</v>
      </c>
    </row>
    <row r="2883" spans="1:12">
      <c r="A2883" t="s">
        <v>264</v>
      </c>
      <c r="B2883" s="10">
        <v>45450</v>
      </c>
      <c r="C2883" s="18">
        <f t="shared" si="45"/>
        <v>6</v>
      </c>
      <c r="D2883" t="s">
        <v>196</v>
      </c>
      <c r="E2883">
        <v>4872203</v>
      </c>
      <c r="F2883" t="s">
        <v>8</v>
      </c>
      <c r="G2883" t="s">
        <v>206</v>
      </c>
      <c r="H2883" t="s">
        <v>209</v>
      </c>
      <c r="I2883" s="4">
        <v>17715.352800000001</v>
      </c>
      <c r="J2883" s="4">
        <v>3543070.56</v>
      </c>
      <c r="K2883" s="4">
        <v>-150768.95999999999</v>
      </c>
      <c r="L2883" s="4">
        <v>200</v>
      </c>
    </row>
    <row r="2884" spans="1:12">
      <c r="A2884" t="s">
        <v>264</v>
      </c>
      <c r="B2884" s="10">
        <v>45450</v>
      </c>
      <c r="C2884" s="18">
        <f t="shared" si="45"/>
        <v>6</v>
      </c>
      <c r="D2884" t="s">
        <v>196</v>
      </c>
      <c r="E2884">
        <v>4875779</v>
      </c>
      <c r="F2884" t="s">
        <v>8</v>
      </c>
      <c r="G2884" t="s">
        <v>204</v>
      </c>
      <c r="H2884" t="s">
        <v>219</v>
      </c>
      <c r="I2884" s="4">
        <v>44099.9208</v>
      </c>
      <c r="J2884" s="4">
        <v>1190697.8615999999</v>
      </c>
      <c r="K2884" s="4">
        <v>-50884.523999999998</v>
      </c>
      <c r="L2884" s="4">
        <v>27</v>
      </c>
    </row>
    <row r="2885" spans="1:12">
      <c r="A2885" t="s">
        <v>264</v>
      </c>
      <c r="B2885" s="10">
        <v>45450</v>
      </c>
      <c r="C2885" s="18">
        <f t="shared" si="45"/>
        <v>6</v>
      </c>
      <c r="D2885" t="s">
        <v>196</v>
      </c>
      <c r="E2885">
        <v>4875779</v>
      </c>
      <c r="F2885" t="s">
        <v>8</v>
      </c>
      <c r="G2885" t="s">
        <v>204</v>
      </c>
      <c r="H2885" t="s">
        <v>218</v>
      </c>
      <c r="I2885" s="4">
        <v>71740.896800000002</v>
      </c>
      <c r="J2885" s="4">
        <v>1434817.936</v>
      </c>
      <c r="K2885" s="4">
        <v>-71615.256000000008</v>
      </c>
      <c r="L2885" s="4">
        <v>20</v>
      </c>
    </row>
    <row r="2886" spans="1:12">
      <c r="A2886" t="s">
        <v>264</v>
      </c>
      <c r="B2886" s="10">
        <v>45450</v>
      </c>
      <c r="C2886" s="18">
        <f t="shared" si="45"/>
        <v>6</v>
      </c>
      <c r="D2886" t="s">
        <v>196</v>
      </c>
      <c r="E2886">
        <v>4875779</v>
      </c>
      <c r="F2886" t="s">
        <v>8</v>
      </c>
      <c r="G2886" t="s">
        <v>204</v>
      </c>
      <c r="H2886" t="s">
        <v>217</v>
      </c>
      <c r="I2886" s="4">
        <v>78022.936799999996</v>
      </c>
      <c r="J2886" s="4">
        <v>1560458.736</v>
      </c>
      <c r="K2886" s="4">
        <v>-71615.256000000008</v>
      </c>
      <c r="L2886" s="4">
        <v>20</v>
      </c>
    </row>
    <row r="2887" spans="1:12">
      <c r="A2887" t="s">
        <v>264</v>
      </c>
      <c r="B2887" s="10">
        <v>45450</v>
      </c>
      <c r="C2887" s="18">
        <f t="shared" si="45"/>
        <v>6</v>
      </c>
      <c r="D2887" t="s">
        <v>196</v>
      </c>
      <c r="E2887">
        <v>4875779</v>
      </c>
      <c r="F2887" t="s">
        <v>8</v>
      </c>
      <c r="G2887" t="s">
        <v>204</v>
      </c>
      <c r="H2887" t="s">
        <v>216</v>
      </c>
      <c r="I2887" s="4">
        <v>113202.36079999999</v>
      </c>
      <c r="J2887" s="4">
        <v>2264047.216</v>
      </c>
      <c r="K2887" s="4">
        <v>-113076.72</v>
      </c>
      <c r="L2887" s="4">
        <v>20</v>
      </c>
    </row>
    <row r="2888" spans="1:12">
      <c r="A2888" t="s">
        <v>264</v>
      </c>
      <c r="B2888" s="10">
        <v>45450</v>
      </c>
      <c r="C2888" s="18">
        <f t="shared" si="45"/>
        <v>6</v>
      </c>
      <c r="D2888" t="s">
        <v>196</v>
      </c>
      <c r="E2888">
        <v>4875779</v>
      </c>
      <c r="F2888" t="s">
        <v>8</v>
      </c>
      <c r="G2888" t="s">
        <v>204</v>
      </c>
      <c r="H2888" t="s">
        <v>214</v>
      </c>
      <c r="I2888" s="4">
        <v>119484.4008</v>
      </c>
      <c r="J2888" s="4">
        <v>2389688.0159999998</v>
      </c>
      <c r="K2888" s="4">
        <v>-119358.76</v>
      </c>
      <c r="L2888" s="4">
        <v>20</v>
      </c>
    </row>
    <row r="2889" spans="1:12">
      <c r="A2889" t="s">
        <v>264</v>
      </c>
      <c r="B2889" s="10">
        <v>45450</v>
      </c>
      <c r="C2889" s="18">
        <f t="shared" si="45"/>
        <v>6</v>
      </c>
      <c r="D2889" t="s">
        <v>196</v>
      </c>
      <c r="E2889">
        <v>4875779</v>
      </c>
      <c r="F2889" t="s">
        <v>8</v>
      </c>
      <c r="G2889" t="s">
        <v>204</v>
      </c>
      <c r="H2889" t="s">
        <v>213</v>
      </c>
      <c r="I2889" s="4">
        <v>119484.4008</v>
      </c>
      <c r="J2889" s="4">
        <v>2389688.0159999998</v>
      </c>
      <c r="K2889" s="4">
        <v>-119358.76</v>
      </c>
      <c r="L2889" s="4">
        <v>20</v>
      </c>
    </row>
    <row r="2890" spans="1:12">
      <c r="A2890" t="s">
        <v>264</v>
      </c>
      <c r="B2890" s="10">
        <v>45450</v>
      </c>
      <c r="C2890" s="18">
        <f t="shared" si="45"/>
        <v>6</v>
      </c>
      <c r="D2890" t="s">
        <v>196</v>
      </c>
      <c r="E2890">
        <v>4875779</v>
      </c>
      <c r="F2890" t="s">
        <v>8</v>
      </c>
      <c r="G2890" t="s">
        <v>204</v>
      </c>
      <c r="H2890" t="s">
        <v>221</v>
      </c>
      <c r="I2890" s="4">
        <v>25253.800799999997</v>
      </c>
      <c r="J2890" s="4">
        <v>1262690.0399999998</v>
      </c>
      <c r="K2890" s="4">
        <v>-62820.4</v>
      </c>
      <c r="L2890" s="4">
        <v>50</v>
      </c>
    </row>
    <row r="2891" spans="1:12">
      <c r="A2891" t="s">
        <v>264</v>
      </c>
      <c r="B2891" s="10">
        <v>45450</v>
      </c>
      <c r="C2891" s="18">
        <f t="shared" si="45"/>
        <v>6</v>
      </c>
      <c r="D2891" t="s">
        <v>196</v>
      </c>
      <c r="E2891">
        <v>4875779</v>
      </c>
      <c r="F2891" t="s">
        <v>8</v>
      </c>
      <c r="G2891" t="s">
        <v>204</v>
      </c>
      <c r="H2891" t="s">
        <v>220</v>
      </c>
      <c r="I2891" s="4">
        <v>37817.880799999999</v>
      </c>
      <c r="J2891" s="4">
        <v>1890894.04</v>
      </c>
      <c r="K2891" s="4">
        <v>-94230.6</v>
      </c>
      <c r="L2891" s="4">
        <v>50</v>
      </c>
    </row>
    <row r="2892" spans="1:12">
      <c r="A2892" t="s">
        <v>264</v>
      </c>
      <c r="B2892" s="10">
        <v>45450</v>
      </c>
      <c r="C2892" s="18">
        <f t="shared" si="45"/>
        <v>6</v>
      </c>
      <c r="D2892" t="s">
        <v>196</v>
      </c>
      <c r="E2892">
        <v>4875779</v>
      </c>
      <c r="F2892" t="s">
        <v>8</v>
      </c>
      <c r="G2892" t="s">
        <v>204</v>
      </c>
      <c r="H2892" t="s">
        <v>212</v>
      </c>
      <c r="I2892" s="4">
        <v>62946.040799999995</v>
      </c>
      <c r="J2892" s="4">
        <v>1258920.8159999999</v>
      </c>
      <c r="K2892" s="4">
        <v>-37692.239999999998</v>
      </c>
      <c r="L2892" s="4">
        <v>20</v>
      </c>
    </row>
    <row r="2893" spans="1:12">
      <c r="A2893" t="s">
        <v>264</v>
      </c>
      <c r="B2893" s="10">
        <v>45450</v>
      </c>
      <c r="C2893" s="18">
        <f t="shared" si="45"/>
        <v>6</v>
      </c>
      <c r="D2893" t="s">
        <v>196</v>
      </c>
      <c r="E2893">
        <v>4877306</v>
      </c>
      <c r="F2893" t="s">
        <v>8</v>
      </c>
      <c r="G2893" t="s">
        <v>203</v>
      </c>
      <c r="H2893" t="s">
        <v>230</v>
      </c>
      <c r="I2893" s="4">
        <v>100638.28079999999</v>
      </c>
      <c r="J2893" s="4">
        <v>201276.56159999999</v>
      </c>
      <c r="K2893" s="4">
        <v>-8669.2151999999987</v>
      </c>
      <c r="L2893" s="4">
        <v>2</v>
      </c>
    </row>
    <row r="2894" spans="1:12">
      <c r="A2894" t="s">
        <v>264</v>
      </c>
      <c r="B2894" s="10">
        <v>45450</v>
      </c>
      <c r="C2894" s="18">
        <f t="shared" si="45"/>
        <v>6</v>
      </c>
      <c r="D2894" t="s">
        <v>196</v>
      </c>
      <c r="E2894">
        <v>4877306</v>
      </c>
      <c r="F2894" t="s">
        <v>8</v>
      </c>
      <c r="G2894" t="s">
        <v>203</v>
      </c>
      <c r="H2894" t="s">
        <v>227</v>
      </c>
      <c r="I2894" s="4">
        <v>100638.28079999999</v>
      </c>
      <c r="J2894" s="4">
        <v>201276.56159999999</v>
      </c>
      <c r="K2894" s="4">
        <v>-8669.2151999999987</v>
      </c>
      <c r="L2894" s="4">
        <v>2</v>
      </c>
    </row>
    <row r="2895" spans="1:12">
      <c r="A2895" t="s">
        <v>264</v>
      </c>
      <c r="B2895" s="10">
        <v>45451</v>
      </c>
      <c r="C2895" s="18">
        <f t="shared" si="45"/>
        <v>6</v>
      </c>
      <c r="D2895" t="s">
        <v>196</v>
      </c>
      <c r="E2895">
        <v>4871600</v>
      </c>
      <c r="F2895" t="s">
        <v>8</v>
      </c>
      <c r="G2895" t="s">
        <v>204</v>
      </c>
      <c r="H2895" t="s">
        <v>217</v>
      </c>
      <c r="I2895" s="4">
        <v>78022.936799999996</v>
      </c>
      <c r="J2895" s="4">
        <v>312091.74719999998</v>
      </c>
      <c r="K2895" s="4">
        <v>-14323.051199999998</v>
      </c>
      <c r="L2895" s="4">
        <v>4</v>
      </c>
    </row>
    <row r="2896" spans="1:12">
      <c r="A2896" t="s">
        <v>264</v>
      </c>
      <c r="B2896" s="10">
        <v>45451</v>
      </c>
      <c r="C2896" s="18">
        <f t="shared" si="45"/>
        <v>6</v>
      </c>
      <c r="D2896" t="s">
        <v>196</v>
      </c>
      <c r="E2896">
        <v>4873921</v>
      </c>
      <c r="F2896" t="s">
        <v>8</v>
      </c>
      <c r="G2896" t="s">
        <v>202</v>
      </c>
      <c r="H2896" t="s">
        <v>259</v>
      </c>
      <c r="I2896" s="4">
        <v>30279.432800000002</v>
      </c>
      <c r="J2896" s="4">
        <v>90838.2984</v>
      </c>
      <c r="K2896" s="4">
        <v>-4523.0688</v>
      </c>
      <c r="L2896" s="4">
        <v>3</v>
      </c>
    </row>
    <row r="2897" spans="1:12">
      <c r="A2897" t="s">
        <v>264</v>
      </c>
      <c r="B2897" s="10">
        <v>45451</v>
      </c>
      <c r="C2897" s="18">
        <f t="shared" si="45"/>
        <v>6</v>
      </c>
      <c r="D2897" t="s">
        <v>196</v>
      </c>
      <c r="E2897">
        <v>4878536</v>
      </c>
      <c r="F2897" t="s">
        <v>8</v>
      </c>
      <c r="G2897" t="s">
        <v>202</v>
      </c>
      <c r="H2897" t="s">
        <v>258</v>
      </c>
      <c r="I2897" s="4">
        <v>37817.880799999999</v>
      </c>
      <c r="J2897" s="4">
        <v>378178.80799999996</v>
      </c>
      <c r="K2897" s="4">
        <v>-18846.12</v>
      </c>
      <c r="L2897" s="4">
        <v>10</v>
      </c>
    </row>
    <row r="2898" spans="1:12">
      <c r="A2898" t="s">
        <v>264</v>
      </c>
      <c r="B2898" s="10">
        <v>45451</v>
      </c>
      <c r="C2898" s="18">
        <f t="shared" si="45"/>
        <v>6</v>
      </c>
      <c r="D2898" t="s">
        <v>196</v>
      </c>
      <c r="E2898">
        <v>4878536</v>
      </c>
      <c r="F2898" t="s">
        <v>8</v>
      </c>
      <c r="G2898" t="s">
        <v>202</v>
      </c>
      <c r="H2898" t="s">
        <v>254</v>
      </c>
      <c r="I2898" s="4">
        <v>37817.880799999999</v>
      </c>
      <c r="J2898" s="4">
        <v>378178.80799999996</v>
      </c>
      <c r="K2898" s="4">
        <v>-18846.12</v>
      </c>
      <c r="L2898" s="4">
        <v>10</v>
      </c>
    </row>
    <row r="2899" spans="1:12">
      <c r="A2899" t="s">
        <v>264</v>
      </c>
      <c r="B2899" s="10">
        <v>45451</v>
      </c>
      <c r="C2899" s="18">
        <f t="shared" si="45"/>
        <v>6</v>
      </c>
      <c r="D2899" t="s">
        <v>196</v>
      </c>
      <c r="E2899">
        <v>4871657</v>
      </c>
      <c r="F2899" t="s">
        <v>8</v>
      </c>
      <c r="G2899" t="s">
        <v>202</v>
      </c>
      <c r="H2899" t="s">
        <v>254</v>
      </c>
      <c r="I2899" s="4">
        <v>37817.880799999999</v>
      </c>
      <c r="J2899" s="4">
        <v>-75635.761599999998</v>
      </c>
      <c r="K2899" s="4">
        <v>3769.2239999999997</v>
      </c>
      <c r="L2899" s="4">
        <v>-2</v>
      </c>
    </row>
    <row r="2900" spans="1:12">
      <c r="A2900" t="s">
        <v>264</v>
      </c>
      <c r="B2900" s="10">
        <v>45451</v>
      </c>
      <c r="C2900" s="18">
        <f t="shared" si="45"/>
        <v>6</v>
      </c>
      <c r="D2900" t="s">
        <v>196</v>
      </c>
      <c r="E2900">
        <v>4872203</v>
      </c>
      <c r="F2900" t="s">
        <v>8</v>
      </c>
      <c r="G2900" t="s">
        <v>203</v>
      </c>
      <c r="H2900" t="s">
        <v>244</v>
      </c>
      <c r="I2900" s="4">
        <v>125766.4408</v>
      </c>
      <c r="J2900" s="4">
        <v>9306716.6192000005</v>
      </c>
      <c r="K2900" s="4">
        <v>-418383.86399999994</v>
      </c>
      <c r="L2900" s="4">
        <v>74</v>
      </c>
    </row>
    <row r="2901" spans="1:12">
      <c r="A2901" t="s">
        <v>264</v>
      </c>
      <c r="B2901" s="10">
        <v>45451</v>
      </c>
      <c r="C2901" s="18">
        <f t="shared" si="45"/>
        <v>6</v>
      </c>
      <c r="D2901" t="s">
        <v>196</v>
      </c>
      <c r="E2901">
        <v>4872203</v>
      </c>
      <c r="F2901" t="s">
        <v>8</v>
      </c>
      <c r="G2901" t="s">
        <v>203</v>
      </c>
      <c r="H2901" t="s">
        <v>233</v>
      </c>
      <c r="I2901" s="4">
        <v>120735.78316800001</v>
      </c>
      <c r="J2901" s="4">
        <v>1207357.8316800001</v>
      </c>
      <c r="K2901" s="4">
        <v>-56538.36</v>
      </c>
      <c r="L2901" s="4">
        <v>10</v>
      </c>
    </row>
    <row r="2902" spans="1:12">
      <c r="A2902" t="s">
        <v>264</v>
      </c>
      <c r="B2902" s="10">
        <v>45451</v>
      </c>
      <c r="C2902" s="18">
        <f t="shared" si="45"/>
        <v>6</v>
      </c>
      <c r="D2902" t="s">
        <v>196</v>
      </c>
      <c r="E2902">
        <v>4872203</v>
      </c>
      <c r="F2902" t="s">
        <v>8</v>
      </c>
      <c r="G2902" t="s">
        <v>203</v>
      </c>
      <c r="H2902" t="s">
        <v>231</v>
      </c>
      <c r="I2902" s="4">
        <v>125766.4408</v>
      </c>
      <c r="J2902" s="4">
        <v>1257664.4080000001</v>
      </c>
      <c r="K2902" s="4">
        <v>-56538.36</v>
      </c>
      <c r="L2902" s="4">
        <v>10</v>
      </c>
    </row>
    <row r="2903" spans="1:12">
      <c r="A2903" t="s">
        <v>264</v>
      </c>
      <c r="B2903" s="10">
        <v>45451</v>
      </c>
      <c r="C2903" s="18">
        <f t="shared" si="45"/>
        <v>6</v>
      </c>
      <c r="D2903" t="s">
        <v>196</v>
      </c>
      <c r="E2903">
        <v>4873128</v>
      </c>
      <c r="F2903" t="s">
        <v>8</v>
      </c>
      <c r="G2903" t="s">
        <v>204</v>
      </c>
      <c r="H2903" t="s">
        <v>212</v>
      </c>
      <c r="I2903" s="4">
        <v>62946.040799999995</v>
      </c>
      <c r="J2903" s="4">
        <v>1258920.8159999999</v>
      </c>
      <c r="K2903" s="4">
        <v>-37692.239999999998</v>
      </c>
      <c r="L2903" s="4">
        <v>20</v>
      </c>
    </row>
    <row r="2904" spans="1:12">
      <c r="A2904" t="s">
        <v>264</v>
      </c>
      <c r="B2904" s="10">
        <v>45451</v>
      </c>
      <c r="C2904" s="18">
        <f t="shared" si="45"/>
        <v>6</v>
      </c>
      <c r="D2904" t="s">
        <v>196</v>
      </c>
      <c r="E2904">
        <v>4872103</v>
      </c>
      <c r="F2904" t="s">
        <v>8</v>
      </c>
      <c r="G2904" t="s">
        <v>202</v>
      </c>
      <c r="H2904" t="s">
        <v>259</v>
      </c>
      <c r="I2904" s="4">
        <v>30279.432800000002</v>
      </c>
      <c r="J2904" s="4">
        <v>6055886.5600000005</v>
      </c>
      <c r="K2904" s="4">
        <v>-301537.91999999998</v>
      </c>
      <c r="L2904" s="4">
        <v>200</v>
      </c>
    </row>
    <row r="2905" spans="1:12">
      <c r="A2905" t="s">
        <v>264</v>
      </c>
      <c r="B2905" s="10">
        <v>45451</v>
      </c>
      <c r="C2905" s="18">
        <f t="shared" si="45"/>
        <v>6</v>
      </c>
      <c r="D2905" t="s">
        <v>196</v>
      </c>
      <c r="E2905">
        <v>4872103</v>
      </c>
      <c r="F2905" t="s">
        <v>8</v>
      </c>
      <c r="G2905" t="s">
        <v>202</v>
      </c>
      <c r="H2905" t="s">
        <v>258</v>
      </c>
      <c r="I2905" s="4">
        <v>37817.880799999999</v>
      </c>
      <c r="J2905" s="4">
        <v>3781788.08</v>
      </c>
      <c r="K2905" s="4">
        <v>-188461.2</v>
      </c>
      <c r="L2905" s="4">
        <v>100</v>
      </c>
    </row>
    <row r="2906" spans="1:12">
      <c r="A2906" t="s">
        <v>264</v>
      </c>
      <c r="B2906" s="10">
        <v>45452</v>
      </c>
      <c r="C2906" s="18">
        <f t="shared" si="45"/>
        <v>6</v>
      </c>
      <c r="D2906" t="s">
        <v>196</v>
      </c>
      <c r="E2906">
        <v>4871600</v>
      </c>
      <c r="F2906" t="s">
        <v>8</v>
      </c>
      <c r="G2906" t="s">
        <v>202</v>
      </c>
      <c r="H2906" t="s">
        <v>261</v>
      </c>
      <c r="I2906" s="4">
        <v>41587.104800000001</v>
      </c>
      <c r="J2906" s="4">
        <v>249522.62880000001</v>
      </c>
      <c r="K2906" s="4">
        <v>-12438.439200000001</v>
      </c>
      <c r="L2906" s="4">
        <v>6</v>
      </c>
    </row>
    <row r="2907" spans="1:12">
      <c r="A2907" t="s">
        <v>264</v>
      </c>
      <c r="B2907" s="10">
        <v>45452</v>
      </c>
      <c r="C2907" s="18">
        <f t="shared" si="45"/>
        <v>6</v>
      </c>
      <c r="D2907" t="s">
        <v>196</v>
      </c>
      <c r="E2907">
        <v>4871600</v>
      </c>
      <c r="F2907" t="s">
        <v>8</v>
      </c>
      <c r="G2907" t="s">
        <v>202</v>
      </c>
      <c r="H2907" t="s">
        <v>260</v>
      </c>
      <c r="I2907" s="4">
        <v>41587.104800000001</v>
      </c>
      <c r="J2907" s="4">
        <v>249522.62880000001</v>
      </c>
      <c r="K2907" s="4">
        <v>-12438.439200000001</v>
      </c>
      <c r="L2907" s="4">
        <v>6</v>
      </c>
    </row>
    <row r="2908" spans="1:12">
      <c r="A2908" t="s">
        <v>264</v>
      </c>
      <c r="B2908" s="10">
        <v>45452</v>
      </c>
      <c r="C2908" s="18">
        <f t="shared" si="45"/>
        <v>6</v>
      </c>
      <c r="D2908" t="s">
        <v>196</v>
      </c>
      <c r="E2908">
        <v>4871600</v>
      </c>
      <c r="F2908" t="s">
        <v>8</v>
      </c>
      <c r="G2908" t="s">
        <v>202</v>
      </c>
      <c r="H2908" t="s">
        <v>258</v>
      </c>
      <c r="I2908" s="4">
        <v>37817.880799999999</v>
      </c>
      <c r="J2908" s="4">
        <v>945447.02</v>
      </c>
      <c r="K2908" s="4">
        <v>-47115.3</v>
      </c>
      <c r="L2908" s="4">
        <v>25</v>
      </c>
    </row>
    <row r="2909" spans="1:12">
      <c r="A2909" t="s">
        <v>264</v>
      </c>
      <c r="B2909" s="10">
        <v>45452</v>
      </c>
      <c r="C2909" s="18">
        <f t="shared" si="45"/>
        <v>6</v>
      </c>
      <c r="D2909" t="s">
        <v>196</v>
      </c>
      <c r="E2909">
        <v>4873921</v>
      </c>
      <c r="F2909" t="s">
        <v>8</v>
      </c>
      <c r="G2909" t="s">
        <v>202</v>
      </c>
      <c r="H2909" t="s">
        <v>256</v>
      </c>
      <c r="I2909" s="4">
        <v>64202.448800000006</v>
      </c>
      <c r="J2909" s="4">
        <v>770429.38560000004</v>
      </c>
      <c r="K2909" s="4">
        <v>-38446.084799999997</v>
      </c>
      <c r="L2909" s="4">
        <v>12</v>
      </c>
    </row>
    <row r="2910" spans="1:12">
      <c r="A2910" t="s">
        <v>264</v>
      </c>
      <c r="B2910" s="10">
        <v>45452</v>
      </c>
      <c r="C2910" s="18">
        <f t="shared" si="45"/>
        <v>6</v>
      </c>
      <c r="D2910" t="s">
        <v>196</v>
      </c>
      <c r="E2910">
        <v>4872160</v>
      </c>
      <c r="F2910" t="s">
        <v>8</v>
      </c>
      <c r="G2910" t="s">
        <v>203</v>
      </c>
      <c r="H2910" t="s">
        <v>243</v>
      </c>
      <c r="I2910" s="4">
        <v>100638.28079999999</v>
      </c>
      <c r="J2910" s="4">
        <v>3019148.4239999996</v>
      </c>
      <c r="K2910" s="4">
        <v>-130038.22799999999</v>
      </c>
      <c r="L2910" s="4">
        <v>30</v>
      </c>
    </row>
    <row r="2911" spans="1:12">
      <c r="A2911" t="s">
        <v>264</v>
      </c>
      <c r="B2911" s="10">
        <v>45452</v>
      </c>
      <c r="C2911" s="18">
        <f t="shared" si="45"/>
        <v>6</v>
      </c>
      <c r="D2911" t="s">
        <v>196</v>
      </c>
      <c r="E2911">
        <v>4872160</v>
      </c>
      <c r="F2911" t="s">
        <v>8</v>
      </c>
      <c r="G2911" t="s">
        <v>203</v>
      </c>
      <c r="H2911" t="s">
        <v>240</v>
      </c>
      <c r="I2911" s="4">
        <v>100638.28079999999</v>
      </c>
      <c r="J2911" s="4">
        <v>3019148.4239999996</v>
      </c>
      <c r="K2911" s="4">
        <v>-130038.22799999999</v>
      </c>
      <c r="L2911" s="4">
        <v>30</v>
      </c>
    </row>
    <row r="2912" spans="1:12">
      <c r="A2912" t="s">
        <v>264</v>
      </c>
      <c r="B2912" s="10">
        <v>45452</v>
      </c>
      <c r="C2912" s="18">
        <f t="shared" si="45"/>
        <v>6</v>
      </c>
      <c r="D2912" t="s">
        <v>196</v>
      </c>
      <c r="E2912">
        <v>4872160</v>
      </c>
      <c r="F2912" t="s">
        <v>8</v>
      </c>
      <c r="G2912" t="s">
        <v>203</v>
      </c>
      <c r="H2912" t="s">
        <v>236</v>
      </c>
      <c r="I2912" s="4">
        <v>100638.28079999999</v>
      </c>
      <c r="J2912" s="4">
        <v>3019148.4239999996</v>
      </c>
      <c r="K2912" s="4">
        <v>-130038.22799999999</v>
      </c>
      <c r="L2912" s="4">
        <v>30</v>
      </c>
    </row>
    <row r="2913" spans="1:12">
      <c r="A2913" t="s">
        <v>264</v>
      </c>
      <c r="B2913" s="10">
        <v>45452</v>
      </c>
      <c r="C2913" s="18">
        <f t="shared" si="45"/>
        <v>6</v>
      </c>
      <c r="D2913" t="s">
        <v>196</v>
      </c>
      <c r="E2913">
        <v>4872160</v>
      </c>
      <c r="F2913" t="s">
        <v>8</v>
      </c>
      <c r="G2913" t="s">
        <v>203</v>
      </c>
      <c r="H2913" t="s">
        <v>234</v>
      </c>
      <c r="I2913" s="4">
        <v>100638.28079999999</v>
      </c>
      <c r="J2913" s="4">
        <v>3019148.4239999996</v>
      </c>
      <c r="K2913" s="4">
        <v>-130038.22799999999</v>
      </c>
      <c r="L2913" s="4">
        <v>30</v>
      </c>
    </row>
    <row r="2914" spans="1:12">
      <c r="A2914" t="s">
        <v>264</v>
      </c>
      <c r="B2914" s="10">
        <v>45452</v>
      </c>
      <c r="C2914" s="18">
        <f t="shared" si="45"/>
        <v>6</v>
      </c>
      <c r="D2914" t="s">
        <v>196</v>
      </c>
      <c r="E2914">
        <v>4872160</v>
      </c>
      <c r="F2914" t="s">
        <v>8</v>
      </c>
      <c r="G2914" t="s">
        <v>203</v>
      </c>
      <c r="H2914" t="s">
        <v>230</v>
      </c>
      <c r="I2914" s="4">
        <v>100638.28079999999</v>
      </c>
      <c r="J2914" s="4">
        <v>3019148.4239999996</v>
      </c>
      <c r="K2914" s="4">
        <v>-130038.22799999999</v>
      </c>
      <c r="L2914" s="4">
        <v>30</v>
      </c>
    </row>
    <row r="2915" spans="1:12">
      <c r="A2915" t="s">
        <v>264</v>
      </c>
      <c r="B2915" s="10">
        <v>45452</v>
      </c>
      <c r="C2915" s="18">
        <f t="shared" si="45"/>
        <v>6</v>
      </c>
      <c r="D2915" t="s">
        <v>196</v>
      </c>
      <c r="E2915">
        <v>4872160</v>
      </c>
      <c r="F2915" t="s">
        <v>8</v>
      </c>
      <c r="G2915" t="s">
        <v>203</v>
      </c>
      <c r="H2915" t="s">
        <v>244</v>
      </c>
      <c r="I2915" s="4">
        <v>125766.4408</v>
      </c>
      <c r="J2915" s="4">
        <v>1886496.612</v>
      </c>
      <c r="K2915" s="4">
        <v>-84807.54</v>
      </c>
      <c r="L2915" s="4">
        <v>15</v>
      </c>
    </row>
    <row r="2916" spans="1:12">
      <c r="A2916" t="s">
        <v>264</v>
      </c>
      <c r="B2916" s="10">
        <v>45452</v>
      </c>
      <c r="C2916" s="18">
        <f t="shared" si="45"/>
        <v>6</v>
      </c>
      <c r="D2916" t="s">
        <v>196</v>
      </c>
      <c r="E2916">
        <v>4872160</v>
      </c>
      <c r="F2916" t="s">
        <v>8</v>
      </c>
      <c r="G2916" t="s">
        <v>203</v>
      </c>
      <c r="H2916" t="s">
        <v>233</v>
      </c>
      <c r="I2916" s="4">
        <v>120735.78316800001</v>
      </c>
      <c r="J2916" s="4">
        <v>1086622.0485120001</v>
      </c>
      <c r="K2916" s="4">
        <v>-50884.523999999998</v>
      </c>
      <c r="L2916" s="4">
        <v>9</v>
      </c>
    </row>
    <row r="2917" spans="1:12">
      <c r="A2917" t="s">
        <v>264</v>
      </c>
      <c r="B2917" s="10">
        <v>45452</v>
      </c>
      <c r="C2917" s="18">
        <f t="shared" si="45"/>
        <v>6</v>
      </c>
      <c r="D2917" t="s">
        <v>196</v>
      </c>
      <c r="E2917">
        <v>4872160</v>
      </c>
      <c r="F2917" t="s">
        <v>8</v>
      </c>
      <c r="G2917" t="s">
        <v>203</v>
      </c>
      <c r="H2917" t="s">
        <v>231</v>
      </c>
      <c r="I2917" s="4">
        <v>125766.4408</v>
      </c>
      <c r="J2917" s="4">
        <v>1886496.612</v>
      </c>
      <c r="K2917" s="4">
        <v>-84807.54</v>
      </c>
      <c r="L2917" s="4">
        <v>15</v>
      </c>
    </row>
    <row r="2918" spans="1:12">
      <c r="A2918" t="s">
        <v>264</v>
      </c>
      <c r="B2918" s="10">
        <v>45452</v>
      </c>
      <c r="C2918" s="18">
        <f t="shared" si="45"/>
        <v>6</v>
      </c>
      <c r="D2918" t="s">
        <v>196</v>
      </c>
      <c r="E2918">
        <v>4872243</v>
      </c>
      <c r="F2918" t="s">
        <v>8</v>
      </c>
      <c r="G2918" t="s">
        <v>203</v>
      </c>
      <c r="H2918" t="s">
        <v>236</v>
      </c>
      <c r="I2918" s="4">
        <v>100638.28079999999</v>
      </c>
      <c r="J2918" s="4">
        <v>402553.12319999997</v>
      </c>
      <c r="K2918" s="4">
        <v>-17338.430399999997</v>
      </c>
      <c r="L2918" s="4">
        <v>4</v>
      </c>
    </row>
    <row r="2919" spans="1:12">
      <c r="A2919" t="s">
        <v>264</v>
      </c>
      <c r="B2919" s="10">
        <v>45452</v>
      </c>
      <c r="C2919" s="18">
        <f t="shared" si="45"/>
        <v>6</v>
      </c>
      <c r="D2919" t="s">
        <v>196</v>
      </c>
      <c r="E2919">
        <v>4872243</v>
      </c>
      <c r="F2919" t="s">
        <v>8</v>
      </c>
      <c r="G2919" t="s">
        <v>203</v>
      </c>
      <c r="H2919" t="s">
        <v>230</v>
      </c>
      <c r="I2919" s="4">
        <v>100638.28079999999</v>
      </c>
      <c r="J2919" s="4">
        <v>805106.24639999995</v>
      </c>
      <c r="K2919" s="4">
        <v>-34676.860799999995</v>
      </c>
      <c r="L2919" s="4">
        <v>8</v>
      </c>
    </row>
    <row r="2920" spans="1:12">
      <c r="A2920" t="s">
        <v>264</v>
      </c>
      <c r="B2920" s="10">
        <v>45452</v>
      </c>
      <c r="C2920" s="18">
        <f t="shared" si="45"/>
        <v>6</v>
      </c>
      <c r="D2920" t="s">
        <v>196</v>
      </c>
      <c r="E2920">
        <v>4872243</v>
      </c>
      <c r="F2920" t="s">
        <v>8</v>
      </c>
      <c r="G2920" t="s">
        <v>203</v>
      </c>
      <c r="H2920" t="s">
        <v>227</v>
      </c>
      <c r="I2920" s="4">
        <v>100638.28079999999</v>
      </c>
      <c r="J2920" s="4">
        <v>805106.24639999995</v>
      </c>
      <c r="K2920" s="4">
        <v>-34676.860799999995</v>
      </c>
      <c r="L2920" s="4">
        <v>8</v>
      </c>
    </row>
    <row r="2921" spans="1:12">
      <c r="A2921" t="s">
        <v>264</v>
      </c>
      <c r="B2921" s="10">
        <v>45452</v>
      </c>
      <c r="C2921" s="18">
        <f t="shared" si="45"/>
        <v>6</v>
      </c>
      <c r="D2921" t="s">
        <v>196</v>
      </c>
      <c r="E2921">
        <v>4872243</v>
      </c>
      <c r="F2921" t="s">
        <v>8</v>
      </c>
      <c r="G2921" t="s">
        <v>203</v>
      </c>
      <c r="H2921" t="s">
        <v>231</v>
      </c>
      <c r="I2921" s="4">
        <v>125766.4408</v>
      </c>
      <c r="J2921" s="4">
        <v>503065.76319999999</v>
      </c>
      <c r="K2921" s="4">
        <v>-22615.344000000001</v>
      </c>
      <c r="L2921" s="4">
        <v>4</v>
      </c>
    </row>
    <row r="2922" spans="1:12">
      <c r="A2922" t="s">
        <v>264</v>
      </c>
      <c r="B2922" s="10">
        <v>45452</v>
      </c>
      <c r="C2922" s="18">
        <f t="shared" si="45"/>
        <v>6</v>
      </c>
      <c r="D2922" t="s">
        <v>196</v>
      </c>
      <c r="E2922">
        <v>4872163</v>
      </c>
      <c r="F2922" t="s">
        <v>8</v>
      </c>
      <c r="G2922" t="s">
        <v>203</v>
      </c>
      <c r="H2922" t="s">
        <v>236</v>
      </c>
      <c r="I2922" s="4">
        <v>100638.28079999999</v>
      </c>
      <c r="J2922" s="4">
        <v>-100638.28079999999</v>
      </c>
      <c r="K2922" s="4">
        <v>4334.6075999999994</v>
      </c>
      <c r="L2922" s="4">
        <v>-1</v>
      </c>
    </row>
    <row r="2923" spans="1:12">
      <c r="A2923" t="s">
        <v>264</v>
      </c>
      <c r="B2923" s="10">
        <v>45452</v>
      </c>
      <c r="C2923" s="18">
        <f t="shared" si="45"/>
        <v>6</v>
      </c>
      <c r="D2923" t="s">
        <v>196</v>
      </c>
      <c r="E2923">
        <v>4872163</v>
      </c>
      <c r="F2923" t="s">
        <v>8</v>
      </c>
      <c r="G2923" t="s">
        <v>203</v>
      </c>
      <c r="H2923" t="s">
        <v>244</v>
      </c>
      <c r="I2923" s="4">
        <v>125766.4408</v>
      </c>
      <c r="J2923" s="4">
        <v>-125766.4408</v>
      </c>
      <c r="K2923" s="4">
        <v>5653.8360000000002</v>
      </c>
      <c r="L2923" s="4">
        <v>-1</v>
      </c>
    </row>
    <row r="2924" spans="1:12">
      <c r="A2924" t="s">
        <v>264</v>
      </c>
      <c r="B2924" s="10">
        <v>45452</v>
      </c>
      <c r="C2924" s="18">
        <f t="shared" si="45"/>
        <v>6</v>
      </c>
      <c r="D2924" t="s">
        <v>196</v>
      </c>
      <c r="E2924">
        <v>4872163</v>
      </c>
      <c r="F2924" t="s">
        <v>8</v>
      </c>
      <c r="G2924" t="s">
        <v>203</v>
      </c>
      <c r="H2924" t="s">
        <v>235</v>
      </c>
      <c r="I2924" s="4">
        <v>125766.4408</v>
      </c>
      <c r="J2924" s="4">
        <v>-125766.4408</v>
      </c>
      <c r="K2924" s="4">
        <v>5653.8360000000002</v>
      </c>
      <c r="L2924" s="4">
        <v>-1</v>
      </c>
    </row>
    <row r="2925" spans="1:12">
      <c r="A2925" t="s">
        <v>264</v>
      </c>
      <c r="B2925" s="10">
        <v>45452</v>
      </c>
      <c r="C2925" s="18">
        <f t="shared" si="45"/>
        <v>6</v>
      </c>
      <c r="D2925" t="s">
        <v>196</v>
      </c>
      <c r="E2925">
        <v>4877306</v>
      </c>
      <c r="F2925" t="s">
        <v>8</v>
      </c>
      <c r="G2925" t="s">
        <v>203</v>
      </c>
      <c r="H2925" t="s">
        <v>227</v>
      </c>
      <c r="I2925" s="4">
        <v>100638.28079999999</v>
      </c>
      <c r="J2925" s="4">
        <v>1006382.808</v>
      </c>
      <c r="K2925" s="4">
        <v>-43346.076000000001</v>
      </c>
      <c r="L2925" s="4">
        <v>10</v>
      </c>
    </row>
    <row r="2926" spans="1:12">
      <c r="A2926" t="s">
        <v>264</v>
      </c>
      <c r="B2926" s="10">
        <v>45453</v>
      </c>
      <c r="C2926" s="18">
        <f t="shared" si="45"/>
        <v>6</v>
      </c>
      <c r="D2926" t="s">
        <v>196</v>
      </c>
      <c r="E2926">
        <v>4874006</v>
      </c>
      <c r="F2926" t="s">
        <v>8</v>
      </c>
      <c r="G2926" t="s">
        <v>204</v>
      </c>
      <c r="H2926" t="s">
        <v>221</v>
      </c>
      <c r="I2926" s="4">
        <v>25253.800799999997</v>
      </c>
      <c r="J2926" s="4">
        <v>1010152.0319999999</v>
      </c>
      <c r="K2926" s="4">
        <v>-50256.32</v>
      </c>
      <c r="L2926" s="4">
        <v>40</v>
      </c>
    </row>
    <row r="2927" spans="1:12">
      <c r="A2927" t="s">
        <v>264</v>
      </c>
      <c r="B2927" s="10">
        <v>45453</v>
      </c>
      <c r="C2927" s="18">
        <f t="shared" si="45"/>
        <v>6</v>
      </c>
      <c r="D2927" t="s">
        <v>196</v>
      </c>
      <c r="E2927">
        <v>4874006</v>
      </c>
      <c r="F2927" t="s">
        <v>8</v>
      </c>
      <c r="G2927" t="s">
        <v>204</v>
      </c>
      <c r="H2927" t="s">
        <v>220</v>
      </c>
      <c r="I2927" s="4">
        <v>37817.880799999999</v>
      </c>
      <c r="J2927" s="4">
        <v>1512715.2319999998</v>
      </c>
      <c r="K2927" s="4">
        <v>-75384.479999999996</v>
      </c>
      <c r="L2927" s="4">
        <v>40</v>
      </c>
    </row>
    <row r="2928" spans="1:12">
      <c r="A2928" t="s">
        <v>264</v>
      </c>
      <c r="B2928" s="10">
        <v>45453</v>
      </c>
      <c r="C2928" s="18">
        <f t="shared" si="45"/>
        <v>6</v>
      </c>
      <c r="D2928" t="s">
        <v>196</v>
      </c>
      <c r="E2928">
        <v>4872190</v>
      </c>
      <c r="F2928" t="s">
        <v>8</v>
      </c>
      <c r="G2928" t="s">
        <v>203</v>
      </c>
      <c r="H2928" t="s">
        <v>243</v>
      </c>
      <c r="I2928" s="4">
        <v>100638.28079999999</v>
      </c>
      <c r="J2928" s="4">
        <v>1006382.808</v>
      </c>
      <c r="K2928" s="4">
        <v>-43346.076000000001</v>
      </c>
      <c r="L2928" s="4">
        <v>10</v>
      </c>
    </row>
    <row r="2929" spans="1:12">
      <c r="A2929" t="s">
        <v>264</v>
      </c>
      <c r="B2929" s="10">
        <v>45453</v>
      </c>
      <c r="C2929" s="18">
        <f t="shared" si="45"/>
        <v>6</v>
      </c>
      <c r="D2929" t="s">
        <v>196</v>
      </c>
      <c r="E2929">
        <v>4872190</v>
      </c>
      <c r="F2929" t="s">
        <v>8</v>
      </c>
      <c r="G2929" t="s">
        <v>203</v>
      </c>
      <c r="H2929" t="s">
        <v>234</v>
      </c>
      <c r="I2929" s="4">
        <v>100638.28079999999</v>
      </c>
      <c r="J2929" s="4">
        <v>1006382.808</v>
      </c>
      <c r="K2929" s="4">
        <v>-43346.076000000001</v>
      </c>
      <c r="L2929" s="4">
        <v>10</v>
      </c>
    </row>
    <row r="2930" spans="1:12">
      <c r="A2930" t="s">
        <v>264</v>
      </c>
      <c r="B2930" s="10">
        <v>45453</v>
      </c>
      <c r="C2930" s="18">
        <f t="shared" si="45"/>
        <v>6</v>
      </c>
      <c r="D2930" t="s">
        <v>196</v>
      </c>
      <c r="E2930">
        <v>4872190</v>
      </c>
      <c r="F2930" t="s">
        <v>8</v>
      </c>
      <c r="G2930" t="s">
        <v>203</v>
      </c>
      <c r="H2930" t="s">
        <v>232</v>
      </c>
      <c r="I2930" s="4">
        <v>100638.28079999999</v>
      </c>
      <c r="J2930" s="4">
        <v>1006382.808</v>
      </c>
      <c r="K2930" s="4">
        <v>-43346.076000000001</v>
      </c>
      <c r="L2930" s="4">
        <v>10</v>
      </c>
    </row>
    <row r="2931" spans="1:12">
      <c r="A2931" t="s">
        <v>264</v>
      </c>
      <c r="B2931" s="10">
        <v>45453</v>
      </c>
      <c r="C2931" s="18">
        <f t="shared" si="45"/>
        <v>6</v>
      </c>
      <c r="D2931" t="s">
        <v>196</v>
      </c>
      <c r="E2931">
        <v>4872190</v>
      </c>
      <c r="F2931" t="s">
        <v>8</v>
      </c>
      <c r="G2931" t="s">
        <v>203</v>
      </c>
      <c r="H2931" t="s">
        <v>230</v>
      </c>
      <c r="I2931" s="4">
        <v>100638.28079999999</v>
      </c>
      <c r="J2931" s="4">
        <v>1207659.3695999999</v>
      </c>
      <c r="K2931" s="4">
        <v>-52015.291199999992</v>
      </c>
      <c r="L2931" s="4">
        <v>12</v>
      </c>
    </row>
    <row r="2932" spans="1:12">
      <c r="A2932" t="s">
        <v>264</v>
      </c>
      <c r="B2932" s="10">
        <v>45453</v>
      </c>
      <c r="C2932" s="18">
        <f t="shared" si="45"/>
        <v>6</v>
      </c>
      <c r="D2932" t="s">
        <v>196</v>
      </c>
      <c r="E2932">
        <v>4872190</v>
      </c>
      <c r="F2932" t="s">
        <v>8</v>
      </c>
      <c r="G2932" t="s">
        <v>203</v>
      </c>
      <c r="H2932" t="s">
        <v>228</v>
      </c>
      <c r="I2932" s="4">
        <v>100638.28079999999</v>
      </c>
      <c r="J2932" s="4">
        <v>1207659.3695999999</v>
      </c>
      <c r="K2932" s="4">
        <v>-52015.291199999992</v>
      </c>
      <c r="L2932" s="4">
        <v>12</v>
      </c>
    </row>
    <row r="2933" spans="1:12">
      <c r="A2933" t="s">
        <v>264</v>
      </c>
      <c r="B2933" s="10">
        <v>45453</v>
      </c>
      <c r="C2933" s="18">
        <f t="shared" si="45"/>
        <v>6</v>
      </c>
      <c r="D2933" t="s">
        <v>196</v>
      </c>
      <c r="E2933">
        <v>4872190</v>
      </c>
      <c r="F2933" t="s">
        <v>8</v>
      </c>
      <c r="G2933" t="s">
        <v>203</v>
      </c>
      <c r="H2933" t="s">
        <v>227</v>
      </c>
      <c r="I2933" s="4">
        <v>100638.28079999999</v>
      </c>
      <c r="J2933" s="4">
        <v>1207659.3695999999</v>
      </c>
      <c r="K2933" s="4">
        <v>-52015.291199999992</v>
      </c>
      <c r="L2933" s="4">
        <v>12</v>
      </c>
    </row>
    <row r="2934" spans="1:12">
      <c r="A2934" t="s">
        <v>264</v>
      </c>
      <c r="B2934" s="10">
        <v>45453</v>
      </c>
      <c r="C2934" s="18">
        <f t="shared" si="45"/>
        <v>6</v>
      </c>
      <c r="D2934" t="s">
        <v>196</v>
      </c>
      <c r="E2934">
        <v>4872190</v>
      </c>
      <c r="F2934" t="s">
        <v>8</v>
      </c>
      <c r="G2934" t="s">
        <v>203</v>
      </c>
      <c r="H2934" t="s">
        <v>226</v>
      </c>
      <c r="I2934" s="4">
        <v>100638.28079999999</v>
      </c>
      <c r="J2934" s="4">
        <v>1207659.3695999999</v>
      </c>
      <c r="K2934" s="4">
        <v>-52015.291199999992</v>
      </c>
      <c r="L2934" s="4">
        <v>12</v>
      </c>
    </row>
    <row r="2935" spans="1:12">
      <c r="A2935" t="s">
        <v>264</v>
      </c>
      <c r="B2935" s="10">
        <v>45453</v>
      </c>
      <c r="C2935" s="18">
        <f t="shared" si="45"/>
        <v>6</v>
      </c>
      <c r="D2935" t="s">
        <v>196</v>
      </c>
      <c r="E2935">
        <v>4872190</v>
      </c>
      <c r="F2935" t="s">
        <v>8</v>
      </c>
      <c r="G2935" t="s">
        <v>203</v>
      </c>
      <c r="H2935" t="s">
        <v>224</v>
      </c>
      <c r="I2935" s="4">
        <v>100638.28079999999</v>
      </c>
      <c r="J2935" s="4">
        <v>1207659.3695999999</v>
      </c>
      <c r="K2935" s="4">
        <v>-52015.291199999992</v>
      </c>
      <c r="L2935" s="4">
        <v>12</v>
      </c>
    </row>
    <row r="2936" spans="1:12">
      <c r="A2936" t="s">
        <v>264</v>
      </c>
      <c r="B2936" s="10">
        <v>45453</v>
      </c>
      <c r="C2936" s="18">
        <f t="shared" si="45"/>
        <v>6</v>
      </c>
      <c r="D2936" t="s">
        <v>196</v>
      </c>
      <c r="E2936">
        <v>4872190</v>
      </c>
      <c r="F2936" t="s">
        <v>8</v>
      </c>
      <c r="G2936" t="s">
        <v>203</v>
      </c>
      <c r="H2936" t="s">
        <v>223</v>
      </c>
      <c r="I2936" s="4">
        <v>100638.28079999999</v>
      </c>
      <c r="J2936" s="4">
        <v>1006382.808</v>
      </c>
      <c r="K2936" s="4">
        <v>-43346.076000000001</v>
      </c>
      <c r="L2936" s="4">
        <v>10</v>
      </c>
    </row>
    <row r="2937" spans="1:12">
      <c r="A2937" t="s">
        <v>264</v>
      </c>
      <c r="B2937" s="10">
        <v>45453</v>
      </c>
      <c r="C2937" s="18">
        <f t="shared" si="45"/>
        <v>6</v>
      </c>
      <c r="D2937" t="s">
        <v>196</v>
      </c>
      <c r="E2937">
        <v>4872070</v>
      </c>
      <c r="F2937" t="s">
        <v>8</v>
      </c>
      <c r="G2937" t="s">
        <v>203</v>
      </c>
      <c r="H2937" t="s">
        <v>244</v>
      </c>
      <c r="I2937" s="4">
        <v>125766.4408</v>
      </c>
      <c r="J2937" s="4">
        <v>377299.3224</v>
      </c>
      <c r="K2937" s="4">
        <v>-16961.508000000002</v>
      </c>
      <c r="L2937" s="4">
        <v>3</v>
      </c>
    </row>
    <row r="2938" spans="1:12">
      <c r="A2938" t="s">
        <v>264</v>
      </c>
      <c r="B2938" s="10">
        <v>45453</v>
      </c>
      <c r="C2938" s="18">
        <f t="shared" si="45"/>
        <v>6</v>
      </c>
      <c r="D2938" t="s">
        <v>196</v>
      </c>
      <c r="E2938">
        <v>4872070</v>
      </c>
      <c r="F2938" t="s">
        <v>8</v>
      </c>
      <c r="G2938" t="s">
        <v>203</v>
      </c>
      <c r="H2938" t="s">
        <v>231</v>
      </c>
      <c r="I2938" s="4">
        <v>125766.4408</v>
      </c>
      <c r="J2938" s="4">
        <v>377299.3224</v>
      </c>
      <c r="K2938" s="4">
        <v>-16961.508000000002</v>
      </c>
      <c r="L2938" s="4">
        <v>3</v>
      </c>
    </row>
    <row r="2939" spans="1:12">
      <c r="A2939" t="s">
        <v>264</v>
      </c>
      <c r="B2939" s="10">
        <v>45453</v>
      </c>
      <c r="C2939" s="18">
        <f t="shared" si="45"/>
        <v>6</v>
      </c>
      <c r="D2939" t="s">
        <v>196</v>
      </c>
      <c r="E2939">
        <v>4875440</v>
      </c>
      <c r="F2939" t="s">
        <v>8</v>
      </c>
      <c r="G2939" t="s">
        <v>205</v>
      </c>
      <c r="H2939" t="s">
        <v>246</v>
      </c>
      <c r="I2939" s="4">
        <v>5967.9380000000001</v>
      </c>
      <c r="J2939" s="4">
        <v>-5967.9380000000001</v>
      </c>
      <c r="K2939" s="4">
        <v>314.10200000000003</v>
      </c>
      <c r="L2939" s="4">
        <v>-1</v>
      </c>
    </row>
    <row r="2940" spans="1:12">
      <c r="A2940" t="s">
        <v>264</v>
      </c>
      <c r="B2940" s="10">
        <v>45453</v>
      </c>
      <c r="C2940" s="18">
        <f t="shared" si="45"/>
        <v>6</v>
      </c>
      <c r="D2940" t="s">
        <v>196</v>
      </c>
      <c r="E2940">
        <v>4875440</v>
      </c>
      <c r="F2940" t="s">
        <v>8</v>
      </c>
      <c r="G2940" t="s">
        <v>206</v>
      </c>
      <c r="H2940" t="s">
        <v>209</v>
      </c>
      <c r="I2940" s="4">
        <v>17715.352800000001</v>
      </c>
      <c r="J2940" s="4">
        <v>-17715.352800000001</v>
      </c>
      <c r="K2940" s="4">
        <v>753.84479999999996</v>
      </c>
      <c r="L2940" s="4">
        <v>-1</v>
      </c>
    </row>
    <row r="2941" spans="1:12">
      <c r="A2941" t="s">
        <v>264</v>
      </c>
      <c r="B2941" s="10">
        <v>45453</v>
      </c>
      <c r="C2941" s="18">
        <f t="shared" si="45"/>
        <v>6</v>
      </c>
      <c r="D2941" t="s">
        <v>196</v>
      </c>
      <c r="E2941">
        <v>4872203</v>
      </c>
      <c r="F2941" t="s">
        <v>8</v>
      </c>
      <c r="G2941" t="s">
        <v>203</v>
      </c>
      <c r="H2941" t="s">
        <v>240</v>
      </c>
      <c r="I2941" s="4">
        <v>100638.28079999999</v>
      </c>
      <c r="J2941" s="4">
        <v>201276.56159999999</v>
      </c>
      <c r="K2941" s="4">
        <v>-8669.2151999999987</v>
      </c>
      <c r="L2941" s="4">
        <v>2</v>
      </c>
    </row>
    <row r="2942" spans="1:12">
      <c r="A2942" t="s">
        <v>264</v>
      </c>
      <c r="B2942" s="10">
        <v>45453</v>
      </c>
      <c r="C2942" s="18">
        <f t="shared" si="45"/>
        <v>6</v>
      </c>
      <c r="D2942" t="s">
        <v>196</v>
      </c>
      <c r="E2942">
        <v>4872203</v>
      </c>
      <c r="F2942" t="s">
        <v>8</v>
      </c>
      <c r="G2942" t="s">
        <v>203</v>
      </c>
      <c r="H2942" t="s">
        <v>230</v>
      </c>
      <c r="I2942" s="4">
        <v>100638.28079999999</v>
      </c>
      <c r="J2942" s="4">
        <v>1006382.808</v>
      </c>
      <c r="K2942" s="4">
        <v>-43346.076000000001</v>
      </c>
      <c r="L2942" s="4">
        <v>10</v>
      </c>
    </row>
    <row r="2943" spans="1:12">
      <c r="A2943" t="s">
        <v>264</v>
      </c>
      <c r="B2943" s="10">
        <v>45453</v>
      </c>
      <c r="C2943" s="18">
        <f t="shared" si="45"/>
        <v>6</v>
      </c>
      <c r="D2943" t="s">
        <v>196</v>
      </c>
      <c r="E2943">
        <v>4872203</v>
      </c>
      <c r="F2943" t="s">
        <v>8</v>
      </c>
      <c r="G2943" t="s">
        <v>203</v>
      </c>
      <c r="H2943" t="s">
        <v>228</v>
      </c>
      <c r="I2943" s="4">
        <v>100638.28079999999</v>
      </c>
      <c r="J2943" s="4">
        <v>2012765.6159999999</v>
      </c>
      <c r="K2943" s="4">
        <v>-86692.152000000002</v>
      </c>
      <c r="L2943" s="4">
        <v>20</v>
      </c>
    </row>
    <row r="2944" spans="1:12">
      <c r="A2944" t="s">
        <v>264</v>
      </c>
      <c r="B2944" s="10">
        <v>45453</v>
      </c>
      <c r="C2944" s="18">
        <f t="shared" si="45"/>
        <v>6</v>
      </c>
      <c r="D2944" t="s">
        <v>196</v>
      </c>
      <c r="E2944">
        <v>4872203</v>
      </c>
      <c r="F2944" t="s">
        <v>8</v>
      </c>
      <c r="G2944" t="s">
        <v>203</v>
      </c>
      <c r="H2944" t="s">
        <v>226</v>
      </c>
      <c r="I2944" s="4">
        <v>100638.28079999999</v>
      </c>
      <c r="J2944" s="4">
        <v>1207659.3695999999</v>
      </c>
      <c r="K2944" s="4">
        <v>-52015.291199999992</v>
      </c>
      <c r="L2944" s="4">
        <v>12</v>
      </c>
    </row>
    <row r="2945" spans="1:12">
      <c r="A2945" t="s">
        <v>264</v>
      </c>
      <c r="B2945" s="10">
        <v>45453</v>
      </c>
      <c r="C2945" s="18">
        <f t="shared" si="45"/>
        <v>6</v>
      </c>
      <c r="D2945" t="s">
        <v>196</v>
      </c>
      <c r="E2945">
        <v>4872203</v>
      </c>
      <c r="F2945" t="s">
        <v>8</v>
      </c>
      <c r="G2945" t="s">
        <v>203</v>
      </c>
      <c r="H2945" t="s">
        <v>225</v>
      </c>
      <c r="I2945" s="4">
        <v>100638.28079999999</v>
      </c>
      <c r="J2945" s="4">
        <v>1006382.808</v>
      </c>
      <c r="K2945" s="4">
        <v>-43346.076000000001</v>
      </c>
      <c r="L2945" s="4">
        <v>10</v>
      </c>
    </row>
    <row r="2946" spans="1:12">
      <c r="A2946" t="s">
        <v>264</v>
      </c>
      <c r="B2946" s="10">
        <v>45453</v>
      </c>
      <c r="C2946" s="18">
        <f t="shared" ref="C2946:C3009" si="46">MONTH(B2946)</f>
        <v>6</v>
      </c>
      <c r="D2946" t="s">
        <v>196</v>
      </c>
      <c r="E2946">
        <v>4872203</v>
      </c>
      <c r="F2946" t="s">
        <v>8</v>
      </c>
      <c r="G2946" t="s">
        <v>203</v>
      </c>
      <c r="H2946" t="s">
        <v>223</v>
      </c>
      <c r="I2946" s="4">
        <v>100638.28079999999</v>
      </c>
      <c r="J2946" s="4">
        <v>603829.68479999993</v>
      </c>
      <c r="K2946" s="4">
        <v>-26007.645599999996</v>
      </c>
      <c r="L2946" s="4">
        <v>6</v>
      </c>
    </row>
    <row r="2947" spans="1:12">
      <c r="A2947" t="s">
        <v>264</v>
      </c>
      <c r="B2947" s="10">
        <v>45454</v>
      </c>
      <c r="C2947" s="18">
        <f t="shared" si="46"/>
        <v>6</v>
      </c>
      <c r="D2947" t="s">
        <v>196</v>
      </c>
      <c r="E2947">
        <v>4871600</v>
      </c>
      <c r="F2947" t="s">
        <v>8</v>
      </c>
      <c r="G2947" t="s">
        <v>204</v>
      </c>
      <c r="H2947" t="s">
        <v>214</v>
      </c>
      <c r="I2947" s="4">
        <v>119484.4008</v>
      </c>
      <c r="J2947" s="4">
        <v>2867625.6192000001</v>
      </c>
      <c r="K2947" s="4">
        <v>-143230.51200000002</v>
      </c>
      <c r="L2947" s="4">
        <v>24</v>
      </c>
    </row>
    <row r="2948" spans="1:12">
      <c r="A2948" t="s">
        <v>264</v>
      </c>
      <c r="B2948" s="10">
        <v>45454</v>
      </c>
      <c r="C2948" s="18">
        <f t="shared" si="46"/>
        <v>6</v>
      </c>
      <c r="D2948" t="s">
        <v>196</v>
      </c>
      <c r="E2948">
        <v>4872706</v>
      </c>
      <c r="F2948" t="s">
        <v>8</v>
      </c>
      <c r="G2948" t="s">
        <v>204</v>
      </c>
      <c r="H2948" t="s">
        <v>217</v>
      </c>
      <c r="I2948" s="4">
        <v>78022.936799999996</v>
      </c>
      <c r="J2948" s="4">
        <v>312091.74719999998</v>
      </c>
      <c r="K2948" s="4">
        <v>-14323.051199999998</v>
      </c>
      <c r="L2948" s="4">
        <v>4</v>
      </c>
    </row>
    <row r="2949" spans="1:12">
      <c r="A2949" t="s">
        <v>264</v>
      </c>
      <c r="B2949" s="10">
        <v>45454</v>
      </c>
      <c r="C2949" s="18">
        <f t="shared" si="46"/>
        <v>6</v>
      </c>
      <c r="D2949" t="s">
        <v>196</v>
      </c>
      <c r="E2949">
        <v>4872706</v>
      </c>
      <c r="F2949" t="s">
        <v>8</v>
      </c>
      <c r="G2949" t="s">
        <v>204</v>
      </c>
      <c r="H2949" t="s">
        <v>221</v>
      </c>
      <c r="I2949" s="4">
        <v>25253.800799999997</v>
      </c>
      <c r="J2949" s="4">
        <v>50507.601599999995</v>
      </c>
      <c r="K2949" s="4">
        <v>-2512.8160000000003</v>
      </c>
      <c r="L2949" s="4">
        <v>2</v>
      </c>
    </row>
    <row r="2950" spans="1:12">
      <c r="A2950" t="s">
        <v>264</v>
      </c>
      <c r="B2950" s="10">
        <v>45454</v>
      </c>
      <c r="C2950" s="18">
        <f t="shared" si="46"/>
        <v>6</v>
      </c>
      <c r="D2950" t="s">
        <v>196</v>
      </c>
      <c r="E2950">
        <v>4872706</v>
      </c>
      <c r="F2950" t="s">
        <v>8</v>
      </c>
      <c r="G2950" t="s">
        <v>204</v>
      </c>
      <c r="H2950" t="s">
        <v>220</v>
      </c>
      <c r="I2950" s="4">
        <v>37817.880799999999</v>
      </c>
      <c r="J2950" s="4">
        <v>113453.6424</v>
      </c>
      <c r="K2950" s="4">
        <v>-5653.8360000000002</v>
      </c>
      <c r="L2950" s="4">
        <v>3</v>
      </c>
    </row>
    <row r="2951" spans="1:12">
      <c r="A2951" t="s">
        <v>264</v>
      </c>
      <c r="B2951" s="10">
        <v>45454</v>
      </c>
      <c r="C2951" s="18">
        <f t="shared" si="46"/>
        <v>6</v>
      </c>
      <c r="D2951" t="s">
        <v>196</v>
      </c>
      <c r="E2951">
        <v>4872706</v>
      </c>
      <c r="F2951" t="s">
        <v>8</v>
      </c>
      <c r="G2951" t="s">
        <v>204</v>
      </c>
      <c r="H2951" t="s">
        <v>212</v>
      </c>
      <c r="I2951" s="4">
        <v>62946.040799999995</v>
      </c>
      <c r="J2951" s="4">
        <v>188838.12239999999</v>
      </c>
      <c r="K2951" s="4">
        <v>-5653.8360000000002</v>
      </c>
      <c r="L2951" s="4">
        <v>3</v>
      </c>
    </row>
    <row r="2952" spans="1:12">
      <c r="A2952" t="s">
        <v>264</v>
      </c>
      <c r="B2952" s="10">
        <v>45454</v>
      </c>
      <c r="C2952" s="18">
        <f t="shared" si="46"/>
        <v>6</v>
      </c>
      <c r="D2952" t="s">
        <v>196</v>
      </c>
      <c r="E2952">
        <v>4872571</v>
      </c>
      <c r="F2952" t="s">
        <v>8</v>
      </c>
      <c r="G2952" t="s">
        <v>203</v>
      </c>
      <c r="H2952" t="s">
        <v>243</v>
      </c>
      <c r="I2952" s="4">
        <v>100638.28079999999</v>
      </c>
      <c r="J2952" s="4">
        <v>1006382.808</v>
      </c>
      <c r="K2952" s="4">
        <v>-43346.076000000001</v>
      </c>
      <c r="L2952" s="4">
        <v>10</v>
      </c>
    </row>
    <row r="2953" spans="1:12">
      <c r="A2953" t="s">
        <v>264</v>
      </c>
      <c r="B2953" s="10">
        <v>45454</v>
      </c>
      <c r="C2953" s="18">
        <f t="shared" si="46"/>
        <v>6</v>
      </c>
      <c r="D2953" t="s">
        <v>196</v>
      </c>
      <c r="E2953">
        <v>4872571</v>
      </c>
      <c r="F2953" t="s">
        <v>8</v>
      </c>
      <c r="G2953" t="s">
        <v>203</v>
      </c>
      <c r="H2953" t="s">
        <v>234</v>
      </c>
      <c r="I2953" s="4">
        <v>100638.28079999999</v>
      </c>
      <c r="J2953" s="4">
        <v>1006382.808</v>
      </c>
      <c r="K2953" s="4">
        <v>-43346.076000000001</v>
      </c>
      <c r="L2953" s="4">
        <v>10</v>
      </c>
    </row>
    <row r="2954" spans="1:12">
      <c r="A2954" t="s">
        <v>264</v>
      </c>
      <c r="B2954" s="10">
        <v>45454</v>
      </c>
      <c r="C2954" s="18">
        <f t="shared" si="46"/>
        <v>6</v>
      </c>
      <c r="D2954" t="s">
        <v>196</v>
      </c>
      <c r="E2954">
        <v>4872571</v>
      </c>
      <c r="F2954" t="s">
        <v>8</v>
      </c>
      <c r="G2954" t="s">
        <v>203</v>
      </c>
      <c r="H2954" t="s">
        <v>230</v>
      </c>
      <c r="I2954" s="4">
        <v>100638.28079999999</v>
      </c>
      <c r="J2954" s="4">
        <v>1006382.808</v>
      </c>
      <c r="K2954" s="4">
        <v>-43346.076000000001</v>
      </c>
      <c r="L2954" s="4">
        <v>10</v>
      </c>
    </row>
    <row r="2955" spans="1:12">
      <c r="A2955" t="s">
        <v>264</v>
      </c>
      <c r="B2955" s="10">
        <v>45454</v>
      </c>
      <c r="C2955" s="18">
        <f t="shared" si="46"/>
        <v>6</v>
      </c>
      <c r="D2955" t="s">
        <v>196</v>
      </c>
      <c r="E2955">
        <v>4872571</v>
      </c>
      <c r="F2955" t="s">
        <v>8</v>
      </c>
      <c r="G2955" t="s">
        <v>203</v>
      </c>
      <c r="H2955" t="s">
        <v>228</v>
      </c>
      <c r="I2955" s="4">
        <v>100638.28079999999</v>
      </c>
      <c r="J2955" s="4">
        <v>1006382.808</v>
      </c>
      <c r="K2955" s="4">
        <v>-43346.076000000001</v>
      </c>
      <c r="L2955" s="4">
        <v>10</v>
      </c>
    </row>
    <row r="2956" spans="1:12">
      <c r="A2956" t="s">
        <v>264</v>
      </c>
      <c r="B2956" s="10">
        <v>45454</v>
      </c>
      <c r="C2956" s="18">
        <f t="shared" si="46"/>
        <v>6</v>
      </c>
      <c r="D2956" t="s">
        <v>196</v>
      </c>
      <c r="E2956">
        <v>4872571</v>
      </c>
      <c r="F2956" t="s">
        <v>8</v>
      </c>
      <c r="G2956" t="s">
        <v>203</v>
      </c>
      <c r="H2956" t="s">
        <v>226</v>
      </c>
      <c r="I2956" s="4">
        <v>100638.28079999999</v>
      </c>
      <c r="J2956" s="4">
        <v>201276.56159999999</v>
      </c>
      <c r="K2956" s="4">
        <v>-8669.2151999999987</v>
      </c>
      <c r="L2956" s="4">
        <v>2</v>
      </c>
    </row>
    <row r="2957" spans="1:12">
      <c r="A2957" t="s">
        <v>264</v>
      </c>
      <c r="B2957" s="10">
        <v>45454</v>
      </c>
      <c r="C2957" s="18">
        <f t="shared" si="46"/>
        <v>6</v>
      </c>
      <c r="D2957" t="s">
        <v>196</v>
      </c>
      <c r="E2957">
        <v>4872571</v>
      </c>
      <c r="F2957" t="s">
        <v>8</v>
      </c>
      <c r="G2957" t="s">
        <v>203</v>
      </c>
      <c r="H2957" t="s">
        <v>244</v>
      </c>
      <c r="I2957" s="4">
        <v>125766.4408</v>
      </c>
      <c r="J2957" s="4">
        <v>1257664.4080000001</v>
      </c>
      <c r="K2957" s="4">
        <v>-56538.36</v>
      </c>
      <c r="L2957" s="4">
        <v>10</v>
      </c>
    </row>
    <row r="2958" spans="1:12">
      <c r="A2958" t="s">
        <v>264</v>
      </c>
      <c r="B2958" s="10">
        <v>45454</v>
      </c>
      <c r="C2958" s="18">
        <f t="shared" si="46"/>
        <v>6</v>
      </c>
      <c r="D2958" t="s">
        <v>196</v>
      </c>
      <c r="E2958">
        <v>4872571</v>
      </c>
      <c r="F2958" t="s">
        <v>8</v>
      </c>
      <c r="G2958" t="s">
        <v>203</v>
      </c>
      <c r="H2958" t="s">
        <v>241</v>
      </c>
      <c r="I2958" s="4">
        <v>125766.4408</v>
      </c>
      <c r="J2958" s="4">
        <v>628832.20400000003</v>
      </c>
      <c r="K2958" s="4">
        <v>-28269.18</v>
      </c>
      <c r="L2958" s="4">
        <v>5</v>
      </c>
    </row>
    <row r="2959" spans="1:12">
      <c r="A2959" t="s">
        <v>264</v>
      </c>
      <c r="B2959" s="10">
        <v>45454</v>
      </c>
      <c r="C2959" s="18">
        <f t="shared" si="46"/>
        <v>6</v>
      </c>
      <c r="D2959" t="s">
        <v>196</v>
      </c>
      <c r="E2959">
        <v>4876950</v>
      </c>
      <c r="F2959" t="s">
        <v>8</v>
      </c>
      <c r="G2959" t="s">
        <v>202</v>
      </c>
      <c r="H2959" t="s">
        <v>259</v>
      </c>
      <c r="I2959" s="4">
        <v>30279.432800000002</v>
      </c>
      <c r="J2959" s="4">
        <v>1029500.7152000001</v>
      </c>
      <c r="K2959" s="4">
        <v>-51261.446400000001</v>
      </c>
      <c r="L2959" s="4">
        <v>34</v>
      </c>
    </row>
    <row r="2960" spans="1:12">
      <c r="A2960" t="s">
        <v>264</v>
      </c>
      <c r="B2960" s="10">
        <v>45454</v>
      </c>
      <c r="C2960" s="18">
        <f t="shared" si="46"/>
        <v>6</v>
      </c>
      <c r="D2960" t="s">
        <v>196</v>
      </c>
      <c r="E2960">
        <v>4878536</v>
      </c>
      <c r="F2960" t="s">
        <v>8</v>
      </c>
      <c r="G2960" t="s">
        <v>202</v>
      </c>
      <c r="H2960" t="s">
        <v>261</v>
      </c>
      <c r="I2960" s="4">
        <v>41587.104800000001</v>
      </c>
      <c r="J2960" s="4">
        <v>623806.57200000004</v>
      </c>
      <c r="K2960" s="4">
        <v>-31096.098000000002</v>
      </c>
      <c r="L2960" s="4">
        <v>15</v>
      </c>
    </row>
    <row r="2961" spans="1:12">
      <c r="A2961" t="s">
        <v>264</v>
      </c>
      <c r="B2961" s="10">
        <v>45454</v>
      </c>
      <c r="C2961" s="18">
        <f t="shared" si="46"/>
        <v>6</v>
      </c>
      <c r="D2961" t="s">
        <v>196</v>
      </c>
      <c r="E2961">
        <v>4878536</v>
      </c>
      <c r="F2961" t="s">
        <v>8</v>
      </c>
      <c r="G2961" t="s">
        <v>202</v>
      </c>
      <c r="H2961" t="s">
        <v>256</v>
      </c>
      <c r="I2961" s="4">
        <v>64202.448800000006</v>
      </c>
      <c r="J2961" s="4">
        <v>963036.73200000008</v>
      </c>
      <c r="K2961" s="4">
        <v>-48057.606</v>
      </c>
      <c r="L2961" s="4">
        <v>15</v>
      </c>
    </row>
    <row r="2962" spans="1:12">
      <c r="A2962" t="s">
        <v>264</v>
      </c>
      <c r="B2962" s="10">
        <v>45454</v>
      </c>
      <c r="C2962" s="18">
        <f t="shared" si="46"/>
        <v>6</v>
      </c>
      <c r="D2962" t="s">
        <v>196</v>
      </c>
      <c r="E2962">
        <v>4875440</v>
      </c>
      <c r="F2962" t="s">
        <v>8</v>
      </c>
      <c r="G2962" t="s">
        <v>204</v>
      </c>
      <c r="H2962" t="s">
        <v>217</v>
      </c>
      <c r="I2962" s="4">
        <v>78022.936799999996</v>
      </c>
      <c r="J2962" s="4">
        <v>3901146.84</v>
      </c>
      <c r="K2962" s="4">
        <v>-179038.13999999998</v>
      </c>
      <c r="L2962" s="4">
        <v>50</v>
      </c>
    </row>
    <row r="2963" spans="1:12">
      <c r="A2963" t="s">
        <v>264</v>
      </c>
      <c r="B2963" s="10">
        <v>45454</v>
      </c>
      <c r="C2963" s="18">
        <f t="shared" si="46"/>
        <v>6</v>
      </c>
      <c r="D2963" t="s">
        <v>196</v>
      </c>
      <c r="E2963">
        <v>4873723</v>
      </c>
      <c r="F2963" t="s">
        <v>8</v>
      </c>
      <c r="G2963" t="s">
        <v>203</v>
      </c>
      <c r="H2963" t="s">
        <v>234</v>
      </c>
      <c r="I2963" s="4">
        <v>100638.28079999999</v>
      </c>
      <c r="J2963" s="4">
        <v>201276.56159999999</v>
      </c>
      <c r="K2963" s="4">
        <v>-8669.2151999999987</v>
      </c>
      <c r="L2963" s="4">
        <v>2</v>
      </c>
    </row>
    <row r="2964" spans="1:12">
      <c r="A2964" t="s">
        <v>264</v>
      </c>
      <c r="B2964" s="10">
        <v>45454</v>
      </c>
      <c r="C2964" s="18">
        <f t="shared" si="46"/>
        <v>6</v>
      </c>
      <c r="D2964" t="s">
        <v>196</v>
      </c>
      <c r="E2964">
        <v>4872203</v>
      </c>
      <c r="F2964" t="s">
        <v>8</v>
      </c>
      <c r="G2964" t="s">
        <v>203</v>
      </c>
      <c r="H2964" t="s">
        <v>244</v>
      </c>
      <c r="I2964" s="4">
        <v>125766.4408</v>
      </c>
      <c r="J2964" s="4">
        <v>1257664.4080000001</v>
      </c>
      <c r="K2964" s="4">
        <v>-56538.36</v>
      </c>
      <c r="L2964" s="4">
        <v>10</v>
      </c>
    </row>
    <row r="2965" spans="1:12">
      <c r="A2965" t="s">
        <v>264</v>
      </c>
      <c r="B2965" s="10">
        <v>45454</v>
      </c>
      <c r="C2965" s="18">
        <f t="shared" si="46"/>
        <v>6</v>
      </c>
      <c r="D2965" t="s">
        <v>196</v>
      </c>
      <c r="E2965">
        <v>4872203</v>
      </c>
      <c r="F2965" t="s">
        <v>8</v>
      </c>
      <c r="G2965" t="s">
        <v>203</v>
      </c>
      <c r="H2965" t="s">
        <v>241</v>
      </c>
      <c r="I2965" s="4">
        <v>125766.4408</v>
      </c>
      <c r="J2965" s="4">
        <v>1257664.4080000001</v>
      </c>
      <c r="K2965" s="4">
        <v>-56538.36</v>
      </c>
      <c r="L2965" s="4">
        <v>10</v>
      </c>
    </row>
    <row r="2966" spans="1:12">
      <c r="A2966" t="s">
        <v>264</v>
      </c>
      <c r="B2966" s="10">
        <v>45454</v>
      </c>
      <c r="C2966" s="18">
        <f t="shared" si="46"/>
        <v>6</v>
      </c>
      <c r="D2966" t="s">
        <v>196</v>
      </c>
      <c r="E2966">
        <v>4872203</v>
      </c>
      <c r="F2966" t="s">
        <v>8</v>
      </c>
      <c r="G2966" t="s">
        <v>203</v>
      </c>
      <c r="H2966" t="s">
        <v>239</v>
      </c>
      <c r="I2966" s="4">
        <v>125766.4408</v>
      </c>
      <c r="J2966" s="4">
        <v>-125766.4408</v>
      </c>
      <c r="K2966" s="4">
        <v>5653.8360000000002</v>
      </c>
      <c r="L2966" s="4">
        <v>-1</v>
      </c>
    </row>
    <row r="2967" spans="1:12">
      <c r="A2967" t="s">
        <v>264</v>
      </c>
      <c r="B2967" s="10">
        <v>45454</v>
      </c>
      <c r="C2967" s="18">
        <f t="shared" si="46"/>
        <v>6</v>
      </c>
      <c r="D2967" t="s">
        <v>196</v>
      </c>
      <c r="E2967">
        <v>4872203</v>
      </c>
      <c r="F2967" t="s">
        <v>8</v>
      </c>
      <c r="G2967" t="s">
        <v>203</v>
      </c>
      <c r="H2967" t="s">
        <v>231</v>
      </c>
      <c r="I2967" s="4">
        <v>125766.4408</v>
      </c>
      <c r="J2967" s="4">
        <v>4150292.5463999999</v>
      </c>
      <c r="K2967" s="4">
        <v>-186576.58799999999</v>
      </c>
      <c r="L2967" s="4">
        <v>33</v>
      </c>
    </row>
    <row r="2968" spans="1:12">
      <c r="A2968" t="s">
        <v>264</v>
      </c>
      <c r="B2968" s="10">
        <v>45454</v>
      </c>
      <c r="C2968" s="18">
        <f t="shared" si="46"/>
        <v>6</v>
      </c>
      <c r="D2968" t="s">
        <v>196</v>
      </c>
      <c r="E2968">
        <v>4872203</v>
      </c>
      <c r="F2968" t="s">
        <v>8</v>
      </c>
      <c r="G2968" t="s">
        <v>203</v>
      </c>
      <c r="H2968" t="s">
        <v>229</v>
      </c>
      <c r="I2968" s="4">
        <v>125766.4408</v>
      </c>
      <c r="J2968" s="4">
        <v>-125766.4408</v>
      </c>
      <c r="K2968" s="4">
        <v>5653.8360000000002</v>
      </c>
      <c r="L2968" s="4">
        <v>-1</v>
      </c>
    </row>
    <row r="2969" spans="1:12">
      <c r="A2969" t="s">
        <v>264</v>
      </c>
      <c r="B2969" s="10">
        <v>45454</v>
      </c>
      <c r="C2969" s="18">
        <f t="shared" si="46"/>
        <v>6</v>
      </c>
      <c r="D2969" t="s">
        <v>196</v>
      </c>
      <c r="E2969">
        <v>4876759</v>
      </c>
      <c r="F2969" t="s">
        <v>8</v>
      </c>
      <c r="G2969" t="s">
        <v>203</v>
      </c>
      <c r="H2969" t="s">
        <v>232</v>
      </c>
      <c r="I2969" s="4">
        <v>100638.28079999999</v>
      </c>
      <c r="J2969" s="4">
        <v>1006382.808</v>
      </c>
      <c r="K2969" s="4">
        <v>-43346.076000000001</v>
      </c>
      <c r="L2969" s="4">
        <v>10</v>
      </c>
    </row>
    <row r="2970" spans="1:12">
      <c r="A2970" t="s">
        <v>264</v>
      </c>
      <c r="B2970" s="10">
        <v>45454</v>
      </c>
      <c r="C2970" s="18">
        <f t="shared" si="46"/>
        <v>6</v>
      </c>
      <c r="D2970" t="s">
        <v>196</v>
      </c>
      <c r="E2970">
        <v>4876759</v>
      </c>
      <c r="F2970" t="s">
        <v>8</v>
      </c>
      <c r="G2970" t="s">
        <v>203</v>
      </c>
      <c r="H2970" t="s">
        <v>230</v>
      </c>
      <c r="I2970" s="4">
        <v>100638.28079999999</v>
      </c>
      <c r="J2970" s="4">
        <v>1006382.808</v>
      </c>
      <c r="K2970" s="4">
        <v>-43346.076000000001</v>
      </c>
      <c r="L2970" s="4">
        <v>10</v>
      </c>
    </row>
    <row r="2971" spans="1:12">
      <c r="A2971" t="s">
        <v>264</v>
      </c>
      <c r="B2971" s="10">
        <v>45454</v>
      </c>
      <c r="C2971" s="18">
        <f t="shared" si="46"/>
        <v>6</v>
      </c>
      <c r="D2971" t="s">
        <v>196</v>
      </c>
      <c r="E2971">
        <v>4876759</v>
      </c>
      <c r="F2971" t="s">
        <v>8</v>
      </c>
      <c r="G2971" t="s">
        <v>203</v>
      </c>
      <c r="H2971" t="s">
        <v>228</v>
      </c>
      <c r="I2971" s="4">
        <v>100638.28079999999</v>
      </c>
      <c r="J2971" s="4">
        <v>201276.56159999999</v>
      </c>
      <c r="K2971" s="4">
        <v>-8669.2151999999987</v>
      </c>
      <c r="L2971" s="4">
        <v>2</v>
      </c>
    </row>
    <row r="2972" spans="1:12">
      <c r="A2972" t="s">
        <v>264</v>
      </c>
      <c r="B2972" s="10">
        <v>45454</v>
      </c>
      <c r="C2972" s="18">
        <f t="shared" si="46"/>
        <v>6</v>
      </c>
      <c r="D2972" t="s">
        <v>196</v>
      </c>
      <c r="E2972">
        <v>4876759</v>
      </c>
      <c r="F2972" t="s">
        <v>8</v>
      </c>
      <c r="G2972" t="s">
        <v>203</v>
      </c>
      <c r="H2972" t="s">
        <v>227</v>
      </c>
      <c r="I2972" s="4">
        <v>100638.28079999999</v>
      </c>
      <c r="J2972" s="4">
        <v>1006382.808</v>
      </c>
      <c r="K2972" s="4">
        <v>-43346.076000000001</v>
      </c>
      <c r="L2972" s="4">
        <v>10</v>
      </c>
    </row>
    <row r="2973" spans="1:12">
      <c r="A2973" t="s">
        <v>264</v>
      </c>
      <c r="B2973" s="10">
        <v>45454</v>
      </c>
      <c r="C2973" s="18">
        <f t="shared" si="46"/>
        <v>6</v>
      </c>
      <c r="D2973" t="s">
        <v>196</v>
      </c>
      <c r="E2973">
        <v>4876759</v>
      </c>
      <c r="F2973" t="s">
        <v>8</v>
      </c>
      <c r="G2973" t="s">
        <v>203</v>
      </c>
      <c r="H2973" t="s">
        <v>225</v>
      </c>
      <c r="I2973" s="4">
        <v>100638.28079999999</v>
      </c>
      <c r="J2973" s="4">
        <v>1006382.808</v>
      </c>
      <c r="K2973" s="4">
        <v>-43346.076000000001</v>
      </c>
      <c r="L2973" s="4">
        <v>10</v>
      </c>
    </row>
    <row r="2974" spans="1:12">
      <c r="A2974" t="s">
        <v>264</v>
      </c>
      <c r="B2974" s="10">
        <v>45454</v>
      </c>
      <c r="C2974" s="18">
        <f t="shared" si="46"/>
        <v>6</v>
      </c>
      <c r="D2974" t="s">
        <v>196</v>
      </c>
      <c r="E2974">
        <v>4876759</v>
      </c>
      <c r="F2974" t="s">
        <v>8</v>
      </c>
      <c r="G2974" t="s">
        <v>203</v>
      </c>
      <c r="H2974" t="s">
        <v>224</v>
      </c>
      <c r="I2974" s="4">
        <v>100638.28079999999</v>
      </c>
      <c r="J2974" s="4">
        <v>1006382.808</v>
      </c>
      <c r="K2974" s="4">
        <v>-43346.076000000001</v>
      </c>
      <c r="L2974" s="4">
        <v>10</v>
      </c>
    </row>
    <row r="2975" spans="1:12">
      <c r="A2975" t="s">
        <v>264</v>
      </c>
      <c r="B2975" s="10">
        <v>45454</v>
      </c>
      <c r="C2975" s="18">
        <f t="shared" si="46"/>
        <v>6</v>
      </c>
      <c r="D2975" t="s">
        <v>196</v>
      </c>
      <c r="E2975">
        <v>4876759</v>
      </c>
      <c r="F2975" t="s">
        <v>8</v>
      </c>
      <c r="G2975" t="s">
        <v>203</v>
      </c>
      <c r="H2975" t="s">
        <v>241</v>
      </c>
      <c r="I2975" s="4">
        <v>125766.4408</v>
      </c>
      <c r="J2975" s="4">
        <v>1257664.4080000001</v>
      </c>
      <c r="K2975" s="4">
        <v>-56538.36</v>
      </c>
      <c r="L2975" s="4">
        <v>10</v>
      </c>
    </row>
    <row r="2976" spans="1:12">
      <c r="A2976" t="s">
        <v>264</v>
      </c>
      <c r="B2976" s="10">
        <v>45454</v>
      </c>
      <c r="C2976" s="18">
        <f t="shared" si="46"/>
        <v>6</v>
      </c>
      <c r="D2976" t="s">
        <v>196</v>
      </c>
      <c r="E2976">
        <v>4876759</v>
      </c>
      <c r="F2976" t="s">
        <v>8</v>
      </c>
      <c r="G2976" t="s">
        <v>203</v>
      </c>
      <c r="H2976" t="s">
        <v>231</v>
      </c>
      <c r="I2976" s="4">
        <v>125766.4408</v>
      </c>
      <c r="J2976" s="4">
        <v>1257664.4080000001</v>
      </c>
      <c r="K2976" s="4">
        <v>-56538.36</v>
      </c>
      <c r="L2976" s="4">
        <v>10</v>
      </c>
    </row>
    <row r="2977" spans="1:12">
      <c r="A2977" t="s">
        <v>264</v>
      </c>
      <c r="B2977" s="10">
        <v>45454</v>
      </c>
      <c r="C2977" s="18">
        <f t="shared" si="46"/>
        <v>6</v>
      </c>
      <c r="D2977" t="s">
        <v>196</v>
      </c>
      <c r="E2977">
        <v>4877306</v>
      </c>
      <c r="F2977" t="s">
        <v>8</v>
      </c>
      <c r="G2977" t="s">
        <v>203</v>
      </c>
      <c r="H2977" t="s">
        <v>232</v>
      </c>
      <c r="I2977" s="4">
        <v>100638.28079999999</v>
      </c>
      <c r="J2977" s="4">
        <v>201276.56159999999</v>
      </c>
      <c r="K2977" s="4">
        <v>-8669.2151999999987</v>
      </c>
      <c r="L2977" s="4">
        <v>2</v>
      </c>
    </row>
    <row r="2978" spans="1:12">
      <c r="A2978" t="s">
        <v>264</v>
      </c>
      <c r="B2978" s="10">
        <v>45454</v>
      </c>
      <c r="C2978" s="18">
        <f t="shared" si="46"/>
        <v>6</v>
      </c>
      <c r="D2978" t="s">
        <v>196</v>
      </c>
      <c r="E2978">
        <v>4877306</v>
      </c>
      <c r="F2978" t="s">
        <v>8</v>
      </c>
      <c r="G2978" t="s">
        <v>203</v>
      </c>
      <c r="H2978" t="s">
        <v>226</v>
      </c>
      <c r="I2978" s="4">
        <v>100638.28079999999</v>
      </c>
      <c r="J2978" s="4">
        <v>201276.56159999999</v>
      </c>
      <c r="K2978" s="4">
        <v>-8669.2151999999987</v>
      </c>
      <c r="L2978" s="4">
        <v>2</v>
      </c>
    </row>
    <row r="2979" spans="1:12">
      <c r="A2979" t="s">
        <v>264</v>
      </c>
      <c r="B2979" s="10">
        <v>45454</v>
      </c>
      <c r="C2979" s="18">
        <f t="shared" si="46"/>
        <v>6</v>
      </c>
      <c r="D2979" t="s">
        <v>196</v>
      </c>
      <c r="E2979">
        <v>4877306</v>
      </c>
      <c r="F2979" t="s">
        <v>8</v>
      </c>
      <c r="G2979" t="s">
        <v>202</v>
      </c>
      <c r="H2979" t="s">
        <v>261</v>
      </c>
      <c r="I2979" s="4">
        <v>41587.104800000001</v>
      </c>
      <c r="J2979" s="4">
        <v>124761.3144</v>
      </c>
      <c r="K2979" s="4">
        <v>-6219.2196000000004</v>
      </c>
      <c r="L2979" s="4">
        <v>3</v>
      </c>
    </row>
    <row r="2980" spans="1:12">
      <c r="A2980" t="s">
        <v>264</v>
      </c>
      <c r="B2980" s="10">
        <v>45454</v>
      </c>
      <c r="C2980" s="18">
        <f t="shared" si="46"/>
        <v>6</v>
      </c>
      <c r="D2980" t="s">
        <v>196</v>
      </c>
      <c r="E2980">
        <v>4877306</v>
      </c>
      <c r="F2980" t="s">
        <v>8</v>
      </c>
      <c r="G2980" t="s">
        <v>202</v>
      </c>
      <c r="H2980" t="s">
        <v>260</v>
      </c>
      <c r="I2980" s="4">
        <v>41587.104800000001</v>
      </c>
      <c r="J2980" s="4">
        <v>124761.3144</v>
      </c>
      <c r="K2980" s="4">
        <v>-6219.2196000000004</v>
      </c>
      <c r="L2980" s="4">
        <v>3</v>
      </c>
    </row>
    <row r="2981" spans="1:12">
      <c r="A2981" t="s">
        <v>264</v>
      </c>
      <c r="B2981" s="10">
        <v>45454</v>
      </c>
      <c r="C2981" s="18">
        <f t="shared" si="46"/>
        <v>6</v>
      </c>
      <c r="D2981" t="s">
        <v>196</v>
      </c>
      <c r="E2981">
        <v>4877306</v>
      </c>
      <c r="F2981" t="s">
        <v>8</v>
      </c>
      <c r="G2981" t="s">
        <v>202</v>
      </c>
      <c r="H2981" t="s">
        <v>259</v>
      </c>
      <c r="I2981" s="4">
        <v>30279.432800000002</v>
      </c>
      <c r="J2981" s="4">
        <v>60558.865600000005</v>
      </c>
      <c r="K2981" s="4">
        <v>-3015.3791999999999</v>
      </c>
      <c r="L2981" s="4">
        <v>2</v>
      </c>
    </row>
    <row r="2982" spans="1:12">
      <c r="A2982" t="s">
        <v>264</v>
      </c>
      <c r="B2982" s="10">
        <v>45454</v>
      </c>
      <c r="C2982" s="18">
        <f t="shared" si="46"/>
        <v>6</v>
      </c>
      <c r="D2982" t="s">
        <v>196</v>
      </c>
      <c r="E2982">
        <v>4877306</v>
      </c>
      <c r="F2982" t="s">
        <v>8</v>
      </c>
      <c r="G2982" t="s">
        <v>202</v>
      </c>
      <c r="H2982" t="s">
        <v>258</v>
      </c>
      <c r="I2982" s="4">
        <v>37817.880799999999</v>
      </c>
      <c r="J2982" s="4">
        <v>75635.761599999998</v>
      </c>
      <c r="K2982" s="4">
        <v>-3769.2239999999997</v>
      </c>
      <c r="L2982" s="4">
        <v>2</v>
      </c>
    </row>
    <row r="2983" spans="1:12">
      <c r="A2983" t="s">
        <v>264</v>
      </c>
      <c r="B2983" s="10">
        <v>45454</v>
      </c>
      <c r="C2983" s="18">
        <f t="shared" si="46"/>
        <v>6</v>
      </c>
      <c r="D2983" t="s">
        <v>196</v>
      </c>
      <c r="E2983">
        <v>4877306</v>
      </c>
      <c r="F2983" t="s">
        <v>8</v>
      </c>
      <c r="G2983" t="s">
        <v>202</v>
      </c>
      <c r="H2983" t="s">
        <v>256</v>
      </c>
      <c r="I2983" s="4">
        <v>64202.448800000006</v>
      </c>
      <c r="J2983" s="4">
        <v>192607.34640000001</v>
      </c>
      <c r="K2983" s="4">
        <v>-9611.5211999999992</v>
      </c>
      <c r="L2983" s="4">
        <v>3</v>
      </c>
    </row>
    <row r="2984" spans="1:12">
      <c r="A2984" t="s">
        <v>264</v>
      </c>
      <c r="B2984" s="10">
        <v>45455</v>
      </c>
      <c r="C2984" s="18">
        <f t="shared" si="46"/>
        <v>6</v>
      </c>
      <c r="D2984" t="s">
        <v>196</v>
      </c>
      <c r="E2984">
        <v>4872162</v>
      </c>
      <c r="F2984" t="s">
        <v>8</v>
      </c>
      <c r="G2984" t="s">
        <v>204</v>
      </c>
      <c r="H2984" t="s">
        <v>213</v>
      </c>
      <c r="I2984" s="4">
        <v>119484.4008</v>
      </c>
      <c r="J2984" s="4">
        <v>1792266.0120000001</v>
      </c>
      <c r="K2984" s="4">
        <v>-89519.069999999992</v>
      </c>
      <c r="L2984" s="4">
        <v>15</v>
      </c>
    </row>
    <row r="2985" spans="1:12">
      <c r="A2985" t="s">
        <v>264</v>
      </c>
      <c r="B2985" s="10">
        <v>45455</v>
      </c>
      <c r="C2985" s="18">
        <f t="shared" si="46"/>
        <v>6</v>
      </c>
      <c r="D2985" t="s">
        <v>196</v>
      </c>
      <c r="E2985">
        <v>4872162</v>
      </c>
      <c r="F2985" t="s">
        <v>8</v>
      </c>
      <c r="G2985" t="s">
        <v>204</v>
      </c>
      <c r="H2985" t="s">
        <v>212</v>
      </c>
      <c r="I2985" s="4">
        <v>62946.040799999995</v>
      </c>
      <c r="J2985" s="4">
        <v>1258920.8159999999</v>
      </c>
      <c r="K2985" s="4">
        <v>-37692.239999999998</v>
      </c>
      <c r="L2985" s="4">
        <v>20</v>
      </c>
    </row>
    <row r="2986" spans="1:12">
      <c r="A2986" t="s">
        <v>264</v>
      </c>
      <c r="B2986" s="10">
        <v>45455</v>
      </c>
      <c r="C2986" s="18">
        <f t="shared" si="46"/>
        <v>6</v>
      </c>
      <c r="D2986" t="s">
        <v>196</v>
      </c>
      <c r="E2986">
        <v>4873723</v>
      </c>
      <c r="F2986" t="s">
        <v>8</v>
      </c>
      <c r="G2986" t="s">
        <v>203</v>
      </c>
      <c r="H2986" t="s">
        <v>234</v>
      </c>
      <c r="I2986" s="4">
        <v>100638.28079999999</v>
      </c>
      <c r="J2986" s="4">
        <v>201276.56159999999</v>
      </c>
      <c r="K2986" s="4">
        <v>-8669.2151999999987</v>
      </c>
      <c r="L2986" s="4">
        <v>2</v>
      </c>
    </row>
    <row r="2987" spans="1:12">
      <c r="A2987" t="s">
        <v>264</v>
      </c>
      <c r="B2987" s="10">
        <v>45455</v>
      </c>
      <c r="C2987" s="18">
        <f t="shared" si="46"/>
        <v>6</v>
      </c>
      <c r="D2987" t="s">
        <v>196</v>
      </c>
      <c r="E2987">
        <v>4872200</v>
      </c>
      <c r="F2987" t="s">
        <v>8</v>
      </c>
      <c r="G2987" t="s">
        <v>203</v>
      </c>
      <c r="H2987" t="s">
        <v>236</v>
      </c>
      <c r="I2987" s="4">
        <v>100638.28079999999</v>
      </c>
      <c r="J2987" s="4">
        <v>1006382.808</v>
      </c>
      <c r="K2987" s="4">
        <v>-43346.076000000001</v>
      </c>
      <c r="L2987" s="4">
        <v>10</v>
      </c>
    </row>
    <row r="2988" spans="1:12">
      <c r="A2988" t="s">
        <v>264</v>
      </c>
      <c r="B2988" s="10">
        <v>45455</v>
      </c>
      <c r="C2988" s="18">
        <f t="shared" si="46"/>
        <v>6</v>
      </c>
      <c r="D2988" t="s">
        <v>196</v>
      </c>
      <c r="E2988">
        <v>4872200</v>
      </c>
      <c r="F2988" t="s">
        <v>8</v>
      </c>
      <c r="G2988" t="s">
        <v>203</v>
      </c>
      <c r="H2988" t="s">
        <v>230</v>
      </c>
      <c r="I2988" s="4">
        <v>100638.28079999999</v>
      </c>
      <c r="J2988" s="4">
        <v>2012765.6159999999</v>
      </c>
      <c r="K2988" s="4">
        <v>-86692.152000000002</v>
      </c>
      <c r="L2988" s="4">
        <v>20</v>
      </c>
    </row>
    <row r="2989" spans="1:12">
      <c r="A2989" t="s">
        <v>264</v>
      </c>
      <c r="B2989" s="10">
        <v>45455</v>
      </c>
      <c r="C2989" s="18">
        <f t="shared" si="46"/>
        <v>6</v>
      </c>
      <c r="D2989" t="s">
        <v>196</v>
      </c>
      <c r="E2989">
        <v>4872200</v>
      </c>
      <c r="F2989" t="s">
        <v>8</v>
      </c>
      <c r="G2989" t="s">
        <v>203</v>
      </c>
      <c r="H2989" t="s">
        <v>224</v>
      </c>
      <c r="I2989" s="4">
        <v>100638.28079999999</v>
      </c>
      <c r="J2989" s="4">
        <v>1006382.808</v>
      </c>
      <c r="K2989" s="4">
        <v>-43346.076000000001</v>
      </c>
      <c r="L2989" s="4">
        <v>10</v>
      </c>
    </row>
    <row r="2990" spans="1:12">
      <c r="A2990" t="s">
        <v>264</v>
      </c>
      <c r="B2990" s="10">
        <v>45456</v>
      </c>
      <c r="C2990" s="18">
        <f t="shared" si="46"/>
        <v>6</v>
      </c>
      <c r="D2990" t="s">
        <v>196</v>
      </c>
      <c r="E2990">
        <v>4872163</v>
      </c>
      <c r="F2990" t="s">
        <v>8</v>
      </c>
      <c r="G2990" t="s">
        <v>203</v>
      </c>
      <c r="H2990" t="s">
        <v>236</v>
      </c>
      <c r="I2990" s="4">
        <v>100638.28079999999</v>
      </c>
      <c r="J2990" s="4">
        <v>1006382.808</v>
      </c>
      <c r="K2990" s="4">
        <v>-43346.076000000001</v>
      </c>
      <c r="L2990" s="4">
        <v>10</v>
      </c>
    </row>
    <row r="2991" spans="1:12">
      <c r="A2991" t="s">
        <v>264</v>
      </c>
      <c r="B2991" s="10">
        <v>45456</v>
      </c>
      <c r="C2991" s="18">
        <f t="shared" si="46"/>
        <v>6</v>
      </c>
      <c r="D2991" t="s">
        <v>196</v>
      </c>
      <c r="E2991">
        <v>4872163</v>
      </c>
      <c r="F2991" t="s">
        <v>8</v>
      </c>
      <c r="G2991" t="s">
        <v>203</v>
      </c>
      <c r="H2991" t="s">
        <v>234</v>
      </c>
      <c r="I2991" s="4">
        <v>100638.28079999999</v>
      </c>
      <c r="J2991" s="4">
        <v>603829.68479999993</v>
      </c>
      <c r="K2991" s="4">
        <v>-26007.645599999996</v>
      </c>
      <c r="L2991" s="4">
        <v>6</v>
      </c>
    </row>
    <row r="2992" spans="1:12">
      <c r="A2992" t="s">
        <v>264</v>
      </c>
      <c r="B2992" s="10">
        <v>45456</v>
      </c>
      <c r="C2992" s="18">
        <f t="shared" si="46"/>
        <v>6</v>
      </c>
      <c r="D2992" t="s">
        <v>196</v>
      </c>
      <c r="E2992">
        <v>4872163</v>
      </c>
      <c r="F2992" t="s">
        <v>8</v>
      </c>
      <c r="G2992" t="s">
        <v>203</v>
      </c>
      <c r="H2992" t="s">
        <v>230</v>
      </c>
      <c r="I2992" s="4">
        <v>100638.28079999999</v>
      </c>
      <c r="J2992" s="4">
        <v>1610212.4927999999</v>
      </c>
      <c r="K2992" s="4">
        <v>-69353.72159999999</v>
      </c>
      <c r="L2992" s="4">
        <v>16</v>
      </c>
    </row>
    <row r="2993" spans="1:12">
      <c r="A2993" t="s">
        <v>264</v>
      </c>
      <c r="B2993" s="10">
        <v>45456</v>
      </c>
      <c r="C2993" s="18">
        <f t="shared" si="46"/>
        <v>6</v>
      </c>
      <c r="D2993" t="s">
        <v>196</v>
      </c>
      <c r="E2993">
        <v>4872163</v>
      </c>
      <c r="F2993" t="s">
        <v>8</v>
      </c>
      <c r="G2993" t="s">
        <v>203</v>
      </c>
      <c r="H2993" t="s">
        <v>227</v>
      </c>
      <c r="I2993" s="4">
        <v>100638.28079999999</v>
      </c>
      <c r="J2993" s="4">
        <v>402553.12319999997</v>
      </c>
      <c r="K2993" s="4">
        <v>-17338.430399999997</v>
      </c>
      <c r="L2993" s="4">
        <v>4</v>
      </c>
    </row>
    <row r="2994" spans="1:12">
      <c r="A2994" t="s">
        <v>264</v>
      </c>
      <c r="B2994" s="10">
        <v>45456</v>
      </c>
      <c r="C2994" s="18">
        <f t="shared" si="46"/>
        <v>6</v>
      </c>
      <c r="D2994" t="s">
        <v>196</v>
      </c>
      <c r="E2994">
        <v>4872163</v>
      </c>
      <c r="F2994" t="s">
        <v>8</v>
      </c>
      <c r="G2994" t="s">
        <v>203</v>
      </c>
      <c r="H2994" t="s">
        <v>225</v>
      </c>
      <c r="I2994" s="4">
        <v>100638.28079999999</v>
      </c>
      <c r="J2994" s="4">
        <v>1408935.9312</v>
      </c>
      <c r="K2994" s="4">
        <v>-60684.506399999998</v>
      </c>
      <c r="L2994" s="4">
        <v>14</v>
      </c>
    </row>
    <row r="2995" spans="1:12">
      <c r="A2995" t="s">
        <v>264</v>
      </c>
      <c r="B2995" s="10">
        <v>45456</v>
      </c>
      <c r="C2995" s="18">
        <f t="shared" si="46"/>
        <v>6</v>
      </c>
      <c r="D2995" t="s">
        <v>196</v>
      </c>
      <c r="E2995">
        <v>4872163</v>
      </c>
      <c r="F2995" t="s">
        <v>8</v>
      </c>
      <c r="G2995" t="s">
        <v>203</v>
      </c>
      <c r="H2995" t="s">
        <v>244</v>
      </c>
      <c r="I2995" s="4">
        <v>125766.4408</v>
      </c>
      <c r="J2995" s="4">
        <v>754598.64480000001</v>
      </c>
      <c r="K2995" s="4">
        <v>-33923.016000000003</v>
      </c>
      <c r="L2995" s="4">
        <v>6</v>
      </c>
    </row>
    <row r="2996" spans="1:12">
      <c r="A2996" t="s">
        <v>264</v>
      </c>
      <c r="B2996" s="10">
        <v>45456</v>
      </c>
      <c r="C2996" s="18">
        <f t="shared" si="46"/>
        <v>6</v>
      </c>
      <c r="D2996" t="s">
        <v>196</v>
      </c>
      <c r="E2996">
        <v>4872163</v>
      </c>
      <c r="F2996" t="s">
        <v>8</v>
      </c>
      <c r="G2996" t="s">
        <v>203</v>
      </c>
      <c r="H2996" t="s">
        <v>241</v>
      </c>
      <c r="I2996" s="4">
        <v>125766.4408</v>
      </c>
      <c r="J2996" s="4">
        <v>2515328.8160000001</v>
      </c>
      <c r="K2996" s="4">
        <v>-113076.72</v>
      </c>
      <c r="L2996" s="4">
        <v>20</v>
      </c>
    </row>
    <row r="2997" spans="1:12">
      <c r="A2997" t="s">
        <v>264</v>
      </c>
      <c r="B2997" s="10">
        <v>45457</v>
      </c>
      <c r="C2997" s="18">
        <f t="shared" si="46"/>
        <v>6</v>
      </c>
      <c r="D2997" t="s">
        <v>196</v>
      </c>
      <c r="E2997">
        <v>4872706</v>
      </c>
      <c r="F2997" t="s">
        <v>8</v>
      </c>
      <c r="G2997" t="s">
        <v>204</v>
      </c>
      <c r="H2997" t="s">
        <v>217</v>
      </c>
      <c r="I2997" s="4">
        <v>78022.936799999996</v>
      </c>
      <c r="J2997" s="4">
        <v>312091.74719999998</v>
      </c>
      <c r="K2997" s="4">
        <v>-14323.051199999998</v>
      </c>
      <c r="L2997" s="4">
        <v>4</v>
      </c>
    </row>
    <row r="2998" spans="1:12">
      <c r="A2998" t="s">
        <v>264</v>
      </c>
      <c r="B2998" s="10">
        <v>45457</v>
      </c>
      <c r="C2998" s="18">
        <f t="shared" si="46"/>
        <v>6</v>
      </c>
      <c r="D2998" t="s">
        <v>196</v>
      </c>
      <c r="E2998">
        <v>4872706</v>
      </c>
      <c r="F2998" t="s">
        <v>8</v>
      </c>
      <c r="G2998" t="s">
        <v>204</v>
      </c>
      <c r="H2998" t="s">
        <v>215</v>
      </c>
      <c r="I2998" s="4">
        <v>75510.12079999999</v>
      </c>
      <c r="J2998" s="4">
        <v>302040.48319999996</v>
      </c>
      <c r="K2998" s="4">
        <v>-15076.895999999999</v>
      </c>
      <c r="L2998" s="4">
        <v>4</v>
      </c>
    </row>
    <row r="2999" spans="1:12">
      <c r="A2999" t="s">
        <v>264</v>
      </c>
      <c r="B2999" s="10">
        <v>45457</v>
      </c>
      <c r="C2999" s="18">
        <f t="shared" si="46"/>
        <v>6</v>
      </c>
      <c r="D2999" t="s">
        <v>196</v>
      </c>
      <c r="E2999">
        <v>4871657</v>
      </c>
      <c r="F2999" t="s">
        <v>8</v>
      </c>
      <c r="G2999" t="s">
        <v>203</v>
      </c>
      <c r="H2999" t="s">
        <v>227</v>
      </c>
      <c r="I2999" s="4">
        <v>100638.28079999999</v>
      </c>
      <c r="J2999" s="4">
        <v>402553.12319999997</v>
      </c>
      <c r="K2999" s="4">
        <v>-17338.430399999997</v>
      </c>
      <c r="L2999" s="4">
        <v>4</v>
      </c>
    </row>
    <row r="3000" spans="1:12">
      <c r="A3000" t="s">
        <v>264</v>
      </c>
      <c r="B3000" s="10">
        <v>45457</v>
      </c>
      <c r="C3000" s="18">
        <f t="shared" si="46"/>
        <v>6</v>
      </c>
      <c r="D3000" t="s">
        <v>196</v>
      </c>
      <c r="E3000">
        <v>4871657</v>
      </c>
      <c r="F3000" t="s">
        <v>8</v>
      </c>
      <c r="G3000" t="s">
        <v>203</v>
      </c>
      <c r="H3000" t="s">
        <v>225</v>
      </c>
      <c r="I3000" s="4">
        <v>100638.28079999999</v>
      </c>
      <c r="J3000" s="4">
        <v>402553.12319999997</v>
      </c>
      <c r="K3000" s="4">
        <v>-17338.430399999997</v>
      </c>
      <c r="L3000" s="4">
        <v>4</v>
      </c>
    </row>
    <row r="3001" spans="1:12">
      <c r="A3001" t="s">
        <v>264</v>
      </c>
      <c r="B3001" s="10">
        <v>45457</v>
      </c>
      <c r="C3001" s="18">
        <f t="shared" si="46"/>
        <v>6</v>
      </c>
      <c r="D3001" t="s">
        <v>196</v>
      </c>
      <c r="E3001">
        <v>4874586</v>
      </c>
      <c r="F3001" t="s">
        <v>8</v>
      </c>
      <c r="G3001" t="s">
        <v>204</v>
      </c>
      <c r="H3001" t="s">
        <v>214</v>
      </c>
      <c r="I3001" s="4">
        <v>119484.4008</v>
      </c>
      <c r="J3001" s="4">
        <v>5974220.04</v>
      </c>
      <c r="K3001" s="4">
        <v>-298396.90000000002</v>
      </c>
      <c r="L3001" s="4">
        <v>50</v>
      </c>
    </row>
    <row r="3002" spans="1:12">
      <c r="A3002" t="s">
        <v>264</v>
      </c>
      <c r="B3002" s="10">
        <v>45457</v>
      </c>
      <c r="C3002" s="18">
        <f t="shared" si="46"/>
        <v>6</v>
      </c>
      <c r="D3002" t="s">
        <v>196</v>
      </c>
      <c r="E3002">
        <v>4872141</v>
      </c>
      <c r="F3002" t="s">
        <v>8</v>
      </c>
      <c r="G3002" t="s">
        <v>203</v>
      </c>
      <c r="H3002" t="s">
        <v>243</v>
      </c>
      <c r="I3002" s="4">
        <v>100638.28079999999</v>
      </c>
      <c r="J3002" s="4">
        <v>2012765.6159999999</v>
      </c>
      <c r="K3002" s="4">
        <v>-86692.152000000002</v>
      </c>
      <c r="L3002" s="4">
        <v>20</v>
      </c>
    </row>
    <row r="3003" spans="1:12">
      <c r="A3003" t="s">
        <v>264</v>
      </c>
      <c r="B3003" s="10">
        <v>45457</v>
      </c>
      <c r="C3003" s="18">
        <f t="shared" si="46"/>
        <v>6</v>
      </c>
      <c r="D3003" t="s">
        <v>196</v>
      </c>
      <c r="E3003">
        <v>4872141</v>
      </c>
      <c r="F3003" t="s">
        <v>8</v>
      </c>
      <c r="G3003" t="s">
        <v>203</v>
      </c>
      <c r="H3003" t="s">
        <v>232</v>
      </c>
      <c r="I3003" s="4">
        <v>100638.28079999999</v>
      </c>
      <c r="J3003" s="4">
        <v>2012765.6159999999</v>
      </c>
      <c r="K3003" s="4">
        <v>-86692.152000000002</v>
      </c>
      <c r="L3003" s="4">
        <v>20</v>
      </c>
    </row>
    <row r="3004" spans="1:12">
      <c r="A3004" t="s">
        <v>264</v>
      </c>
      <c r="B3004" s="10">
        <v>45457</v>
      </c>
      <c r="C3004" s="18">
        <f t="shared" si="46"/>
        <v>6</v>
      </c>
      <c r="D3004" t="s">
        <v>196</v>
      </c>
      <c r="E3004">
        <v>4872141</v>
      </c>
      <c r="F3004" t="s">
        <v>8</v>
      </c>
      <c r="G3004" t="s">
        <v>203</v>
      </c>
      <c r="H3004" t="s">
        <v>230</v>
      </c>
      <c r="I3004" s="4">
        <v>100638.28079999999</v>
      </c>
      <c r="J3004" s="4">
        <v>5434467.1631999994</v>
      </c>
      <c r="K3004" s="4">
        <v>-234068.81039999999</v>
      </c>
      <c r="L3004" s="4">
        <v>54</v>
      </c>
    </row>
    <row r="3005" spans="1:12">
      <c r="A3005" t="s">
        <v>264</v>
      </c>
      <c r="B3005" s="10">
        <v>45457</v>
      </c>
      <c r="C3005" s="18">
        <f t="shared" si="46"/>
        <v>6</v>
      </c>
      <c r="D3005" t="s">
        <v>196</v>
      </c>
      <c r="E3005">
        <v>4872141</v>
      </c>
      <c r="F3005" t="s">
        <v>8</v>
      </c>
      <c r="G3005" t="s">
        <v>203</v>
      </c>
      <c r="H3005" t="s">
        <v>225</v>
      </c>
      <c r="I3005" s="4">
        <v>100638.28079999999</v>
      </c>
      <c r="J3005" s="4">
        <v>603829.68479999993</v>
      </c>
      <c r="K3005" s="4">
        <v>-26007.645599999996</v>
      </c>
      <c r="L3005" s="4">
        <v>6</v>
      </c>
    </row>
    <row r="3006" spans="1:12">
      <c r="A3006" t="s">
        <v>264</v>
      </c>
      <c r="B3006" s="10">
        <v>45457</v>
      </c>
      <c r="C3006" s="18">
        <f t="shared" si="46"/>
        <v>6</v>
      </c>
      <c r="D3006" t="s">
        <v>196</v>
      </c>
      <c r="E3006">
        <v>4872141</v>
      </c>
      <c r="F3006" t="s">
        <v>8</v>
      </c>
      <c r="G3006" t="s">
        <v>203</v>
      </c>
      <c r="H3006" t="s">
        <v>241</v>
      </c>
      <c r="I3006" s="4">
        <v>125766.4408</v>
      </c>
      <c r="J3006" s="4">
        <v>2389562.3752000001</v>
      </c>
      <c r="K3006" s="4">
        <v>-107422.88400000001</v>
      </c>
      <c r="L3006" s="4">
        <v>19</v>
      </c>
    </row>
    <row r="3007" spans="1:12">
      <c r="A3007" t="s">
        <v>264</v>
      </c>
      <c r="B3007" s="10">
        <v>45458</v>
      </c>
      <c r="C3007" s="18">
        <f t="shared" si="46"/>
        <v>6</v>
      </c>
      <c r="D3007" t="s">
        <v>196</v>
      </c>
      <c r="E3007">
        <v>4871600</v>
      </c>
      <c r="F3007" t="s">
        <v>8</v>
      </c>
      <c r="G3007" t="s">
        <v>204</v>
      </c>
      <c r="H3007" t="s">
        <v>217</v>
      </c>
      <c r="I3007" s="4">
        <v>78022.936799999996</v>
      </c>
      <c r="J3007" s="4">
        <v>-312091.74719999998</v>
      </c>
      <c r="K3007" s="4">
        <v>14323.051199999998</v>
      </c>
      <c r="L3007" s="4">
        <v>-4</v>
      </c>
    </row>
    <row r="3008" spans="1:12">
      <c r="A3008" t="s">
        <v>264</v>
      </c>
      <c r="B3008" s="10">
        <v>45458</v>
      </c>
      <c r="C3008" s="18">
        <f t="shared" si="46"/>
        <v>6</v>
      </c>
      <c r="D3008" t="s">
        <v>196</v>
      </c>
      <c r="E3008">
        <v>4871600</v>
      </c>
      <c r="F3008" t="s">
        <v>8</v>
      </c>
      <c r="G3008" t="s">
        <v>202</v>
      </c>
      <c r="H3008" t="s">
        <v>259</v>
      </c>
      <c r="I3008" s="4">
        <v>30279.432800000002</v>
      </c>
      <c r="J3008" s="4">
        <v>2755428.3848000001</v>
      </c>
      <c r="K3008" s="4">
        <v>-137199.7536</v>
      </c>
      <c r="L3008" s="4">
        <v>91</v>
      </c>
    </row>
    <row r="3009" spans="1:12">
      <c r="A3009" t="s">
        <v>264</v>
      </c>
      <c r="B3009" s="10">
        <v>45458</v>
      </c>
      <c r="C3009" s="18">
        <f t="shared" si="46"/>
        <v>6</v>
      </c>
      <c r="D3009" t="s">
        <v>196</v>
      </c>
      <c r="E3009">
        <v>4871600</v>
      </c>
      <c r="F3009" t="s">
        <v>8</v>
      </c>
      <c r="G3009" t="s">
        <v>202</v>
      </c>
      <c r="H3009" t="s">
        <v>255</v>
      </c>
      <c r="I3009" s="4">
        <v>72489.71596799999</v>
      </c>
      <c r="J3009" s="4">
        <v>3624485.7983999993</v>
      </c>
      <c r="K3009" s="4">
        <v>-188461.2</v>
      </c>
      <c r="L3009" s="4">
        <v>50</v>
      </c>
    </row>
    <row r="3010" spans="1:12">
      <c r="A3010" t="s">
        <v>264</v>
      </c>
      <c r="B3010" s="10">
        <v>45458</v>
      </c>
      <c r="C3010" s="18">
        <f t="shared" ref="C3010:C3073" si="47">MONTH(B3010)</f>
        <v>6</v>
      </c>
      <c r="D3010" t="s">
        <v>196</v>
      </c>
      <c r="E3010">
        <v>4872162</v>
      </c>
      <c r="F3010" t="s">
        <v>8</v>
      </c>
      <c r="G3010" t="s">
        <v>204</v>
      </c>
      <c r="H3010" t="s">
        <v>215</v>
      </c>
      <c r="I3010" s="4">
        <v>75510.12079999999</v>
      </c>
      <c r="J3010" s="4">
        <v>1132651.8119999999</v>
      </c>
      <c r="K3010" s="4">
        <v>-56538.36</v>
      </c>
      <c r="L3010" s="4">
        <v>15</v>
      </c>
    </row>
    <row r="3011" spans="1:12">
      <c r="A3011" t="s">
        <v>264</v>
      </c>
      <c r="B3011" s="10">
        <v>45458</v>
      </c>
      <c r="C3011" s="18">
        <f t="shared" si="47"/>
        <v>6</v>
      </c>
      <c r="D3011" t="s">
        <v>196</v>
      </c>
      <c r="E3011">
        <v>4872162</v>
      </c>
      <c r="F3011" t="s">
        <v>8</v>
      </c>
      <c r="G3011" t="s">
        <v>204</v>
      </c>
      <c r="H3011" t="s">
        <v>213</v>
      </c>
      <c r="I3011" s="4">
        <v>119484.4008</v>
      </c>
      <c r="J3011" s="4">
        <v>-1792266.0120000001</v>
      </c>
      <c r="K3011" s="4">
        <v>89519.069999999992</v>
      </c>
      <c r="L3011" s="4">
        <v>-15</v>
      </c>
    </row>
    <row r="3012" spans="1:12">
      <c r="A3012" t="s">
        <v>264</v>
      </c>
      <c r="B3012" s="10">
        <v>45461</v>
      </c>
      <c r="C3012" s="18">
        <f t="shared" si="47"/>
        <v>6</v>
      </c>
      <c r="D3012" t="s">
        <v>196</v>
      </c>
      <c r="E3012">
        <v>4871600</v>
      </c>
      <c r="F3012" t="s">
        <v>8</v>
      </c>
      <c r="G3012" t="s">
        <v>203</v>
      </c>
      <c r="H3012" t="s">
        <v>235</v>
      </c>
      <c r="I3012" s="4">
        <v>125766.4408</v>
      </c>
      <c r="J3012" s="4">
        <v>251532.88159999999</v>
      </c>
      <c r="K3012" s="4">
        <v>-11307.672</v>
      </c>
      <c r="L3012" s="4">
        <v>2</v>
      </c>
    </row>
    <row r="3013" spans="1:12">
      <c r="A3013" t="s">
        <v>264</v>
      </c>
      <c r="B3013" s="10">
        <v>45461</v>
      </c>
      <c r="C3013" s="18">
        <f t="shared" si="47"/>
        <v>6</v>
      </c>
      <c r="D3013" t="s">
        <v>196</v>
      </c>
      <c r="E3013">
        <v>4871600</v>
      </c>
      <c r="F3013" t="s">
        <v>8</v>
      </c>
      <c r="G3013" t="s">
        <v>203</v>
      </c>
      <c r="H3013" t="s">
        <v>231</v>
      </c>
      <c r="I3013" s="4">
        <v>125766.4408</v>
      </c>
      <c r="J3013" s="4">
        <v>377299.3224</v>
      </c>
      <c r="K3013" s="4">
        <v>-16961.508000000002</v>
      </c>
      <c r="L3013" s="4">
        <v>3</v>
      </c>
    </row>
    <row r="3014" spans="1:12">
      <c r="A3014" t="s">
        <v>264</v>
      </c>
      <c r="B3014" s="10">
        <v>45461</v>
      </c>
      <c r="C3014" s="18">
        <f t="shared" si="47"/>
        <v>6</v>
      </c>
      <c r="D3014" t="s">
        <v>196</v>
      </c>
      <c r="E3014">
        <v>4878874</v>
      </c>
      <c r="F3014" t="s">
        <v>8</v>
      </c>
      <c r="G3014" t="s">
        <v>202</v>
      </c>
      <c r="H3014" t="s">
        <v>255</v>
      </c>
      <c r="I3014" s="4">
        <v>72489.71596799999</v>
      </c>
      <c r="J3014" s="4">
        <v>217469.14790399995</v>
      </c>
      <c r="K3014" s="4">
        <v>-11307.672</v>
      </c>
      <c r="L3014" s="4">
        <v>3</v>
      </c>
    </row>
    <row r="3015" spans="1:12">
      <c r="A3015" t="s">
        <v>264</v>
      </c>
      <c r="B3015" s="10">
        <v>45461</v>
      </c>
      <c r="C3015" s="18">
        <f t="shared" si="47"/>
        <v>6</v>
      </c>
      <c r="D3015" t="s">
        <v>196</v>
      </c>
      <c r="E3015">
        <v>4872203</v>
      </c>
      <c r="F3015" t="s">
        <v>8</v>
      </c>
      <c r="G3015" t="s">
        <v>203</v>
      </c>
      <c r="H3015" t="s">
        <v>245</v>
      </c>
      <c r="I3015" s="4">
        <v>100638.28079999999</v>
      </c>
      <c r="J3015" s="4">
        <v>1610212.4927999999</v>
      </c>
      <c r="K3015" s="4">
        <v>-69353.72159999999</v>
      </c>
      <c r="L3015" s="4">
        <v>16</v>
      </c>
    </row>
    <row r="3016" spans="1:12">
      <c r="A3016" t="s">
        <v>264</v>
      </c>
      <c r="B3016" s="10">
        <v>45461</v>
      </c>
      <c r="C3016" s="18">
        <f t="shared" si="47"/>
        <v>6</v>
      </c>
      <c r="D3016" t="s">
        <v>196</v>
      </c>
      <c r="E3016">
        <v>4872203</v>
      </c>
      <c r="F3016" t="s">
        <v>8</v>
      </c>
      <c r="G3016" t="s">
        <v>203</v>
      </c>
      <c r="H3016" t="s">
        <v>236</v>
      </c>
      <c r="I3016" s="4">
        <v>100638.28079999999</v>
      </c>
      <c r="J3016" s="4">
        <v>1408935.9312</v>
      </c>
      <c r="K3016" s="4">
        <v>-60684.506399999998</v>
      </c>
      <c r="L3016" s="4">
        <v>14</v>
      </c>
    </row>
    <row r="3017" spans="1:12">
      <c r="A3017" t="s">
        <v>264</v>
      </c>
      <c r="B3017" s="10">
        <v>45461</v>
      </c>
      <c r="C3017" s="18">
        <f t="shared" si="47"/>
        <v>6</v>
      </c>
      <c r="D3017" t="s">
        <v>196</v>
      </c>
      <c r="E3017">
        <v>4872203</v>
      </c>
      <c r="F3017" t="s">
        <v>8</v>
      </c>
      <c r="G3017" t="s">
        <v>203</v>
      </c>
      <c r="H3017" t="s">
        <v>230</v>
      </c>
      <c r="I3017" s="4">
        <v>100638.28079999999</v>
      </c>
      <c r="J3017" s="4">
        <v>603829.68479999993</v>
      </c>
      <c r="K3017" s="4">
        <v>-26007.645599999996</v>
      </c>
      <c r="L3017" s="4">
        <v>6</v>
      </c>
    </row>
    <row r="3018" spans="1:12">
      <c r="A3018" t="s">
        <v>264</v>
      </c>
      <c r="B3018" s="10">
        <v>45461</v>
      </c>
      <c r="C3018" s="18">
        <f t="shared" si="47"/>
        <v>6</v>
      </c>
      <c r="D3018" t="s">
        <v>196</v>
      </c>
      <c r="E3018">
        <v>4872203</v>
      </c>
      <c r="F3018" t="s">
        <v>8</v>
      </c>
      <c r="G3018" t="s">
        <v>203</v>
      </c>
      <c r="H3018" t="s">
        <v>228</v>
      </c>
      <c r="I3018" s="4">
        <v>100638.28079999999</v>
      </c>
      <c r="J3018" s="4">
        <v>2012765.6159999999</v>
      </c>
      <c r="K3018" s="4">
        <v>-86692.152000000002</v>
      </c>
      <c r="L3018" s="4">
        <v>20</v>
      </c>
    </row>
    <row r="3019" spans="1:12">
      <c r="A3019" t="s">
        <v>264</v>
      </c>
      <c r="B3019" s="10">
        <v>45461</v>
      </c>
      <c r="C3019" s="18">
        <f t="shared" si="47"/>
        <v>6</v>
      </c>
      <c r="D3019" t="s">
        <v>196</v>
      </c>
      <c r="E3019">
        <v>4872203</v>
      </c>
      <c r="F3019" t="s">
        <v>8</v>
      </c>
      <c r="G3019" t="s">
        <v>203</v>
      </c>
      <c r="H3019" t="s">
        <v>224</v>
      </c>
      <c r="I3019" s="4">
        <v>100638.28079999999</v>
      </c>
      <c r="J3019" s="4">
        <v>1006382.808</v>
      </c>
      <c r="K3019" s="4">
        <v>-43346.076000000001</v>
      </c>
      <c r="L3019" s="4">
        <v>10</v>
      </c>
    </row>
    <row r="3020" spans="1:12">
      <c r="A3020" t="s">
        <v>264</v>
      </c>
      <c r="B3020" s="10">
        <v>45462</v>
      </c>
      <c r="C3020" s="18">
        <f t="shared" si="47"/>
        <v>6</v>
      </c>
      <c r="D3020" t="s">
        <v>196</v>
      </c>
      <c r="E3020">
        <v>4871600</v>
      </c>
      <c r="F3020" t="s">
        <v>8</v>
      </c>
      <c r="G3020" t="s">
        <v>202</v>
      </c>
      <c r="H3020" t="s">
        <v>255</v>
      </c>
      <c r="I3020" s="4">
        <v>72489.71596799999</v>
      </c>
      <c r="J3020" s="4">
        <v>-724897.15967999992</v>
      </c>
      <c r="K3020" s="4">
        <v>37692.239999999998</v>
      </c>
      <c r="L3020" s="4">
        <v>-10</v>
      </c>
    </row>
    <row r="3021" spans="1:12">
      <c r="A3021" t="s">
        <v>264</v>
      </c>
      <c r="B3021" s="10">
        <v>45462</v>
      </c>
      <c r="C3021" s="18">
        <f t="shared" si="47"/>
        <v>6</v>
      </c>
      <c r="D3021" t="s">
        <v>196</v>
      </c>
      <c r="E3021">
        <v>4878874</v>
      </c>
      <c r="F3021" t="s">
        <v>8</v>
      </c>
      <c r="G3021" t="s">
        <v>206</v>
      </c>
      <c r="H3021" t="s">
        <v>249</v>
      </c>
      <c r="I3021" s="4">
        <v>17715.352800000001</v>
      </c>
      <c r="J3021" s="4">
        <v>1771535.28</v>
      </c>
      <c r="K3021" s="4">
        <v>-75384.479999999996</v>
      </c>
      <c r="L3021" s="4">
        <v>100</v>
      </c>
    </row>
    <row r="3022" spans="1:12">
      <c r="A3022" t="s">
        <v>264</v>
      </c>
      <c r="B3022" s="10">
        <v>45462</v>
      </c>
      <c r="C3022" s="18">
        <f t="shared" si="47"/>
        <v>6</v>
      </c>
      <c r="D3022" t="s">
        <v>196</v>
      </c>
      <c r="E3022">
        <v>4872068</v>
      </c>
      <c r="F3022" t="s">
        <v>8</v>
      </c>
      <c r="G3022" t="s">
        <v>203</v>
      </c>
      <c r="H3022" t="s">
        <v>235</v>
      </c>
      <c r="I3022" s="4">
        <v>125766.4408</v>
      </c>
      <c r="J3022" s="4">
        <v>754598.64480000001</v>
      </c>
      <c r="K3022" s="4">
        <v>-33923.016000000003</v>
      </c>
      <c r="L3022" s="4">
        <v>6</v>
      </c>
    </row>
    <row r="3023" spans="1:12">
      <c r="A3023" t="s">
        <v>264</v>
      </c>
      <c r="B3023" s="10">
        <v>45462</v>
      </c>
      <c r="C3023" s="18">
        <f t="shared" si="47"/>
        <v>6</v>
      </c>
      <c r="D3023" t="s">
        <v>196</v>
      </c>
      <c r="E3023">
        <v>6080599</v>
      </c>
      <c r="F3023" t="s">
        <v>8</v>
      </c>
      <c r="G3023" t="s">
        <v>202</v>
      </c>
      <c r="H3023" t="s">
        <v>261</v>
      </c>
      <c r="I3023" s="4">
        <v>41587.104800000001</v>
      </c>
      <c r="J3023" s="4">
        <v>914916.30560000008</v>
      </c>
      <c r="K3023" s="4">
        <v>-45607.610399999998</v>
      </c>
      <c r="L3023" s="4">
        <v>22</v>
      </c>
    </row>
    <row r="3024" spans="1:12">
      <c r="A3024" t="s">
        <v>264</v>
      </c>
      <c r="B3024" s="10">
        <v>45462</v>
      </c>
      <c r="C3024" s="18">
        <f t="shared" si="47"/>
        <v>6</v>
      </c>
      <c r="D3024" t="s">
        <v>196</v>
      </c>
      <c r="E3024">
        <v>4875779</v>
      </c>
      <c r="F3024" t="s">
        <v>8</v>
      </c>
      <c r="G3024" t="s">
        <v>204</v>
      </c>
      <c r="H3024" t="s">
        <v>213</v>
      </c>
      <c r="I3024" s="4">
        <v>119484.4008</v>
      </c>
      <c r="J3024" s="4">
        <v>477937.60320000001</v>
      </c>
      <c r="K3024" s="4">
        <v>-23871.752</v>
      </c>
      <c r="L3024" s="4">
        <v>4</v>
      </c>
    </row>
    <row r="3025" spans="1:12">
      <c r="A3025" t="s">
        <v>264</v>
      </c>
      <c r="B3025" s="10">
        <v>45462</v>
      </c>
      <c r="C3025" s="18">
        <f t="shared" si="47"/>
        <v>6</v>
      </c>
      <c r="D3025" t="s">
        <v>196</v>
      </c>
      <c r="E3025">
        <v>4875779</v>
      </c>
      <c r="F3025" t="s">
        <v>8</v>
      </c>
      <c r="G3025" t="s">
        <v>202</v>
      </c>
      <c r="H3025" t="s">
        <v>261</v>
      </c>
      <c r="I3025" s="4">
        <v>41587.104800000001</v>
      </c>
      <c r="J3025" s="4">
        <v>-41587.104800000001</v>
      </c>
      <c r="K3025" s="4">
        <v>2073.0732000000003</v>
      </c>
      <c r="L3025" s="4">
        <v>-1</v>
      </c>
    </row>
    <row r="3026" spans="1:12">
      <c r="A3026" t="s">
        <v>264</v>
      </c>
      <c r="B3026" s="10">
        <v>45462</v>
      </c>
      <c r="C3026" s="18">
        <f t="shared" si="47"/>
        <v>6</v>
      </c>
      <c r="D3026" t="s">
        <v>196</v>
      </c>
      <c r="E3026">
        <v>4875779</v>
      </c>
      <c r="F3026" t="s">
        <v>8</v>
      </c>
      <c r="G3026" t="s">
        <v>202</v>
      </c>
      <c r="H3026" t="s">
        <v>254</v>
      </c>
      <c r="I3026" s="4">
        <v>37817.880799999999</v>
      </c>
      <c r="J3026" s="4">
        <v>37817.880799999999</v>
      </c>
      <c r="K3026" s="4">
        <v>-1884.6119999999999</v>
      </c>
      <c r="L3026" s="4">
        <v>1</v>
      </c>
    </row>
    <row r="3027" spans="1:12">
      <c r="A3027" t="s">
        <v>264</v>
      </c>
      <c r="B3027" s="10">
        <v>45463</v>
      </c>
      <c r="C3027" s="18">
        <f t="shared" si="47"/>
        <v>6</v>
      </c>
      <c r="D3027" t="s">
        <v>196</v>
      </c>
      <c r="E3027">
        <v>4871600</v>
      </c>
      <c r="F3027" t="s">
        <v>8</v>
      </c>
      <c r="G3027" t="s">
        <v>204</v>
      </c>
      <c r="H3027" t="s">
        <v>217</v>
      </c>
      <c r="I3027" s="4">
        <v>78022.936799999996</v>
      </c>
      <c r="J3027" s="4">
        <v>312091.74719999998</v>
      </c>
      <c r="K3027" s="4">
        <v>-14323.051199999998</v>
      </c>
      <c r="L3027" s="4">
        <v>4</v>
      </c>
    </row>
    <row r="3028" spans="1:12">
      <c r="A3028" t="s">
        <v>264</v>
      </c>
      <c r="B3028" s="10">
        <v>45463</v>
      </c>
      <c r="C3028" s="18">
        <f t="shared" si="47"/>
        <v>6</v>
      </c>
      <c r="D3028" t="s">
        <v>196</v>
      </c>
      <c r="E3028">
        <v>4871600</v>
      </c>
      <c r="F3028" t="s">
        <v>8</v>
      </c>
      <c r="G3028" t="s">
        <v>204</v>
      </c>
      <c r="H3028" t="s">
        <v>221</v>
      </c>
      <c r="I3028" s="4">
        <v>25253.800799999997</v>
      </c>
      <c r="J3028" s="4">
        <v>252538.00799999997</v>
      </c>
      <c r="K3028" s="4">
        <v>-12564.08</v>
      </c>
      <c r="L3028" s="4">
        <v>10</v>
      </c>
    </row>
    <row r="3029" spans="1:12">
      <c r="A3029" t="s">
        <v>264</v>
      </c>
      <c r="B3029" s="10">
        <v>45463</v>
      </c>
      <c r="C3029" s="18">
        <f t="shared" si="47"/>
        <v>6</v>
      </c>
      <c r="D3029" t="s">
        <v>196</v>
      </c>
      <c r="E3029">
        <v>4871600</v>
      </c>
      <c r="F3029" t="s">
        <v>8</v>
      </c>
      <c r="G3029" t="s">
        <v>204</v>
      </c>
      <c r="H3029" t="s">
        <v>220</v>
      </c>
      <c r="I3029" s="4">
        <v>37817.880799999999</v>
      </c>
      <c r="J3029" s="4">
        <v>302543.04639999999</v>
      </c>
      <c r="K3029" s="4">
        <v>-15076.895999999999</v>
      </c>
      <c r="L3029" s="4">
        <v>8</v>
      </c>
    </row>
    <row r="3030" spans="1:12">
      <c r="A3030" t="s">
        <v>264</v>
      </c>
      <c r="B3030" s="10">
        <v>45463</v>
      </c>
      <c r="C3030" s="18">
        <f t="shared" si="47"/>
        <v>6</v>
      </c>
      <c r="D3030" t="s">
        <v>196</v>
      </c>
      <c r="E3030">
        <v>4872571</v>
      </c>
      <c r="F3030" t="s">
        <v>8</v>
      </c>
      <c r="G3030" t="s">
        <v>203</v>
      </c>
      <c r="H3030" t="s">
        <v>242</v>
      </c>
      <c r="I3030" s="4">
        <v>100638.28079999999</v>
      </c>
      <c r="J3030" s="4">
        <v>2012765.6159999999</v>
      </c>
      <c r="K3030" s="4">
        <v>-86692.152000000002</v>
      </c>
      <c r="L3030" s="4">
        <v>20</v>
      </c>
    </row>
    <row r="3031" spans="1:12">
      <c r="A3031" t="s">
        <v>264</v>
      </c>
      <c r="B3031" s="10">
        <v>45463</v>
      </c>
      <c r="C3031" s="18">
        <f t="shared" si="47"/>
        <v>6</v>
      </c>
      <c r="D3031" t="s">
        <v>196</v>
      </c>
      <c r="E3031">
        <v>4872571</v>
      </c>
      <c r="F3031" t="s">
        <v>8</v>
      </c>
      <c r="G3031" t="s">
        <v>203</v>
      </c>
      <c r="H3031" t="s">
        <v>232</v>
      </c>
      <c r="I3031" s="4">
        <v>100638.28079999999</v>
      </c>
      <c r="J3031" s="4">
        <v>2012765.6159999999</v>
      </c>
      <c r="K3031" s="4">
        <v>-86692.152000000002</v>
      </c>
      <c r="L3031" s="4">
        <v>20</v>
      </c>
    </row>
    <row r="3032" spans="1:12">
      <c r="A3032" t="s">
        <v>264</v>
      </c>
      <c r="B3032" s="10">
        <v>45463</v>
      </c>
      <c r="C3032" s="18">
        <f t="shared" si="47"/>
        <v>6</v>
      </c>
      <c r="D3032" t="s">
        <v>196</v>
      </c>
      <c r="E3032">
        <v>4872571</v>
      </c>
      <c r="F3032" t="s">
        <v>8</v>
      </c>
      <c r="G3032" t="s">
        <v>203</v>
      </c>
      <c r="H3032" t="s">
        <v>228</v>
      </c>
      <c r="I3032" s="4">
        <v>100638.28079999999</v>
      </c>
      <c r="J3032" s="4">
        <v>2012765.6159999999</v>
      </c>
      <c r="K3032" s="4">
        <v>-86692.152000000002</v>
      </c>
      <c r="L3032" s="4">
        <v>20</v>
      </c>
    </row>
    <row r="3033" spans="1:12">
      <c r="A3033" t="s">
        <v>264</v>
      </c>
      <c r="B3033" s="10">
        <v>45463</v>
      </c>
      <c r="C3033" s="18">
        <f t="shared" si="47"/>
        <v>6</v>
      </c>
      <c r="D3033" t="s">
        <v>196</v>
      </c>
      <c r="E3033">
        <v>4872571</v>
      </c>
      <c r="F3033" t="s">
        <v>8</v>
      </c>
      <c r="G3033" t="s">
        <v>203</v>
      </c>
      <c r="H3033" t="s">
        <v>227</v>
      </c>
      <c r="I3033" s="4">
        <v>100638.28079999999</v>
      </c>
      <c r="J3033" s="4">
        <v>2012765.6159999999</v>
      </c>
      <c r="K3033" s="4">
        <v>-86692.152000000002</v>
      </c>
      <c r="L3033" s="4">
        <v>20</v>
      </c>
    </row>
    <row r="3034" spans="1:12">
      <c r="A3034" t="s">
        <v>264</v>
      </c>
      <c r="B3034" s="10">
        <v>45463</v>
      </c>
      <c r="C3034" s="18">
        <f t="shared" si="47"/>
        <v>6</v>
      </c>
      <c r="D3034" t="s">
        <v>196</v>
      </c>
      <c r="E3034">
        <v>4872571</v>
      </c>
      <c r="F3034" t="s">
        <v>8</v>
      </c>
      <c r="G3034" t="s">
        <v>203</v>
      </c>
      <c r="H3034" t="s">
        <v>235</v>
      </c>
      <c r="I3034" s="4">
        <v>125766.4408</v>
      </c>
      <c r="J3034" s="4">
        <v>1257664.4080000001</v>
      </c>
      <c r="K3034" s="4">
        <v>-56538.36</v>
      </c>
      <c r="L3034" s="4">
        <v>10</v>
      </c>
    </row>
    <row r="3035" spans="1:12">
      <c r="A3035" t="s">
        <v>264</v>
      </c>
      <c r="B3035" s="10">
        <v>45463</v>
      </c>
      <c r="C3035" s="18">
        <f t="shared" si="47"/>
        <v>6</v>
      </c>
      <c r="D3035" t="s">
        <v>196</v>
      </c>
      <c r="E3035">
        <v>4872571</v>
      </c>
      <c r="F3035" t="s">
        <v>8</v>
      </c>
      <c r="G3035" t="s">
        <v>203</v>
      </c>
      <c r="H3035" t="s">
        <v>231</v>
      </c>
      <c r="I3035" s="4">
        <v>125766.4408</v>
      </c>
      <c r="J3035" s="4">
        <v>628832.20400000003</v>
      </c>
      <c r="K3035" s="4">
        <v>-28269.18</v>
      </c>
      <c r="L3035" s="4">
        <v>5</v>
      </c>
    </row>
    <row r="3036" spans="1:12">
      <c r="A3036" t="s">
        <v>264</v>
      </c>
      <c r="B3036" s="10">
        <v>45463</v>
      </c>
      <c r="C3036" s="18">
        <f t="shared" si="47"/>
        <v>6</v>
      </c>
      <c r="D3036" t="s">
        <v>196</v>
      </c>
      <c r="E3036">
        <v>4872193</v>
      </c>
      <c r="F3036" t="s">
        <v>8</v>
      </c>
      <c r="G3036" t="s">
        <v>203</v>
      </c>
      <c r="H3036" t="s">
        <v>242</v>
      </c>
      <c r="I3036" s="4">
        <v>100638.28079999999</v>
      </c>
      <c r="J3036" s="4">
        <v>1006382.808</v>
      </c>
      <c r="K3036" s="4">
        <v>-43346.076000000001</v>
      </c>
      <c r="L3036" s="4">
        <v>10</v>
      </c>
    </row>
    <row r="3037" spans="1:12">
      <c r="A3037" t="s">
        <v>264</v>
      </c>
      <c r="B3037" s="10">
        <v>45463</v>
      </c>
      <c r="C3037" s="18">
        <f t="shared" si="47"/>
        <v>6</v>
      </c>
      <c r="D3037" t="s">
        <v>196</v>
      </c>
      <c r="E3037">
        <v>4872193</v>
      </c>
      <c r="F3037" t="s">
        <v>8</v>
      </c>
      <c r="G3037" t="s">
        <v>203</v>
      </c>
      <c r="H3037" t="s">
        <v>232</v>
      </c>
      <c r="I3037" s="4">
        <v>100638.28079999999</v>
      </c>
      <c r="J3037" s="4">
        <v>1006382.808</v>
      </c>
      <c r="K3037" s="4">
        <v>-43346.076000000001</v>
      </c>
      <c r="L3037" s="4">
        <v>10</v>
      </c>
    </row>
    <row r="3038" spans="1:12">
      <c r="A3038" t="s">
        <v>264</v>
      </c>
      <c r="B3038" s="10">
        <v>45463</v>
      </c>
      <c r="C3038" s="18">
        <f t="shared" si="47"/>
        <v>6</v>
      </c>
      <c r="D3038" t="s">
        <v>196</v>
      </c>
      <c r="E3038">
        <v>4872193</v>
      </c>
      <c r="F3038" t="s">
        <v>8</v>
      </c>
      <c r="G3038" t="s">
        <v>203</v>
      </c>
      <c r="H3038" t="s">
        <v>228</v>
      </c>
      <c r="I3038" s="4">
        <v>100638.28079999999</v>
      </c>
      <c r="J3038" s="4">
        <v>1006382.808</v>
      </c>
      <c r="K3038" s="4">
        <v>-43346.076000000001</v>
      </c>
      <c r="L3038" s="4">
        <v>10</v>
      </c>
    </row>
    <row r="3039" spans="1:12">
      <c r="A3039" t="s">
        <v>264</v>
      </c>
      <c r="B3039" s="10">
        <v>45463</v>
      </c>
      <c r="C3039" s="18">
        <f t="shared" si="47"/>
        <v>6</v>
      </c>
      <c r="D3039" t="s">
        <v>196</v>
      </c>
      <c r="E3039">
        <v>4872193</v>
      </c>
      <c r="F3039" t="s">
        <v>8</v>
      </c>
      <c r="G3039" t="s">
        <v>203</v>
      </c>
      <c r="H3039" t="s">
        <v>227</v>
      </c>
      <c r="I3039" s="4">
        <v>100638.28079999999</v>
      </c>
      <c r="J3039" s="4">
        <v>1006382.808</v>
      </c>
      <c r="K3039" s="4">
        <v>-43346.076000000001</v>
      </c>
      <c r="L3039" s="4">
        <v>10</v>
      </c>
    </row>
    <row r="3040" spans="1:12">
      <c r="A3040" t="s">
        <v>264</v>
      </c>
      <c r="B3040" s="10">
        <v>45463</v>
      </c>
      <c r="C3040" s="18">
        <f t="shared" si="47"/>
        <v>6</v>
      </c>
      <c r="D3040" t="s">
        <v>196</v>
      </c>
      <c r="E3040">
        <v>4875779</v>
      </c>
      <c r="F3040" t="s">
        <v>8</v>
      </c>
      <c r="G3040" t="s">
        <v>204</v>
      </c>
      <c r="H3040" t="s">
        <v>213</v>
      </c>
      <c r="I3040" s="4">
        <v>119484.4008</v>
      </c>
      <c r="J3040" s="4">
        <v>955875.20640000002</v>
      </c>
      <c r="K3040" s="4">
        <v>-47743.504000000001</v>
      </c>
      <c r="L3040" s="4">
        <v>8</v>
      </c>
    </row>
    <row r="3041" spans="1:12">
      <c r="A3041" t="s">
        <v>264</v>
      </c>
      <c r="B3041" s="10">
        <v>45463</v>
      </c>
      <c r="C3041" s="18">
        <f t="shared" si="47"/>
        <v>6</v>
      </c>
      <c r="D3041" t="s">
        <v>196</v>
      </c>
      <c r="E3041">
        <v>4877306</v>
      </c>
      <c r="F3041" t="s">
        <v>8</v>
      </c>
      <c r="G3041" t="s">
        <v>203</v>
      </c>
      <c r="H3041" t="s">
        <v>243</v>
      </c>
      <c r="I3041" s="4">
        <v>100638.28079999999</v>
      </c>
      <c r="J3041" s="4">
        <v>1006382.808</v>
      </c>
      <c r="K3041" s="4">
        <v>-43346.076000000001</v>
      </c>
      <c r="L3041" s="4">
        <v>10</v>
      </c>
    </row>
    <row r="3042" spans="1:12">
      <c r="A3042" t="s">
        <v>264</v>
      </c>
      <c r="B3042" s="10">
        <v>45464</v>
      </c>
      <c r="C3042" s="18">
        <f t="shared" si="47"/>
        <v>6</v>
      </c>
      <c r="D3042" t="s">
        <v>196</v>
      </c>
      <c r="E3042">
        <v>4871600</v>
      </c>
      <c r="F3042" t="s">
        <v>8</v>
      </c>
      <c r="G3042" t="s">
        <v>204</v>
      </c>
      <c r="H3042" t="s">
        <v>220</v>
      </c>
      <c r="I3042" s="4">
        <v>37817.880799999999</v>
      </c>
      <c r="J3042" s="4">
        <v>151271.5232</v>
      </c>
      <c r="K3042" s="4">
        <v>-7538.4479999999994</v>
      </c>
      <c r="L3042" s="4">
        <v>4</v>
      </c>
    </row>
    <row r="3043" spans="1:12">
      <c r="A3043" t="s">
        <v>264</v>
      </c>
      <c r="B3043" s="10">
        <v>45464</v>
      </c>
      <c r="C3043" s="18">
        <f t="shared" si="47"/>
        <v>6</v>
      </c>
      <c r="D3043" t="s">
        <v>196</v>
      </c>
      <c r="E3043">
        <v>4873921</v>
      </c>
      <c r="F3043" t="s">
        <v>8</v>
      </c>
      <c r="G3043" t="s">
        <v>202</v>
      </c>
      <c r="H3043" t="s">
        <v>255</v>
      </c>
      <c r="I3043" s="4">
        <v>72489.71596799999</v>
      </c>
      <c r="J3043" s="4">
        <v>724897.15967999992</v>
      </c>
      <c r="K3043" s="4">
        <v>-37692.239999999998</v>
      </c>
      <c r="L3043" s="4">
        <v>10</v>
      </c>
    </row>
    <row r="3044" spans="1:12">
      <c r="A3044" t="s">
        <v>264</v>
      </c>
      <c r="B3044" s="10">
        <v>45464</v>
      </c>
      <c r="C3044" s="18">
        <f t="shared" si="47"/>
        <v>6</v>
      </c>
      <c r="D3044" t="s">
        <v>196</v>
      </c>
      <c r="E3044">
        <v>4873570</v>
      </c>
      <c r="F3044" t="s">
        <v>8</v>
      </c>
      <c r="G3044" t="s">
        <v>203</v>
      </c>
      <c r="H3044" t="s">
        <v>243</v>
      </c>
      <c r="I3044" s="4">
        <v>100638.28079999999</v>
      </c>
      <c r="J3044" s="4">
        <v>1006382.808</v>
      </c>
      <c r="K3044" s="4">
        <v>-43346.076000000001</v>
      </c>
      <c r="L3044" s="4">
        <v>10</v>
      </c>
    </row>
    <row r="3045" spans="1:12">
      <c r="A3045" t="s">
        <v>264</v>
      </c>
      <c r="B3045" s="10">
        <v>45464</v>
      </c>
      <c r="C3045" s="18">
        <f t="shared" si="47"/>
        <v>6</v>
      </c>
      <c r="D3045" t="s">
        <v>196</v>
      </c>
      <c r="E3045">
        <v>4873570</v>
      </c>
      <c r="F3045" t="s">
        <v>8</v>
      </c>
      <c r="G3045" t="s">
        <v>203</v>
      </c>
      <c r="H3045" t="s">
        <v>242</v>
      </c>
      <c r="I3045" s="4">
        <v>100638.28079999999</v>
      </c>
      <c r="J3045" s="4">
        <v>1006382.808</v>
      </c>
      <c r="K3045" s="4">
        <v>-43346.076000000001</v>
      </c>
      <c r="L3045" s="4">
        <v>10</v>
      </c>
    </row>
    <row r="3046" spans="1:12">
      <c r="A3046" t="s">
        <v>264</v>
      </c>
      <c r="B3046" s="10">
        <v>45464</v>
      </c>
      <c r="C3046" s="18">
        <f t="shared" si="47"/>
        <v>6</v>
      </c>
      <c r="D3046" t="s">
        <v>196</v>
      </c>
      <c r="E3046">
        <v>4873570</v>
      </c>
      <c r="F3046" t="s">
        <v>8</v>
      </c>
      <c r="G3046" t="s">
        <v>203</v>
      </c>
      <c r="H3046" t="s">
        <v>236</v>
      </c>
      <c r="I3046" s="4">
        <v>100638.28079999999</v>
      </c>
      <c r="J3046" s="4">
        <v>1006382.808</v>
      </c>
      <c r="K3046" s="4">
        <v>-43346.076000000001</v>
      </c>
      <c r="L3046" s="4">
        <v>10</v>
      </c>
    </row>
    <row r="3047" spans="1:12">
      <c r="A3047" t="s">
        <v>264</v>
      </c>
      <c r="B3047" s="10">
        <v>45464</v>
      </c>
      <c r="C3047" s="18">
        <f t="shared" si="47"/>
        <v>6</v>
      </c>
      <c r="D3047" t="s">
        <v>196</v>
      </c>
      <c r="E3047">
        <v>4873570</v>
      </c>
      <c r="F3047" t="s">
        <v>8</v>
      </c>
      <c r="G3047" t="s">
        <v>203</v>
      </c>
      <c r="H3047" t="s">
        <v>234</v>
      </c>
      <c r="I3047" s="4">
        <v>100638.28079999999</v>
      </c>
      <c r="J3047" s="4">
        <v>1006382.808</v>
      </c>
      <c r="K3047" s="4">
        <v>-43346.076000000001</v>
      </c>
      <c r="L3047" s="4">
        <v>10</v>
      </c>
    </row>
    <row r="3048" spans="1:12">
      <c r="A3048" t="s">
        <v>264</v>
      </c>
      <c r="B3048" s="10">
        <v>45464</v>
      </c>
      <c r="C3048" s="18">
        <f t="shared" si="47"/>
        <v>6</v>
      </c>
      <c r="D3048" t="s">
        <v>196</v>
      </c>
      <c r="E3048">
        <v>4873570</v>
      </c>
      <c r="F3048" t="s">
        <v>8</v>
      </c>
      <c r="G3048" t="s">
        <v>203</v>
      </c>
      <c r="H3048" t="s">
        <v>232</v>
      </c>
      <c r="I3048" s="4">
        <v>100638.28079999999</v>
      </c>
      <c r="J3048" s="4">
        <v>1006382.808</v>
      </c>
      <c r="K3048" s="4">
        <v>-43346.076000000001</v>
      </c>
      <c r="L3048" s="4">
        <v>10</v>
      </c>
    </row>
    <row r="3049" spans="1:12">
      <c r="A3049" t="s">
        <v>264</v>
      </c>
      <c r="B3049" s="10">
        <v>45464</v>
      </c>
      <c r="C3049" s="18">
        <f t="shared" si="47"/>
        <v>6</v>
      </c>
      <c r="D3049" t="s">
        <v>196</v>
      </c>
      <c r="E3049">
        <v>4873570</v>
      </c>
      <c r="F3049" t="s">
        <v>8</v>
      </c>
      <c r="G3049" t="s">
        <v>203</v>
      </c>
      <c r="H3049" t="s">
        <v>228</v>
      </c>
      <c r="I3049" s="4">
        <v>100638.28079999999</v>
      </c>
      <c r="J3049" s="4">
        <v>2012765.6159999999</v>
      </c>
      <c r="K3049" s="4">
        <v>-86692.152000000002</v>
      </c>
      <c r="L3049" s="4">
        <v>20</v>
      </c>
    </row>
    <row r="3050" spans="1:12">
      <c r="A3050" t="s">
        <v>264</v>
      </c>
      <c r="B3050" s="10">
        <v>45464</v>
      </c>
      <c r="C3050" s="18">
        <f t="shared" si="47"/>
        <v>6</v>
      </c>
      <c r="D3050" t="s">
        <v>196</v>
      </c>
      <c r="E3050">
        <v>4873570</v>
      </c>
      <c r="F3050" t="s">
        <v>8</v>
      </c>
      <c r="G3050" t="s">
        <v>203</v>
      </c>
      <c r="H3050" t="s">
        <v>227</v>
      </c>
      <c r="I3050" s="4">
        <v>100638.28079999999</v>
      </c>
      <c r="J3050" s="4">
        <v>1006382.808</v>
      </c>
      <c r="K3050" s="4">
        <v>-43346.076000000001</v>
      </c>
      <c r="L3050" s="4">
        <v>10</v>
      </c>
    </row>
    <row r="3051" spans="1:12">
      <c r="A3051" t="s">
        <v>264</v>
      </c>
      <c r="B3051" s="10">
        <v>45464</v>
      </c>
      <c r="C3051" s="18">
        <f t="shared" si="47"/>
        <v>6</v>
      </c>
      <c r="D3051" t="s">
        <v>196</v>
      </c>
      <c r="E3051">
        <v>4873570</v>
      </c>
      <c r="F3051" t="s">
        <v>8</v>
      </c>
      <c r="G3051" t="s">
        <v>203</v>
      </c>
      <c r="H3051" t="s">
        <v>235</v>
      </c>
      <c r="I3051" s="4">
        <v>125766.4408</v>
      </c>
      <c r="J3051" s="4">
        <v>2515328.8160000001</v>
      </c>
      <c r="K3051" s="4">
        <v>-113076.72</v>
      </c>
      <c r="L3051" s="4">
        <v>20</v>
      </c>
    </row>
    <row r="3052" spans="1:12">
      <c r="A3052" t="s">
        <v>264</v>
      </c>
      <c r="B3052" s="10">
        <v>45464</v>
      </c>
      <c r="C3052" s="18">
        <f t="shared" si="47"/>
        <v>6</v>
      </c>
      <c r="D3052" t="s">
        <v>196</v>
      </c>
      <c r="E3052">
        <v>4873570</v>
      </c>
      <c r="F3052" t="s">
        <v>8</v>
      </c>
      <c r="G3052" t="s">
        <v>203</v>
      </c>
      <c r="H3052" t="s">
        <v>231</v>
      </c>
      <c r="I3052" s="4">
        <v>125766.4408</v>
      </c>
      <c r="J3052" s="4">
        <v>1257664.4080000001</v>
      </c>
      <c r="K3052" s="4">
        <v>-56538.36</v>
      </c>
      <c r="L3052" s="4">
        <v>10</v>
      </c>
    </row>
    <row r="3053" spans="1:12">
      <c r="A3053" t="s">
        <v>264</v>
      </c>
      <c r="B3053" s="10">
        <v>45464</v>
      </c>
      <c r="C3053" s="18">
        <f t="shared" si="47"/>
        <v>6</v>
      </c>
      <c r="D3053" t="s">
        <v>196</v>
      </c>
      <c r="E3053">
        <v>4872156</v>
      </c>
      <c r="F3053" t="s">
        <v>8</v>
      </c>
      <c r="G3053" t="s">
        <v>203</v>
      </c>
      <c r="H3053" t="s">
        <v>234</v>
      </c>
      <c r="I3053" s="4">
        <v>100638.28079999999</v>
      </c>
      <c r="J3053" s="4">
        <v>1006382.808</v>
      </c>
      <c r="K3053" s="4">
        <v>-43346.076000000001</v>
      </c>
      <c r="L3053" s="4">
        <v>10</v>
      </c>
    </row>
    <row r="3054" spans="1:12">
      <c r="A3054" t="s">
        <v>264</v>
      </c>
      <c r="B3054" s="10">
        <v>45464</v>
      </c>
      <c r="C3054" s="18">
        <f t="shared" si="47"/>
        <v>6</v>
      </c>
      <c r="D3054" t="s">
        <v>196</v>
      </c>
      <c r="E3054">
        <v>4872156</v>
      </c>
      <c r="F3054" t="s">
        <v>8</v>
      </c>
      <c r="G3054" t="s">
        <v>203</v>
      </c>
      <c r="H3054" t="s">
        <v>227</v>
      </c>
      <c r="I3054" s="4">
        <v>100638.28079999999</v>
      </c>
      <c r="J3054" s="4">
        <v>1006382.808</v>
      </c>
      <c r="K3054" s="4">
        <v>-43346.076000000001</v>
      </c>
      <c r="L3054" s="4">
        <v>10</v>
      </c>
    </row>
    <row r="3055" spans="1:12">
      <c r="A3055" t="s">
        <v>264</v>
      </c>
      <c r="B3055" s="10">
        <v>45464</v>
      </c>
      <c r="C3055" s="18">
        <f t="shared" si="47"/>
        <v>6</v>
      </c>
      <c r="D3055" t="s">
        <v>196</v>
      </c>
      <c r="E3055">
        <v>4871657</v>
      </c>
      <c r="F3055" t="s">
        <v>8</v>
      </c>
      <c r="G3055" t="s">
        <v>203</v>
      </c>
      <c r="H3055" t="s">
        <v>243</v>
      </c>
      <c r="I3055" s="4">
        <v>100638.28079999999</v>
      </c>
      <c r="J3055" s="4">
        <v>402553.12319999997</v>
      </c>
      <c r="K3055" s="4">
        <v>-17338.430399999997</v>
      </c>
      <c r="L3055" s="4">
        <v>4</v>
      </c>
    </row>
    <row r="3056" spans="1:12">
      <c r="A3056" t="s">
        <v>264</v>
      </c>
      <c r="B3056" s="10">
        <v>45464</v>
      </c>
      <c r="C3056" s="18">
        <f t="shared" si="47"/>
        <v>6</v>
      </c>
      <c r="D3056" t="s">
        <v>196</v>
      </c>
      <c r="E3056">
        <v>4871657</v>
      </c>
      <c r="F3056" t="s">
        <v>8</v>
      </c>
      <c r="G3056" t="s">
        <v>203</v>
      </c>
      <c r="H3056" t="s">
        <v>242</v>
      </c>
      <c r="I3056" s="4">
        <v>100638.28079999999</v>
      </c>
      <c r="J3056" s="4">
        <v>402553.12319999997</v>
      </c>
      <c r="K3056" s="4">
        <v>-17338.430399999997</v>
      </c>
      <c r="L3056" s="4">
        <v>4</v>
      </c>
    </row>
    <row r="3057" spans="1:12">
      <c r="A3057" t="s">
        <v>264</v>
      </c>
      <c r="B3057" s="10">
        <v>45464</v>
      </c>
      <c r="C3057" s="18">
        <f t="shared" si="47"/>
        <v>6</v>
      </c>
      <c r="D3057" t="s">
        <v>196</v>
      </c>
      <c r="E3057">
        <v>4871657</v>
      </c>
      <c r="F3057" t="s">
        <v>8</v>
      </c>
      <c r="G3057" t="s">
        <v>203</v>
      </c>
      <c r="H3057" t="s">
        <v>240</v>
      </c>
      <c r="I3057" s="4">
        <v>100638.28079999999</v>
      </c>
      <c r="J3057" s="4">
        <v>402553.12319999997</v>
      </c>
      <c r="K3057" s="4">
        <v>-17338.430399999997</v>
      </c>
      <c r="L3057" s="4">
        <v>4</v>
      </c>
    </row>
    <row r="3058" spans="1:12">
      <c r="A3058" t="s">
        <v>264</v>
      </c>
      <c r="B3058" s="10">
        <v>45464</v>
      </c>
      <c r="C3058" s="18">
        <f t="shared" si="47"/>
        <v>6</v>
      </c>
      <c r="D3058" t="s">
        <v>196</v>
      </c>
      <c r="E3058">
        <v>4871657</v>
      </c>
      <c r="F3058" t="s">
        <v>8</v>
      </c>
      <c r="G3058" t="s">
        <v>203</v>
      </c>
      <c r="H3058" t="s">
        <v>238</v>
      </c>
      <c r="I3058" s="4">
        <v>95606.36675999999</v>
      </c>
      <c r="J3058" s="4">
        <v>382425.46703999996</v>
      </c>
      <c r="K3058" s="4">
        <v>-17338.430399999997</v>
      </c>
      <c r="L3058" s="4">
        <v>4</v>
      </c>
    </row>
    <row r="3059" spans="1:12">
      <c r="A3059" t="s">
        <v>264</v>
      </c>
      <c r="B3059" s="10">
        <v>45464</v>
      </c>
      <c r="C3059" s="18">
        <f t="shared" si="47"/>
        <v>6</v>
      </c>
      <c r="D3059" t="s">
        <v>196</v>
      </c>
      <c r="E3059">
        <v>4871657</v>
      </c>
      <c r="F3059" t="s">
        <v>8</v>
      </c>
      <c r="G3059" t="s">
        <v>203</v>
      </c>
      <c r="H3059" t="s">
        <v>234</v>
      </c>
      <c r="I3059" s="4">
        <v>100638.28079999999</v>
      </c>
      <c r="J3059" s="4">
        <v>402553.12319999997</v>
      </c>
      <c r="K3059" s="4">
        <v>-17338.430399999997</v>
      </c>
      <c r="L3059" s="4">
        <v>4</v>
      </c>
    </row>
    <row r="3060" spans="1:12">
      <c r="A3060" t="s">
        <v>264</v>
      </c>
      <c r="B3060" s="10">
        <v>45464</v>
      </c>
      <c r="C3060" s="18">
        <f t="shared" si="47"/>
        <v>6</v>
      </c>
      <c r="D3060" t="s">
        <v>196</v>
      </c>
      <c r="E3060">
        <v>4873723</v>
      </c>
      <c r="F3060" t="s">
        <v>8</v>
      </c>
      <c r="G3060" t="s">
        <v>204</v>
      </c>
      <c r="H3060" t="s">
        <v>220</v>
      </c>
      <c r="I3060" s="4">
        <v>37817.880799999999</v>
      </c>
      <c r="J3060" s="4">
        <v>378178.80799999996</v>
      </c>
      <c r="K3060" s="4">
        <v>-18846.12</v>
      </c>
      <c r="L3060" s="4">
        <v>10</v>
      </c>
    </row>
    <row r="3061" spans="1:12">
      <c r="A3061" t="s">
        <v>264</v>
      </c>
      <c r="B3061" s="10">
        <v>45464</v>
      </c>
      <c r="C3061" s="18">
        <f t="shared" si="47"/>
        <v>6</v>
      </c>
      <c r="D3061" t="s">
        <v>196</v>
      </c>
      <c r="E3061">
        <v>4872103</v>
      </c>
      <c r="F3061" t="s">
        <v>8</v>
      </c>
      <c r="G3061" t="s">
        <v>202</v>
      </c>
      <c r="H3061" t="s">
        <v>253</v>
      </c>
      <c r="I3061" s="4">
        <v>46669.275160000005</v>
      </c>
      <c r="J3061" s="4">
        <v>14000782.548000002</v>
      </c>
      <c r="K3061" s="4">
        <v>-734998.68</v>
      </c>
      <c r="L3061" s="4">
        <v>300</v>
      </c>
    </row>
    <row r="3062" spans="1:12">
      <c r="A3062" t="s">
        <v>264</v>
      </c>
      <c r="B3062" s="10">
        <v>45464</v>
      </c>
      <c r="C3062" s="18">
        <f t="shared" si="47"/>
        <v>6</v>
      </c>
      <c r="D3062" t="s">
        <v>196</v>
      </c>
      <c r="E3062">
        <v>4872205</v>
      </c>
      <c r="F3062" t="s">
        <v>8</v>
      </c>
      <c r="G3062" t="s">
        <v>203</v>
      </c>
      <c r="H3062" t="s">
        <v>243</v>
      </c>
      <c r="I3062" s="4">
        <v>100638.28079999999</v>
      </c>
      <c r="J3062" s="4">
        <v>1006382.808</v>
      </c>
      <c r="K3062" s="4">
        <v>-43346.076000000001</v>
      </c>
      <c r="L3062" s="4">
        <v>10</v>
      </c>
    </row>
    <row r="3063" spans="1:12">
      <c r="A3063" t="s">
        <v>264</v>
      </c>
      <c r="B3063" s="10">
        <v>45464</v>
      </c>
      <c r="C3063" s="18">
        <f t="shared" si="47"/>
        <v>6</v>
      </c>
      <c r="D3063" t="s">
        <v>196</v>
      </c>
      <c r="E3063">
        <v>4872205</v>
      </c>
      <c r="F3063" t="s">
        <v>8</v>
      </c>
      <c r="G3063" t="s">
        <v>203</v>
      </c>
      <c r="H3063" t="s">
        <v>242</v>
      </c>
      <c r="I3063" s="4">
        <v>100638.28079999999</v>
      </c>
      <c r="J3063" s="4">
        <v>1006382.808</v>
      </c>
      <c r="K3063" s="4">
        <v>-43346.076000000001</v>
      </c>
      <c r="L3063" s="4">
        <v>10</v>
      </c>
    </row>
    <row r="3064" spans="1:12">
      <c r="A3064" t="s">
        <v>264</v>
      </c>
      <c r="B3064" s="10">
        <v>45464</v>
      </c>
      <c r="C3064" s="18">
        <f t="shared" si="47"/>
        <v>6</v>
      </c>
      <c r="D3064" t="s">
        <v>196</v>
      </c>
      <c r="E3064">
        <v>4872205</v>
      </c>
      <c r="F3064" t="s">
        <v>8</v>
      </c>
      <c r="G3064" t="s">
        <v>203</v>
      </c>
      <c r="H3064" t="s">
        <v>240</v>
      </c>
      <c r="I3064" s="4">
        <v>100638.28079999999</v>
      </c>
      <c r="J3064" s="4">
        <v>1006382.808</v>
      </c>
      <c r="K3064" s="4">
        <v>-43346.076000000001</v>
      </c>
      <c r="L3064" s="4">
        <v>10</v>
      </c>
    </row>
    <row r="3065" spans="1:12">
      <c r="A3065" t="s">
        <v>264</v>
      </c>
      <c r="B3065" s="10">
        <v>45464</v>
      </c>
      <c r="C3065" s="18">
        <f t="shared" si="47"/>
        <v>6</v>
      </c>
      <c r="D3065" t="s">
        <v>196</v>
      </c>
      <c r="E3065">
        <v>4872205</v>
      </c>
      <c r="F3065" t="s">
        <v>8</v>
      </c>
      <c r="G3065" t="s">
        <v>203</v>
      </c>
      <c r="H3065" t="s">
        <v>238</v>
      </c>
      <c r="I3065" s="4">
        <v>95606.36675999999</v>
      </c>
      <c r="J3065" s="4">
        <v>956063.66759999993</v>
      </c>
      <c r="K3065" s="4">
        <v>-43346.076000000001</v>
      </c>
      <c r="L3065" s="4">
        <v>10</v>
      </c>
    </row>
    <row r="3066" spans="1:12">
      <c r="A3066" t="s">
        <v>264</v>
      </c>
      <c r="B3066" s="10">
        <v>45464</v>
      </c>
      <c r="C3066" s="18">
        <f t="shared" si="47"/>
        <v>6</v>
      </c>
      <c r="D3066" t="s">
        <v>196</v>
      </c>
      <c r="E3066">
        <v>4872205</v>
      </c>
      <c r="F3066" t="s">
        <v>8</v>
      </c>
      <c r="G3066" t="s">
        <v>203</v>
      </c>
      <c r="H3066" t="s">
        <v>236</v>
      </c>
      <c r="I3066" s="4">
        <v>100638.28079999999</v>
      </c>
      <c r="J3066" s="4">
        <v>1006382.808</v>
      </c>
      <c r="K3066" s="4">
        <v>-43346.076000000001</v>
      </c>
      <c r="L3066" s="4">
        <v>10</v>
      </c>
    </row>
    <row r="3067" spans="1:12">
      <c r="A3067" t="s">
        <v>264</v>
      </c>
      <c r="B3067" s="10">
        <v>45464</v>
      </c>
      <c r="C3067" s="18">
        <f t="shared" si="47"/>
        <v>6</v>
      </c>
      <c r="D3067" t="s">
        <v>196</v>
      </c>
      <c r="E3067">
        <v>4872205</v>
      </c>
      <c r="F3067" t="s">
        <v>8</v>
      </c>
      <c r="G3067" t="s">
        <v>203</v>
      </c>
      <c r="H3067" t="s">
        <v>234</v>
      </c>
      <c r="I3067" s="4">
        <v>100638.28079999999</v>
      </c>
      <c r="J3067" s="4">
        <v>2012765.6159999999</v>
      </c>
      <c r="K3067" s="4">
        <v>-86692.152000000002</v>
      </c>
      <c r="L3067" s="4">
        <v>20</v>
      </c>
    </row>
    <row r="3068" spans="1:12">
      <c r="A3068" t="s">
        <v>264</v>
      </c>
      <c r="B3068" s="10">
        <v>45464</v>
      </c>
      <c r="C3068" s="18">
        <f t="shared" si="47"/>
        <v>6</v>
      </c>
      <c r="D3068" t="s">
        <v>196</v>
      </c>
      <c r="E3068">
        <v>4872205</v>
      </c>
      <c r="F3068" t="s">
        <v>8</v>
      </c>
      <c r="G3068" t="s">
        <v>203</v>
      </c>
      <c r="H3068" t="s">
        <v>232</v>
      </c>
      <c r="I3068" s="4">
        <v>100638.28079999999</v>
      </c>
      <c r="J3068" s="4">
        <v>1006382.808</v>
      </c>
      <c r="K3068" s="4">
        <v>-43346.076000000001</v>
      </c>
      <c r="L3068" s="4">
        <v>10</v>
      </c>
    </row>
    <row r="3069" spans="1:12">
      <c r="A3069" t="s">
        <v>264</v>
      </c>
      <c r="B3069" s="10">
        <v>45464</v>
      </c>
      <c r="C3069" s="18">
        <f t="shared" si="47"/>
        <v>6</v>
      </c>
      <c r="D3069" t="s">
        <v>196</v>
      </c>
      <c r="E3069">
        <v>4872205</v>
      </c>
      <c r="F3069" t="s">
        <v>8</v>
      </c>
      <c r="G3069" t="s">
        <v>203</v>
      </c>
      <c r="H3069" t="s">
        <v>228</v>
      </c>
      <c r="I3069" s="4">
        <v>100638.28079999999</v>
      </c>
      <c r="J3069" s="4">
        <v>1006382.808</v>
      </c>
      <c r="K3069" s="4">
        <v>-43346.076000000001</v>
      </c>
      <c r="L3069" s="4">
        <v>10</v>
      </c>
    </row>
    <row r="3070" spans="1:12">
      <c r="A3070" t="s">
        <v>264</v>
      </c>
      <c r="B3070" s="10">
        <v>45464</v>
      </c>
      <c r="C3070" s="18">
        <f t="shared" si="47"/>
        <v>6</v>
      </c>
      <c r="D3070" t="s">
        <v>196</v>
      </c>
      <c r="E3070">
        <v>4872205</v>
      </c>
      <c r="F3070" t="s">
        <v>8</v>
      </c>
      <c r="G3070" t="s">
        <v>203</v>
      </c>
      <c r="H3070" t="s">
        <v>227</v>
      </c>
      <c r="I3070" s="4">
        <v>100638.28079999999</v>
      </c>
      <c r="J3070" s="4">
        <v>1006382.808</v>
      </c>
      <c r="K3070" s="4">
        <v>-43346.076000000001</v>
      </c>
      <c r="L3070" s="4">
        <v>10</v>
      </c>
    </row>
    <row r="3071" spans="1:12">
      <c r="A3071" t="s">
        <v>264</v>
      </c>
      <c r="B3071" s="10">
        <v>45464</v>
      </c>
      <c r="C3071" s="18">
        <f t="shared" si="47"/>
        <v>6</v>
      </c>
      <c r="D3071" t="s">
        <v>196</v>
      </c>
      <c r="E3071">
        <v>4872205</v>
      </c>
      <c r="F3071" t="s">
        <v>8</v>
      </c>
      <c r="G3071" t="s">
        <v>203</v>
      </c>
      <c r="H3071" t="s">
        <v>235</v>
      </c>
      <c r="I3071" s="4">
        <v>125766.4408</v>
      </c>
      <c r="J3071" s="4">
        <v>1886496.612</v>
      </c>
      <c r="K3071" s="4">
        <v>-84807.54</v>
      </c>
      <c r="L3071" s="4">
        <v>15</v>
      </c>
    </row>
    <row r="3072" spans="1:12">
      <c r="A3072" t="s">
        <v>264</v>
      </c>
      <c r="B3072" s="10">
        <v>45464</v>
      </c>
      <c r="C3072" s="18">
        <f t="shared" si="47"/>
        <v>6</v>
      </c>
      <c r="D3072" t="s">
        <v>196</v>
      </c>
      <c r="E3072">
        <v>4872205</v>
      </c>
      <c r="F3072" t="s">
        <v>8</v>
      </c>
      <c r="G3072" t="s">
        <v>203</v>
      </c>
      <c r="H3072" t="s">
        <v>231</v>
      </c>
      <c r="I3072" s="4">
        <v>125766.4408</v>
      </c>
      <c r="J3072" s="4">
        <v>628832.20400000003</v>
      </c>
      <c r="K3072" s="4">
        <v>-28269.18</v>
      </c>
      <c r="L3072" s="4">
        <v>5</v>
      </c>
    </row>
    <row r="3073" spans="1:12">
      <c r="A3073" t="s">
        <v>264</v>
      </c>
      <c r="B3073" s="10">
        <v>45465</v>
      </c>
      <c r="C3073" s="18">
        <f t="shared" si="47"/>
        <v>6</v>
      </c>
      <c r="D3073" t="s">
        <v>196</v>
      </c>
      <c r="E3073">
        <v>4878952</v>
      </c>
      <c r="F3073" t="s">
        <v>8</v>
      </c>
      <c r="G3073" t="s">
        <v>204</v>
      </c>
      <c r="H3073" t="s">
        <v>217</v>
      </c>
      <c r="I3073" s="4">
        <v>78022.936799999996</v>
      </c>
      <c r="J3073" s="4">
        <v>2184642.2303999998</v>
      </c>
      <c r="K3073" s="4">
        <v>-100261.35840000001</v>
      </c>
      <c r="L3073" s="4">
        <v>28</v>
      </c>
    </row>
    <row r="3074" spans="1:12">
      <c r="A3074" t="s">
        <v>264</v>
      </c>
      <c r="B3074" s="10">
        <v>45465</v>
      </c>
      <c r="C3074" s="18">
        <f t="shared" ref="C3074:C3137" si="48">MONTH(B3074)</f>
        <v>6</v>
      </c>
      <c r="D3074" t="s">
        <v>196</v>
      </c>
      <c r="E3074">
        <v>4872159</v>
      </c>
      <c r="F3074" t="s">
        <v>8</v>
      </c>
      <c r="G3074" t="s">
        <v>203</v>
      </c>
      <c r="H3074" t="s">
        <v>236</v>
      </c>
      <c r="I3074" s="4">
        <v>100638.28079999999</v>
      </c>
      <c r="J3074" s="4">
        <v>1006382.808</v>
      </c>
      <c r="K3074" s="4">
        <v>-43346.076000000001</v>
      </c>
      <c r="L3074" s="4">
        <v>10</v>
      </c>
    </row>
    <row r="3075" spans="1:12">
      <c r="A3075" t="s">
        <v>264</v>
      </c>
      <c r="B3075" s="10">
        <v>45465</v>
      </c>
      <c r="C3075" s="18">
        <f t="shared" si="48"/>
        <v>6</v>
      </c>
      <c r="D3075" t="s">
        <v>196</v>
      </c>
      <c r="E3075">
        <v>4872159</v>
      </c>
      <c r="F3075" t="s">
        <v>8</v>
      </c>
      <c r="G3075" t="s">
        <v>203</v>
      </c>
      <c r="H3075" t="s">
        <v>234</v>
      </c>
      <c r="I3075" s="4">
        <v>100638.28079999999</v>
      </c>
      <c r="J3075" s="4">
        <v>1006382.808</v>
      </c>
      <c r="K3075" s="4">
        <v>-43346.076000000001</v>
      </c>
      <c r="L3075" s="4">
        <v>10</v>
      </c>
    </row>
    <row r="3076" spans="1:12">
      <c r="A3076" t="s">
        <v>264</v>
      </c>
      <c r="B3076" s="10">
        <v>45465</v>
      </c>
      <c r="C3076" s="18">
        <f t="shared" si="48"/>
        <v>6</v>
      </c>
      <c r="D3076" t="s">
        <v>196</v>
      </c>
      <c r="E3076">
        <v>4878658</v>
      </c>
      <c r="F3076" t="s">
        <v>8</v>
      </c>
      <c r="G3076" t="s">
        <v>203</v>
      </c>
      <c r="H3076" t="s">
        <v>243</v>
      </c>
      <c r="I3076" s="4">
        <v>100638.28079999999</v>
      </c>
      <c r="J3076" s="4">
        <v>805106.24639999995</v>
      </c>
      <c r="K3076" s="4">
        <v>-34676.860799999995</v>
      </c>
      <c r="L3076" s="4">
        <v>8</v>
      </c>
    </row>
    <row r="3077" spans="1:12">
      <c r="A3077" t="s">
        <v>264</v>
      </c>
      <c r="B3077" s="10">
        <v>45465</v>
      </c>
      <c r="C3077" s="18">
        <f t="shared" si="48"/>
        <v>6</v>
      </c>
      <c r="D3077" t="s">
        <v>196</v>
      </c>
      <c r="E3077">
        <v>4878658</v>
      </c>
      <c r="F3077" t="s">
        <v>8</v>
      </c>
      <c r="G3077" t="s">
        <v>203</v>
      </c>
      <c r="H3077" t="s">
        <v>242</v>
      </c>
      <c r="I3077" s="4">
        <v>100638.28079999999</v>
      </c>
      <c r="J3077" s="4">
        <v>805106.24639999995</v>
      </c>
      <c r="K3077" s="4">
        <v>-34676.860799999995</v>
      </c>
      <c r="L3077" s="4">
        <v>8</v>
      </c>
    </row>
    <row r="3078" spans="1:12">
      <c r="A3078" t="s">
        <v>264</v>
      </c>
      <c r="B3078" s="10">
        <v>45465</v>
      </c>
      <c r="C3078" s="18">
        <f t="shared" si="48"/>
        <v>6</v>
      </c>
      <c r="D3078" t="s">
        <v>196</v>
      </c>
      <c r="E3078">
        <v>4878658</v>
      </c>
      <c r="F3078" t="s">
        <v>8</v>
      </c>
      <c r="G3078" t="s">
        <v>203</v>
      </c>
      <c r="H3078" t="s">
        <v>240</v>
      </c>
      <c r="I3078" s="4">
        <v>100638.28079999999</v>
      </c>
      <c r="J3078" s="4">
        <v>805106.24639999995</v>
      </c>
      <c r="K3078" s="4">
        <v>-34676.860799999995</v>
      </c>
      <c r="L3078" s="4">
        <v>8</v>
      </c>
    </row>
    <row r="3079" spans="1:12">
      <c r="A3079" t="s">
        <v>264</v>
      </c>
      <c r="B3079" s="10">
        <v>45465</v>
      </c>
      <c r="C3079" s="18">
        <f t="shared" si="48"/>
        <v>6</v>
      </c>
      <c r="D3079" t="s">
        <v>196</v>
      </c>
      <c r="E3079">
        <v>4878658</v>
      </c>
      <c r="F3079" t="s">
        <v>8</v>
      </c>
      <c r="G3079" t="s">
        <v>203</v>
      </c>
      <c r="H3079" t="s">
        <v>238</v>
      </c>
      <c r="I3079" s="4">
        <v>95606.36675999999</v>
      </c>
      <c r="J3079" s="4">
        <v>764850.93407999992</v>
      </c>
      <c r="K3079" s="4">
        <v>-34676.860799999995</v>
      </c>
      <c r="L3079" s="4">
        <v>8</v>
      </c>
    </row>
    <row r="3080" spans="1:12">
      <c r="A3080" t="s">
        <v>264</v>
      </c>
      <c r="B3080" s="10">
        <v>45465</v>
      </c>
      <c r="C3080" s="18">
        <f t="shared" si="48"/>
        <v>6</v>
      </c>
      <c r="D3080" t="s">
        <v>196</v>
      </c>
      <c r="E3080">
        <v>4878658</v>
      </c>
      <c r="F3080" t="s">
        <v>8</v>
      </c>
      <c r="G3080" t="s">
        <v>203</v>
      </c>
      <c r="H3080" t="s">
        <v>234</v>
      </c>
      <c r="I3080" s="4">
        <v>100638.28079999999</v>
      </c>
      <c r="J3080" s="4">
        <v>805106.24639999995</v>
      </c>
      <c r="K3080" s="4">
        <v>-34676.860799999995</v>
      </c>
      <c r="L3080" s="4">
        <v>8</v>
      </c>
    </row>
    <row r="3081" spans="1:12">
      <c r="A3081" t="s">
        <v>264</v>
      </c>
      <c r="B3081" s="10">
        <v>45465</v>
      </c>
      <c r="C3081" s="18">
        <f t="shared" si="48"/>
        <v>6</v>
      </c>
      <c r="D3081" t="s">
        <v>196</v>
      </c>
      <c r="E3081">
        <v>4878658</v>
      </c>
      <c r="F3081" t="s">
        <v>8</v>
      </c>
      <c r="G3081" t="s">
        <v>203</v>
      </c>
      <c r="H3081" t="s">
        <v>235</v>
      </c>
      <c r="I3081" s="4">
        <v>125766.4408</v>
      </c>
      <c r="J3081" s="4">
        <v>1257664.4080000001</v>
      </c>
      <c r="K3081" s="4">
        <v>-56538.36</v>
      </c>
      <c r="L3081" s="4">
        <v>10</v>
      </c>
    </row>
    <row r="3082" spans="1:12">
      <c r="A3082" t="s">
        <v>264</v>
      </c>
      <c r="B3082" s="10">
        <v>45465</v>
      </c>
      <c r="C3082" s="18">
        <f t="shared" si="48"/>
        <v>6</v>
      </c>
      <c r="D3082" t="s">
        <v>196</v>
      </c>
      <c r="E3082">
        <v>4873128</v>
      </c>
      <c r="F3082" t="s">
        <v>8</v>
      </c>
      <c r="G3082" t="s">
        <v>206</v>
      </c>
      <c r="H3082" t="s">
        <v>248</v>
      </c>
      <c r="I3082" s="4">
        <v>16207.663200000001</v>
      </c>
      <c r="J3082" s="4">
        <v>1620766.32</v>
      </c>
      <c r="K3082" s="4">
        <v>-72243.460000000006</v>
      </c>
      <c r="L3082" s="4">
        <v>100</v>
      </c>
    </row>
    <row r="3083" spans="1:12">
      <c r="A3083" t="s">
        <v>264</v>
      </c>
      <c r="B3083" s="10">
        <v>45465</v>
      </c>
      <c r="C3083" s="18">
        <f t="shared" si="48"/>
        <v>6</v>
      </c>
      <c r="D3083" t="s">
        <v>196</v>
      </c>
      <c r="E3083">
        <v>4873128</v>
      </c>
      <c r="F3083" t="s">
        <v>8</v>
      </c>
      <c r="G3083" t="s">
        <v>206</v>
      </c>
      <c r="H3083" t="s">
        <v>209</v>
      </c>
      <c r="I3083" s="4">
        <v>17715.352800000001</v>
      </c>
      <c r="J3083" s="4">
        <v>1771535.28</v>
      </c>
      <c r="K3083" s="4">
        <v>-75384.479999999996</v>
      </c>
      <c r="L3083" s="4">
        <v>100</v>
      </c>
    </row>
    <row r="3084" spans="1:12">
      <c r="A3084" t="s">
        <v>264</v>
      </c>
      <c r="B3084" s="10">
        <v>45465</v>
      </c>
      <c r="C3084" s="18">
        <f t="shared" si="48"/>
        <v>6</v>
      </c>
      <c r="D3084" t="s">
        <v>196</v>
      </c>
      <c r="E3084">
        <v>4872141</v>
      </c>
      <c r="F3084" t="s">
        <v>8</v>
      </c>
      <c r="G3084" t="s">
        <v>203</v>
      </c>
      <c r="H3084" t="s">
        <v>243</v>
      </c>
      <c r="I3084" s="4">
        <v>100638.28079999999</v>
      </c>
      <c r="J3084" s="4">
        <v>2012765.6159999999</v>
      </c>
      <c r="K3084" s="4">
        <v>-86692.152000000002</v>
      </c>
      <c r="L3084" s="4">
        <v>20</v>
      </c>
    </row>
    <row r="3085" spans="1:12">
      <c r="A3085" t="s">
        <v>264</v>
      </c>
      <c r="B3085" s="10">
        <v>45465</v>
      </c>
      <c r="C3085" s="18">
        <f t="shared" si="48"/>
        <v>6</v>
      </c>
      <c r="D3085" t="s">
        <v>196</v>
      </c>
      <c r="E3085">
        <v>4872141</v>
      </c>
      <c r="F3085" t="s">
        <v>8</v>
      </c>
      <c r="G3085" t="s">
        <v>203</v>
      </c>
      <c r="H3085" t="s">
        <v>242</v>
      </c>
      <c r="I3085" s="4">
        <v>100638.28079999999</v>
      </c>
      <c r="J3085" s="4">
        <v>4025531.2319999998</v>
      </c>
      <c r="K3085" s="4">
        <v>-173384.304</v>
      </c>
      <c r="L3085" s="4">
        <v>40</v>
      </c>
    </row>
    <row r="3086" spans="1:12">
      <c r="A3086" t="s">
        <v>264</v>
      </c>
      <c r="B3086" s="10">
        <v>45465</v>
      </c>
      <c r="C3086" s="18">
        <f t="shared" si="48"/>
        <v>6</v>
      </c>
      <c r="D3086" t="s">
        <v>196</v>
      </c>
      <c r="E3086">
        <v>4872141</v>
      </c>
      <c r="F3086" t="s">
        <v>8</v>
      </c>
      <c r="G3086" t="s">
        <v>203</v>
      </c>
      <c r="H3086" t="s">
        <v>240</v>
      </c>
      <c r="I3086" s="4">
        <v>100638.28079999999</v>
      </c>
      <c r="J3086" s="4">
        <v>2012765.6159999999</v>
      </c>
      <c r="K3086" s="4">
        <v>-86692.152000000002</v>
      </c>
      <c r="L3086" s="4">
        <v>20</v>
      </c>
    </row>
    <row r="3087" spans="1:12">
      <c r="A3087" t="s">
        <v>264</v>
      </c>
      <c r="B3087" s="10">
        <v>45465</v>
      </c>
      <c r="C3087" s="18">
        <f t="shared" si="48"/>
        <v>6</v>
      </c>
      <c r="D3087" t="s">
        <v>196</v>
      </c>
      <c r="E3087">
        <v>4872141</v>
      </c>
      <c r="F3087" t="s">
        <v>8</v>
      </c>
      <c r="G3087" t="s">
        <v>203</v>
      </c>
      <c r="H3087" t="s">
        <v>238</v>
      </c>
      <c r="I3087" s="4">
        <v>95606.36675999999</v>
      </c>
      <c r="J3087" s="4">
        <v>2868191.0027999999</v>
      </c>
      <c r="K3087" s="4">
        <v>-130038.22799999999</v>
      </c>
      <c r="L3087" s="4">
        <v>30</v>
      </c>
    </row>
    <row r="3088" spans="1:12">
      <c r="A3088" t="s">
        <v>264</v>
      </c>
      <c r="B3088" s="10">
        <v>45465</v>
      </c>
      <c r="C3088" s="18">
        <f t="shared" si="48"/>
        <v>6</v>
      </c>
      <c r="D3088" t="s">
        <v>196</v>
      </c>
      <c r="E3088">
        <v>4872141</v>
      </c>
      <c r="F3088" t="s">
        <v>8</v>
      </c>
      <c r="G3088" t="s">
        <v>203</v>
      </c>
      <c r="H3088" t="s">
        <v>232</v>
      </c>
      <c r="I3088" s="4">
        <v>100638.28079999999</v>
      </c>
      <c r="J3088" s="4">
        <v>4025531.2319999998</v>
      </c>
      <c r="K3088" s="4">
        <v>-173384.304</v>
      </c>
      <c r="L3088" s="4">
        <v>40</v>
      </c>
    </row>
    <row r="3089" spans="1:12">
      <c r="A3089" t="s">
        <v>264</v>
      </c>
      <c r="B3089" s="10">
        <v>45465</v>
      </c>
      <c r="C3089" s="18">
        <f t="shared" si="48"/>
        <v>6</v>
      </c>
      <c r="D3089" t="s">
        <v>196</v>
      </c>
      <c r="E3089">
        <v>4872141</v>
      </c>
      <c r="F3089" t="s">
        <v>8</v>
      </c>
      <c r="G3089" t="s">
        <v>203</v>
      </c>
      <c r="H3089" t="s">
        <v>228</v>
      </c>
      <c r="I3089" s="4">
        <v>100638.28079999999</v>
      </c>
      <c r="J3089" s="4">
        <v>3019148.4239999996</v>
      </c>
      <c r="K3089" s="4">
        <v>-130038.22799999999</v>
      </c>
      <c r="L3089" s="4">
        <v>30</v>
      </c>
    </row>
    <row r="3090" spans="1:12">
      <c r="A3090" t="s">
        <v>264</v>
      </c>
      <c r="B3090" s="10">
        <v>45465</v>
      </c>
      <c r="C3090" s="18">
        <f t="shared" si="48"/>
        <v>6</v>
      </c>
      <c r="D3090" t="s">
        <v>196</v>
      </c>
      <c r="E3090">
        <v>4872141</v>
      </c>
      <c r="F3090" t="s">
        <v>8</v>
      </c>
      <c r="G3090" t="s">
        <v>203</v>
      </c>
      <c r="H3090" t="s">
        <v>235</v>
      </c>
      <c r="I3090" s="4">
        <v>125766.4408</v>
      </c>
      <c r="J3090" s="4">
        <v>5030657.6320000002</v>
      </c>
      <c r="K3090" s="4">
        <v>-226153.44</v>
      </c>
      <c r="L3090" s="4">
        <v>40</v>
      </c>
    </row>
    <row r="3091" spans="1:12">
      <c r="A3091" t="s">
        <v>264</v>
      </c>
      <c r="B3091" s="10">
        <v>45465</v>
      </c>
      <c r="C3091" s="18">
        <f t="shared" si="48"/>
        <v>6</v>
      </c>
      <c r="D3091" t="s">
        <v>196</v>
      </c>
      <c r="E3091">
        <v>4872210</v>
      </c>
      <c r="F3091" t="s">
        <v>8</v>
      </c>
      <c r="G3091" t="s">
        <v>203</v>
      </c>
      <c r="H3091" t="s">
        <v>243</v>
      </c>
      <c r="I3091" s="4">
        <v>100638.28079999999</v>
      </c>
      <c r="J3091" s="4">
        <v>1610212.4927999999</v>
      </c>
      <c r="K3091" s="4">
        <v>-69353.72159999999</v>
      </c>
      <c r="L3091" s="4">
        <v>16</v>
      </c>
    </row>
    <row r="3092" spans="1:12">
      <c r="A3092" t="s">
        <v>264</v>
      </c>
      <c r="B3092" s="10">
        <v>45465</v>
      </c>
      <c r="C3092" s="18">
        <f t="shared" si="48"/>
        <v>6</v>
      </c>
      <c r="D3092" t="s">
        <v>196</v>
      </c>
      <c r="E3092">
        <v>4872210</v>
      </c>
      <c r="F3092" t="s">
        <v>8</v>
      </c>
      <c r="G3092" t="s">
        <v>203</v>
      </c>
      <c r="H3092" t="s">
        <v>242</v>
      </c>
      <c r="I3092" s="4">
        <v>100638.28079999999</v>
      </c>
      <c r="J3092" s="4">
        <v>1006382.808</v>
      </c>
      <c r="K3092" s="4">
        <v>-43346.076000000001</v>
      </c>
      <c r="L3092" s="4">
        <v>10</v>
      </c>
    </row>
    <row r="3093" spans="1:12">
      <c r="A3093" t="s">
        <v>264</v>
      </c>
      <c r="B3093" s="10">
        <v>45465</v>
      </c>
      <c r="C3093" s="18">
        <f t="shared" si="48"/>
        <v>6</v>
      </c>
      <c r="D3093" t="s">
        <v>196</v>
      </c>
      <c r="E3093">
        <v>4872210</v>
      </c>
      <c r="F3093" t="s">
        <v>8</v>
      </c>
      <c r="G3093" t="s">
        <v>203</v>
      </c>
      <c r="H3093" t="s">
        <v>240</v>
      </c>
      <c r="I3093" s="4">
        <v>100638.28079999999</v>
      </c>
      <c r="J3093" s="4">
        <v>2012765.6159999999</v>
      </c>
      <c r="K3093" s="4">
        <v>-86692.152000000002</v>
      </c>
      <c r="L3093" s="4">
        <v>20</v>
      </c>
    </row>
    <row r="3094" spans="1:12">
      <c r="A3094" t="s">
        <v>264</v>
      </c>
      <c r="B3094" s="10">
        <v>45465</v>
      </c>
      <c r="C3094" s="18">
        <f t="shared" si="48"/>
        <v>6</v>
      </c>
      <c r="D3094" t="s">
        <v>196</v>
      </c>
      <c r="E3094">
        <v>4872210</v>
      </c>
      <c r="F3094" t="s">
        <v>8</v>
      </c>
      <c r="G3094" t="s">
        <v>203</v>
      </c>
      <c r="H3094" t="s">
        <v>238</v>
      </c>
      <c r="I3094" s="4">
        <v>95606.36675999999</v>
      </c>
      <c r="J3094" s="4">
        <v>1912127.3351999999</v>
      </c>
      <c r="K3094" s="4">
        <v>-86692.152000000002</v>
      </c>
      <c r="L3094" s="4">
        <v>20</v>
      </c>
    </row>
    <row r="3095" spans="1:12">
      <c r="A3095" t="s">
        <v>264</v>
      </c>
      <c r="B3095" s="10">
        <v>45465</v>
      </c>
      <c r="C3095" s="18">
        <f t="shared" si="48"/>
        <v>6</v>
      </c>
      <c r="D3095" t="s">
        <v>196</v>
      </c>
      <c r="E3095">
        <v>4872210</v>
      </c>
      <c r="F3095" t="s">
        <v>8</v>
      </c>
      <c r="G3095" t="s">
        <v>203</v>
      </c>
      <c r="H3095" t="s">
        <v>234</v>
      </c>
      <c r="I3095" s="4">
        <v>100638.28079999999</v>
      </c>
      <c r="J3095" s="4">
        <v>1006382.808</v>
      </c>
      <c r="K3095" s="4">
        <v>-43346.076000000001</v>
      </c>
      <c r="L3095" s="4">
        <v>10</v>
      </c>
    </row>
    <row r="3096" spans="1:12">
      <c r="A3096" t="s">
        <v>264</v>
      </c>
      <c r="B3096" s="10">
        <v>45465</v>
      </c>
      <c r="C3096" s="18">
        <f t="shared" si="48"/>
        <v>6</v>
      </c>
      <c r="D3096" t="s">
        <v>196</v>
      </c>
      <c r="E3096">
        <v>4872210</v>
      </c>
      <c r="F3096" t="s">
        <v>8</v>
      </c>
      <c r="G3096" t="s">
        <v>203</v>
      </c>
      <c r="H3096" t="s">
        <v>232</v>
      </c>
      <c r="I3096" s="4">
        <v>100638.28079999999</v>
      </c>
      <c r="J3096" s="4">
        <v>805106.24639999995</v>
      </c>
      <c r="K3096" s="4">
        <v>-34676.860799999995</v>
      </c>
      <c r="L3096" s="4">
        <v>8</v>
      </c>
    </row>
    <row r="3097" spans="1:12">
      <c r="A3097" t="s">
        <v>264</v>
      </c>
      <c r="B3097" s="10">
        <v>45465</v>
      </c>
      <c r="C3097" s="18">
        <f t="shared" si="48"/>
        <v>6</v>
      </c>
      <c r="D3097" t="s">
        <v>196</v>
      </c>
      <c r="E3097">
        <v>4872210</v>
      </c>
      <c r="F3097" t="s">
        <v>8</v>
      </c>
      <c r="G3097" t="s">
        <v>203</v>
      </c>
      <c r="H3097" t="s">
        <v>228</v>
      </c>
      <c r="I3097" s="4">
        <v>100638.28079999999</v>
      </c>
      <c r="J3097" s="4">
        <v>2012765.6159999999</v>
      </c>
      <c r="K3097" s="4">
        <v>-86692.152000000002</v>
      </c>
      <c r="L3097" s="4">
        <v>20</v>
      </c>
    </row>
    <row r="3098" spans="1:12">
      <c r="A3098" t="s">
        <v>264</v>
      </c>
      <c r="B3098" s="10">
        <v>45465</v>
      </c>
      <c r="C3098" s="18">
        <f t="shared" si="48"/>
        <v>6</v>
      </c>
      <c r="D3098" t="s">
        <v>196</v>
      </c>
      <c r="E3098">
        <v>4872210</v>
      </c>
      <c r="F3098" t="s">
        <v>8</v>
      </c>
      <c r="G3098" t="s">
        <v>203</v>
      </c>
      <c r="H3098" t="s">
        <v>227</v>
      </c>
      <c r="I3098" s="4">
        <v>100638.28079999999</v>
      </c>
      <c r="J3098" s="4">
        <v>1006382.808</v>
      </c>
      <c r="K3098" s="4">
        <v>-43346.076000000001</v>
      </c>
      <c r="L3098" s="4">
        <v>10</v>
      </c>
    </row>
    <row r="3099" spans="1:12">
      <c r="A3099" t="s">
        <v>264</v>
      </c>
      <c r="B3099" s="10">
        <v>45465</v>
      </c>
      <c r="C3099" s="18">
        <f t="shared" si="48"/>
        <v>6</v>
      </c>
      <c r="D3099" t="s">
        <v>196</v>
      </c>
      <c r="E3099">
        <v>4872210</v>
      </c>
      <c r="F3099" t="s">
        <v>8</v>
      </c>
      <c r="G3099" t="s">
        <v>203</v>
      </c>
      <c r="H3099" t="s">
        <v>235</v>
      </c>
      <c r="I3099" s="4">
        <v>125766.4408</v>
      </c>
      <c r="J3099" s="4">
        <v>6288322.04</v>
      </c>
      <c r="K3099" s="4">
        <v>-282691.8</v>
      </c>
      <c r="L3099" s="4">
        <v>50</v>
      </c>
    </row>
    <row r="3100" spans="1:12">
      <c r="A3100" t="s">
        <v>264</v>
      </c>
      <c r="B3100" s="10">
        <v>45465</v>
      </c>
      <c r="C3100" s="18">
        <f t="shared" si="48"/>
        <v>6</v>
      </c>
      <c r="D3100" t="s">
        <v>196</v>
      </c>
      <c r="E3100">
        <v>4877306</v>
      </c>
      <c r="F3100" t="s">
        <v>8</v>
      </c>
      <c r="G3100" t="s">
        <v>203</v>
      </c>
      <c r="H3100" t="s">
        <v>243</v>
      </c>
      <c r="I3100" s="4">
        <v>100638.28079999999</v>
      </c>
      <c r="J3100" s="4">
        <v>805106.24639999995</v>
      </c>
      <c r="K3100" s="4">
        <v>-34676.860799999995</v>
      </c>
      <c r="L3100" s="4">
        <v>8</v>
      </c>
    </row>
    <row r="3101" spans="1:12">
      <c r="A3101" t="s">
        <v>264</v>
      </c>
      <c r="B3101" s="10">
        <v>45465</v>
      </c>
      <c r="C3101" s="18">
        <f t="shared" si="48"/>
        <v>6</v>
      </c>
      <c r="D3101" t="s">
        <v>196</v>
      </c>
      <c r="E3101">
        <v>4877306</v>
      </c>
      <c r="F3101" t="s">
        <v>8</v>
      </c>
      <c r="G3101" t="s">
        <v>203</v>
      </c>
      <c r="H3101" t="s">
        <v>242</v>
      </c>
      <c r="I3101" s="4">
        <v>100638.28079999999</v>
      </c>
      <c r="J3101" s="4">
        <v>805106.24639999995</v>
      </c>
      <c r="K3101" s="4">
        <v>-34676.860799999995</v>
      </c>
      <c r="L3101" s="4">
        <v>8</v>
      </c>
    </row>
    <row r="3102" spans="1:12">
      <c r="A3102" t="s">
        <v>264</v>
      </c>
      <c r="B3102" s="10">
        <v>45465</v>
      </c>
      <c r="C3102" s="18">
        <f t="shared" si="48"/>
        <v>6</v>
      </c>
      <c r="D3102" t="s">
        <v>196</v>
      </c>
      <c r="E3102">
        <v>4877306</v>
      </c>
      <c r="F3102" t="s">
        <v>8</v>
      </c>
      <c r="G3102" t="s">
        <v>203</v>
      </c>
      <c r="H3102" t="s">
        <v>240</v>
      </c>
      <c r="I3102" s="4">
        <v>100638.28079999999</v>
      </c>
      <c r="J3102" s="4">
        <v>1006382.808</v>
      </c>
      <c r="K3102" s="4">
        <v>-43346.076000000001</v>
      </c>
      <c r="L3102" s="4">
        <v>10</v>
      </c>
    </row>
    <row r="3103" spans="1:12">
      <c r="A3103" t="s">
        <v>264</v>
      </c>
      <c r="B3103" s="10">
        <v>45465</v>
      </c>
      <c r="C3103" s="18">
        <f t="shared" si="48"/>
        <v>6</v>
      </c>
      <c r="D3103" t="s">
        <v>196</v>
      </c>
      <c r="E3103">
        <v>4877306</v>
      </c>
      <c r="F3103" t="s">
        <v>8</v>
      </c>
      <c r="G3103" t="s">
        <v>203</v>
      </c>
      <c r="H3103" t="s">
        <v>238</v>
      </c>
      <c r="I3103" s="4">
        <v>95606.36675999999</v>
      </c>
      <c r="J3103" s="4">
        <v>956063.66759999993</v>
      </c>
      <c r="K3103" s="4">
        <v>-43346.076000000001</v>
      </c>
      <c r="L3103" s="4">
        <v>10</v>
      </c>
    </row>
    <row r="3104" spans="1:12">
      <c r="A3104" t="s">
        <v>264</v>
      </c>
      <c r="B3104" s="10">
        <v>45466</v>
      </c>
      <c r="C3104" s="18">
        <f t="shared" si="48"/>
        <v>6</v>
      </c>
      <c r="D3104" t="s">
        <v>196</v>
      </c>
      <c r="E3104">
        <v>4874006</v>
      </c>
      <c r="F3104" t="s">
        <v>8</v>
      </c>
      <c r="G3104" t="s">
        <v>203</v>
      </c>
      <c r="H3104" t="s">
        <v>242</v>
      </c>
      <c r="I3104" s="4">
        <v>100638.28079999999</v>
      </c>
      <c r="J3104" s="4">
        <v>402553.12319999997</v>
      </c>
      <c r="K3104" s="4">
        <v>-17338.430399999997</v>
      </c>
      <c r="L3104" s="4">
        <v>4</v>
      </c>
    </row>
    <row r="3105" spans="1:12">
      <c r="A3105" t="s">
        <v>264</v>
      </c>
      <c r="B3105" s="10">
        <v>45466</v>
      </c>
      <c r="C3105" s="18">
        <f t="shared" si="48"/>
        <v>6</v>
      </c>
      <c r="D3105" t="s">
        <v>196</v>
      </c>
      <c r="E3105">
        <v>4874006</v>
      </c>
      <c r="F3105" t="s">
        <v>8</v>
      </c>
      <c r="G3105" t="s">
        <v>203</v>
      </c>
      <c r="H3105" t="s">
        <v>240</v>
      </c>
      <c r="I3105" s="4">
        <v>100638.28079999999</v>
      </c>
      <c r="J3105" s="4">
        <v>402553.12319999997</v>
      </c>
      <c r="K3105" s="4">
        <v>-17338.430399999997</v>
      </c>
      <c r="L3105" s="4">
        <v>4</v>
      </c>
    </row>
    <row r="3106" spans="1:12">
      <c r="A3106" t="s">
        <v>264</v>
      </c>
      <c r="B3106" s="10">
        <v>45466</v>
      </c>
      <c r="C3106" s="18">
        <f t="shared" si="48"/>
        <v>6</v>
      </c>
      <c r="D3106" t="s">
        <v>196</v>
      </c>
      <c r="E3106">
        <v>4874006</v>
      </c>
      <c r="F3106" t="s">
        <v>8</v>
      </c>
      <c r="G3106" t="s">
        <v>203</v>
      </c>
      <c r="H3106" t="s">
        <v>227</v>
      </c>
      <c r="I3106" s="4">
        <v>100638.28079999999</v>
      </c>
      <c r="J3106" s="4">
        <v>402553.12319999997</v>
      </c>
      <c r="K3106" s="4">
        <v>-17338.430399999997</v>
      </c>
      <c r="L3106" s="4">
        <v>4</v>
      </c>
    </row>
    <row r="3107" spans="1:12">
      <c r="A3107" t="s">
        <v>264</v>
      </c>
      <c r="B3107" s="10">
        <v>45466</v>
      </c>
      <c r="C3107" s="18">
        <f t="shared" si="48"/>
        <v>6</v>
      </c>
      <c r="D3107" t="s">
        <v>196</v>
      </c>
      <c r="E3107">
        <v>4872058</v>
      </c>
      <c r="F3107" t="s">
        <v>8</v>
      </c>
      <c r="G3107" t="s">
        <v>203</v>
      </c>
      <c r="H3107" t="s">
        <v>242</v>
      </c>
      <c r="I3107" s="4">
        <v>100638.28079999999</v>
      </c>
      <c r="J3107" s="4">
        <v>402553.12319999997</v>
      </c>
      <c r="K3107" s="4">
        <v>-17338.430399999997</v>
      </c>
      <c r="L3107" s="4">
        <v>4</v>
      </c>
    </row>
    <row r="3108" spans="1:12">
      <c r="A3108" t="s">
        <v>264</v>
      </c>
      <c r="B3108" s="10">
        <v>45466</v>
      </c>
      <c r="C3108" s="18">
        <f t="shared" si="48"/>
        <v>6</v>
      </c>
      <c r="D3108" t="s">
        <v>196</v>
      </c>
      <c r="E3108">
        <v>4872058</v>
      </c>
      <c r="F3108" t="s">
        <v>8</v>
      </c>
      <c r="G3108" t="s">
        <v>203</v>
      </c>
      <c r="H3108" t="s">
        <v>240</v>
      </c>
      <c r="I3108" s="4">
        <v>100638.28079999999</v>
      </c>
      <c r="J3108" s="4">
        <v>402553.12319999997</v>
      </c>
      <c r="K3108" s="4">
        <v>-17338.430399999997</v>
      </c>
      <c r="L3108" s="4">
        <v>4</v>
      </c>
    </row>
    <row r="3109" spans="1:12">
      <c r="A3109" t="s">
        <v>264</v>
      </c>
      <c r="B3109" s="10">
        <v>45466</v>
      </c>
      <c r="C3109" s="18">
        <f t="shared" si="48"/>
        <v>6</v>
      </c>
      <c r="D3109" t="s">
        <v>196</v>
      </c>
      <c r="E3109">
        <v>4872058</v>
      </c>
      <c r="F3109" t="s">
        <v>8</v>
      </c>
      <c r="G3109" t="s">
        <v>203</v>
      </c>
      <c r="H3109" t="s">
        <v>227</v>
      </c>
      <c r="I3109" s="4">
        <v>100638.28079999999</v>
      </c>
      <c r="J3109" s="4">
        <v>201276.56159999999</v>
      </c>
      <c r="K3109" s="4">
        <v>-8669.2151999999987</v>
      </c>
      <c r="L3109" s="4">
        <v>2</v>
      </c>
    </row>
    <row r="3110" spans="1:12">
      <c r="A3110" t="s">
        <v>264</v>
      </c>
      <c r="B3110" s="10">
        <v>45466</v>
      </c>
      <c r="C3110" s="18">
        <f t="shared" si="48"/>
        <v>6</v>
      </c>
      <c r="D3110" t="s">
        <v>196</v>
      </c>
      <c r="E3110">
        <v>4872058</v>
      </c>
      <c r="F3110" t="s">
        <v>8</v>
      </c>
      <c r="G3110" t="s">
        <v>203</v>
      </c>
      <c r="H3110" t="s">
        <v>223</v>
      </c>
      <c r="I3110" s="4">
        <v>100638.28079999999</v>
      </c>
      <c r="J3110" s="4">
        <v>402553.12319999997</v>
      </c>
      <c r="K3110" s="4">
        <v>-17338.430399999997</v>
      </c>
      <c r="L3110" s="4">
        <v>4</v>
      </c>
    </row>
    <row r="3111" spans="1:12">
      <c r="A3111" t="s">
        <v>264</v>
      </c>
      <c r="B3111" s="10">
        <v>45466</v>
      </c>
      <c r="C3111" s="18">
        <f t="shared" si="48"/>
        <v>6</v>
      </c>
      <c r="D3111" t="s">
        <v>196</v>
      </c>
      <c r="E3111">
        <v>4872208</v>
      </c>
      <c r="F3111" t="s">
        <v>8</v>
      </c>
      <c r="G3111" t="s">
        <v>204</v>
      </c>
      <c r="H3111" t="s">
        <v>217</v>
      </c>
      <c r="I3111" s="4">
        <v>78022.936799999996</v>
      </c>
      <c r="J3111" s="4">
        <v>1560458.736</v>
      </c>
      <c r="K3111" s="4">
        <v>-71615.256000000008</v>
      </c>
      <c r="L3111" s="4">
        <v>20</v>
      </c>
    </row>
    <row r="3112" spans="1:12">
      <c r="A3112" t="s">
        <v>264</v>
      </c>
      <c r="B3112" s="10">
        <v>45466</v>
      </c>
      <c r="C3112" s="18">
        <f t="shared" si="48"/>
        <v>6</v>
      </c>
      <c r="D3112" t="s">
        <v>196</v>
      </c>
      <c r="E3112">
        <v>4876759</v>
      </c>
      <c r="F3112" t="s">
        <v>8</v>
      </c>
      <c r="G3112" t="s">
        <v>203</v>
      </c>
      <c r="H3112" t="s">
        <v>242</v>
      </c>
      <c r="I3112" s="4">
        <v>100638.28079999999</v>
      </c>
      <c r="J3112" s="4">
        <v>1006382.808</v>
      </c>
      <c r="K3112" s="4">
        <v>-43346.076000000001</v>
      </c>
      <c r="L3112" s="4">
        <v>10</v>
      </c>
    </row>
    <row r="3113" spans="1:12">
      <c r="A3113" t="s">
        <v>264</v>
      </c>
      <c r="B3113" s="10">
        <v>45466</v>
      </c>
      <c r="C3113" s="18">
        <f t="shared" si="48"/>
        <v>6</v>
      </c>
      <c r="D3113" t="s">
        <v>196</v>
      </c>
      <c r="E3113">
        <v>4876759</v>
      </c>
      <c r="F3113" t="s">
        <v>8</v>
      </c>
      <c r="G3113" t="s">
        <v>203</v>
      </c>
      <c r="H3113" t="s">
        <v>240</v>
      </c>
      <c r="I3113" s="4">
        <v>100638.28079999999</v>
      </c>
      <c r="J3113" s="4">
        <v>1006382.808</v>
      </c>
      <c r="K3113" s="4">
        <v>-43346.076000000001</v>
      </c>
      <c r="L3113" s="4">
        <v>10</v>
      </c>
    </row>
    <row r="3114" spans="1:12">
      <c r="A3114" t="s">
        <v>264</v>
      </c>
      <c r="B3114" s="10">
        <v>45466</v>
      </c>
      <c r="C3114" s="18">
        <f t="shared" si="48"/>
        <v>6</v>
      </c>
      <c r="D3114" t="s">
        <v>196</v>
      </c>
      <c r="E3114">
        <v>4876759</v>
      </c>
      <c r="F3114" t="s">
        <v>8</v>
      </c>
      <c r="G3114" t="s">
        <v>203</v>
      </c>
      <c r="H3114" t="s">
        <v>238</v>
      </c>
      <c r="I3114" s="4">
        <v>95606.36675999999</v>
      </c>
      <c r="J3114" s="4">
        <v>956063.66759999993</v>
      </c>
      <c r="K3114" s="4">
        <v>-43346.076000000001</v>
      </c>
      <c r="L3114" s="4">
        <v>10</v>
      </c>
    </row>
    <row r="3115" spans="1:12">
      <c r="A3115" t="s">
        <v>264</v>
      </c>
      <c r="B3115" s="10">
        <v>45466</v>
      </c>
      <c r="C3115" s="18">
        <f t="shared" si="48"/>
        <v>6</v>
      </c>
      <c r="D3115" t="s">
        <v>196</v>
      </c>
      <c r="E3115">
        <v>4876759</v>
      </c>
      <c r="F3115" t="s">
        <v>8</v>
      </c>
      <c r="G3115" t="s">
        <v>203</v>
      </c>
      <c r="H3115" t="s">
        <v>234</v>
      </c>
      <c r="I3115" s="4">
        <v>100638.28079999999</v>
      </c>
      <c r="J3115" s="4">
        <v>1006382.808</v>
      </c>
      <c r="K3115" s="4">
        <v>-43346.076000000001</v>
      </c>
      <c r="L3115" s="4">
        <v>10</v>
      </c>
    </row>
    <row r="3116" spans="1:12">
      <c r="A3116" t="s">
        <v>264</v>
      </c>
      <c r="B3116" s="10">
        <v>45466</v>
      </c>
      <c r="C3116" s="18">
        <f t="shared" si="48"/>
        <v>6</v>
      </c>
      <c r="D3116" t="s">
        <v>196</v>
      </c>
      <c r="E3116">
        <v>4876759</v>
      </c>
      <c r="F3116" t="s">
        <v>8</v>
      </c>
      <c r="G3116" t="s">
        <v>203</v>
      </c>
      <c r="H3116" t="s">
        <v>241</v>
      </c>
      <c r="I3116" s="4">
        <v>125766.4408</v>
      </c>
      <c r="J3116" s="4">
        <v>1257664.4080000001</v>
      </c>
      <c r="K3116" s="4">
        <v>-56538.36</v>
      </c>
      <c r="L3116" s="4">
        <v>10</v>
      </c>
    </row>
    <row r="3117" spans="1:12">
      <c r="A3117" t="s">
        <v>264</v>
      </c>
      <c r="B3117" s="10">
        <v>45466</v>
      </c>
      <c r="C3117" s="18">
        <f t="shared" si="48"/>
        <v>6</v>
      </c>
      <c r="D3117" t="s">
        <v>196</v>
      </c>
      <c r="E3117">
        <v>4876759</v>
      </c>
      <c r="F3117" t="s">
        <v>8</v>
      </c>
      <c r="G3117" t="s">
        <v>203</v>
      </c>
      <c r="H3117" t="s">
        <v>239</v>
      </c>
      <c r="I3117" s="4">
        <v>125766.4408</v>
      </c>
      <c r="J3117" s="4">
        <v>2515328.8160000001</v>
      </c>
      <c r="K3117" s="4">
        <v>-113076.72</v>
      </c>
      <c r="L3117" s="4">
        <v>20</v>
      </c>
    </row>
    <row r="3118" spans="1:12">
      <c r="A3118" t="s">
        <v>264</v>
      </c>
      <c r="B3118" s="10">
        <v>45466</v>
      </c>
      <c r="C3118" s="18">
        <f t="shared" si="48"/>
        <v>6</v>
      </c>
      <c r="D3118" t="s">
        <v>196</v>
      </c>
      <c r="E3118">
        <v>4876759</v>
      </c>
      <c r="F3118" t="s">
        <v>8</v>
      </c>
      <c r="G3118" t="s">
        <v>203</v>
      </c>
      <c r="H3118" t="s">
        <v>235</v>
      </c>
      <c r="I3118" s="4">
        <v>125766.4408</v>
      </c>
      <c r="J3118" s="4">
        <v>1257664.4080000001</v>
      </c>
      <c r="K3118" s="4">
        <v>-56538.36</v>
      </c>
      <c r="L3118" s="4">
        <v>10</v>
      </c>
    </row>
    <row r="3119" spans="1:12">
      <c r="A3119" t="s">
        <v>264</v>
      </c>
      <c r="B3119" s="10">
        <v>45466</v>
      </c>
      <c r="C3119" s="18">
        <f t="shared" si="48"/>
        <v>6</v>
      </c>
      <c r="D3119" t="s">
        <v>196</v>
      </c>
      <c r="E3119">
        <v>4872210</v>
      </c>
      <c r="F3119" t="s">
        <v>8</v>
      </c>
      <c r="G3119" t="s">
        <v>203</v>
      </c>
      <c r="H3119" t="s">
        <v>240</v>
      </c>
      <c r="I3119" s="4">
        <v>100638.28079999999</v>
      </c>
      <c r="J3119" s="4">
        <v>2012765.6159999999</v>
      </c>
      <c r="K3119" s="4">
        <v>-86692.152000000002</v>
      </c>
      <c r="L3119" s="4">
        <v>20</v>
      </c>
    </row>
    <row r="3120" spans="1:12">
      <c r="A3120" t="s">
        <v>264</v>
      </c>
      <c r="B3120" s="10">
        <v>45467</v>
      </c>
      <c r="C3120" s="18">
        <f t="shared" si="48"/>
        <v>6</v>
      </c>
      <c r="D3120" t="s">
        <v>196</v>
      </c>
      <c r="E3120">
        <v>4874006</v>
      </c>
      <c r="F3120" t="s">
        <v>8</v>
      </c>
      <c r="G3120" t="s">
        <v>206</v>
      </c>
      <c r="H3120" t="s">
        <v>249</v>
      </c>
      <c r="I3120" s="4">
        <v>17715.352800000001</v>
      </c>
      <c r="J3120" s="4">
        <v>1771535.28</v>
      </c>
      <c r="K3120" s="4">
        <v>-75384.479999999996</v>
      </c>
      <c r="L3120" s="4">
        <v>100</v>
      </c>
    </row>
    <row r="3121" spans="1:12">
      <c r="A3121" t="s">
        <v>264</v>
      </c>
      <c r="B3121" s="10">
        <v>45467</v>
      </c>
      <c r="C3121" s="18">
        <f t="shared" si="48"/>
        <v>6</v>
      </c>
      <c r="D3121" t="s">
        <v>196</v>
      </c>
      <c r="E3121">
        <v>4874006</v>
      </c>
      <c r="F3121" t="s">
        <v>8</v>
      </c>
      <c r="G3121" t="s">
        <v>206</v>
      </c>
      <c r="H3121" t="s">
        <v>209</v>
      </c>
      <c r="I3121" s="4">
        <v>17715.352800000001</v>
      </c>
      <c r="J3121" s="4">
        <v>1771535.28</v>
      </c>
      <c r="K3121" s="4">
        <v>-75384.479999999996</v>
      </c>
      <c r="L3121" s="4">
        <v>100</v>
      </c>
    </row>
    <row r="3122" spans="1:12">
      <c r="A3122" t="s">
        <v>264</v>
      </c>
      <c r="B3122" s="10">
        <v>45467</v>
      </c>
      <c r="C3122" s="18">
        <f t="shared" si="48"/>
        <v>6</v>
      </c>
      <c r="D3122" t="s">
        <v>196</v>
      </c>
      <c r="E3122">
        <v>4871657</v>
      </c>
      <c r="F3122" t="s">
        <v>8</v>
      </c>
      <c r="G3122" t="s">
        <v>203</v>
      </c>
      <c r="H3122" t="s">
        <v>234</v>
      </c>
      <c r="I3122" s="4">
        <v>100638.28079999999</v>
      </c>
      <c r="J3122" s="4">
        <v>201276.56159999999</v>
      </c>
      <c r="K3122" s="4">
        <v>-8669.2151999999987</v>
      </c>
      <c r="L3122" s="4">
        <v>2</v>
      </c>
    </row>
    <row r="3123" spans="1:12">
      <c r="A3123" t="s">
        <v>264</v>
      </c>
      <c r="B3123" s="10">
        <v>45467</v>
      </c>
      <c r="C3123" s="18">
        <f t="shared" si="48"/>
        <v>6</v>
      </c>
      <c r="D3123" t="s">
        <v>196</v>
      </c>
      <c r="E3123">
        <v>4871657</v>
      </c>
      <c r="F3123" t="s">
        <v>8</v>
      </c>
      <c r="G3123" t="s">
        <v>203</v>
      </c>
      <c r="H3123" t="s">
        <v>228</v>
      </c>
      <c r="I3123" s="4">
        <v>100638.28079999999</v>
      </c>
      <c r="J3123" s="4">
        <v>201276.56159999999</v>
      </c>
      <c r="K3123" s="4">
        <v>-8669.2151999999987</v>
      </c>
      <c r="L3123" s="4">
        <v>2</v>
      </c>
    </row>
    <row r="3124" spans="1:12">
      <c r="A3124" t="s">
        <v>264</v>
      </c>
      <c r="B3124" s="10">
        <v>45467</v>
      </c>
      <c r="C3124" s="18">
        <f t="shared" si="48"/>
        <v>6</v>
      </c>
      <c r="D3124" t="s">
        <v>196</v>
      </c>
      <c r="E3124">
        <v>4871657</v>
      </c>
      <c r="F3124" t="s">
        <v>8</v>
      </c>
      <c r="G3124" t="s">
        <v>203</v>
      </c>
      <c r="H3124" t="s">
        <v>227</v>
      </c>
      <c r="I3124" s="4">
        <v>100638.28079999999</v>
      </c>
      <c r="J3124" s="4">
        <v>201276.56159999999</v>
      </c>
      <c r="K3124" s="4">
        <v>-8669.2151999999987</v>
      </c>
      <c r="L3124" s="4">
        <v>2</v>
      </c>
    </row>
    <row r="3125" spans="1:12">
      <c r="A3125" t="s">
        <v>264</v>
      </c>
      <c r="B3125" s="10">
        <v>45467</v>
      </c>
      <c r="C3125" s="18">
        <f t="shared" si="48"/>
        <v>6</v>
      </c>
      <c r="D3125" t="s">
        <v>196</v>
      </c>
      <c r="E3125">
        <v>4871657</v>
      </c>
      <c r="F3125" t="s">
        <v>8</v>
      </c>
      <c r="G3125" t="s">
        <v>203</v>
      </c>
      <c r="H3125" t="s">
        <v>223</v>
      </c>
      <c r="I3125" s="4">
        <v>100638.28079999999</v>
      </c>
      <c r="J3125" s="4">
        <v>201276.56159999999</v>
      </c>
      <c r="K3125" s="4">
        <v>-8669.2151999999987</v>
      </c>
      <c r="L3125" s="4">
        <v>2</v>
      </c>
    </row>
    <row r="3126" spans="1:12">
      <c r="A3126" t="s">
        <v>264</v>
      </c>
      <c r="B3126" s="10">
        <v>45467</v>
      </c>
      <c r="C3126" s="18">
        <f t="shared" si="48"/>
        <v>6</v>
      </c>
      <c r="D3126" t="s">
        <v>196</v>
      </c>
      <c r="E3126">
        <v>4872141</v>
      </c>
      <c r="F3126" t="s">
        <v>8</v>
      </c>
      <c r="G3126" t="s">
        <v>203</v>
      </c>
      <c r="H3126" t="s">
        <v>241</v>
      </c>
      <c r="I3126" s="4">
        <v>125766.4408</v>
      </c>
      <c r="J3126" s="4">
        <v>377299.3224</v>
      </c>
      <c r="K3126" s="4">
        <v>-16961.508000000002</v>
      </c>
      <c r="L3126" s="4">
        <v>3</v>
      </c>
    </row>
    <row r="3127" spans="1:12">
      <c r="A3127" t="s">
        <v>264</v>
      </c>
      <c r="B3127" s="10">
        <v>45467</v>
      </c>
      <c r="C3127" s="18">
        <f t="shared" si="48"/>
        <v>6</v>
      </c>
      <c r="D3127" t="s">
        <v>196</v>
      </c>
      <c r="E3127">
        <v>4872141</v>
      </c>
      <c r="F3127" t="s">
        <v>8</v>
      </c>
      <c r="G3127" t="s">
        <v>203</v>
      </c>
      <c r="H3127" t="s">
        <v>239</v>
      </c>
      <c r="I3127" s="4">
        <v>125766.4408</v>
      </c>
      <c r="J3127" s="4">
        <v>1257664.4080000001</v>
      </c>
      <c r="K3127" s="4">
        <v>-56538.36</v>
      </c>
      <c r="L3127" s="4">
        <v>10</v>
      </c>
    </row>
    <row r="3128" spans="1:12">
      <c r="A3128" t="s">
        <v>264</v>
      </c>
      <c r="B3128" s="10">
        <v>45467</v>
      </c>
      <c r="C3128" s="18">
        <f t="shared" si="48"/>
        <v>6</v>
      </c>
      <c r="D3128" t="s">
        <v>196</v>
      </c>
      <c r="E3128">
        <v>4872141</v>
      </c>
      <c r="F3128" t="s">
        <v>8</v>
      </c>
      <c r="G3128" t="s">
        <v>203</v>
      </c>
      <c r="H3128" t="s">
        <v>235</v>
      </c>
      <c r="I3128" s="4">
        <v>125766.4408</v>
      </c>
      <c r="J3128" s="4">
        <v>880365.08559999999</v>
      </c>
      <c r="K3128" s="4">
        <v>-39576.851999999999</v>
      </c>
      <c r="L3128" s="4">
        <v>7</v>
      </c>
    </row>
    <row r="3129" spans="1:12">
      <c r="A3129" t="s">
        <v>264</v>
      </c>
      <c r="B3129" s="10">
        <v>45467</v>
      </c>
      <c r="C3129" s="18">
        <f t="shared" si="48"/>
        <v>6</v>
      </c>
      <c r="D3129" t="s">
        <v>196</v>
      </c>
      <c r="E3129">
        <v>4875779</v>
      </c>
      <c r="F3129" t="s">
        <v>8</v>
      </c>
      <c r="G3129" t="s">
        <v>202</v>
      </c>
      <c r="H3129" t="s">
        <v>255</v>
      </c>
      <c r="I3129" s="4">
        <v>72489.71596799999</v>
      </c>
      <c r="J3129" s="4">
        <v>579917.72774399992</v>
      </c>
      <c r="K3129" s="4">
        <v>-30153.791999999998</v>
      </c>
      <c r="L3129" s="4">
        <v>8</v>
      </c>
    </row>
    <row r="3130" spans="1:12">
      <c r="A3130" t="s">
        <v>264</v>
      </c>
      <c r="B3130" s="10">
        <v>45468</v>
      </c>
      <c r="C3130" s="18">
        <f t="shared" si="48"/>
        <v>6</v>
      </c>
      <c r="D3130" t="s">
        <v>196</v>
      </c>
      <c r="E3130">
        <v>4871600</v>
      </c>
      <c r="F3130" t="s">
        <v>8</v>
      </c>
      <c r="G3130" t="s">
        <v>204</v>
      </c>
      <c r="H3130" t="s">
        <v>212</v>
      </c>
      <c r="I3130" s="4">
        <v>62946.040799999995</v>
      </c>
      <c r="J3130" s="4">
        <v>251784.16319999998</v>
      </c>
      <c r="K3130" s="4">
        <v>-7538.4479999999994</v>
      </c>
      <c r="L3130" s="4">
        <v>4</v>
      </c>
    </row>
    <row r="3131" spans="1:12">
      <c r="A3131" t="s">
        <v>264</v>
      </c>
      <c r="B3131" s="10">
        <v>45468</v>
      </c>
      <c r="C3131" s="18">
        <f t="shared" si="48"/>
        <v>6</v>
      </c>
      <c r="D3131" t="s">
        <v>196</v>
      </c>
      <c r="E3131">
        <v>4878874</v>
      </c>
      <c r="F3131" t="s">
        <v>8</v>
      </c>
      <c r="G3131" t="s">
        <v>206</v>
      </c>
      <c r="H3131" t="s">
        <v>249</v>
      </c>
      <c r="I3131" s="4">
        <v>17715.352800000001</v>
      </c>
      <c r="J3131" s="4">
        <v>1771535.28</v>
      </c>
      <c r="K3131" s="4">
        <v>-75384.479999999996</v>
      </c>
      <c r="L3131" s="4">
        <v>100</v>
      </c>
    </row>
    <row r="3132" spans="1:12">
      <c r="A3132" t="s">
        <v>264</v>
      </c>
      <c r="B3132" s="10">
        <v>45468</v>
      </c>
      <c r="C3132" s="18">
        <f t="shared" si="48"/>
        <v>6</v>
      </c>
      <c r="D3132" t="s">
        <v>196</v>
      </c>
      <c r="E3132">
        <v>4874006</v>
      </c>
      <c r="F3132" t="s">
        <v>8</v>
      </c>
      <c r="G3132" t="s">
        <v>203</v>
      </c>
      <c r="H3132" t="s">
        <v>242</v>
      </c>
      <c r="I3132" s="4">
        <v>100638.28079999999</v>
      </c>
      <c r="J3132" s="4">
        <v>1006382.808</v>
      </c>
      <c r="K3132" s="4">
        <v>-43346.076000000001</v>
      </c>
      <c r="L3132" s="4">
        <v>10</v>
      </c>
    </row>
    <row r="3133" spans="1:12">
      <c r="A3133" t="s">
        <v>264</v>
      </c>
      <c r="B3133" s="10">
        <v>45468</v>
      </c>
      <c r="C3133" s="18">
        <f t="shared" si="48"/>
        <v>6</v>
      </c>
      <c r="D3133" t="s">
        <v>196</v>
      </c>
      <c r="E3133">
        <v>4874006</v>
      </c>
      <c r="F3133" t="s">
        <v>8</v>
      </c>
      <c r="G3133" t="s">
        <v>203</v>
      </c>
      <c r="H3133" t="s">
        <v>240</v>
      </c>
      <c r="I3133" s="4">
        <v>100638.28079999999</v>
      </c>
      <c r="J3133" s="4">
        <v>2012765.6159999999</v>
      </c>
      <c r="K3133" s="4">
        <v>-86692.152000000002</v>
      </c>
      <c r="L3133" s="4">
        <v>20</v>
      </c>
    </row>
    <row r="3134" spans="1:12">
      <c r="A3134" t="s">
        <v>264</v>
      </c>
      <c r="B3134" s="10">
        <v>45468</v>
      </c>
      <c r="C3134" s="18">
        <f t="shared" si="48"/>
        <v>6</v>
      </c>
      <c r="D3134" t="s">
        <v>196</v>
      </c>
      <c r="E3134">
        <v>4874006</v>
      </c>
      <c r="F3134" t="s">
        <v>8</v>
      </c>
      <c r="G3134" t="s">
        <v>203</v>
      </c>
      <c r="H3134" t="s">
        <v>238</v>
      </c>
      <c r="I3134" s="4">
        <v>95606.36675999999</v>
      </c>
      <c r="J3134" s="4">
        <v>1912127.3351999999</v>
      </c>
      <c r="K3134" s="4">
        <v>-86692.152000000002</v>
      </c>
      <c r="L3134" s="4">
        <v>20</v>
      </c>
    </row>
    <row r="3135" spans="1:12">
      <c r="A3135" t="s">
        <v>264</v>
      </c>
      <c r="B3135" s="10">
        <v>45468</v>
      </c>
      <c r="C3135" s="18">
        <f t="shared" si="48"/>
        <v>6</v>
      </c>
      <c r="D3135" t="s">
        <v>196</v>
      </c>
      <c r="E3135">
        <v>4874006</v>
      </c>
      <c r="F3135" t="s">
        <v>8</v>
      </c>
      <c r="G3135" t="s">
        <v>203</v>
      </c>
      <c r="H3135" t="s">
        <v>227</v>
      </c>
      <c r="I3135" s="4">
        <v>100638.28079999999</v>
      </c>
      <c r="J3135" s="4">
        <v>1006382.808</v>
      </c>
      <c r="K3135" s="4">
        <v>-43346.076000000001</v>
      </c>
      <c r="L3135" s="4">
        <v>10</v>
      </c>
    </row>
    <row r="3136" spans="1:12">
      <c r="A3136" t="s">
        <v>264</v>
      </c>
      <c r="B3136" s="10">
        <v>45468</v>
      </c>
      <c r="C3136" s="18">
        <f t="shared" si="48"/>
        <v>6</v>
      </c>
      <c r="D3136" t="s">
        <v>196</v>
      </c>
      <c r="E3136">
        <v>4879074</v>
      </c>
      <c r="F3136" t="s">
        <v>8</v>
      </c>
      <c r="G3136" t="s">
        <v>203</v>
      </c>
      <c r="H3136" t="s">
        <v>242</v>
      </c>
      <c r="I3136" s="4">
        <v>100638.28079999999</v>
      </c>
      <c r="J3136" s="4">
        <v>603829.68479999993</v>
      </c>
      <c r="K3136" s="4">
        <v>-26007.645599999996</v>
      </c>
      <c r="L3136" s="4">
        <v>6</v>
      </c>
    </row>
    <row r="3137" spans="1:12">
      <c r="A3137" t="s">
        <v>264</v>
      </c>
      <c r="B3137" s="10">
        <v>45468</v>
      </c>
      <c r="C3137" s="18">
        <f t="shared" si="48"/>
        <v>6</v>
      </c>
      <c r="D3137" t="s">
        <v>196</v>
      </c>
      <c r="E3137">
        <v>4879074</v>
      </c>
      <c r="F3137" t="s">
        <v>8</v>
      </c>
      <c r="G3137" t="s">
        <v>203</v>
      </c>
      <c r="H3137" t="s">
        <v>240</v>
      </c>
      <c r="I3137" s="4">
        <v>100638.28079999999</v>
      </c>
      <c r="J3137" s="4">
        <v>603829.68479999993</v>
      </c>
      <c r="K3137" s="4">
        <v>-26007.645599999996</v>
      </c>
      <c r="L3137" s="4">
        <v>6</v>
      </c>
    </row>
    <row r="3138" spans="1:12">
      <c r="A3138" t="s">
        <v>264</v>
      </c>
      <c r="B3138" s="10">
        <v>45468</v>
      </c>
      <c r="C3138" s="18">
        <f t="shared" ref="C3138:C3201" si="49">MONTH(B3138)</f>
        <v>6</v>
      </c>
      <c r="D3138" t="s">
        <v>196</v>
      </c>
      <c r="E3138">
        <v>4879074</v>
      </c>
      <c r="F3138" t="s">
        <v>8</v>
      </c>
      <c r="G3138" t="s">
        <v>203</v>
      </c>
      <c r="H3138" t="s">
        <v>238</v>
      </c>
      <c r="I3138" s="4">
        <v>95606.36675999999</v>
      </c>
      <c r="J3138" s="4">
        <v>573638.20055999991</v>
      </c>
      <c r="K3138" s="4">
        <v>-26007.645599999996</v>
      </c>
      <c r="L3138" s="4">
        <v>6</v>
      </c>
    </row>
    <row r="3139" spans="1:12">
      <c r="A3139" t="s">
        <v>264</v>
      </c>
      <c r="B3139" s="10">
        <v>45468</v>
      </c>
      <c r="C3139" s="18">
        <f t="shared" si="49"/>
        <v>6</v>
      </c>
      <c r="D3139" t="s">
        <v>196</v>
      </c>
      <c r="E3139">
        <v>4879074</v>
      </c>
      <c r="F3139" t="s">
        <v>8</v>
      </c>
      <c r="G3139" t="s">
        <v>203</v>
      </c>
      <c r="H3139" t="s">
        <v>234</v>
      </c>
      <c r="I3139" s="4">
        <v>100638.28079999999</v>
      </c>
      <c r="J3139" s="4">
        <v>201276.56159999999</v>
      </c>
      <c r="K3139" s="4">
        <v>-8669.2151999999987</v>
      </c>
      <c r="L3139" s="4">
        <v>2</v>
      </c>
    </row>
    <row r="3140" spans="1:12">
      <c r="A3140" t="s">
        <v>264</v>
      </c>
      <c r="B3140" s="10">
        <v>45468</v>
      </c>
      <c r="C3140" s="18">
        <f t="shared" si="49"/>
        <v>6</v>
      </c>
      <c r="D3140" t="s">
        <v>196</v>
      </c>
      <c r="E3140">
        <v>4879074</v>
      </c>
      <c r="F3140" t="s">
        <v>8</v>
      </c>
      <c r="G3140" t="s">
        <v>203</v>
      </c>
      <c r="H3140" t="s">
        <v>241</v>
      </c>
      <c r="I3140" s="4">
        <v>125766.4408</v>
      </c>
      <c r="J3140" s="4">
        <v>2515328.8160000001</v>
      </c>
      <c r="K3140" s="4">
        <v>-113076.72</v>
      </c>
      <c r="L3140" s="4">
        <v>20</v>
      </c>
    </row>
    <row r="3141" spans="1:12">
      <c r="A3141" t="s">
        <v>264</v>
      </c>
      <c r="B3141" s="10">
        <v>45468</v>
      </c>
      <c r="C3141" s="18">
        <f t="shared" si="49"/>
        <v>6</v>
      </c>
      <c r="D3141" t="s">
        <v>196</v>
      </c>
      <c r="E3141">
        <v>4872135</v>
      </c>
      <c r="F3141" t="s">
        <v>8</v>
      </c>
      <c r="G3141" t="s">
        <v>203</v>
      </c>
      <c r="H3141" t="s">
        <v>241</v>
      </c>
      <c r="I3141" s="4">
        <v>125766.4408</v>
      </c>
      <c r="J3141" s="4">
        <v>6288322.04</v>
      </c>
      <c r="K3141" s="4">
        <v>-282691.8</v>
      </c>
      <c r="L3141" s="4">
        <v>50</v>
      </c>
    </row>
    <row r="3142" spans="1:12">
      <c r="A3142" t="s">
        <v>264</v>
      </c>
      <c r="B3142" s="10">
        <v>45469</v>
      </c>
      <c r="C3142" s="18">
        <f t="shared" si="49"/>
        <v>6</v>
      </c>
      <c r="D3142" t="s">
        <v>196</v>
      </c>
      <c r="E3142">
        <v>4872189</v>
      </c>
      <c r="F3142" t="s">
        <v>8</v>
      </c>
      <c r="G3142" t="s">
        <v>203</v>
      </c>
      <c r="H3142" t="s">
        <v>228</v>
      </c>
      <c r="I3142" s="4">
        <v>100638.28079999999</v>
      </c>
      <c r="J3142" s="4">
        <v>5031914.04</v>
      </c>
      <c r="K3142" s="4">
        <v>-216730.38</v>
      </c>
      <c r="L3142" s="4">
        <v>50</v>
      </c>
    </row>
    <row r="3143" spans="1:12">
      <c r="A3143" t="s">
        <v>264</v>
      </c>
      <c r="B3143" s="10">
        <v>45469</v>
      </c>
      <c r="C3143" s="18">
        <f t="shared" si="49"/>
        <v>6</v>
      </c>
      <c r="D3143" t="s">
        <v>196</v>
      </c>
      <c r="E3143">
        <v>4872189</v>
      </c>
      <c r="F3143" t="s">
        <v>8</v>
      </c>
      <c r="G3143" t="s">
        <v>203</v>
      </c>
      <c r="H3143" t="s">
        <v>223</v>
      </c>
      <c r="I3143" s="4">
        <v>100638.28079999999</v>
      </c>
      <c r="J3143" s="4">
        <v>5031914.04</v>
      </c>
      <c r="K3143" s="4">
        <v>-216730.38</v>
      </c>
      <c r="L3143" s="4">
        <v>50</v>
      </c>
    </row>
    <row r="3144" spans="1:12">
      <c r="A3144" t="s">
        <v>264</v>
      </c>
      <c r="B3144" s="10">
        <v>45469</v>
      </c>
      <c r="C3144" s="18">
        <f t="shared" si="49"/>
        <v>6</v>
      </c>
      <c r="D3144" t="s">
        <v>196</v>
      </c>
      <c r="E3144">
        <v>4872189</v>
      </c>
      <c r="F3144" t="s">
        <v>8</v>
      </c>
      <c r="G3144" t="s">
        <v>203</v>
      </c>
      <c r="H3144" t="s">
        <v>239</v>
      </c>
      <c r="I3144" s="4">
        <v>125766.4408</v>
      </c>
      <c r="J3144" s="4">
        <v>1257664.4080000001</v>
      </c>
      <c r="K3144" s="4">
        <v>-56538.36</v>
      </c>
      <c r="L3144" s="4">
        <v>10</v>
      </c>
    </row>
    <row r="3145" spans="1:12">
      <c r="A3145" t="s">
        <v>264</v>
      </c>
      <c r="B3145" s="10">
        <v>45469</v>
      </c>
      <c r="C3145" s="18">
        <f t="shared" si="49"/>
        <v>6</v>
      </c>
      <c r="D3145" t="s">
        <v>196</v>
      </c>
      <c r="E3145">
        <v>4872189</v>
      </c>
      <c r="F3145" t="s">
        <v>8</v>
      </c>
      <c r="G3145" t="s">
        <v>203</v>
      </c>
      <c r="H3145" t="s">
        <v>233</v>
      </c>
      <c r="I3145" s="4">
        <v>120735.78316800001</v>
      </c>
      <c r="J3145" s="4">
        <v>1207357.8316800001</v>
      </c>
      <c r="K3145" s="4">
        <v>-56538.36</v>
      </c>
      <c r="L3145" s="4">
        <v>10</v>
      </c>
    </row>
    <row r="3146" spans="1:12">
      <c r="A3146" t="s">
        <v>264</v>
      </c>
      <c r="B3146" s="10">
        <v>45469</v>
      </c>
      <c r="C3146" s="18">
        <f t="shared" si="49"/>
        <v>6</v>
      </c>
      <c r="D3146" t="s">
        <v>196</v>
      </c>
      <c r="E3146">
        <v>4876950</v>
      </c>
      <c r="F3146" t="s">
        <v>8</v>
      </c>
      <c r="G3146" t="s">
        <v>202</v>
      </c>
      <c r="H3146" t="s">
        <v>256</v>
      </c>
      <c r="I3146" s="4">
        <v>64202.448800000006</v>
      </c>
      <c r="J3146" s="4">
        <v>128404.89760000001</v>
      </c>
      <c r="K3146" s="4">
        <v>-6407.6808000000001</v>
      </c>
      <c r="L3146" s="4">
        <v>2</v>
      </c>
    </row>
    <row r="3147" spans="1:12">
      <c r="A3147" t="s">
        <v>264</v>
      </c>
      <c r="B3147" s="10">
        <v>45469</v>
      </c>
      <c r="C3147" s="18">
        <f t="shared" si="49"/>
        <v>6</v>
      </c>
      <c r="D3147" t="s">
        <v>196</v>
      </c>
      <c r="E3147">
        <v>4873723</v>
      </c>
      <c r="F3147" t="s">
        <v>8</v>
      </c>
      <c r="G3147" t="s">
        <v>203</v>
      </c>
      <c r="H3147" t="s">
        <v>228</v>
      </c>
      <c r="I3147" s="4">
        <v>100638.28079999999</v>
      </c>
      <c r="J3147" s="4">
        <v>402553.12319999997</v>
      </c>
      <c r="K3147" s="4">
        <v>-17338.430399999997</v>
      </c>
      <c r="L3147" s="4">
        <v>4</v>
      </c>
    </row>
    <row r="3148" spans="1:12">
      <c r="A3148" t="s">
        <v>264</v>
      </c>
      <c r="B3148" s="10">
        <v>45469</v>
      </c>
      <c r="C3148" s="18">
        <f t="shared" si="49"/>
        <v>6</v>
      </c>
      <c r="D3148" t="s">
        <v>196</v>
      </c>
      <c r="E3148">
        <v>4873723</v>
      </c>
      <c r="F3148" t="s">
        <v>8</v>
      </c>
      <c r="G3148" t="s">
        <v>203</v>
      </c>
      <c r="H3148" t="s">
        <v>223</v>
      </c>
      <c r="I3148" s="4">
        <v>100638.28079999999</v>
      </c>
      <c r="J3148" s="4">
        <v>402553.12319999997</v>
      </c>
      <c r="K3148" s="4">
        <v>-17338.430399999997</v>
      </c>
      <c r="L3148" s="4">
        <v>4</v>
      </c>
    </row>
    <row r="3149" spans="1:12">
      <c r="A3149" t="s">
        <v>264</v>
      </c>
      <c r="B3149" s="10">
        <v>45469</v>
      </c>
      <c r="C3149" s="18">
        <f t="shared" si="49"/>
        <v>6</v>
      </c>
      <c r="D3149" t="s">
        <v>196</v>
      </c>
      <c r="E3149">
        <v>4873723</v>
      </c>
      <c r="F3149" t="s">
        <v>8</v>
      </c>
      <c r="G3149" t="s">
        <v>203</v>
      </c>
      <c r="H3149" t="s">
        <v>239</v>
      </c>
      <c r="I3149" s="4">
        <v>125766.4408</v>
      </c>
      <c r="J3149" s="4">
        <v>377299.3224</v>
      </c>
      <c r="K3149" s="4">
        <v>-16961.508000000002</v>
      </c>
      <c r="L3149" s="4">
        <v>3</v>
      </c>
    </row>
    <row r="3150" spans="1:12">
      <c r="A3150" t="s">
        <v>264</v>
      </c>
      <c r="B3150" s="10">
        <v>45469</v>
      </c>
      <c r="C3150" s="18">
        <f t="shared" si="49"/>
        <v>6</v>
      </c>
      <c r="D3150" t="s">
        <v>196</v>
      </c>
      <c r="E3150">
        <v>4873723</v>
      </c>
      <c r="F3150" t="s">
        <v>8</v>
      </c>
      <c r="G3150" t="s">
        <v>203</v>
      </c>
      <c r="H3150" t="s">
        <v>233</v>
      </c>
      <c r="I3150" s="4">
        <v>120735.78316800001</v>
      </c>
      <c r="J3150" s="4">
        <v>603678.91584000003</v>
      </c>
      <c r="K3150" s="4">
        <v>-28269.18</v>
      </c>
      <c r="L3150" s="4">
        <v>5</v>
      </c>
    </row>
    <row r="3151" spans="1:12">
      <c r="A3151" t="s">
        <v>264</v>
      </c>
      <c r="B3151" s="10">
        <v>45469</v>
      </c>
      <c r="C3151" s="18">
        <f t="shared" si="49"/>
        <v>6</v>
      </c>
      <c r="D3151" t="s">
        <v>196</v>
      </c>
      <c r="E3151">
        <v>4872203</v>
      </c>
      <c r="F3151" t="s">
        <v>8</v>
      </c>
      <c r="G3151" t="s">
        <v>203</v>
      </c>
      <c r="H3151" t="s">
        <v>228</v>
      </c>
      <c r="I3151" s="4">
        <v>100638.28079999999</v>
      </c>
      <c r="J3151" s="4">
        <v>3019148.4239999996</v>
      </c>
      <c r="K3151" s="4">
        <v>-130038.22799999999</v>
      </c>
      <c r="L3151" s="4">
        <v>30</v>
      </c>
    </row>
    <row r="3152" spans="1:12">
      <c r="A3152" t="s">
        <v>264</v>
      </c>
      <c r="B3152" s="10">
        <v>45469</v>
      </c>
      <c r="C3152" s="18">
        <f t="shared" si="49"/>
        <v>6</v>
      </c>
      <c r="D3152" t="s">
        <v>196</v>
      </c>
      <c r="E3152">
        <v>4872203</v>
      </c>
      <c r="F3152" t="s">
        <v>8</v>
      </c>
      <c r="G3152" t="s">
        <v>203</v>
      </c>
      <c r="H3152" t="s">
        <v>223</v>
      </c>
      <c r="I3152" s="4">
        <v>100638.28079999999</v>
      </c>
      <c r="J3152" s="4">
        <v>2616595.3007999999</v>
      </c>
      <c r="K3152" s="4">
        <v>-112699.79760000001</v>
      </c>
      <c r="L3152" s="4">
        <v>26</v>
      </c>
    </row>
    <row r="3153" spans="1:12">
      <c r="A3153" t="s">
        <v>264</v>
      </c>
      <c r="B3153" s="10">
        <v>45469</v>
      </c>
      <c r="C3153" s="18">
        <f t="shared" si="49"/>
        <v>6</v>
      </c>
      <c r="D3153" t="s">
        <v>196</v>
      </c>
      <c r="E3153">
        <v>4872203</v>
      </c>
      <c r="F3153" t="s">
        <v>8</v>
      </c>
      <c r="G3153" t="s">
        <v>203</v>
      </c>
      <c r="H3153" t="s">
        <v>239</v>
      </c>
      <c r="I3153" s="4">
        <v>125766.4408</v>
      </c>
      <c r="J3153" s="4">
        <v>1257664.4080000001</v>
      </c>
      <c r="K3153" s="4">
        <v>-56538.36</v>
      </c>
      <c r="L3153" s="4">
        <v>10</v>
      </c>
    </row>
    <row r="3154" spans="1:12">
      <c r="A3154" t="s">
        <v>264</v>
      </c>
      <c r="B3154" s="10">
        <v>45469</v>
      </c>
      <c r="C3154" s="18">
        <f t="shared" si="49"/>
        <v>6</v>
      </c>
      <c r="D3154" t="s">
        <v>196</v>
      </c>
      <c r="E3154">
        <v>4872203</v>
      </c>
      <c r="F3154" t="s">
        <v>8</v>
      </c>
      <c r="G3154" t="s">
        <v>203</v>
      </c>
      <c r="H3154" t="s">
        <v>233</v>
      </c>
      <c r="I3154" s="4">
        <v>120735.78316800001</v>
      </c>
      <c r="J3154" s="4">
        <v>1448829.3980160002</v>
      </c>
      <c r="K3154" s="4">
        <v>-67846.032000000007</v>
      </c>
      <c r="L3154" s="4">
        <v>12</v>
      </c>
    </row>
    <row r="3155" spans="1:12">
      <c r="A3155" t="s">
        <v>264</v>
      </c>
      <c r="B3155" s="10">
        <v>45469</v>
      </c>
      <c r="C3155" s="18">
        <f t="shared" si="49"/>
        <v>6</v>
      </c>
      <c r="D3155" t="s">
        <v>196</v>
      </c>
      <c r="E3155">
        <v>4872163</v>
      </c>
      <c r="F3155" t="s">
        <v>8</v>
      </c>
      <c r="G3155" t="s">
        <v>203</v>
      </c>
      <c r="H3155" t="s">
        <v>242</v>
      </c>
      <c r="I3155" s="4">
        <v>100638.28079999999</v>
      </c>
      <c r="J3155" s="4">
        <v>2415318.7391999997</v>
      </c>
      <c r="K3155" s="4">
        <v>-104030.58239999998</v>
      </c>
      <c r="L3155" s="4">
        <v>24</v>
      </c>
    </row>
    <row r="3156" spans="1:12">
      <c r="A3156" t="s">
        <v>264</v>
      </c>
      <c r="B3156" s="10">
        <v>45469</v>
      </c>
      <c r="C3156" s="18">
        <f t="shared" si="49"/>
        <v>6</v>
      </c>
      <c r="D3156" t="s">
        <v>196</v>
      </c>
      <c r="E3156">
        <v>4872163</v>
      </c>
      <c r="F3156" t="s">
        <v>8</v>
      </c>
      <c r="G3156" t="s">
        <v>203</v>
      </c>
      <c r="H3156" t="s">
        <v>240</v>
      </c>
      <c r="I3156" s="4">
        <v>100638.28079999999</v>
      </c>
      <c r="J3156" s="4">
        <v>2616595.3007999999</v>
      </c>
      <c r="K3156" s="4">
        <v>-112699.79760000001</v>
      </c>
      <c r="L3156" s="4">
        <v>26</v>
      </c>
    </row>
    <row r="3157" spans="1:12">
      <c r="A3157" t="s">
        <v>264</v>
      </c>
      <c r="B3157" s="10">
        <v>45469</v>
      </c>
      <c r="C3157" s="18">
        <f t="shared" si="49"/>
        <v>6</v>
      </c>
      <c r="D3157" t="s">
        <v>196</v>
      </c>
      <c r="E3157">
        <v>4872163</v>
      </c>
      <c r="F3157" t="s">
        <v>8</v>
      </c>
      <c r="G3157" t="s">
        <v>203</v>
      </c>
      <c r="H3157" t="s">
        <v>238</v>
      </c>
      <c r="I3157" s="4">
        <v>95606.36675999999</v>
      </c>
      <c r="J3157" s="4">
        <v>1720914.6016799998</v>
      </c>
      <c r="K3157" s="4">
        <v>-78022.936799999996</v>
      </c>
      <c r="L3157" s="4">
        <v>18</v>
      </c>
    </row>
    <row r="3158" spans="1:12">
      <c r="A3158" t="s">
        <v>264</v>
      </c>
      <c r="B3158" s="10">
        <v>45469</v>
      </c>
      <c r="C3158" s="18">
        <f t="shared" si="49"/>
        <v>6</v>
      </c>
      <c r="D3158" t="s">
        <v>196</v>
      </c>
      <c r="E3158">
        <v>4872163</v>
      </c>
      <c r="F3158" t="s">
        <v>8</v>
      </c>
      <c r="G3158" t="s">
        <v>203</v>
      </c>
      <c r="H3158" t="s">
        <v>234</v>
      </c>
      <c r="I3158" s="4">
        <v>100638.28079999999</v>
      </c>
      <c r="J3158" s="4">
        <v>201276.56159999999</v>
      </c>
      <c r="K3158" s="4">
        <v>-8669.2151999999987</v>
      </c>
      <c r="L3158" s="4">
        <v>2</v>
      </c>
    </row>
    <row r="3159" spans="1:12">
      <c r="A3159" t="s">
        <v>264</v>
      </c>
      <c r="B3159" s="10">
        <v>45469</v>
      </c>
      <c r="C3159" s="18">
        <f t="shared" si="49"/>
        <v>6</v>
      </c>
      <c r="D3159" t="s">
        <v>196</v>
      </c>
      <c r="E3159">
        <v>4872163</v>
      </c>
      <c r="F3159" t="s">
        <v>8</v>
      </c>
      <c r="G3159" t="s">
        <v>203</v>
      </c>
      <c r="H3159" t="s">
        <v>227</v>
      </c>
      <c r="I3159" s="4">
        <v>100638.28079999999</v>
      </c>
      <c r="J3159" s="4">
        <v>3019148.4239999996</v>
      </c>
      <c r="K3159" s="4">
        <v>-130038.22799999999</v>
      </c>
      <c r="L3159" s="4">
        <v>30</v>
      </c>
    </row>
    <row r="3160" spans="1:12">
      <c r="A3160" t="s">
        <v>264</v>
      </c>
      <c r="B3160" s="10">
        <v>45469</v>
      </c>
      <c r="C3160" s="18">
        <f t="shared" si="49"/>
        <v>6</v>
      </c>
      <c r="D3160" t="s">
        <v>196</v>
      </c>
      <c r="E3160">
        <v>4872163</v>
      </c>
      <c r="F3160" t="s">
        <v>8</v>
      </c>
      <c r="G3160" t="s">
        <v>203</v>
      </c>
      <c r="H3160" t="s">
        <v>223</v>
      </c>
      <c r="I3160" s="4">
        <v>100638.28079999999</v>
      </c>
      <c r="J3160" s="4">
        <v>3019148.4239999996</v>
      </c>
      <c r="K3160" s="4">
        <v>-130038.22799999999</v>
      </c>
      <c r="L3160" s="4">
        <v>30</v>
      </c>
    </row>
    <row r="3161" spans="1:12">
      <c r="A3161" t="s">
        <v>264</v>
      </c>
      <c r="B3161" s="10">
        <v>45469</v>
      </c>
      <c r="C3161" s="18">
        <f t="shared" si="49"/>
        <v>6</v>
      </c>
      <c r="D3161" t="s">
        <v>196</v>
      </c>
      <c r="E3161">
        <v>4872163</v>
      </c>
      <c r="F3161" t="s">
        <v>8</v>
      </c>
      <c r="G3161" t="s">
        <v>203</v>
      </c>
      <c r="H3161" t="s">
        <v>241</v>
      </c>
      <c r="I3161" s="4">
        <v>125766.4408</v>
      </c>
      <c r="J3161" s="4">
        <v>1634963.7304</v>
      </c>
      <c r="K3161" s="4">
        <v>-73499.868000000002</v>
      </c>
      <c r="L3161" s="4">
        <v>13</v>
      </c>
    </row>
    <row r="3162" spans="1:12">
      <c r="A3162" t="s">
        <v>264</v>
      </c>
      <c r="B3162" s="10">
        <v>45469</v>
      </c>
      <c r="C3162" s="18">
        <f t="shared" si="49"/>
        <v>6</v>
      </c>
      <c r="D3162" t="s">
        <v>196</v>
      </c>
      <c r="E3162">
        <v>4872163</v>
      </c>
      <c r="F3162" t="s">
        <v>8</v>
      </c>
      <c r="G3162" t="s">
        <v>203</v>
      </c>
      <c r="H3162" t="s">
        <v>239</v>
      </c>
      <c r="I3162" s="4">
        <v>125766.4408</v>
      </c>
      <c r="J3162" s="4">
        <v>3772993.2239999999</v>
      </c>
      <c r="K3162" s="4">
        <v>-169615.08</v>
      </c>
      <c r="L3162" s="4">
        <v>30</v>
      </c>
    </row>
    <row r="3163" spans="1:12">
      <c r="A3163" t="s">
        <v>264</v>
      </c>
      <c r="B3163" s="10">
        <v>45469</v>
      </c>
      <c r="C3163" s="18">
        <f t="shared" si="49"/>
        <v>6</v>
      </c>
      <c r="D3163" t="s">
        <v>196</v>
      </c>
      <c r="E3163">
        <v>4872163</v>
      </c>
      <c r="F3163" t="s">
        <v>8</v>
      </c>
      <c r="G3163" t="s">
        <v>203</v>
      </c>
      <c r="H3163" t="s">
        <v>233</v>
      </c>
      <c r="I3163" s="4">
        <v>120735.78316800001</v>
      </c>
      <c r="J3163" s="4">
        <v>4829431.3267200002</v>
      </c>
      <c r="K3163" s="4">
        <v>-226153.44</v>
      </c>
      <c r="L3163" s="4">
        <v>40</v>
      </c>
    </row>
    <row r="3164" spans="1:12">
      <c r="A3164" t="s">
        <v>264</v>
      </c>
      <c r="B3164" s="10">
        <v>45469</v>
      </c>
      <c r="C3164" s="18">
        <f t="shared" si="49"/>
        <v>6</v>
      </c>
      <c r="D3164" t="s">
        <v>196</v>
      </c>
      <c r="E3164">
        <v>4872163</v>
      </c>
      <c r="F3164" t="s">
        <v>8</v>
      </c>
      <c r="G3164" t="s">
        <v>203</v>
      </c>
      <c r="H3164" t="s">
        <v>231</v>
      </c>
      <c r="I3164" s="4">
        <v>125766.4408</v>
      </c>
      <c r="J3164" s="4">
        <v>2012263.0527999999</v>
      </c>
      <c r="K3164" s="4">
        <v>-90461.376000000004</v>
      </c>
      <c r="L3164" s="4">
        <v>16</v>
      </c>
    </row>
    <row r="3165" spans="1:12">
      <c r="A3165" t="s">
        <v>264</v>
      </c>
      <c r="B3165" s="10">
        <v>45469</v>
      </c>
      <c r="C3165" s="18">
        <f t="shared" si="49"/>
        <v>6</v>
      </c>
      <c r="D3165" t="s">
        <v>196</v>
      </c>
      <c r="E3165">
        <v>4872163</v>
      </c>
      <c r="F3165" t="s">
        <v>8</v>
      </c>
      <c r="G3165" t="s">
        <v>203</v>
      </c>
      <c r="H3165" t="s">
        <v>229</v>
      </c>
      <c r="I3165" s="4">
        <v>125766.4408</v>
      </c>
      <c r="J3165" s="4">
        <v>2515328.8160000001</v>
      </c>
      <c r="K3165" s="4">
        <v>-113076.72</v>
      </c>
      <c r="L3165" s="4">
        <v>20</v>
      </c>
    </row>
    <row r="3166" spans="1:12">
      <c r="A3166" t="s">
        <v>264</v>
      </c>
      <c r="B3166" s="10">
        <v>45469</v>
      </c>
      <c r="C3166" s="18">
        <f t="shared" si="49"/>
        <v>6</v>
      </c>
      <c r="D3166" t="s">
        <v>196</v>
      </c>
      <c r="E3166">
        <v>6080114</v>
      </c>
      <c r="F3166" t="s">
        <v>8</v>
      </c>
      <c r="G3166" t="s">
        <v>204</v>
      </c>
      <c r="H3166" t="s">
        <v>221</v>
      </c>
      <c r="I3166" s="4">
        <v>25253.800799999997</v>
      </c>
      <c r="J3166" s="4">
        <v>25253.800799999997</v>
      </c>
      <c r="K3166" s="4">
        <v>-1256.4080000000001</v>
      </c>
      <c r="L3166" s="4">
        <v>1</v>
      </c>
    </row>
    <row r="3167" spans="1:12">
      <c r="A3167" t="s">
        <v>264</v>
      </c>
      <c r="B3167" s="10">
        <v>45469</v>
      </c>
      <c r="C3167" s="18">
        <f t="shared" si="49"/>
        <v>6</v>
      </c>
      <c r="D3167" t="s">
        <v>196</v>
      </c>
      <c r="E3167">
        <v>4875779</v>
      </c>
      <c r="F3167" t="s">
        <v>8</v>
      </c>
      <c r="G3167" t="s">
        <v>202</v>
      </c>
      <c r="H3167" t="s">
        <v>253</v>
      </c>
      <c r="I3167" s="4">
        <v>46669.275160000005</v>
      </c>
      <c r="J3167" s="4">
        <v>466692.75160000008</v>
      </c>
      <c r="K3167" s="4">
        <v>-24499.955999999998</v>
      </c>
      <c r="L3167" s="4">
        <v>10</v>
      </c>
    </row>
    <row r="3168" spans="1:12">
      <c r="A3168" t="s">
        <v>264</v>
      </c>
      <c r="B3168" s="10">
        <v>45470</v>
      </c>
      <c r="C3168" s="18">
        <f t="shared" si="49"/>
        <v>6</v>
      </c>
      <c r="D3168" t="s">
        <v>196</v>
      </c>
      <c r="E3168">
        <v>4875440</v>
      </c>
      <c r="F3168" t="s">
        <v>8</v>
      </c>
      <c r="G3168" t="s">
        <v>206</v>
      </c>
      <c r="H3168" t="s">
        <v>209</v>
      </c>
      <c r="I3168" s="4">
        <v>17715.352800000001</v>
      </c>
      <c r="J3168" s="4">
        <v>-17715.352800000001</v>
      </c>
      <c r="K3168" s="4">
        <v>753.84479999999996</v>
      </c>
      <c r="L3168" s="4">
        <v>-1</v>
      </c>
    </row>
    <row r="3169" spans="1:12">
      <c r="A3169" t="s">
        <v>264</v>
      </c>
      <c r="B3169" s="10">
        <v>45470</v>
      </c>
      <c r="C3169" s="18">
        <f t="shared" si="49"/>
        <v>6</v>
      </c>
      <c r="D3169" t="s">
        <v>196</v>
      </c>
      <c r="E3169">
        <v>4875779</v>
      </c>
      <c r="F3169" t="s">
        <v>8</v>
      </c>
      <c r="G3169" t="s">
        <v>202</v>
      </c>
      <c r="H3169" t="s">
        <v>253</v>
      </c>
      <c r="I3169" s="4">
        <v>46669.275160000005</v>
      </c>
      <c r="J3169" s="4">
        <v>1306739.7044800001</v>
      </c>
      <c r="K3169" s="4">
        <v>-68599.876799999998</v>
      </c>
      <c r="L3169" s="4">
        <v>28</v>
      </c>
    </row>
    <row r="3170" spans="1:12">
      <c r="A3170" t="s">
        <v>264</v>
      </c>
      <c r="B3170" s="10">
        <v>45471</v>
      </c>
      <c r="C3170" s="18">
        <f t="shared" si="49"/>
        <v>6</v>
      </c>
      <c r="D3170" t="s">
        <v>196</v>
      </c>
      <c r="E3170">
        <v>4872156</v>
      </c>
      <c r="F3170" t="s">
        <v>8</v>
      </c>
      <c r="G3170" t="s">
        <v>204</v>
      </c>
      <c r="H3170" t="s">
        <v>212</v>
      </c>
      <c r="I3170" s="4">
        <v>62946.040799999995</v>
      </c>
      <c r="J3170" s="4">
        <v>1888381.2239999999</v>
      </c>
      <c r="K3170" s="4">
        <v>-56538.36</v>
      </c>
      <c r="L3170" s="4">
        <v>30</v>
      </c>
    </row>
    <row r="3171" spans="1:12">
      <c r="A3171" t="s">
        <v>264</v>
      </c>
      <c r="B3171" s="10">
        <v>45471</v>
      </c>
      <c r="C3171" s="18">
        <f t="shared" si="49"/>
        <v>6</v>
      </c>
      <c r="D3171" t="s">
        <v>196</v>
      </c>
      <c r="E3171">
        <v>4877269</v>
      </c>
      <c r="F3171" t="s">
        <v>8</v>
      </c>
      <c r="G3171" t="s">
        <v>204</v>
      </c>
      <c r="H3171" t="s">
        <v>216</v>
      </c>
      <c r="I3171" s="4">
        <v>113202.36079999999</v>
      </c>
      <c r="J3171" s="4">
        <v>-113202.36079999999</v>
      </c>
      <c r="K3171" s="4">
        <v>5653.8360000000002</v>
      </c>
      <c r="L3171" s="4">
        <v>-1</v>
      </c>
    </row>
    <row r="3172" spans="1:12">
      <c r="A3172" t="s">
        <v>264</v>
      </c>
      <c r="B3172" s="10">
        <v>45471</v>
      </c>
      <c r="C3172" s="18">
        <f t="shared" si="49"/>
        <v>6</v>
      </c>
      <c r="D3172" t="s">
        <v>196</v>
      </c>
      <c r="E3172">
        <v>4877269</v>
      </c>
      <c r="F3172" t="s">
        <v>8</v>
      </c>
      <c r="G3172" t="s">
        <v>204</v>
      </c>
      <c r="H3172" t="s">
        <v>215</v>
      </c>
      <c r="I3172" s="4">
        <v>75510.12079999999</v>
      </c>
      <c r="J3172" s="4">
        <v>-75510.12079999999</v>
      </c>
      <c r="K3172" s="4">
        <v>3769.2239999999997</v>
      </c>
      <c r="L3172" s="4">
        <v>-1</v>
      </c>
    </row>
    <row r="3173" spans="1:12">
      <c r="A3173" t="s">
        <v>264</v>
      </c>
      <c r="B3173" s="10">
        <v>45471</v>
      </c>
      <c r="C3173" s="18">
        <f t="shared" si="49"/>
        <v>6</v>
      </c>
      <c r="D3173" t="s">
        <v>196</v>
      </c>
      <c r="E3173">
        <v>4872203</v>
      </c>
      <c r="F3173" t="s">
        <v>8</v>
      </c>
      <c r="G3173" t="s">
        <v>203</v>
      </c>
      <c r="H3173" t="s">
        <v>236</v>
      </c>
      <c r="I3173" s="4">
        <v>100638.28079999999</v>
      </c>
      <c r="J3173" s="4">
        <v>3019148.4239999996</v>
      </c>
      <c r="K3173" s="4">
        <v>-130038.22799999999</v>
      </c>
      <c r="L3173" s="4">
        <v>30</v>
      </c>
    </row>
    <row r="3174" spans="1:12">
      <c r="A3174" t="s">
        <v>264</v>
      </c>
      <c r="B3174" s="10">
        <v>45471</v>
      </c>
      <c r="C3174" s="18">
        <f t="shared" si="49"/>
        <v>6</v>
      </c>
      <c r="D3174" t="s">
        <v>196</v>
      </c>
      <c r="E3174">
        <v>4872203</v>
      </c>
      <c r="F3174" t="s">
        <v>8</v>
      </c>
      <c r="G3174" t="s">
        <v>203</v>
      </c>
      <c r="H3174" t="s">
        <v>230</v>
      </c>
      <c r="I3174" s="4">
        <v>100638.28079999999</v>
      </c>
      <c r="J3174" s="4">
        <v>3019148.4239999996</v>
      </c>
      <c r="K3174" s="4">
        <v>-130038.22799999999</v>
      </c>
      <c r="L3174" s="4">
        <v>30</v>
      </c>
    </row>
    <row r="3175" spans="1:12">
      <c r="A3175" t="s">
        <v>264</v>
      </c>
      <c r="B3175" s="10">
        <v>45471</v>
      </c>
      <c r="C3175" s="18">
        <f t="shared" si="49"/>
        <v>6</v>
      </c>
      <c r="D3175" t="s">
        <v>196</v>
      </c>
      <c r="E3175">
        <v>4872203</v>
      </c>
      <c r="F3175" t="s">
        <v>8</v>
      </c>
      <c r="G3175" t="s">
        <v>203</v>
      </c>
      <c r="H3175" t="s">
        <v>228</v>
      </c>
      <c r="I3175" s="4">
        <v>100638.28079999999</v>
      </c>
      <c r="J3175" s="4">
        <v>1006382.808</v>
      </c>
      <c r="K3175" s="4">
        <v>-43346.076000000001</v>
      </c>
      <c r="L3175" s="4">
        <v>10</v>
      </c>
    </row>
    <row r="3176" spans="1:12">
      <c r="A3176" t="s">
        <v>264</v>
      </c>
      <c r="B3176" s="10">
        <v>45471</v>
      </c>
      <c r="C3176" s="18">
        <f t="shared" si="49"/>
        <v>6</v>
      </c>
      <c r="D3176" t="s">
        <v>196</v>
      </c>
      <c r="E3176">
        <v>4872203</v>
      </c>
      <c r="F3176" t="s">
        <v>8</v>
      </c>
      <c r="G3176" t="s">
        <v>203</v>
      </c>
      <c r="H3176" t="s">
        <v>224</v>
      </c>
      <c r="I3176" s="4">
        <v>100638.28079999999</v>
      </c>
      <c r="J3176" s="4">
        <v>4025531.2319999998</v>
      </c>
      <c r="K3176" s="4">
        <v>-173384.304</v>
      </c>
      <c r="L3176" s="4">
        <v>40</v>
      </c>
    </row>
    <row r="3177" spans="1:12">
      <c r="A3177" t="s">
        <v>264</v>
      </c>
      <c r="B3177" s="10">
        <v>45471</v>
      </c>
      <c r="C3177" s="18">
        <f t="shared" si="49"/>
        <v>6</v>
      </c>
      <c r="D3177" t="s">
        <v>196</v>
      </c>
      <c r="E3177">
        <v>4872203</v>
      </c>
      <c r="F3177" t="s">
        <v>8</v>
      </c>
      <c r="G3177" t="s">
        <v>203</v>
      </c>
      <c r="H3177" t="s">
        <v>239</v>
      </c>
      <c r="I3177" s="4">
        <v>125766.4408</v>
      </c>
      <c r="J3177" s="4">
        <v>628832.20400000003</v>
      </c>
      <c r="K3177" s="4">
        <v>-28269.18</v>
      </c>
      <c r="L3177" s="4">
        <v>5</v>
      </c>
    </row>
    <row r="3178" spans="1:12">
      <c r="A3178" t="s">
        <v>264</v>
      </c>
      <c r="B3178" s="10">
        <v>45471</v>
      </c>
      <c r="C3178" s="18">
        <f t="shared" si="49"/>
        <v>6</v>
      </c>
      <c r="D3178" t="s">
        <v>196</v>
      </c>
      <c r="E3178">
        <v>4872203</v>
      </c>
      <c r="F3178" t="s">
        <v>8</v>
      </c>
      <c r="G3178" t="s">
        <v>203</v>
      </c>
      <c r="H3178" t="s">
        <v>237</v>
      </c>
      <c r="I3178" s="4">
        <v>125766.4408</v>
      </c>
      <c r="J3178" s="4">
        <v>6288322.04</v>
      </c>
      <c r="K3178" s="4">
        <v>-282691.8</v>
      </c>
      <c r="L3178" s="4">
        <v>50</v>
      </c>
    </row>
    <row r="3179" spans="1:12">
      <c r="A3179" t="s">
        <v>264</v>
      </c>
      <c r="B3179" s="10">
        <v>45471</v>
      </c>
      <c r="C3179" s="18">
        <f t="shared" si="49"/>
        <v>6</v>
      </c>
      <c r="D3179" t="s">
        <v>196</v>
      </c>
      <c r="E3179">
        <v>4872203</v>
      </c>
      <c r="F3179" t="s">
        <v>8</v>
      </c>
      <c r="G3179" t="s">
        <v>203</v>
      </c>
      <c r="H3179" t="s">
        <v>231</v>
      </c>
      <c r="I3179" s="4">
        <v>125766.4408</v>
      </c>
      <c r="J3179" s="4">
        <v>6288322.04</v>
      </c>
      <c r="K3179" s="4">
        <v>-282691.8</v>
      </c>
      <c r="L3179" s="4">
        <v>50</v>
      </c>
    </row>
    <row r="3180" spans="1:12">
      <c r="A3180" t="s">
        <v>264</v>
      </c>
      <c r="B3180" s="10">
        <v>45471</v>
      </c>
      <c r="C3180" s="18">
        <f t="shared" si="49"/>
        <v>6</v>
      </c>
      <c r="D3180" t="s">
        <v>196</v>
      </c>
      <c r="E3180">
        <v>4872203</v>
      </c>
      <c r="F3180" t="s">
        <v>8</v>
      </c>
      <c r="G3180" t="s">
        <v>203</v>
      </c>
      <c r="H3180" t="s">
        <v>229</v>
      </c>
      <c r="I3180" s="4">
        <v>125766.4408</v>
      </c>
      <c r="J3180" s="4">
        <v>10690147.468</v>
      </c>
      <c r="K3180" s="4">
        <v>-480576.06</v>
      </c>
      <c r="L3180" s="4">
        <v>85</v>
      </c>
    </row>
    <row r="3181" spans="1:12">
      <c r="A3181" t="s">
        <v>264</v>
      </c>
      <c r="B3181" s="10">
        <v>45471</v>
      </c>
      <c r="C3181" s="18">
        <f t="shared" si="49"/>
        <v>6</v>
      </c>
      <c r="D3181" t="s">
        <v>196</v>
      </c>
      <c r="E3181">
        <v>4875779</v>
      </c>
      <c r="F3181" t="s">
        <v>8</v>
      </c>
      <c r="G3181" t="s">
        <v>204</v>
      </c>
      <c r="H3181" t="s">
        <v>213</v>
      </c>
      <c r="I3181" s="4">
        <v>119484.4008</v>
      </c>
      <c r="J3181" s="4">
        <v>1672781.6112000002</v>
      </c>
      <c r="K3181" s="4">
        <v>-83551.131999999998</v>
      </c>
      <c r="L3181" s="4">
        <v>14</v>
      </c>
    </row>
    <row r="3182" spans="1:12">
      <c r="A3182" t="s">
        <v>264</v>
      </c>
      <c r="B3182" s="10">
        <v>45472</v>
      </c>
      <c r="C3182" s="18">
        <f t="shared" si="49"/>
        <v>6</v>
      </c>
      <c r="D3182" t="s">
        <v>196</v>
      </c>
      <c r="E3182">
        <v>4872058</v>
      </c>
      <c r="F3182" t="s">
        <v>8</v>
      </c>
      <c r="G3182" t="s">
        <v>203</v>
      </c>
      <c r="H3182" t="s">
        <v>236</v>
      </c>
      <c r="I3182" s="4">
        <v>100638.28079999999</v>
      </c>
      <c r="J3182" s="4">
        <v>1006382.808</v>
      </c>
      <c r="K3182" s="4">
        <v>-43346.076000000001</v>
      </c>
      <c r="L3182" s="4">
        <v>10</v>
      </c>
    </row>
    <row r="3183" spans="1:12">
      <c r="A3183" t="s">
        <v>264</v>
      </c>
      <c r="B3183" s="10">
        <v>45472</v>
      </c>
      <c r="C3183" s="18">
        <f t="shared" si="49"/>
        <v>6</v>
      </c>
      <c r="D3183" t="s">
        <v>196</v>
      </c>
      <c r="E3183">
        <v>4872058</v>
      </c>
      <c r="F3183" t="s">
        <v>8</v>
      </c>
      <c r="G3183" t="s">
        <v>203</v>
      </c>
      <c r="H3183" t="s">
        <v>230</v>
      </c>
      <c r="I3183" s="4">
        <v>100638.28079999999</v>
      </c>
      <c r="J3183" s="4">
        <v>1006382.808</v>
      </c>
      <c r="K3183" s="4">
        <v>-43346.076000000001</v>
      </c>
      <c r="L3183" s="4">
        <v>10</v>
      </c>
    </row>
    <row r="3184" spans="1:12">
      <c r="A3184" t="s">
        <v>264</v>
      </c>
      <c r="B3184" s="10">
        <v>45472</v>
      </c>
      <c r="C3184" s="18">
        <f t="shared" si="49"/>
        <v>6</v>
      </c>
      <c r="D3184" t="s">
        <v>196</v>
      </c>
      <c r="E3184">
        <v>4872058</v>
      </c>
      <c r="F3184" t="s">
        <v>8</v>
      </c>
      <c r="G3184" t="s">
        <v>203</v>
      </c>
      <c r="H3184" t="s">
        <v>237</v>
      </c>
      <c r="I3184" s="4">
        <v>125766.4408</v>
      </c>
      <c r="J3184" s="4">
        <v>1257664.4080000001</v>
      </c>
      <c r="K3184" s="4">
        <v>-56538.36</v>
      </c>
      <c r="L3184" s="4">
        <v>10</v>
      </c>
    </row>
    <row r="3185" spans="1:12">
      <c r="A3185" t="s">
        <v>264</v>
      </c>
      <c r="B3185" s="10">
        <v>45472</v>
      </c>
      <c r="C3185" s="18">
        <f t="shared" si="49"/>
        <v>6</v>
      </c>
      <c r="D3185" t="s">
        <v>196</v>
      </c>
      <c r="E3185">
        <v>4872058</v>
      </c>
      <c r="F3185" t="s">
        <v>8</v>
      </c>
      <c r="G3185" t="s">
        <v>203</v>
      </c>
      <c r="H3185" t="s">
        <v>231</v>
      </c>
      <c r="I3185" s="4">
        <v>125766.4408</v>
      </c>
      <c r="J3185" s="4">
        <v>1257664.4080000001</v>
      </c>
      <c r="K3185" s="4">
        <v>-56538.36</v>
      </c>
      <c r="L3185" s="4">
        <v>10</v>
      </c>
    </row>
    <row r="3186" spans="1:12">
      <c r="A3186" t="s">
        <v>264</v>
      </c>
      <c r="B3186" s="10">
        <v>45472</v>
      </c>
      <c r="C3186" s="18">
        <f t="shared" si="49"/>
        <v>6</v>
      </c>
      <c r="D3186" t="s">
        <v>196</v>
      </c>
      <c r="E3186">
        <v>4873570</v>
      </c>
      <c r="F3186" t="s">
        <v>8</v>
      </c>
      <c r="G3186" t="s">
        <v>203</v>
      </c>
      <c r="H3186" t="s">
        <v>236</v>
      </c>
      <c r="I3186" s="4">
        <v>100638.28079999999</v>
      </c>
      <c r="J3186" s="4">
        <v>1006382.808</v>
      </c>
      <c r="K3186" s="4">
        <v>-43346.076000000001</v>
      </c>
      <c r="L3186" s="4">
        <v>10</v>
      </c>
    </row>
    <row r="3187" spans="1:12">
      <c r="A3187" t="s">
        <v>264</v>
      </c>
      <c r="B3187" s="10">
        <v>45472</v>
      </c>
      <c r="C3187" s="18">
        <f t="shared" si="49"/>
        <v>6</v>
      </c>
      <c r="D3187" t="s">
        <v>196</v>
      </c>
      <c r="E3187">
        <v>4873570</v>
      </c>
      <c r="F3187" t="s">
        <v>8</v>
      </c>
      <c r="G3187" t="s">
        <v>203</v>
      </c>
      <c r="H3187" t="s">
        <v>232</v>
      </c>
      <c r="I3187" s="4">
        <v>100638.28079999999</v>
      </c>
      <c r="J3187" s="4">
        <v>1006382.808</v>
      </c>
      <c r="K3187" s="4">
        <v>-43346.076000000001</v>
      </c>
      <c r="L3187" s="4">
        <v>10</v>
      </c>
    </row>
    <row r="3188" spans="1:12">
      <c r="A3188" t="s">
        <v>264</v>
      </c>
      <c r="B3188" s="10">
        <v>45472</v>
      </c>
      <c r="C3188" s="18">
        <f t="shared" si="49"/>
        <v>6</v>
      </c>
      <c r="D3188" t="s">
        <v>196</v>
      </c>
      <c r="E3188">
        <v>4873570</v>
      </c>
      <c r="F3188" t="s">
        <v>8</v>
      </c>
      <c r="G3188" t="s">
        <v>203</v>
      </c>
      <c r="H3188" t="s">
        <v>230</v>
      </c>
      <c r="I3188" s="4">
        <v>100638.28079999999</v>
      </c>
      <c r="J3188" s="4">
        <v>1006382.808</v>
      </c>
      <c r="K3188" s="4">
        <v>-43346.076000000001</v>
      </c>
      <c r="L3188" s="4">
        <v>10</v>
      </c>
    </row>
    <row r="3189" spans="1:12">
      <c r="A3189" t="s">
        <v>264</v>
      </c>
      <c r="B3189" s="10">
        <v>45472</v>
      </c>
      <c r="C3189" s="18">
        <f t="shared" si="49"/>
        <v>6</v>
      </c>
      <c r="D3189" t="s">
        <v>196</v>
      </c>
      <c r="E3189">
        <v>4873570</v>
      </c>
      <c r="F3189" t="s">
        <v>8</v>
      </c>
      <c r="G3189" t="s">
        <v>203</v>
      </c>
      <c r="H3189" t="s">
        <v>224</v>
      </c>
      <c r="I3189" s="4">
        <v>100638.28079999999</v>
      </c>
      <c r="J3189" s="4">
        <v>1006382.808</v>
      </c>
      <c r="K3189" s="4">
        <v>-43346.076000000001</v>
      </c>
      <c r="L3189" s="4">
        <v>10</v>
      </c>
    </row>
    <row r="3190" spans="1:12">
      <c r="A3190" t="s">
        <v>264</v>
      </c>
      <c r="B3190" s="10">
        <v>45472</v>
      </c>
      <c r="C3190" s="18">
        <f t="shared" si="49"/>
        <v>6</v>
      </c>
      <c r="D3190" t="s">
        <v>196</v>
      </c>
      <c r="E3190">
        <v>4873570</v>
      </c>
      <c r="F3190" t="s">
        <v>8</v>
      </c>
      <c r="G3190" t="s">
        <v>203</v>
      </c>
      <c r="H3190" t="s">
        <v>231</v>
      </c>
      <c r="I3190" s="4">
        <v>125766.4408</v>
      </c>
      <c r="J3190" s="4">
        <v>1886496.612</v>
      </c>
      <c r="K3190" s="4">
        <v>-84807.54</v>
      </c>
      <c r="L3190" s="4">
        <v>15</v>
      </c>
    </row>
    <row r="3191" spans="1:12">
      <c r="A3191" t="s">
        <v>264</v>
      </c>
      <c r="B3191" s="10">
        <v>45472</v>
      </c>
      <c r="C3191" s="18">
        <f t="shared" si="49"/>
        <v>6</v>
      </c>
      <c r="D3191" t="s">
        <v>196</v>
      </c>
      <c r="E3191">
        <v>4876950</v>
      </c>
      <c r="F3191" t="s">
        <v>8</v>
      </c>
      <c r="G3191" t="s">
        <v>202</v>
      </c>
      <c r="H3191" t="s">
        <v>258</v>
      </c>
      <c r="I3191" s="4">
        <v>37817.880799999999</v>
      </c>
      <c r="J3191" s="4">
        <v>226907.28479999999</v>
      </c>
      <c r="K3191" s="4">
        <v>-11307.672</v>
      </c>
      <c r="L3191" s="4">
        <v>6</v>
      </c>
    </row>
    <row r="3192" spans="1:12">
      <c r="A3192" t="s">
        <v>264</v>
      </c>
      <c r="B3192" s="10">
        <v>45472</v>
      </c>
      <c r="C3192" s="18">
        <f t="shared" si="49"/>
        <v>6</v>
      </c>
      <c r="D3192" t="s">
        <v>196</v>
      </c>
      <c r="E3192">
        <v>4872135</v>
      </c>
      <c r="F3192" t="s">
        <v>8</v>
      </c>
      <c r="G3192" t="s">
        <v>203</v>
      </c>
      <c r="H3192" t="s">
        <v>236</v>
      </c>
      <c r="I3192" s="4">
        <v>100638.28079999999</v>
      </c>
      <c r="J3192" s="4">
        <v>2012765.6159999999</v>
      </c>
      <c r="K3192" s="4">
        <v>-86692.152000000002</v>
      </c>
      <c r="L3192" s="4">
        <v>20</v>
      </c>
    </row>
    <row r="3193" spans="1:12">
      <c r="A3193" t="s">
        <v>264</v>
      </c>
      <c r="B3193" s="10">
        <v>45472</v>
      </c>
      <c r="C3193" s="18">
        <f t="shared" si="49"/>
        <v>6</v>
      </c>
      <c r="D3193" t="s">
        <v>196</v>
      </c>
      <c r="E3193">
        <v>4872135</v>
      </c>
      <c r="F3193" t="s">
        <v>8</v>
      </c>
      <c r="G3193" t="s">
        <v>203</v>
      </c>
      <c r="H3193" t="s">
        <v>234</v>
      </c>
      <c r="I3193" s="4">
        <v>100638.28079999999</v>
      </c>
      <c r="J3193" s="4">
        <v>2012765.6159999999</v>
      </c>
      <c r="K3193" s="4">
        <v>-86692.152000000002</v>
      </c>
      <c r="L3193" s="4">
        <v>20</v>
      </c>
    </row>
    <row r="3194" spans="1:12">
      <c r="A3194" t="s">
        <v>264</v>
      </c>
      <c r="B3194" s="10">
        <v>45472</v>
      </c>
      <c r="C3194" s="18">
        <f t="shared" si="49"/>
        <v>6</v>
      </c>
      <c r="D3194" t="s">
        <v>196</v>
      </c>
      <c r="E3194">
        <v>4872135</v>
      </c>
      <c r="F3194" t="s">
        <v>8</v>
      </c>
      <c r="G3194" t="s">
        <v>203</v>
      </c>
      <c r="H3194" t="s">
        <v>232</v>
      </c>
      <c r="I3194" s="4">
        <v>100638.28079999999</v>
      </c>
      <c r="J3194" s="4">
        <v>2012765.6159999999</v>
      </c>
      <c r="K3194" s="4">
        <v>-86692.152000000002</v>
      </c>
      <c r="L3194" s="4">
        <v>20</v>
      </c>
    </row>
    <row r="3195" spans="1:12">
      <c r="A3195" t="s">
        <v>264</v>
      </c>
      <c r="B3195" s="10">
        <v>45472</v>
      </c>
      <c r="C3195" s="18">
        <f t="shared" si="49"/>
        <v>6</v>
      </c>
      <c r="D3195" t="s">
        <v>196</v>
      </c>
      <c r="E3195">
        <v>4872135</v>
      </c>
      <c r="F3195" t="s">
        <v>8</v>
      </c>
      <c r="G3195" t="s">
        <v>203</v>
      </c>
      <c r="H3195" t="s">
        <v>230</v>
      </c>
      <c r="I3195" s="4">
        <v>100638.28079999999</v>
      </c>
      <c r="J3195" s="4">
        <v>2012765.6159999999</v>
      </c>
      <c r="K3195" s="4">
        <v>-86692.152000000002</v>
      </c>
      <c r="L3195" s="4">
        <v>20</v>
      </c>
    </row>
    <row r="3196" spans="1:12">
      <c r="A3196" t="s">
        <v>264</v>
      </c>
      <c r="B3196" s="10">
        <v>45472</v>
      </c>
      <c r="C3196" s="18">
        <f t="shared" si="49"/>
        <v>6</v>
      </c>
      <c r="D3196" t="s">
        <v>196</v>
      </c>
      <c r="E3196">
        <v>4872135</v>
      </c>
      <c r="F3196" t="s">
        <v>8</v>
      </c>
      <c r="G3196" t="s">
        <v>203</v>
      </c>
      <c r="H3196" t="s">
        <v>224</v>
      </c>
      <c r="I3196" s="4">
        <v>100638.28079999999</v>
      </c>
      <c r="J3196" s="4">
        <v>2012765.6159999999</v>
      </c>
      <c r="K3196" s="4">
        <v>-86692.152000000002</v>
      </c>
      <c r="L3196" s="4">
        <v>20</v>
      </c>
    </row>
    <row r="3197" spans="1:12">
      <c r="A3197" t="s">
        <v>264</v>
      </c>
      <c r="B3197" s="10">
        <v>45472</v>
      </c>
      <c r="C3197" s="18">
        <f t="shared" si="49"/>
        <v>6</v>
      </c>
      <c r="D3197" t="s">
        <v>196</v>
      </c>
      <c r="E3197">
        <v>4872135</v>
      </c>
      <c r="F3197" t="s">
        <v>8</v>
      </c>
      <c r="G3197" t="s">
        <v>203</v>
      </c>
      <c r="H3197" t="s">
        <v>237</v>
      </c>
      <c r="I3197" s="4">
        <v>125766.4408</v>
      </c>
      <c r="J3197" s="4">
        <v>2515328.8160000001</v>
      </c>
      <c r="K3197" s="4">
        <v>-113076.72</v>
      </c>
      <c r="L3197" s="4">
        <v>20</v>
      </c>
    </row>
    <row r="3198" spans="1:12">
      <c r="A3198" t="s">
        <v>264</v>
      </c>
      <c r="B3198" s="10">
        <v>45472</v>
      </c>
      <c r="C3198" s="18">
        <f t="shared" si="49"/>
        <v>6</v>
      </c>
      <c r="D3198" t="s">
        <v>196</v>
      </c>
      <c r="E3198">
        <v>4872135</v>
      </c>
      <c r="F3198" t="s">
        <v>8</v>
      </c>
      <c r="G3198" t="s">
        <v>203</v>
      </c>
      <c r="H3198" t="s">
        <v>233</v>
      </c>
      <c r="I3198" s="4">
        <v>120735.78316800001</v>
      </c>
      <c r="J3198" s="4">
        <v>2414715.6633600001</v>
      </c>
      <c r="K3198" s="4">
        <v>-113076.72</v>
      </c>
      <c r="L3198" s="4">
        <v>20</v>
      </c>
    </row>
    <row r="3199" spans="1:12">
      <c r="A3199" t="s">
        <v>264</v>
      </c>
      <c r="B3199" s="10">
        <v>45472</v>
      </c>
      <c r="C3199" s="18">
        <f t="shared" si="49"/>
        <v>6</v>
      </c>
      <c r="D3199" t="s">
        <v>196</v>
      </c>
      <c r="E3199">
        <v>4872135</v>
      </c>
      <c r="F3199" t="s">
        <v>8</v>
      </c>
      <c r="G3199" t="s">
        <v>203</v>
      </c>
      <c r="H3199" t="s">
        <v>231</v>
      </c>
      <c r="I3199" s="4">
        <v>125766.4408</v>
      </c>
      <c r="J3199" s="4">
        <v>2515328.8160000001</v>
      </c>
      <c r="K3199" s="4">
        <v>-113076.72</v>
      </c>
      <c r="L3199" s="4">
        <v>20</v>
      </c>
    </row>
    <row r="3200" spans="1:12">
      <c r="A3200" t="s">
        <v>264</v>
      </c>
      <c r="B3200" s="10">
        <v>45472</v>
      </c>
      <c r="C3200" s="18">
        <f t="shared" si="49"/>
        <v>6</v>
      </c>
      <c r="D3200" t="s">
        <v>196</v>
      </c>
      <c r="E3200">
        <v>4872592</v>
      </c>
      <c r="F3200" t="s">
        <v>8</v>
      </c>
      <c r="G3200" t="s">
        <v>203</v>
      </c>
      <c r="H3200" t="s">
        <v>236</v>
      </c>
      <c r="I3200" s="4">
        <v>100638.28079999999</v>
      </c>
      <c r="J3200" s="4">
        <v>2012765.6159999999</v>
      </c>
      <c r="K3200" s="4">
        <v>-86692.152000000002</v>
      </c>
      <c r="L3200" s="4">
        <v>20</v>
      </c>
    </row>
    <row r="3201" spans="1:12">
      <c r="A3201" t="s">
        <v>264</v>
      </c>
      <c r="B3201" s="10">
        <v>45472</v>
      </c>
      <c r="C3201" s="18">
        <f t="shared" si="49"/>
        <v>6</v>
      </c>
      <c r="D3201" t="s">
        <v>196</v>
      </c>
      <c r="E3201">
        <v>4872685</v>
      </c>
      <c r="F3201" t="s">
        <v>8</v>
      </c>
      <c r="G3201" t="s">
        <v>204</v>
      </c>
      <c r="H3201" t="s">
        <v>217</v>
      </c>
      <c r="I3201" s="4">
        <v>78022.936799999996</v>
      </c>
      <c r="J3201" s="4">
        <v>936275.24159999995</v>
      </c>
      <c r="K3201" s="4">
        <v>-42969.153599999998</v>
      </c>
      <c r="L3201" s="4">
        <v>12</v>
      </c>
    </row>
    <row r="3202" spans="1:12">
      <c r="A3202" t="s">
        <v>264</v>
      </c>
      <c r="B3202" s="10">
        <v>45472</v>
      </c>
      <c r="C3202" s="18">
        <f t="shared" ref="C3202:C3265" si="50">MONTH(B3202)</f>
        <v>6</v>
      </c>
      <c r="D3202" t="s">
        <v>196</v>
      </c>
      <c r="E3202">
        <v>4872685</v>
      </c>
      <c r="F3202" t="s">
        <v>8</v>
      </c>
      <c r="G3202" t="s">
        <v>204</v>
      </c>
      <c r="H3202" t="s">
        <v>221</v>
      </c>
      <c r="I3202" s="4">
        <v>25253.800799999997</v>
      </c>
      <c r="J3202" s="4">
        <v>50507.601599999995</v>
      </c>
      <c r="K3202" s="4">
        <v>-2512.8160000000003</v>
      </c>
      <c r="L3202" s="4">
        <v>2</v>
      </c>
    </row>
    <row r="3203" spans="1:12">
      <c r="A3203" t="s">
        <v>264</v>
      </c>
      <c r="B3203" s="10">
        <v>45472</v>
      </c>
      <c r="C3203" s="18">
        <f t="shared" si="50"/>
        <v>6</v>
      </c>
      <c r="D3203" t="s">
        <v>196</v>
      </c>
      <c r="E3203">
        <v>4872200</v>
      </c>
      <c r="F3203" t="s">
        <v>8</v>
      </c>
      <c r="G3203" t="s">
        <v>203</v>
      </c>
      <c r="H3203" t="s">
        <v>236</v>
      </c>
      <c r="I3203" s="4">
        <v>100638.28079999999</v>
      </c>
      <c r="J3203" s="4">
        <v>1006382.808</v>
      </c>
      <c r="K3203" s="4">
        <v>-43346.076000000001</v>
      </c>
      <c r="L3203" s="4">
        <v>10</v>
      </c>
    </row>
    <row r="3204" spans="1:12">
      <c r="A3204" t="s">
        <v>264</v>
      </c>
      <c r="B3204" s="10">
        <v>45472</v>
      </c>
      <c r="C3204" s="18">
        <f t="shared" si="50"/>
        <v>6</v>
      </c>
      <c r="D3204" t="s">
        <v>196</v>
      </c>
      <c r="E3204">
        <v>4872200</v>
      </c>
      <c r="F3204" t="s">
        <v>8</v>
      </c>
      <c r="G3204" t="s">
        <v>203</v>
      </c>
      <c r="H3204" t="s">
        <v>232</v>
      </c>
      <c r="I3204" s="4">
        <v>100638.28079999999</v>
      </c>
      <c r="J3204" s="4">
        <v>1006382.808</v>
      </c>
      <c r="K3204" s="4">
        <v>-43346.076000000001</v>
      </c>
      <c r="L3204" s="4">
        <v>10</v>
      </c>
    </row>
    <row r="3205" spans="1:12">
      <c r="A3205" t="s">
        <v>264</v>
      </c>
      <c r="B3205" s="10">
        <v>45472</v>
      </c>
      <c r="C3205" s="18">
        <f t="shared" si="50"/>
        <v>6</v>
      </c>
      <c r="D3205" t="s">
        <v>196</v>
      </c>
      <c r="E3205">
        <v>4872200</v>
      </c>
      <c r="F3205" t="s">
        <v>8</v>
      </c>
      <c r="G3205" t="s">
        <v>203</v>
      </c>
      <c r="H3205" t="s">
        <v>230</v>
      </c>
      <c r="I3205" s="4">
        <v>100638.28079999999</v>
      </c>
      <c r="J3205" s="4">
        <v>2012765.6159999999</v>
      </c>
      <c r="K3205" s="4">
        <v>-86692.152000000002</v>
      </c>
      <c r="L3205" s="4">
        <v>20</v>
      </c>
    </row>
    <row r="3206" spans="1:12">
      <c r="A3206" t="s">
        <v>264</v>
      </c>
      <c r="B3206" s="10">
        <v>45472</v>
      </c>
      <c r="C3206" s="18">
        <f t="shared" si="50"/>
        <v>6</v>
      </c>
      <c r="D3206" t="s">
        <v>196</v>
      </c>
      <c r="E3206">
        <v>4872200</v>
      </c>
      <c r="F3206" t="s">
        <v>8</v>
      </c>
      <c r="G3206" t="s">
        <v>203</v>
      </c>
      <c r="H3206" t="s">
        <v>224</v>
      </c>
      <c r="I3206" s="4">
        <v>100638.28079999999</v>
      </c>
      <c r="J3206" s="4">
        <v>1006382.808</v>
      </c>
      <c r="K3206" s="4">
        <v>-43346.076000000001</v>
      </c>
      <c r="L3206" s="4">
        <v>10</v>
      </c>
    </row>
    <row r="3207" spans="1:12">
      <c r="A3207" t="s">
        <v>264</v>
      </c>
      <c r="B3207" s="10">
        <v>45473</v>
      </c>
      <c r="C3207" s="18">
        <f t="shared" si="50"/>
        <v>6</v>
      </c>
      <c r="D3207" t="s">
        <v>196</v>
      </c>
      <c r="E3207">
        <v>4876962</v>
      </c>
      <c r="F3207" t="s">
        <v>8</v>
      </c>
      <c r="G3207" t="s">
        <v>204</v>
      </c>
      <c r="H3207" t="s">
        <v>217</v>
      </c>
      <c r="I3207" s="4">
        <v>78022.936799999996</v>
      </c>
      <c r="J3207" s="4">
        <v>780229.36800000002</v>
      </c>
      <c r="K3207" s="4">
        <v>-35807.628000000004</v>
      </c>
      <c r="L3207" s="4">
        <v>10</v>
      </c>
    </row>
    <row r="3208" spans="1:12">
      <c r="A3208" t="s">
        <v>264</v>
      </c>
      <c r="B3208" s="10">
        <v>45473</v>
      </c>
      <c r="C3208" s="18">
        <f t="shared" si="50"/>
        <v>6</v>
      </c>
      <c r="D3208" t="s">
        <v>196</v>
      </c>
      <c r="E3208">
        <v>4876962</v>
      </c>
      <c r="F3208" t="s">
        <v>8</v>
      </c>
      <c r="G3208" t="s">
        <v>204</v>
      </c>
      <c r="H3208" t="s">
        <v>216</v>
      </c>
      <c r="I3208" s="4">
        <v>113202.36079999999</v>
      </c>
      <c r="J3208" s="4">
        <v>1132023.608</v>
      </c>
      <c r="K3208" s="4">
        <v>-56538.36</v>
      </c>
      <c r="L3208" s="4">
        <v>10</v>
      </c>
    </row>
    <row r="3209" spans="1:12">
      <c r="A3209" t="s">
        <v>264</v>
      </c>
      <c r="B3209" s="10">
        <v>45473</v>
      </c>
      <c r="C3209" s="18">
        <f t="shared" si="50"/>
        <v>6</v>
      </c>
      <c r="D3209" t="s">
        <v>196</v>
      </c>
      <c r="E3209">
        <v>4876962</v>
      </c>
      <c r="F3209" t="s">
        <v>8</v>
      </c>
      <c r="G3209" t="s">
        <v>204</v>
      </c>
      <c r="H3209" t="s">
        <v>221</v>
      </c>
      <c r="I3209" s="4">
        <v>25253.800799999997</v>
      </c>
      <c r="J3209" s="4">
        <v>252538.00799999997</v>
      </c>
      <c r="K3209" s="4">
        <v>-12564.08</v>
      </c>
      <c r="L3209" s="4">
        <v>10</v>
      </c>
    </row>
    <row r="3210" spans="1:12">
      <c r="A3210" t="s">
        <v>264</v>
      </c>
      <c r="B3210" s="10">
        <v>45473</v>
      </c>
      <c r="C3210" s="18">
        <f t="shared" si="50"/>
        <v>6</v>
      </c>
      <c r="D3210" t="s">
        <v>196</v>
      </c>
      <c r="E3210">
        <v>4876962</v>
      </c>
      <c r="F3210" t="s">
        <v>8</v>
      </c>
      <c r="G3210" t="s">
        <v>204</v>
      </c>
      <c r="H3210" t="s">
        <v>220</v>
      </c>
      <c r="I3210" s="4">
        <v>37817.880799999999</v>
      </c>
      <c r="J3210" s="4">
        <v>378178.80799999996</v>
      </c>
      <c r="K3210" s="4">
        <v>-18846.12</v>
      </c>
      <c r="L3210" s="4">
        <v>10</v>
      </c>
    </row>
    <row r="3211" spans="1:12">
      <c r="A3211" t="s">
        <v>264</v>
      </c>
      <c r="B3211" s="10">
        <v>45473</v>
      </c>
      <c r="C3211" s="18">
        <f t="shared" si="50"/>
        <v>6</v>
      </c>
      <c r="D3211" t="s">
        <v>196</v>
      </c>
      <c r="E3211">
        <v>4876962</v>
      </c>
      <c r="F3211" t="s">
        <v>8</v>
      </c>
      <c r="G3211" t="s">
        <v>204</v>
      </c>
      <c r="H3211" t="s">
        <v>212</v>
      </c>
      <c r="I3211" s="4">
        <v>62946.040799999995</v>
      </c>
      <c r="J3211" s="4">
        <v>629460.40799999994</v>
      </c>
      <c r="K3211" s="4">
        <v>-18846.12</v>
      </c>
      <c r="L3211" s="4">
        <v>10</v>
      </c>
    </row>
    <row r="3212" spans="1:12">
      <c r="A3212" t="s">
        <v>264</v>
      </c>
      <c r="B3212" s="10">
        <v>45473</v>
      </c>
      <c r="C3212" s="18">
        <f t="shared" si="50"/>
        <v>6</v>
      </c>
      <c r="D3212" t="s">
        <v>196</v>
      </c>
      <c r="E3212">
        <v>4871600</v>
      </c>
      <c r="F3212" t="s">
        <v>8</v>
      </c>
      <c r="G3212" t="s">
        <v>203</v>
      </c>
      <c r="H3212" t="s">
        <v>236</v>
      </c>
      <c r="I3212" s="4">
        <v>100638.28079999999</v>
      </c>
      <c r="J3212" s="4">
        <v>402553.12319999997</v>
      </c>
      <c r="K3212" s="4">
        <v>-17338.430399999997</v>
      </c>
      <c r="L3212" s="4">
        <v>4</v>
      </c>
    </row>
    <row r="3213" spans="1:12">
      <c r="A3213" t="s">
        <v>264</v>
      </c>
      <c r="B3213" s="10">
        <v>45473</v>
      </c>
      <c r="C3213" s="18">
        <f t="shared" si="50"/>
        <v>6</v>
      </c>
      <c r="D3213" t="s">
        <v>196</v>
      </c>
      <c r="E3213">
        <v>4871600</v>
      </c>
      <c r="F3213" t="s">
        <v>8</v>
      </c>
      <c r="G3213" t="s">
        <v>203</v>
      </c>
      <c r="H3213" t="s">
        <v>234</v>
      </c>
      <c r="I3213" s="4">
        <v>100638.28079999999</v>
      </c>
      <c r="J3213" s="4">
        <v>805106.24639999995</v>
      </c>
      <c r="K3213" s="4">
        <v>-34676.860799999995</v>
      </c>
      <c r="L3213" s="4">
        <v>8</v>
      </c>
    </row>
    <row r="3214" spans="1:12">
      <c r="A3214" t="s">
        <v>264</v>
      </c>
      <c r="B3214" s="10">
        <v>45473</v>
      </c>
      <c r="C3214" s="18">
        <f t="shared" si="50"/>
        <v>6</v>
      </c>
      <c r="D3214" t="s">
        <v>196</v>
      </c>
      <c r="E3214">
        <v>4871600</v>
      </c>
      <c r="F3214" t="s">
        <v>8</v>
      </c>
      <c r="G3214" t="s">
        <v>203</v>
      </c>
      <c r="H3214" t="s">
        <v>232</v>
      </c>
      <c r="I3214" s="4">
        <v>100638.28079999999</v>
      </c>
      <c r="J3214" s="4">
        <v>402553.12319999997</v>
      </c>
      <c r="K3214" s="4">
        <v>-17338.430399999997</v>
      </c>
      <c r="L3214" s="4">
        <v>4</v>
      </c>
    </row>
    <row r="3215" spans="1:12">
      <c r="A3215" t="s">
        <v>264</v>
      </c>
      <c r="B3215" s="10">
        <v>45473</v>
      </c>
      <c r="C3215" s="18">
        <f t="shared" si="50"/>
        <v>6</v>
      </c>
      <c r="D3215" t="s">
        <v>196</v>
      </c>
      <c r="E3215">
        <v>4871600</v>
      </c>
      <c r="F3215" t="s">
        <v>8</v>
      </c>
      <c r="G3215" t="s">
        <v>203</v>
      </c>
      <c r="H3215" t="s">
        <v>230</v>
      </c>
      <c r="I3215" s="4">
        <v>100638.28079999999</v>
      </c>
      <c r="J3215" s="4">
        <v>805106.24639999995</v>
      </c>
      <c r="K3215" s="4">
        <v>-34676.860799999995</v>
      </c>
      <c r="L3215" s="4">
        <v>8</v>
      </c>
    </row>
    <row r="3216" spans="1:12">
      <c r="A3216" t="s">
        <v>264</v>
      </c>
      <c r="B3216" s="10">
        <v>45473</v>
      </c>
      <c r="C3216" s="18">
        <f t="shared" si="50"/>
        <v>6</v>
      </c>
      <c r="D3216" t="s">
        <v>196</v>
      </c>
      <c r="E3216">
        <v>4871600</v>
      </c>
      <c r="F3216" t="s">
        <v>8</v>
      </c>
      <c r="G3216" t="s">
        <v>203</v>
      </c>
      <c r="H3216" t="s">
        <v>224</v>
      </c>
      <c r="I3216" s="4">
        <v>100638.28079999999</v>
      </c>
      <c r="J3216" s="4">
        <v>402553.12319999997</v>
      </c>
      <c r="K3216" s="4">
        <v>-17338.430399999997</v>
      </c>
      <c r="L3216" s="4">
        <v>4</v>
      </c>
    </row>
    <row r="3217" spans="1:12">
      <c r="A3217" t="s">
        <v>264</v>
      </c>
      <c r="B3217" s="10">
        <v>45473</v>
      </c>
      <c r="C3217" s="18">
        <f t="shared" si="50"/>
        <v>6</v>
      </c>
      <c r="D3217" t="s">
        <v>196</v>
      </c>
      <c r="E3217">
        <v>4871600</v>
      </c>
      <c r="F3217" t="s">
        <v>8</v>
      </c>
      <c r="G3217" t="s">
        <v>203</v>
      </c>
      <c r="H3217" t="s">
        <v>237</v>
      </c>
      <c r="I3217" s="4">
        <v>125766.4408</v>
      </c>
      <c r="J3217" s="4">
        <v>503065.76319999999</v>
      </c>
      <c r="K3217" s="4">
        <v>-22615.344000000001</v>
      </c>
      <c r="L3217" s="4">
        <v>4</v>
      </c>
    </row>
    <row r="3218" spans="1:12">
      <c r="A3218" t="s">
        <v>264</v>
      </c>
      <c r="B3218" s="10">
        <v>45473</v>
      </c>
      <c r="C3218" s="18">
        <f t="shared" si="50"/>
        <v>6</v>
      </c>
      <c r="D3218" t="s">
        <v>196</v>
      </c>
      <c r="E3218">
        <v>4871600</v>
      </c>
      <c r="F3218" t="s">
        <v>8</v>
      </c>
      <c r="G3218" t="s">
        <v>203</v>
      </c>
      <c r="H3218" t="s">
        <v>233</v>
      </c>
      <c r="I3218" s="4">
        <v>120735.78316800001</v>
      </c>
      <c r="J3218" s="4">
        <v>482943.13267200004</v>
      </c>
      <c r="K3218" s="4">
        <v>-22615.344000000001</v>
      </c>
      <c r="L3218" s="4">
        <v>4</v>
      </c>
    </row>
    <row r="3219" spans="1:12">
      <c r="A3219" t="s">
        <v>264</v>
      </c>
      <c r="B3219" s="10">
        <v>45473</v>
      </c>
      <c r="C3219" s="18">
        <f t="shared" si="50"/>
        <v>6</v>
      </c>
      <c r="D3219" t="s">
        <v>196</v>
      </c>
      <c r="E3219">
        <v>4871600</v>
      </c>
      <c r="F3219" t="s">
        <v>8</v>
      </c>
      <c r="G3219" t="s">
        <v>203</v>
      </c>
      <c r="H3219" t="s">
        <v>231</v>
      </c>
      <c r="I3219" s="4">
        <v>125766.4408</v>
      </c>
      <c r="J3219" s="4">
        <v>503065.76319999999</v>
      </c>
      <c r="K3219" s="4">
        <v>-22615.344000000001</v>
      </c>
      <c r="L3219" s="4">
        <v>4</v>
      </c>
    </row>
    <row r="3220" spans="1:12">
      <c r="A3220" t="s">
        <v>264</v>
      </c>
      <c r="B3220" s="10">
        <v>45473</v>
      </c>
      <c r="C3220" s="18">
        <f t="shared" si="50"/>
        <v>6</v>
      </c>
      <c r="D3220" t="s">
        <v>196</v>
      </c>
      <c r="E3220">
        <v>4876950</v>
      </c>
      <c r="F3220" t="s">
        <v>8</v>
      </c>
      <c r="G3220" t="s">
        <v>202</v>
      </c>
      <c r="H3220" t="s">
        <v>253</v>
      </c>
      <c r="I3220" s="4">
        <v>46669.275160000005</v>
      </c>
      <c r="J3220" s="4">
        <v>186677.10064000002</v>
      </c>
      <c r="K3220" s="4">
        <v>-9799.9824000000008</v>
      </c>
      <c r="L3220" s="4">
        <v>4</v>
      </c>
    </row>
    <row r="3221" spans="1:12">
      <c r="A3221" t="s">
        <v>264</v>
      </c>
      <c r="B3221" s="10">
        <v>45473</v>
      </c>
      <c r="C3221" s="18">
        <f t="shared" si="50"/>
        <v>6</v>
      </c>
      <c r="D3221" t="s">
        <v>196</v>
      </c>
      <c r="E3221">
        <v>4873723</v>
      </c>
      <c r="F3221" t="s">
        <v>8</v>
      </c>
      <c r="G3221" t="s">
        <v>204</v>
      </c>
      <c r="H3221" t="s">
        <v>212</v>
      </c>
      <c r="I3221" s="4">
        <v>62946.040799999995</v>
      </c>
      <c r="J3221" s="4">
        <v>251784.16319999998</v>
      </c>
      <c r="K3221" s="4">
        <v>-7538.4479999999994</v>
      </c>
      <c r="L3221" s="4">
        <v>4</v>
      </c>
    </row>
    <row r="3222" spans="1:12">
      <c r="A3222" t="s">
        <v>264</v>
      </c>
      <c r="B3222" s="10">
        <v>45473</v>
      </c>
      <c r="C3222" s="18">
        <f t="shared" si="50"/>
        <v>6</v>
      </c>
      <c r="D3222" t="s">
        <v>196</v>
      </c>
      <c r="E3222">
        <v>4872203</v>
      </c>
      <c r="F3222" t="s">
        <v>8</v>
      </c>
      <c r="G3222" t="s">
        <v>203</v>
      </c>
      <c r="H3222" t="s">
        <v>223</v>
      </c>
      <c r="I3222" s="4">
        <v>100638.28079999999</v>
      </c>
      <c r="J3222" s="4">
        <v>-603829.68479999993</v>
      </c>
      <c r="K3222" s="4">
        <v>26007.645599999996</v>
      </c>
      <c r="L3222" s="4">
        <v>-6</v>
      </c>
    </row>
    <row r="3223" spans="1:12">
      <c r="A3223" t="s">
        <v>264</v>
      </c>
      <c r="B3223" s="10">
        <v>45473</v>
      </c>
      <c r="C3223" s="18">
        <f t="shared" si="50"/>
        <v>6</v>
      </c>
      <c r="D3223" t="s">
        <v>196</v>
      </c>
      <c r="E3223">
        <v>6080599</v>
      </c>
      <c r="F3223" t="s">
        <v>8</v>
      </c>
      <c r="G3223" t="s">
        <v>203</v>
      </c>
      <c r="H3223" t="s">
        <v>236</v>
      </c>
      <c r="I3223" s="4">
        <v>100638.28079999999</v>
      </c>
      <c r="J3223" s="4">
        <v>2616595.3007999999</v>
      </c>
      <c r="K3223" s="4">
        <v>-112699.79760000001</v>
      </c>
      <c r="L3223" s="4">
        <v>26</v>
      </c>
    </row>
    <row r="3224" spans="1:12">
      <c r="A3224" t="s">
        <v>264</v>
      </c>
      <c r="B3224" s="10">
        <v>45473</v>
      </c>
      <c r="C3224" s="18">
        <f t="shared" si="50"/>
        <v>6</v>
      </c>
      <c r="D3224" t="s">
        <v>196</v>
      </c>
      <c r="E3224">
        <v>6080599</v>
      </c>
      <c r="F3224" t="s">
        <v>8</v>
      </c>
      <c r="G3224" t="s">
        <v>203</v>
      </c>
      <c r="H3224" t="s">
        <v>234</v>
      </c>
      <c r="I3224" s="4">
        <v>100638.28079999999</v>
      </c>
      <c r="J3224" s="4">
        <v>2415318.7391999997</v>
      </c>
      <c r="K3224" s="4">
        <v>-104030.58239999998</v>
      </c>
      <c r="L3224" s="4">
        <v>24</v>
      </c>
    </row>
    <row r="3225" spans="1:12">
      <c r="A3225" t="s">
        <v>264</v>
      </c>
      <c r="B3225" s="10">
        <v>45473</v>
      </c>
      <c r="C3225" s="18">
        <f t="shared" si="50"/>
        <v>6</v>
      </c>
      <c r="D3225" t="s">
        <v>196</v>
      </c>
      <c r="E3225">
        <v>6080599</v>
      </c>
      <c r="F3225" t="s">
        <v>8</v>
      </c>
      <c r="G3225" t="s">
        <v>203</v>
      </c>
      <c r="H3225" t="s">
        <v>237</v>
      </c>
      <c r="I3225" s="4">
        <v>125766.4408</v>
      </c>
      <c r="J3225" s="4">
        <v>125766.4408</v>
      </c>
      <c r="K3225" s="4">
        <v>-5653.8360000000002</v>
      </c>
      <c r="L3225" s="4">
        <v>1</v>
      </c>
    </row>
    <row r="3226" spans="1:12">
      <c r="A3226" t="s">
        <v>264</v>
      </c>
      <c r="B3226" s="10">
        <v>45473</v>
      </c>
      <c r="C3226" s="18">
        <f t="shared" si="50"/>
        <v>6</v>
      </c>
      <c r="D3226" t="s">
        <v>196</v>
      </c>
      <c r="E3226">
        <v>6080599</v>
      </c>
      <c r="F3226" t="s">
        <v>8</v>
      </c>
      <c r="G3226" t="s">
        <v>203</v>
      </c>
      <c r="H3226" t="s">
        <v>233</v>
      </c>
      <c r="I3226" s="4">
        <v>120735.78316800001</v>
      </c>
      <c r="J3226" s="4">
        <v>1328093.614848</v>
      </c>
      <c r="K3226" s="4">
        <v>-62192.196000000004</v>
      </c>
      <c r="L3226" s="4">
        <v>11</v>
      </c>
    </row>
    <row r="3227" spans="1:12">
      <c r="A3227" t="s">
        <v>264</v>
      </c>
      <c r="B3227" s="10">
        <v>45473</v>
      </c>
      <c r="C3227" s="18">
        <f t="shared" si="50"/>
        <v>6</v>
      </c>
      <c r="D3227" t="s">
        <v>196</v>
      </c>
      <c r="E3227">
        <v>6080599</v>
      </c>
      <c r="F3227" t="s">
        <v>8</v>
      </c>
      <c r="G3227" t="s">
        <v>203</v>
      </c>
      <c r="H3227" t="s">
        <v>231</v>
      </c>
      <c r="I3227" s="4">
        <v>125766.4408</v>
      </c>
      <c r="J3227" s="4">
        <v>125766.4408</v>
      </c>
      <c r="K3227" s="4">
        <v>-5653.8360000000002</v>
      </c>
      <c r="L3227" s="4">
        <v>1</v>
      </c>
    </row>
    <row r="3228" spans="1:12">
      <c r="A3228" t="s">
        <v>264</v>
      </c>
      <c r="B3228" s="10">
        <v>45473</v>
      </c>
      <c r="C3228" s="18">
        <f t="shared" si="50"/>
        <v>6</v>
      </c>
      <c r="D3228" t="s">
        <v>196</v>
      </c>
      <c r="E3228">
        <v>4875451</v>
      </c>
      <c r="F3228" t="s">
        <v>8</v>
      </c>
      <c r="G3228" t="s">
        <v>204</v>
      </c>
      <c r="H3228" t="s">
        <v>219</v>
      </c>
      <c r="I3228" s="4">
        <v>44099.9208</v>
      </c>
      <c r="J3228" s="4">
        <v>-4409992.08</v>
      </c>
      <c r="K3228" s="4">
        <v>188461.2</v>
      </c>
      <c r="L3228" s="4">
        <v>-100</v>
      </c>
    </row>
    <row r="3229" spans="1:12">
      <c r="A3229" t="s">
        <v>105</v>
      </c>
      <c r="B3229" s="10">
        <v>45419</v>
      </c>
      <c r="C3229" s="18">
        <f t="shared" si="50"/>
        <v>5</v>
      </c>
      <c r="D3229" t="s">
        <v>131</v>
      </c>
      <c r="E3229">
        <v>4873342</v>
      </c>
      <c r="F3229" t="s">
        <v>8</v>
      </c>
      <c r="G3229" t="s">
        <v>205</v>
      </c>
      <c r="H3229" t="s">
        <v>211</v>
      </c>
      <c r="I3229" s="4">
        <v>5151.2727999999997</v>
      </c>
      <c r="J3229" s="4">
        <v>77269.09199999999</v>
      </c>
      <c r="L3229" s="4">
        <v>15</v>
      </c>
    </row>
    <row r="3230" spans="1:12">
      <c r="A3230" t="s">
        <v>105</v>
      </c>
      <c r="B3230" s="10">
        <v>45423</v>
      </c>
      <c r="C3230" s="18">
        <f t="shared" si="50"/>
        <v>5</v>
      </c>
      <c r="D3230" t="s">
        <v>122</v>
      </c>
      <c r="E3230">
        <v>4873223</v>
      </c>
      <c r="F3230" t="s">
        <v>8</v>
      </c>
      <c r="G3230" t="s">
        <v>203</v>
      </c>
      <c r="H3230" t="s">
        <v>245</v>
      </c>
      <c r="I3230" s="4">
        <v>100638.28079999999</v>
      </c>
      <c r="J3230" s="4">
        <v>402553.12319999997</v>
      </c>
      <c r="L3230" s="4">
        <v>4</v>
      </c>
    </row>
    <row r="3231" spans="1:12">
      <c r="A3231" t="s">
        <v>105</v>
      </c>
      <c r="B3231" s="10">
        <v>45423</v>
      </c>
      <c r="C3231" s="18">
        <f t="shared" si="50"/>
        <v>5</v>
      </c>
      <c r="D3231" t="s">
        <v>122</v>
      </c>
      <c r="E3231">
        <v>4873223</v>
      </c>
      <c r="F3231" t="s">
        <v>8</v>
      </c>
      <c r="G3231" t="s">
        <v>203</v>
      </c>
      <c r="H3231" t="s">
        <v>242</v>
      </c>
      <c r="I3231" s="4">
        <v>100638.28079999999</v>
      </c>
      <c r="J3231" s="4">
        <v>402553.12319999997</v>
      </c>
      <c r="L3231" s="4">
        <v>4</v>
      </c>
    </row>
    <row r="3232" spans="1:12">
      <c r="A3232" t="s">
        <v>105</v>
      </c>
      <c r="B3232" s="10">
        <v>45423</v>
      </c>
      <c r="C3232" s="18">
        <f t="shared" si="50"/>
        <v>5</v>
      </c>
      <c r="D3232" t="s">
        <v>122</v>
      </c>
      <c r="E3232">
        <v>4873223</v>
      </c>
      <c r="F3232" t="s">
        <v>8</v>
      </c>
      <c r="G3232" t="s">
        <v>203</v>
      </c>
      <c r="H3232" t="s">
        <v>234</v>
      </c>
      <c r="I3232" s="4">
        <v>100638.28079999999</v>
      </c>
      <c r="J3232" s="4">
        <v>402553.12319999997</v>
      </c>
      <c r="L3232" s="4">
        <v>4</v>
      </c>
    </row>
    <row r="3233" spans="1:12">
      <c r="A3233" t="s">
        <v>105</v>
      </c>
      <c r="B3233" s="10">
        <v>45423</v>
      </c>
      <c r="C3233" s="18">
        <f t="shared" si="50"/>
        <v>5</v>
      </c>
      <c r="D3233" t="s">
        <v>122</v>
      </c>
      <c r="E3233">
        <v>4873223</v>
      </c>
      <c r="F3233" t="s">
        <v>8</v>
      </c>
      <c r="G3233" t="s">
        <v>203</v>
      </c>
      <c r="H3233" t="s">
        <v>232</v>
      </c>
      <c r="I3233" s="4">
        <v>100638.28079999999</v>
      </c>
      <c r="J3233" s="4">
        <v>402553.12319999997</v>
      </c>
      <c r="L3233" s="4">
        <v>4</v>
      </c>
    </row>
    <row r="3234" spans="1:12">
      <c r="A3234" t="s">
        <v>105</v>
      </c>
      <c r="B3234" s="10">
        <v>45433</v>
      </c>
      <c r="C3234" s="18">
        <f t="shared" si="50"/>
        <v>5</v>
      </c>
      <c r="D3234" t="s">
        <v>129</v>
      </c>
      <c r="E3234">
        <v>4873602</v>
      </c>
      <c r="F3234" t="s">
        <v>8</v>
      </c>
      <c r="G3234" t="s">
        <v>203</v>
      </c>
      <c r="H3234" t="s">
        <v>239</v>
      </c>
      <c r="I3234" s="4">
        <v>125766.4408</v>
      </c>
      <c r="J3234" s="4">
        <v>1257664.4080000001</v>
      </c>
      <c r="K3234" s="4">
        <v>-50306.576319999993</v>
      </c>
      <c r="L3234" s="4">
        <v>10</v>
      </c>
    </row>
    <row r="3235" spans="1:12">
      <c r="A3235" t="s">
        <v>105</v>
      </c>
      <c r="B3235" s="10">
        <v>45433</v>
      </c>
      <c r="C3235" s="18">
        <f t="shared" si="50"/>
        <v>5</v>
      </c>
      <c r="D3235" t="s">
        <v>129</v>
      </c>
      <c r="E3235">
        <v>4873602</v>
      </c>
      <c r="F3235" t="s">
        <v>8</v>
      </c>
      <c r="G3235" t="s">
        <v>203</v>
      </c>
      <c r="H3235" t="s">
        <v>233</v>
      </c>
      <c r="I3235" s="4">
        <v>120735.78316800001</v>
      </c>
      <c r="J3235" s="4">
        <v>1207357.8316800001</v>
      </c>
      <c r="K3235" s="4">
        <v>-50306.576319999993</v>
      </c>
      <c r="L3235" s="4">
        <v>10</v>
      </c>
    </row>
    <row r="3236" spans="1:12">
      <c r="A3236" t="s">
        <v>105</v>
      </c>
      <c r="B3236" s="10">
        <v>45433</v>
      </c>
      <c r="C3236" s="18">
        <f t="shared" si="50"/>
        <v>5</v>
      </c>
      <c r="D3236" t="s">
        <v>129</v>
      </c>
      <c r="E3236">
        <v>4873602</v>
      </c>
      <c r="F3236" t="s">
        <v>8</v>
      </c>
      <c r="G3236" t="s">
        <v>202</v>
      </c>
      <c r="H3236" t="s">
        <v>255</v>
      </c>
      <c r="I3236" s="4">
        <v>72489.71596799999</v>
      </c>
      <c r="J3236" s="4">
        <v>144979.43193599998</v>
      </c>
      <c r="K3236" s="4">
        <v>-6040.8096640000003</v>
      </c>
      <c r="L3236" s="4">
        <v>2</v>
      </c>
    </row>
    <row r="3237" spans="1:12">
      <c r="A3237" t="s">
        <v>105</v>
      </c>
      <c r="B3237" s="10">
        <v>45436</v>
      </c>
      <c r="C3237" s="18">
        <f t="shared" si="50"/>
        <v>5</v>
      </c>
      <c r="D3237" t="s">
        <v>129</v>
      </c>
      <c r="E3237">
        <v>4873979</v>
      </c>
      <c r="F3237" t="s">
        <v>8</v>
      </c>
      <c r="G3237" t="s">
        <v>203</v>
      </c>
      <c r="H3237" t="s">
        <v>243</v>
      </c>
      <c r="I3237" s="4">
        <v>100638.28079999999</v>
      </c>
      <c r="J3237" s="4">
        <v>201276.56159999999</v>
      </c>
      <c r="L3237" s="4">
        <v>2</v>
      </c>
    </row>
    <row r="3238" spans="1:12">
      <c r="A3238" t="s">
        <v>105</v>
      </c>
      <c r="B3238" s="10">
        <v>45436</v>
      </c>
      <c r="C3238" s="18">
        <f t="shared" si="50"/>
        <v>5</v>
      </c>
      <c r="D3238" t="s">
        <v>129</v>
      </c>
      <c r="E3238">
        <v>4873979</v>
      </c>
      <c r="F3238" t="s">
        <v>8</v>
      </c>
      <c r="G3238" t="s">
        <v>203</v>
      </c>
      <c r="H3238" t="s">
        <v>240</v>
      </c>
      <c r="I3238" s="4">
        <v>100638.28079999999</v>
      </c>
      <c r="J3238" s="4">
        <v>201276.56159999999</v>
      </c>
      <c r="L3238" s="4">
        <v>2</v>
      </c>
    </row>
    <row r="3239" spans="1:12">
      <c r="A3239" t="s">
        <v>105</v>
      </c>
      <c r="B3239" s="10">
        <v>45436</v>
      </c>
      <c r="C3239" s="18">
        <f t="shared" si="50"/>
        <v>5</v>
      </c>
      <c r="D3239" t="s">
        <v>129</v>
      </c>
      <c r="E3239">
        <v>4873979</v>
      </c>
      <c r="F3239" t="s">
        <v>8</v>
      </c>
      <c r="G3239" t="s">
        <v>203</v>
      </c>
      <c r="H3239" t="s">
        <v>234</v>
      </c>
      <c r="I3239" s="4">
        <v>100638.28079999999</v>
      </c>
      <c r="J3239" s="4">
        <v>201276.56159999999</v>
      </c>
      <c r="L3239" s="4">
        <v>2</v>
      </c>
    </row>
    <row r="3240" spans="1:12">
      <c r="A3240" t="s">
        <v>105</v>
      </c>
      <c r="B3240" s="10">
        <v>45436</v>
      </c>
      <c r="C3240" s="18">
        <f t="shared" si="50"/>
        <v>5</v>
      </c>
      <c r="D3240" t="s">
        <v>129</v>
      </c>
      <c r="E3240">
        <v>4873979</v>
      </c>
      <c r="F3240" t="s">
        <v>8</v>
      </c>
      <c r="G3240" t="s">
        <v>203</v>
      </c>
      <c r="H3240" t="s">
        <v>232</v>
      </c>
      <c r="I3240" s="4">
        <v>100638.28079999999</v>
      </c>
      <c r="J3240" s="4">
        <v>201276.56159999999</v>
      </c>
      <c r="L3240" s="4">
        <v>2</v>
      </c>
    </row>
    <row r="3241" spans="1:12">
      <c r="A3241" t="s">
        <v>105</v>
      </c>
      <c r="B3241" s="10">
        <v>45436</v>
      </c>
      <c r="C3241" s="18">
        <f t="shared" si="50"/>
        <v>5</v>
      </c>
      <c r="D3241" t="s">
        <v>129</v>
      </c>
      <c r="E3241">
        <v>4873979</v>
      </c>
      <c r="F3241" t="s">
        <v>8</v>
      </c>
      <c r="G3241" t="s">
        <v>203</v>
      </c>
      <c r="H3241" t="s">
        <v>230</v>
      </c>
      <c r="I3241" s="4">
        <v>100638.28079999999</v>
      </c>
      <c r="J3241" s="4">
        <v>201276.56159999999</v>
      </c>
      <c r="L3241" s="4">
        <v>2</v>
      </c>
    </row>
    <row r="3242" spans="1:12">
      <c r="A3242" t="s">
        <v>105</v>
      </c>
      <c r="B3242" s="10">
        <v>45442</v>
      </c>
      <c r="C3242" s="18">
        <f t="shared" si="50"/>
        <v>5</v>
      </c>
      <c r="D3242" t="s">
        <v>186</v>
      </c>
      <c r="E3242">
        <v>6080604</v>
      </c>
      <c r="F3242" t="s">
        <v>8</v>
      </c>
      <c r="G3242" t="s">
        <v>204</v>
      </c>
      <c r="H3242" t="s">
        <v>216</v>
      </c>
      <c r="I3242" s="4">
        <v>113202.36079999999</v>
      </c>
      <c r="J3242" s="4">
        <v>113202.36079999999</v>
      </c>
      <c r="L3242" s="4">
        <v>1</v>
      </c>
    </row>
    <row r="3243" spans="1:12">
      <c r="A3243" t="s">
        <v>105</v>
      </c>
      <c r="B3243" s="10">
        <v>45442</v>
      </c>
      <c r="C3243" s="18">
        <f t="shared" si="50"/>
        <v>5</v>
      </c>
      <c r="D3243" t="s">
        <v>186</v>
      </c>
      <c r="E3243">
        <v>6080604</v>
      </c>
      <c r="F3243" t="s">
        <v>8</v>
      </c>
      <c r="G3243" t="s">
        <v>204</v>
      </c>
      <c r="H3243" t="s">
        <v>215</v>
      </c>
      <c r="I3243" s="4">
        <v>75510.12079999999</v>
      </c>
      <c r="J3243" s="4">
        <v>75510.12079999999</v>
      </c>
      <c r="L3243" s="4">
        <v>1</v>
      </c>
    </row>
    <row r="3244" spans="1:12">
      <c r="A3244" t="s">
        <v>105</v>
      </c>
      <c r="B3244" s="10">
        <v>45442</v>
      </c>
      <c r="C3244" s="18">
        <f t="shared" si="50"/>
        <v>5</v>
      </c>
      <c r="D3244" t="s">
        <v>186</v>
      </c>
      <c r="E3244">
        <v>6080604</v>
      </c>
      <c r="F3244" t="s">
        <v>8</v>
      </c>
      <c r="G3244" t="s">
        <v>204</v>
      </c>
      <c r="H3244" t="s">
        <v>214</v>
      </c>
      <c r="I3244" s="4">
        <v>119484.4008</v>
      </c>
      <c r="J3244" s="4">
        <v>119484.4008</v>
      </c>
      <c r="L3244" s="4">
        <v>1</v>
      </c>
    </row>
    <row r="3245" spans="1:12">
      <c r="A3245" t="s">
        <v>105</v>
      </c>
      <c r="B3245" s="10">
        <v>45442</v>
      </c>
      <c r="C3245" s="18">
        <f t="shared" si="50"/>
        <v>5</v>
      </c>
      <c r="D3245" t="s">
        <v>186</v>
      </c>
      <c r="E3245">
        <v>6080604</v>
      </c>
      <c r="F3245" t="s">
        <v>8</v>
      </c>
      <c r="G3245" t="s">
        <v>204</v>
      </c>
      <c r="H3245" t="s">
        <v>220</v>
      </c>
      <c r="I3245" s="4">
        <v>37817.880799999999</v>
      </c>
      <c r="J3245" s="4">
        <v>151271.5232</v>
      </c>
      <c r="L3245" s="4">
        <v>4</v>
      </c>
    </row>
    <row r="3246" spans="1:12">
      <c r="A3246" t="s">
        <v>105</v>
      </c>
      <c r="B3246" s="10">
        <v>45442</v>
      </c>
      <c r="C3246" s="18">
        <f t="shared" si="50"/>
        <v>5</v>
      </c>
      <c r="D3246" t="s">
        <v>186</v>
      </c>
      <c r="E3246">
        <v>6080604</v>
      </c>
      <c r="F3246" t="s">
        <v>8</v>
      </c>
      <c r="G3246" t="s">
        <v>204</v>
      </c>
      <c r="H3246" t="s">
        <v>212</v>
      </c>
      <c r="I3246" s="4">
        <v>62946.040799999995</v>
      </c>
      <c r="J3246" s="4">
        <v>251784.16319999998</v>
      </c>
      <c r="L3246" s="4">
        <v>4</v>
      </c>
    </row>
    <row r="3247" spans="1:12">
      <c r="A3247" t="s">
        <v>105</v>
      </c>
      <c r="B3247" s="10">
        <v>45415</v>
      </c>
      <c r="C3247" s="18">
        <f t="shared" si="50"/>
        <v>5</v>
      </c>
      <c r="D3247" t="s">
        <v>109</v>
      </c>
      <c r="E3247">
        <v>4877638</v>
      </c>
      <c r="F3247" t="s">
        <v>8</v>
      </c>
      <c r="G3247" t="s">
        <v>206</v>
      </c>
      <c r="H3247" t="s">
        <v>248</v>
      </c>
      <c r="I3247" s="4">
        <v>16207.663200000001</v>
      </c>
      <c r="J3247" s="4">
        <v>486229.89600000001</v>
      </c>
      <c r="L3247" s="4">
        <v>30</v>
      </c>
    </row>
    <row r="3248" spans="1:12">
      <c r="A3248" t="s">
        <v>105</v>
      </c>
      <c r="B3248" s="10">
        <v>45415</v>
      </c>
      <c r="C3248" s="18">
        <f t="shared" si="50"/>
        <v>5</v>
      </c>
      <c r="D3248" t="s">
        <v>109</v>
      </c>
      <c r="E3248">
        <v>4877638</v>
      </c>
      <c r="F3248" t="s">
        <v>8</v>
      </c>
      <c r="G3248" t="s">
        <v>206</v>
      </c>
      <c r="H3248" t="s">
        <v>209</v>
      </c>
      <c r="I3248" s="4">
        <v>17715.352800000001</v>
      </c>
      <c r="J3248" s="4">
        <v>531460.58400000003</v>
      </c>
      <c r="L3248" s="4">
        <v>30</v>
      </c>
    </row>
    <row r="3249" spans="1:12">
      <c r="A3249" t="s">
        <v>105</v>
      </c>
      <c r="B3249" s="10">
        <v>45416</v>
      </c>
      <c r="C3249" s="18">
        <f t="shared" si="50"/>
        <v>5</v>
      </c>
      <c r="D3249" t="s">
        <v>111</v>
      </c>
      <c r="E3249">
        <v>4878254</v>
      </c>
      <c r="F3249" t="s">
        <v>8</v>
      </c>
      <c r="G3249" t="s">
        <v>203</v>
      </c>
      <c r="H3249" t="s">
        <v>239</v>
      </c>
      <c r="I3249" s="4">
        <v>125766.4408</v>
      </c>
      <c r="J3249" s="4">
        <v>377299.3224</v>
      </c>
      <c r="L3249" s="4">
        <v>3</v>
      </c>
    </row>
    <row r="3250" spans="1:12">
      <c r="A3250" t="s">
        <v>105</v>
      </c>
      <c r="B3250" s="10">
        <v>45418</v>
      </c>
      <c r="C3250" s="18">
        <f t="shared" si="50"/>
        <v>5</v>
      </c>
      <c r="D3250" t="s">
        <v>112</v>
      </c>
      <c r="E3250">
        <v>4877565</v>
      </c>
      <c r="F3250" t="s">
        <v>8</v>
      </c>
      <c r="G3250" t="s">
        <v>203</v>
      </c>
      <c r="H3250" t="s">
        <v>225</v>
      </c>
      <c r="I3250" s="4">
        <v>100638.28079999999</v>
      </c>
      <c r="J3250" s="4">
        <v>201276.56159999999</v>
      </c>
      <c r="L3250" s="4">
        <v>2</v>
      </c>
    </row>
    <row r="3251" spans="1:12">
      <c r="A3251" t="s">
        <v>105</v>
      </c>
      <c r="B3251" s="10">
        <v>45419</v>
      </c>
      <c r="C3251" s="18">
        <f t="shared" si="50"/>
        <v>5</v>
      </c>
      <c r="D3251" t="s">
        <v>125</v>
      </c>
      <c r="E3251">
        <v>4879105</v>
      </c>
      <c r="F3251" t="s">
        <v>8</v>
      </c>
      <c r="G3251" t="s">
        <v>203</v>
      </c>
      <c r="H3251" t="s">
        <v>237</v>
      </c>
      <c r="I3251" s="4">
        <v>125766.4408</v>
      </c>
      <c r="J3251" s="4">
        <v>503065.76319999999</v>
      </c>
      <c r="L3251" s="4">
        <v>4</v>
      </c>
    </row>
    <row r="3252" spans="1:12">
      <c r="A3252" t="s">
        <v>105</v>
      </c>
      <c r="B3252" s="10">
        <v>45419</v>
      </c>
      <c r="C3252" s="18">
        <f t="shared" si="50"/>
        <v>5</v>
      </c>
      <c r="D3252" t="s">
        <v>125</v>
      </c>
      <c r="E3252">
        <v>4879105</v>
      </c>
      <c r="F3252" t="s">
        <v>8</v>
      </c>
      <c r="G3252" t="s">
        <v>203</v>
      </c>
      <c r="H3252" t="s">
        <v>235</v>
      </c>
      <c r="I3252" s="4">
        <v>125766.4408</v>
      </c>
      <c r="J3252" s="4">
        <v>503065.76319999999</v>
      </c>
      <c r="L3252" s="4">
        <v>4</v>
      </c>
    </row>
    <row r="3253" spans="1:12">
      <c r="A3253" t="s">
        <v>105</v>
      </c>
      <c r="B3253" s="10">
        <v>45421</v>
      </c>
      <c r="C3253" s="18">
        <f t="shared" si="50"/>
        <v>5</v>
      </c>
      <c r="D3253" t="s">
        <v>118</v>
      </c>
      <c r="E3253">
        <v>4877631</v>
      </c>
      <c r="F3253" t="s">
        <v>8</v>
      </c>
      <c r="G3253" t="s">
        <v>203</v>
      </c>
      <c r="H3253" t="s">
        <v>244</v>
      </c>
      <c r="I3253" s="4">
        <v>125766.4408</v>
      </c>
      <c r="J3253" s="4">
        <v>125766.4408</v>
      </c>
      <c r="L3253" s="4">
        <v>1</v>
      </c>
    </row>
    <row r="3254" spans="1:12">
      <c r="A3254" t="s">
        <v>105</v>
      </c>
      <c r="B3254" s="10">
        <v>45421</v>
      </c>
      <c r="C3254" s="18">
        <f t="shared" si="50"/>
        <v>5</v>
      </c>
      <c r="D3254" t="s">
        <v>118</v>
      </c>
      <c r="E3254">
        <v>4877631</v>
      </c>
      <c r="F3254" t="s">
        <v>8</v>
      </c>
      <c r="G3254" t="s">
        <v>203</v>
      </c>
      <c r="H3254" t="s">
        <v>235</v>
      </c>
      <c r="I3254" s="4">
        <v>125766.4408</v>
      </c>
      <c r="J3254" s="4">
        <v>125766.4408</v>
      </c>
      <c r="L3254" s="4">
        <v>1</v>
      </c>
    </row>
    <row r="3255" spans="1:12">
      <c r="A3255" t="s">
        <v>105</v>
      </c>
      <c r="B3255" s="10">
        <v>45421</v>
      </c>
      <c r="C3255" s="18">
        <f t="shared" si="50"/>
        <v>5</v>
      </c>
      <c r="D3255" t="s">
        <v>118</v>
      </c>
      <c r="E3255">
        <v>4877631</v>
      </c>
      <c r="F3255" t="s">
        <v>8</v>
      </c>
      <c r="G3255" t="s">
        <v>203</v>
      </c>
      <c r="H3255" t="s">
        <v>233</v>
      </c>
      <c r="I3255" s="4">
        <v>120735.78316800001</v>
      </c>
      <c r="J3255" s="4">
        <v>120735.78316800001</v>
      </c>
      <c r="L3255" s="4">
        <v>1</v>
      </c>
    </row>
    <row r="3256" spans="1:12">
      <c r="A3256" t="s">
        <v>105</v>
      </c>
      <c r="B3256" s="10">
        <v>45421</v>
      </c>
      <c r="C3256" s="18">
        <f t="shared" si="50"/>
        <v>5</v>
      </c>
      <c r="D3256" t="s">
        <v>118</v>
      </c>
      <c r="E3256">
        <v>4877631</v>
      </c>
      <c r="F3256" t="s">
        <v>8</v>
      </c>
      <c r="G3256" t="s">
        <v>203</v>
      </c>
      <c r="H3256" t="s">
        <v>231</v>
      </c>
      <c r="I3256" s="4">
        <v>125766.4408</v>
      </c>
      <c r="J3256" s="4">
        <v>125766.4408</v>
      </c>
      <c r="L3256" s="4">
        <v>1</v>
      </c>
    </row>
    <row r="3257" spans="1:12">
      <c r="A3257" t="s">
        <v>105</v>
      </c>
      <c r="B3257" s="10">
        <v>45422</v>
      </c>
      <c r="C3257" s="18">
        <f t="shared" si="50"/>
        <v>5</v>
      </c>
      <c r="D3257" t="s">
        <v>110</v>
      </c>
      <c r="E3257">
        <v>4878173</v>
      </c>
      <c r="F3257" t="s">
        <v>8</v>
      </c>
      <c r="G3257" t="s">
        <v>203</v>
      </c>
      <c r="H3257" t="s">
        <v>234</v>
      </c>
      <c r="I3257" s="4">
        <v>100638.28079999999</v>
      </c>
      <c r="J3257" s="4">
        <v>201276.56159999999</v>
      </c>
      <c r="L3257" s="4">
        <v>2</v>
      </c>
    </row>
    <row r="3258" spans="1:12">
      <c r="A3258" t="s">
        <v>105</v>
      </c>
      <c r="B3258" s="10">
        <v>45422</v>
      </c>
      <c r="C3258" s="18">
        <f t="shared" si="50"/>
        <v>5</v>
      </c>
      <c r="D3258" t="s">
        <v>110</v>
      </c>
      <c r="E3258">
        <v>4878173</v>
      </c>
      <c r="F3258" t="s">
        <v>8</v>
      </c>
      <c r="G3258" t="s">
        <v>203</v>
      </c>
      <c r="H3258" t="s">
        <v>228</v>
      </c>
      <c r="I3258" s="4">
        <v>100638.28079999999</v>
      </c>
      <c r="J3258" s="4">
        <v>201276.56159999999</v>
      </c>
      <c r="L3258" s="4">
        <v>2</v>
      </c>
    </row>
    <row r="3259" spans="1:12">
      <c r="A3259" t="s">
        <v>105</v>
      </c>
      <c r="B3259" s="10">
        <v>45426</v>
      </c>
      <c r="C3259" s="18">
        <f t="shared" si="50"/>
        <v>5</v>
      </c>
      <c r="D3259" t="s">
        <v>114</v>
      </c>
      <c r="E3259">
        <v>4878056</v>
      </c>
      <c r="F3259" t="s">
        <v>8</v>
      </c>
      <c r="G3259" t="s">
        <v>203</v>
      </c>
      <c r="H3259" t="s">
        <v>234</v>
      </c>
      <c r="I3259" s="4">
        <v>100638.28079999999</v>
      </c>
      <c r="J3259" s="4">
        <v>402553.12319999997</v>
      </c>
      <c r="L3259" s="4">
        <v>4</v>
      </c>
    </row>
    <row r="3260" spans="1:12">
      <c r="A3260" t="s">
        <v>105</v>
      </c>
      <c r="B3260" s="10">
        <v>45426</v>
      </c>
      <c r="C3260" s="18">
        <f t="shared" si="50"/>
        <v>5</v>
      </c>
      <c r="D3260" t="s">
        <v>114</v>
      </c>
      <c r="E3260">
        <v>4878056</v>
      </c>
      <c r="F3260" t="s">
        <v>8</v>
      </c>
      <c r="G3260" t="s">
        <v>203</v>
      </c>
      <c r="H3260" t="s">
        <v>244</v>
      </c>
      <c r="I3260" s="4">
        <v>125766.4408</v>
      </c>
      <c r="J3260" s="4">
        <v>251532.88159999999</v>
      </c>
      <c r="L3260" s="4">
        <v>2</v>
      </c>
    </row>
    <row r="3261" spans="1:12">
      <c r="A3261" t="s">
        <v>105</v>
      </c>
      <c r="B3261" s="10">
        <v>45426</v>
      </c>
      <c r="C3261" s="18">
        <f t="shared" si="50"/>
        <v>5</v>
      </c>
      <c r="D3261" t="s">
        <v>114</v>
      </c>
      <c r="E3261">
        <v>4878056</v>
      </c>
      <c r="F3261" t="s">
        <v>8</v>
      </c>
      <c r="G3261" t="s">
        <v>203</v>
      </c>
      <c r="H3261" t="s">
        <v>235</v>
      </c>
      <c r="I3261" s="4">
        <v>125766.4408</v>
      </c>
      <c r="J3261" s="4">
        <v>251532.88159999999</v>
      </c>
      <c r="L3261" s="4">
        <v>2</v>
      </c>
    </row>
    <row r="3262" spans="1:12">
      <c r="A3262" t="s">
        <v>105</v>
      </c>
      <c r="B3262" s="10">
        <v>45426</v>
      </c>
      <c r="C3262" s="18">
        <f t="shared" si="50"/>
        <v>5</v>
      </c>
      <c r="D3262" t="s">
        <v>114</v>
      </c>
      <c r="E3262">
        <v>4878056</v>
      </c>
      <c r="F3262" t="s">
        <v>8</v>
      </c>
      <c r="G3262" t="s">
        <v>203</v>
      </c>
      <c r="H3262" t="s">
        <v>233</v>
      </c>
      <c r="I3262" s="4">
        <v>120735.78316800001</v>
      </c>
      <c r="J3262" s="4">
        <v>241471.56633600002</v>
      </c>
      <c r="L3262" s="4">
        <v>2</v>
      </c>
    </row>
    <row r="3263" spans="1:12">
      <c r="A3263" t="s">
        <v>105</v>
      </c>
      <c r="B3263" s="10">
        <v>45426</v>
      </c>
      <c r="C3263" s="18">
        <f t="shared" si="50"/>
        <v>5</v>
      </c>
      <c r="D3263" t="s">
        <v>114</v>
      </c>
      <c r="E3263">
        <v>4878056</v>
      </c>
      <c r="F3263" t="s">
        <v>8</v>
      </c>
      <c r="G3263" t="s">
        <v>203</v>
      </c>
      <c r="H3263" t="s">
        <v>229</v>
      </c>
      <c r="I3263" s="4">
        <v>125766.4408</v>
      </c>
      <c r="J3263" s="4">
        <v>251532.88159999999</v>
      </c>
      <c r="L3263" s="4">
        <v>2</v>
      </c>
    </row>
    <row r="3264" spans="1:12">
      <c r="A3264" t="s">
        <v>105</v>
      </c>
      <c r="B3264" s="10">
        <v>45427</v>
      </c>
      <c r="C3264" s="18">
        <f t="shared" si="50"/>
        <v>5</v>
      </c>
      <c r="D3264" t="s">
        <v>116</v>
      </c>
      <c r="E3264">
        <v>4878458</v>
      </c>
      <c r="F3264" t="s">
        <v>8</v>
      </c>
      <c r="G3264" t="s">
        <v>203</v>
      </c>
      <c r="H3264" t="s">
        <v>229</v>
      </c>
      <c r="I3264" s="4">
        <v>125766.4408</v>
      </c>
      <c r="J3264" s="4">
        <v>251532.88159999999</v>
      </c>
      <c r="L3264" s="4">
        <v>2</v>
      </c>
    </row>
    <row r="3265" spans="1:12">
      <c r="A3265" t="s">
        <v>105</v>
      </c>
      <c r="B3265" s="10">
        <v>45428</v>
      </c>
      <c r="C3265" s="18">
        <f t="shared" si="50"/>
        <v>5</v>
      </c>
      <c r="D3265" t="s">
        <v>118</v>
      </c>
      <c r="E3265">
        <v>4878834</v>
      </c>
      <c r="F3265" t="s">
        <v>8</v>
      </c>
      <c r="G3265" t="s">
        <v>203</v>
      </c>
      <c r="H3265" t="s">
        <v>241</v>
      </c>
      <c r="I3265" s="4">
        <v>125766.4408</v>
      </c>
      <c r="J3265" s="4">
        <v>125766.4408</v>
      </c>
      <c r="L3265" s="4">
        <v>1</v>
      </c>
    </row>
    <row r="3266" spans="1:12">
      <c r="A3266" t="s">
        <v>105</v>
      </c>
      <c r="B3266" s="10">
        <v>45428</v>
      </c>
      <c r="C3266" s="18">
        <f t="shared" ref="C3266:C3329" si="51">MONTH(B3266)</f>
        <v>5</v>
      </c>
      <c r="D3266" t="s">
        <v>118</v>
      </c>
      <c r="E3266">
        <v>4878834</v>
      </c>
      <c r="F3266" t="s">
        <v>8</v>
      </c>
      <c r="G3266" t="s">
        <v>203</v>
      </c>
      <c r="H3266" t="s">
        <v>231</v>
      </c>
      <c r="I3266" s="4">
        <v>125766.4408</v>
      </c>
      <c r="J3266" s="4">
        <v>125766.4408</v>
      </c>
      <c r="L3266" s="4">
        <v>1</v>
      </c>
    </row>
    <row r="3267" spans="1:12">
      <c r="A3267" t="s">
        <v>105</v>
      </c>
      <c r="B3267" s="10">
        <v>45430</v>
      </c>
      <c r="C3267" s="18">
        <f t="shared" si="51"/>
        <v>5</v>
      </c>
      <c r="D3267" t="s">
        <v>121</v>
      </c>
      <c r="E3267">
        <v>4877545</v>
      </c>
      <c r="F3267" t="s">
        <v>8</v>
      </c>
      <c r="G3267" t="s">
        <v>202</v>
      </c>
      <c r="H3267" t="s">
        <v>260</v>
      </c>
      <c r="I3267" s="4">
        <v>41587.104800000001</v>
      </c>
      <c r="J3267" s="4">
        <v>291109.73360000004</v>
      </c>
      <c r="L3267" s="4">
        <v>7</v>
      </c>
    </row>
    <row r="3268" spans="1:12">
      <c r="A3268" t="s">
        <v>105</v>
      </c>
      <c r="B3268" s="10">
        <v>45432</v>
      </c>
      <c r="C3268" s="18">
        <f t="shared" si="51"/>
        <v>5</v>
      </c>
      <c r="D3268" t="s">
        <v>110</v>
      </c>
      <c r="E3268">
        <v>4878163</v>
      </c>
      <c r="F3268" t="s">
        <v>8</v>
      </c>
      <c r="G3268" t="s">
        <v>203</v>
      </c>
      <c r="H3268" t="s">
        <v>241</v>
      </c>
      <c r="I3268" s="4">
        <v>125766.4408</v>
      </c>
      <c r="J3268" s="4">
        <v>251532.88159999999</v>
      </c>
      <c r="L3268" s="4">
        <v>2</v>
      </c>
    </row>
    <row r="3269" spans="1:12">
      <c r="A3269" t="s">
        <v>105</v>
      </c>
      <c r="B3269" s="10">
        <v>45433</v>
      </c>
      <c r="C3269" s="18">
        <f t="shared" si="51"/>
        <v>5</v>
      </c>
      <c r="D3269" t="s">
        <v>114</v>
      </c>
      <c r="E3269">
        <v>4878058</v>
      </c>
      <c r="F3269" t="s">
        <v>8</v>
      </c>
      <c r="G3269" t="s">
        <v>203</v>
      </c>
      <c r="H3269" t="s">
        <v>241</v>
      </c>
      <c r="I3269" s="4">
        <v>125766.4408</v>
      </c>
      <c r="J3269" s="4">
        <v>251532.88159999999</v>
      </c>
      <c r="L3269" s="4">
        <v>2</v>
      </c>
    </row>
    <row r="3270" spans="1:12">
      <c r="A3270" t="s">
        <v>105</v>
      </c>
      <c r="B3270" s="10">
        <v>45433</v>
      </c>
      <c r="C3270" s="18">
        <f t="shared" si="51"/>
        <v>5</v>
      </c>
      <c r="D3270" t="s">
        <v>114</v>
      </c>
      <c r="E3270">
        <v>4878058</v>
      </c>
      <c r="F3270" t="s">
        <v>8</v>
      </c>
      <c r="G3270" t="s">
        <v>203</v>
      </c>
      <c r="H3270" t="s">
        <v>233</v>
      </c>
      <c r="I3270" s="4">
        <v>120735.78316800001</v>
      </c>
      <c r="J3270" s="4">
        <v>241471.56633600002</v>
      </c>
      <c r="L3270" s="4">
        <v>2</v>
      </c>
    </row>
    <row r="3271" spans="1:12">
      <c r="A3271" t="s">
        <v>105</v>
      </c>
      <c r="B3271" s="10">
        <v>45435</v>
      </c>
      <c r="C3271" s="18">
        <f t="shared" si="51"/>
        <v>5</v>
      </c>
      <c r="D3271" t="s">
        <v>110</v>
      </c>
      <c r="E3271">
        <v>4878173</v>
      </c>
      <c r="F3271" t="s">
        <v>8</v>
      </c>
      <c r="G3271" t="s">
        <v>203</v>
      </c>
      <c r="H3271" t="s">
        <v>234</v>
      </c>
      <c r="I3271" s="4">
        <v>100638.28079999999</v>
      </c>
      <c r="J3271" s="4">
        <v>201276.56159999999</v>
      </c>
      <c r="L3271" s="4">
        <v>2</v>
      </c>
    </row>
    <row r="3272" spans="1:12">
      <c r="A3272" t="s">
        <v>105</v>
      </c>
      <c r="B3272" s="10">
        <v>45435</v>
      </c>
      <c r="C3272" s="18">
        <f t="shared" si="51"/>
        <v>5</v>
      </c>
      <c r="D3272" t="s">
        <v>110</v>
      </c>
      <c r="E3272">
        <v>4878173</v>
      </c>
      <c r="F3272" t="s">
        <v>8</v>
      </c>
      <c r="G3272" t="s">
        <v>203</v>
      </c>
      <c r="H3272" t="s">
        <v>226</v>
      </c>
      <c r="I3272" s="4">
        <v>100638.28079999999</v>
      </c>
      <c r="J3272" s="4">
        <v>201276.56159999999</v>
      </c>
      <c r="L3272" s="4">
        <v>2</v>
      </c>
    </row>
    <row r="3273" spans="1:12">
      <c r="A3273" t="s">
        <v>105</v>
      </c>
      <c r="B3273" s="10">
        <v>45441</v>
      </c>
      <c r="C3273" s="18">
        <f t="shared" si="51"/>
        <v>5</v>
      </c>
      <c r="D3273" t="s">
        <v>111</v>
      </c>
      <c r="E3273">
        <v>4878259</v>
      </c>
      <c r="F3273" t="s">
        <v>8</v>
      </c>
      <c r="G3273" t="s">
        <v>203</v>
      </c>
      <c r="H3273" t="s">
        <v>243</v>
      </c>
      <c r="I3273" s="4">
        <v>100638.28079999999</v>
      </c>
      <c r="J3273" s="4">
        <v>201276.56159999999</v>
      </c>
      <c r="L3273" s="4">
        <v>2</v>
      </c>
    </row>
    <row r="3274" spans="1:12">
      <c r="A3274" t="s">
        <v>105</v>
      </c>
      <c r="B3274" s="10">
        <v>45441</v>
      </c>
      <c r="C3274" s="18">
        <f t="shared" si="51"/>
        <v>5</v>
      </c>
      <c r="D3274" t="s">
        <v>111</v>
      </c>
      <c r="E3274">
        <v>4878259</v>
      </c>
      <c r="F3274" t="s">
        <v>8</v>
      </c>
      <c r="G3274" t="s">
        <v>203</v>
      </c>
      <c r="H3274" t="s">
        <v>242</v>
      </c>
      <c r="I3274" s="4">
        <v>100638.28079999999</v>
      </c>
      <c r="J3274" s="4">
        <v>201276.56159999999</v>
      </c>
      <c r="L3274" s="4">
        <v>2</v>
      </c>
    </row>
    <row r="3275" spans="1:12">
      <c r="A3275" t="s">
        <v>105</v>
      </c>
      <c r="B3275" s="10">
        <v>45441</v>
      </c>
      <c r="C3275" s="18">
        <f t="shared" si="51"/>
        <v>5</v>
      </c>
      <c r="D3275" t="s">
        <v>111</v>
      </c>
      <c r="E3275">
        <v>4878259</v>
      </c>
      <c r="F3275" t="s">
        <v>8</v>
      </c>
      <c r="G3275" t="s">
        <v>203</v>
      </c>
      <c r="H3275" t="s">
        <v>238</v>
      </c>
      <c r="I3275" s="4">
        <v>95606.36675999999</v>
      </c>
      <c r="J3275" s="4">
        <v>191212.73351999998</v>
      </c>
      <c r="L3275" s="4">
        <v>2</v>
      </c>
    </row>
    <row r="3276" spans="1:12">
      <c r="A3276" t="s">
        <v>105</v>
      </c>
      <c r="B3276" s="10">
        <v>45441</v>
      </c>
      <c r="C3276" s="18">
        <f t="shared" si="51"/>
        <v>5</v>
      </c>
      <c r="D3276" t="s">
        <v>111</v>
      </c>
      <c r="E3276">
        <v>4878259</v>
      </c>
      <c r="F3276" t="s">
        <v>8</v>
      </c>
      <c r="G3276" t="s">
        <v>203</v>
      </c>
      <c r="H3276" t="s">
        <v>234</v>
      </c>
      <c r="I3276" s="4">
        <v>100638.28079999999</v>
      </c>
      <c r="J3276" s="4">
        <v>201276.56159999999</v>
      </c>
      <c r="L3276" s="4">
        <v>2</v>
      </c>
    </row>
    <row r="3277" spans="1:12">
      <c r="A3277" t="s">
        <v>105</v>
      </c>
      <c r="B3277" s="10">
        <v>45441</v>
      </c>
      <c r="C3277" s="18">
        <f t="shared" si="51"/>
        <v>5</v>
      </c>
      <c r="D3277" t="s">
        <v>111</v>
      </c>
      <c r="E3277">
        <v>4878259</v>
      </c>
      <c r="F3277" t="s">
        <v>8</v>
      </c>
      <c r="G3277" t="s">
        <v>203</v>
      </c>
      <c r="H3277" t="s">
        <v>232</v>
      </c>
      <c r="I3277" s="4">
        <v>100638.28079999999</v>
      </c>
      <c r="J3277" s="4">
        <v>201276.56159999999</v>
      </c>
      <c r="L3277" s="4">
        <v>2</v>
      </c>
    </row>
    <row r="3278" spans="1:12">
      <c r="A3278" t="s">
        <v>105</v>
      </c>
      <c r="B3278" s="10">
        <v>45441</v>
      </c>
      <c r="C3278" s="18">
        <f t="shared" si="51"/>
        <v>5</v>
      </c>
      <c r="D3278" t="s">
        <v>111</v>
      </c>
      <c r="E3278">
        <v>4878259</v>
      </c>
      <c r="F3278" t="s">
        <v>8</v>
      </c>
      <c r="G3278" t="s">
        <v>203</v>
      </c>
      <c r="H3278" t="s">
        <v>230</v>
      </c>
      <c r="I3278" s="4">
        <v>100638.28079999999</v>
      </c>
      <c r="J3278" s="4">
        <v>201276.56159999999</v>
      </c>
      <c r="L3278" s="4">
        <v>2</v>
      </c>
    </row>
    <row r="3279" spans="1:12">
      <c r="A3279" t="s">
        <v>105</v>
      </c>
      <c r="B3279" s="10">
        <v>45441</v>
      </c>
      <c r="C3279" s="18">
        <f t="shared" si="51"/>
        <v>5</v>
      </c>
      <c r="D3279" t="s">
        <v>111</v>
      </c>
      <c r="E3279">
        <v>4878259</v>
      </c>
      <c r="F3279" t="s">
        <v>8</v>
      </c>
      <c r="G3279" t="s">
        <v>203</v>
      </c>
      <c r="H3279" t="s">
        <v>222</v>
      </c>
      <c r="I3279" s="4">
        <v>100638.28079999999</v>
      </c>
      <c r="J3279" s="4">
        <v>201276.56159999999</v>
      </c>
      <c r="L3279" s="4">
        <v>2</v>
      </c>
    </row>
    <row r="3280" spans="1:12">
      <c r="A3280" t="s">
        <v>107</v>
      </c>
      <c r="B3280" s="10">
        <v>45417</v>
      </c>
      <c r="C3280" s="18">
        <f t="shared" si="51"/>
        <v>5</v>
      </c>
      <c r="D3280" t="s">
        <v>167</v>
      </c>
      <c r="E3280">
        <v>4875363</v>
      </c>
      <c r="F3280" t="s">
        <v>8</v>
      </c>
      <c r="G3280" t="s">
        <v>203</v>
      </c>
      <c r="H3280" t="s">
        <v>242</v>
      </c>
      <c r="I3280" s="4">
        <v>100638.28079999999</v>
      </c>
      <c r="J3280" s="4">
        <v>1006382.808</v>
      </c>
      <c r="L3280" s="4">
        <v>10</v>
      </c>
    </row>
    <row r="3281" spans="1:12">
      <c r="A3281" t="s">
        <v>107</v>
      </c>
      <c r="B3281" s="10">
        <v>45417</v>
      </c>
      <c r="C3281" s="18">
        <f t="shared" si="51"/>
        <v>5</v>
      </c>
      <c r="D3281" t="s">
        <v>167</v>
      </c>
      <c r="E3281">
        <v>4875363</v>
      </c>
      <c r="F3281" t="s">
        <v>8</v>
      </c>
      <c r="G3281" t="s">
        <v>203</v>
      </c>
      <c r="H3281" t="s">
        <v>234</v>
      </c>
      <c r="I3281" s="4">
        <v>100638.28079999999</v>
      </c>
      <c r="J3281" s="4">
        <v>1006382.808</v>
      </c>
      <c r="L3281" s="4">
        <v>10</v>
      </c>
    </row>
    <row r="3282" spans="1:12">
      <c r="A3282" t="s">
        <v>107</v>
      </c>
      <c r="B3282" s="10">
        <v>45417</v>
      </c>
      <c r="C3282" s="18">
        <f t="shared" si="51"/>
        <v>5</v>
      </c>
      <c r="D3282" t="s">
        <v>167</v>
      </c>
      <c r="E3282">
        <v>4875363</v>
      </c>
      <c r="F3282" t="s">
        <v>8</v>
      </c>
      <c r="G3282" t="s">
        <v>203</v>
      </c>
      <c r="H3282" t="s">
        <v>224</v>
      </c>
      <c r="I3282" s="4">
        <v>100638.28079999999</v>
      </c>
      <c r="J3282" s="4">
        <v>100638.28079999999</v>
      </c>
      <c r="L3282" s="4">
        <v>1</v>
      </c>
    </row>
    <row r="3283" spans="1:12">
      <c r="A3283" t="s">
        <v>107</v>
      </c>
      <c r="B3283" s="10">
        <v>45418</v>
      </c>
      <c r="C3283" s="18">
        <f t="shared" si="51"/>
        <v>5</v>
      </c>
      <c r="D3283" t="s">
        <v>140</v>
      </c>
      <c r="E3283">
        <v>4876550</v>
      </c>
      <c r="F3283" t="s">
        <v>8</v>
      </c>
      <c r="G3283" t="s">
        <v>203</v>
      </c>
      <c r="H3283" t="s">
        <v>240</v>
      </c>
      <c r="I3283" s="4">
        <v>100638.28079999999</v>
      </c>
      <c r="J3283" s="4">
        <v>201276.56159999999</v>
      </c>
      <c r="L3283" s="4">
        <v>2</v>
      </c>
    </row>
    <row r="3284" spans="1:12">
      <c r="A3284" t="s">
        <v>107</v>
      </c>
      <c r="B3284" s="10">
        <v>45418</v>
      </c>
      <c r="C3284" s="18">
        <f t="shared" si="51"/>
        <v>5</v>
      </c>
      <c r="D3284" t="s">
        <v>140</v>
      </c>
      <c r="E3284">
        <v>4876550</v>
      </c>
      <c r="F3284" t="s">
        <v>8</v>
      </c>
      <c r="G3284" t="s">
        <v>203</v>
      </c>
      <c r="H3284" t="s">
        <v>228</v>
      </c>
      <c r="I3284" s="4">
        <v>100638.28079999999</v>
      </c>
      <c r="J3284" s="4">
        <v>201276.56159999999</v>
      </c>
      <c r="L3284" s="4">
        <v>2</v>
      </c>
    </row>
    <row r="3285" spans="1:12">
      <c r="A3285" t="s">
        <v>107</v>
      </c>
      <c r="B3285" s="10">
        <v>45421</v>
      </c>
      <c r="C3285" s="18">
        <f t="shared" si="51"/>
        <v>5</v>
      </c>
      <c r="D3285" t="s">
        <v>182</v>
      </c>
      <c r="E3285">
        <v>4874538</v>
      </c>
      <c r="F3285" t="s">
        <v>8</v>
      </c>
      <c r="G3285" t="s">
        <v>203</v>
      </c>
      <c r="H3285" t="s">
        <v>236</v>
      </c>
      <c r="I3285" s="4">
        <v>100638.28079999999</v>
      </c>
      <c r="J3285" s="4">
        <v>805106.24639999995</v>
      </c>
      <c r="L3285" s="4">
        <v>8</v>
      </c>
    </row>
    <row r="3286" spans="1:12">
      <c r="A3286" t="s">
        <v>107</v>
      </c>
      <c r="B3286" s="10">
        <v>45421</v>
      </c>
      <c r="C3286" s="18">
        <f t="shared" si="51"/>
        <v>5</v>
      </c>
      <c r="D3286" t="s">
        <v>183</v>
      </c>
      <c r="E3286">
        <v>4874373</v>
      </c>
      <c r="F3286" t="s">
        <v>8</v>
      </c>
      <c r="G3286" t="s">
        <v>202</v>
      </c>
      <c r="H3286" t="s">
        <v>261</v>
      </c>
      <c r="I3286" s="4">
        <v>41587.104800000001</v>
      </c>
      <c r="J3286" s="4">
        <v>1247613.1440000001</v>
      </c>
      <c r="K3286" s="4">
        <v>-62380.657200000001</v>
      </c>
      <c r="L3286" s="4">
        <v>30</v>
      </c>
    </row>
    <row r="3287" spans="1:12">
      <c r="A3287" t="s">
        <v>107</v>
      </c>
      <c r="B3287" s="10">
        <v>45422</v>
      </c>
      <c r="C3287" s="18">
        <f t="shared" si="51"/>
        <v>5</v>
      </c>
      <c r="D3287" t="s">
        <v>162</v>
      </c>
      <c r="E3287">
        <v>4878776</v>
      </c>
      <c r="F3287" t="s">
        <v>8</v>
      </c>
      <c r="G3287" t="s">
        <v>203</v>
      </c>
      <c r="H3287" t="s">
        <v>240</v>
      </c>
      <c r="I3287" s="4">
        <v>100638.28079999999</v>
      </c>
      <c r="J3287" s="4">
        <v>402553.12319999997</v>
      </c>
      <c r="L3287" s="4">
        <v>4</v>
      </c>
    </row>
    <row r="3288" spans="1:12">
      <c r="A3288" t="s">
        <v>107</v>
      </c>
      <c r="B3288" s="10">
        <v>45422</v>
      </c>
      <c r="C3288" s="18">
        <f t="shared" si="51"/>
        <v>5</v>
      </c>
      <c r="D3288" t="s">
        <v>162</v>
      </c>
      <c r="E3288">
        <v>4878776</v>
      </c>
      <c r="F3288" t="s">
        <v>8</v>
      </c>
      <c r="G3288" t="s">
        <v>203</v>
      </c>
      <c r="H3288" t="s">
        <v>228</v>
      </c>
      <c r="I3288" s="4">
        <v>100638.28079999999</v>
      </c>
      <c r="J3288" s="4">
        <v>402553.12319999997</v>
      </c>
      <c r="L3288" s="4">
        <v>4</v>
      </c>
    </row>
    <row r="3289" spans="1:12">
      <c r="A3289" t="s">
        <v>107</v>
      </c>
      <c r="B3289" s="10">
        <v>45422</v>
      </c>
      <c r="C3289" s="18">
        <f t="shared" si="51"/>
        <v>5</v>
      </c>
      <c r="D3289" t="s">
        <v>162</v>
      </c>
      <c r="E3289">
        <v>4874459</v>
      </c>
      <c r="F3289" t="s">
        <v>8</v>
      </c>
      <c r="G3289" t="s">
        <v>203</v>
      </c>
      <c r="H3289" t="s">
        <v>240</v>
      </c>
      <c r="I3289" s="4">
        <v>100638.28079999999</v>
      </c>
      <c r="J3289" s="4">
        <v>402553.12319999997</v>
      </c>
      <c r="L3289" s="4">
        <v>4</v>
      </c>
    </row>
    <row r="3290" spans="1:12">
      <c r="A3290" t="s">
        <v>107</v>
      </c>
      <c r="B3290" s="10">
        <v>45422</v>
      </c>
      <c r="C3290" s="18">
        <f t="shared" si="51"/>
        <v>5</v>
      </c>
      <c r="D3290" t="s">
        <v>162</v>
      </c>
      <c r="E3290">
        <v>4874459</v>
      </c>
      <c r="F3290" t="s">
        <v>8</v>
      </c>
      <c r="G3290" t="s">
        <v>203</v>
      </c>
      <c r="H3290" t="s">
        <v>228</v>
      </c>
      <c r="I3290" s="4">
        <v>100638.28079999999</v>
      </c>
      <c r="J3290" s="4">
        <v>402553.12319999997</v>
      </c>
      <c r="L3290" s="4">
        <v>4</v>
      </c>
    </row>
    <row r="3291" spans="1:12">
      <c r="A3291" t="s">
        <v>107</v>
      </c>
      <c r="B3291" s="10">
        <v>45422</v>
      </c>
      <c r="C3291" s="18">
        <f t="shared" si="51"/>
        <v>5</v>
      </c>
      <c r="D3291" t="s">
        <v>162</v>
      </c>
      <c r="E3291">
        <v>4874459</v>
      </c>
      <c r="F3291" t="s">
        <v>8</v>
      </c>
      <c r="G3291" t="s">
        <v>203</v>
      </c>
      <c r="H3291" t="s">
        <v>241</v>
      </c>
      <c r="I3291" s="4">
        <v>125766.4408</v>
      </c>
      <c r="J3291" s="4">
        <v>880365.08559999999</v>
      </c>
      <c r="L3291" s="4">
        <v>7</v>
      </c>
    </row>
    <row r="3292" spans="1:12">
      <c r="A3292" t="s">
        <v>107</v>
      </c>
      <c r="B3292" s="10">
        <v>45423</v>
      </c>
      <c r="C3292" s="18">
        <f t="shared" si="51"/>
        <v>5</v>
      </c>
      <c r="D3292" t="s">
        <v>151</v>
      </c>
      <c r="E3292">
        <v>4874397</v>
      </c>
      <c r="F3292" t="s">
        <v>8</v>
      </c>
      <c r="G3292" t="s">
        <v>203</v>
      </c>
      <c r="H3292" t="s">
        <v>227</v>
      </c>
      <c r="I3292" s="4">
        <v>100638.28079999999</v>
      </c>
      <c r="J3292" s="4">
        <v>-201276.56159999999</v>
      </c>
      <c r="L3292" s="4">
        <v>-2</v>
      </c>
    </row>
    <row r="3293" spans="1:12">
      <c r="A3293" t="s">
        <v>107</v>
      </c>
      <c r="B3293" s="10">
        <v>45423</v>
      </c>
      <c r="C3293" s="18">
        <f t="shared" si="51"/>
        <v>5</v>
      </c>
      <c r="D3293" t="s">
        <v>171</v>
      </c>
      <c r="E3293">
        <v>4875729</v>
      </c>
      <c r="F3293" t="s">
        <v>8</v>
      </c>
      <c r="G3293" t="s">
        <v>203</v>
      </c>
      <c r="H3293" t="s">
        <v>227</v>
      </c>
      <c r="I3293" s="4">
        <v>100638.28079999999</v>
      </c>
      <c r="J3293" s="4">
        <v>201276.56159999999</v>
      </c>
      <c r="L3293" s="4">
        <v>2</v>
      </c>
    </row>
    <row r="3294" spans="1:12">
      <c r="A3294" t="s">
        <v>107</v>
      </c>
      <c r="B3294" s="10">
        <v>45425</v>
      </c>
      <c r="C3294" s="18">
        <f t="shared" si="51"/>
        <v>5</v>
      </c>
      <c r="D3294" t="s">
        <v>151</v>
      </c>
      <c r="E3294">
        <v>4876098</v>
      </c>
      <c r="F3294" t="s">
        <v>8</v>
      </c>
      <c r="G3294" t="s">
        <v>204</v>
      </c>
      <c r="H3294" t="s">
        <v>221</v>
      </c>
      <c r="I3294" s="4">
        <v>25253.800799999997</v>
      </c>
      <c r="J3294" s="4">
        <v>1262690.0399999998</v>
      </c>
      <c r="L3294" s="4">
        <v>50</v>
      </c>
    </row>
    <row r="3295" spans="1:12">
      <c r="A3295" t="s">
        <v>107</v>
      </c>
      <c r="B3295" s="10">
        <v>45425</v>
      </c>
      <c r="C3295" s="18">
        <f t="shared" si="51"/>
        <v>5</v>
      </c>
      <c r="D3295" t="s">
        <v>151</v>
      </c>
      <c r="E3295">
        <v>4876098</v>
      </c>
      <c r="F3295" t="s">
        <v>8</v>
      </c>
      <c r="G3295" t="s">
        <v>204</v>
      </c>
      <c r="H3295" t="s">
        <v>212</v>
      </c>
      <c r="I3295" s="4">
        <v>62946.040799999995</v>
      </c>
      <c r="J3295" s="4">
        <v>1888381.2239999999</v>
      </c>
      <c r="L3295" s="4">
        <v>30</v>
      </c>
    </row>
    <row r="3296" spans="1:12">
      <c r="A3296" t="s">
        <v>107</v>
      </c>
      <c r="B3296" s="10">
        <v>45427</v>
      </c>
      <c r="C3296" s="18">
        <f t="shared" si="51"/>
        <v>5</v>
      </c>
      <c r="D3296" t="s">
        <v>189</v>
      </c>
      <c r="E3296">
        <v>4876797</v>
      </c>
      <c r="F3296" t="s">
        <v>8</v>
      </c>
      <c r="G3296" t="s">
        <v>203</v>
      </c>
      <c r="H3296" t="s">
        <v>245</v>
      </c>
      <c r="I3296" s="4">
        <v>100638.28079999999</v>
      </c>
      <c r="J3296" s="4">
        <v>402553.12319999997</v>
      </c>
      <c r="K3296" s="4">
        <v>-18117.40336</v>
      </c>
      <c r="L3296" s="4">
        <v>4</v>
      </c>
    </row>
    <row r="3297" spans="1:12">
      <c r="A3297" t="s">
        <v>107</v>
      </c>
      <c r="B3297" s="10">
        <v>45427</v>
      </c>
      <c r="C3297" s="18">
        <f t="shared" si="51"/>
        <v>5</v>
      </c>
      <c r="D3297" t="s">
        <v>189</v>
      </c>
      <c r="E3297">
        <v>4876797</v>
      </c>
      <c r="F3297" t="s">
        <v>8</v>
      </c>
      <c r="G3297" t="s">
        <v>203</v>
      </c>
      <c r="H3297" t="s">
        <v>234</v>
      </c>
      <c r="I3297" s="4">
        <v>100638.28079999999</v>
      </c>
      <c r="J3297" s="4">
        <v>402553.12319999997</v>
      </c>
      <c r="K3297" s="4">
        <v>-18117.40336</v>
      </c>
      <c r="L3297" s="4">
        <v>4</v>
      </c>
    </row>
    <row r="3298" spans="1:12">
      <c r="A3298" t="s">
        <v>107</v>
      </c>
      <c r="B3298" s="10">
        <v>45429</v>
      </c>
      <c r="C3298" s="18">
        <f t="shared" si="51"/>
        <v>5</v>
      </c>
      <c r="D3298" t="s">
        <v>162</v>
      </c>
      <c r="E3298">
        <v>4878776</v>
      </c>
      <c r="F3298" t="s">
        <v>8</v>
      </c>
      <c r="G3298" t="s">
        <v>203</v>
      </c>
      <c r="H3298" t="s">
        <v>245</v>
      </c>
      <c r="I3298" s="4">
        <v>100638.28079999999</v>
      </c>
      <c r="J3298" s="4">
        <v>805106.24639999995</v>
      </c>
      <c r="L3298" s="4">
        <v>8</v>
      </c>
    </row>
    <row r="3299" spans="1:12">
      <c r="A3299" t="s">
        <v>107</v>
      </c>
      <c r="B3299" s="10">
        <v>45429</v>
      </c>
      <c r="C3299" s="18">
        <f t="shared" si="51"/>
        <v>5</v>
      </c>
      <c r="D3299" t="s">
        <v>162</v>
      </c>
      <c r="E3299">
        <v>4874391</v>
      </c>
      <c r="F3299" t="s">
        <v>8</v>
      </c>
      <c r="G3299" t="s">
        <v>203</v>
      </c>
      <c r="H3299" t="s">
        <v>242</v>
      </c>
      <c r="I3299" s="4">
        <v>100638.28079999999</v>
      </c>
      <c r="J3299" s="4">
        <v>402553.12319999997</v>
      </c>
      <c r="L3299" s="4">
        <v>4</v>
      </c>
    </row>
    <row r="3300" spans="1:12">
      <c r="A3300" t="s">
        <v>107</v>
      </c>
      <c r="B3300" s="10">
        <v>45429</v>
      </c>
      <c r="C3300" s="18">
        <f t="shared" si="51"/>
        <v>5</v>
      </c>
      <c r="D3300" t="s">
        <v>162</v>
      </c>
      <c r="E3300">
        <v>4874391</v>
      </c>
      <c r="F3300" t="s">
        <v>8</v>
      </c>
      <c r="G3300" t="s">
        <v>203</v>
      </c>
      <c r="H3300" t="s">
        <v>238</v>
      </c>
      <c r="I3300" s="4">
        <v>95606.36675999999</v>
      </c>
      <c r="J3300" s="4">
        <v>191212.73351999998</v>
      </c>
      <c r="L3300" s="4">
        <v>2</v>
      </c>
    </row>
    <row r="3301" spans="1:12">
      <c r="A3301" t="s">
        <v>107</v>
      </c>
      <c r="B3301" s="10">
        <v>45429</v>
      </c>
      <c r="C3301" s="18">
        <f t="shared" si="51"/>
        <v>5</v>
      </c>
      <c r="D3301" t="s">
        <v>162</v>
      </c>
      <c r="E3301">
        <v>4874391</v>
      </c>
      <c r="F3301" t="s">
        <v>8</v>
      </c>
      <c r="G3301" t="s">
        <v>203</v>
      </c>
      <c r="H3301" t="s">
        <v>236</v>
      </c>
      <c r="I3301" s="4">
        <v>100638.28079999999</v>
      </c>
      <c r="J3301" s="4">
        <v>201276.56159999999</v>
      </c>
      <c r="L3301" s="4">
        <v>2</v>
      </c>
    </row>
    <row r="3302" spans="1:12">
      <c r="A3302" t="s">
        <v>107</v>
      </c>
      <c r="B3302" s="10">
        <v>45429</v>
      </c>
      <c r="C3302" s="18">
        <f t="shared" si="51"/>
        <v>5</v>
      </c>
      <c r="D3302" t="s">
        <v>182</v>
      </c>
      <c r="E3302">
        <v>4876974</v>
      </c>
      <c r="F3302" t="s">
        <v>8</v>
      </c>
      <c r="G3302" t="s">
        <v>203</v>
      </c>
      <c r="H3302" t="s">
        <v>236</v>
      </c>
      <c r="I3302" s="4">
        <v>100638.28079999999</v>
      </c>
      <c r="J3302" s="4">
        <v>402553.12319999997</v>
      </c>
      <c r="L3302" s="4">
        <v>4</v>
      </c>
    </row>
    <row r="3303" spans="1:12">
      <c r="A3303" t="s">
        <v>107</v>
      </c>
      <c r="B3303" s="10">
        <v>45429</v>
      </c>
      <c r="C3303" s="18">
        <f t="shared" si="51"/>
        <v>5</v>
      </c>
      <c r="D3303" t="s">
        <v>182</v>
      </c>
      <c r="E3303">
        <v>4876974</v>
      </c>
      <c r="F3303" t="s">
        <v>8</v>
      </c>
      <c r="G3303" t="s">
        <v>203</v>
      </c>
      <c r="H3303" t="s">
        <v>227</v>
      </c>
      <c r="I3303" s="4">
        <v>100638.28079999999</v>
      </c>
      <c r="J3303" s="4">
        <v>201276.56159999999</v>
      </c>
      <c r="L3303" s="4">
        <v>2</v>
      </c>
    </row>
    <row r="3304" spans="1:12">
      <c r="A3304" t="s">
        <v>107</v>
      </c>
      <c r="B3304" s="10">
        <v>45436</v>
      </c>
      <c r="C3304" s="18">
        <f t="shared" si="51"/>
        <v>5</v>
      </c>
      <c r="D3304" t="s">
        <v>162</v>
      </c>
      <c r="E3304">
        <v>4874314</v>
      </c>
      <c r="F3304" t="s">
        <v>8</v>
      </c>
      <c r="G3304" t="s">
        <v>203</v>
      </c>
      <c r="H3304" t="s">
        <v>236</v>
      </c>
      <c r="I3304" s="4">
        <v>100638.28079999999</v>
      </c>
      <c r="J3304" s="4">
        <v>603829.68479999993</v>
      </c>
      <c r="L3304" s="4">
        <v>6</v>
      </c>
    </row>
    <row r="3305" spans="1:12">
      <c r="A3305" t="s">
        <v>107</v>
      </c>
      <c r="B3305" s="10">
        <v>45436</v>
      </c>
      <c r="C3305" s="18">
        <f t="shared" si="51"/>
        <v>5</v>
      </c>
      <c r="D3305" t="s">
        <v>162</v>
      </c>
      <c r="E3305">
        <v>4874459</v>
      </c>
      <c r="F3305" t="s">
        <v>8</v>
      </c>
      <c r="G3305" t="s">
        <v>203</v>
      </c>
      <c r="H3305" t="s">
        <v>236</v>
      </c>
      <c r="I3305" s="4">
        <v>100638.28079999999</v>
      </c>
      <c r="J3305" s="4">
        <v>402553.12319999997</v>
      </c>
      <c r="L3305" s="4">
        <v>4</v>
      </c>
    </row>
    <row r="3306" spans="1:12">
      <c r="A3306" t="s">
        <v>107</v>
      </c>
      <c r="B3306" s="10">
        <v>45442</v>
      </c>
      <c r="C3306" s="18">
        <f t="shared" si="51"/>
        <v>5</v>
      </c>
      <c r="D3306" t="s">
        <v>189</v>
      </c>
      <c r="E3306">
        <v>4879106</v>
      </c>
      <c r="F3306" t="s">
        <v>8</v>
      </c>
      <c r="G3306" t="s">
        <v>205</v>
      </c>
      <c r="H3306" t="s">
        <v>211</v>
      </c>
      <c r="I3306" s="4">
        <v>5151.2727999999997</v>
      </c>
      <c r="J3306" s="4">
        <v>103025.45599999999</v>
      </c>
      <c r="L3306" s="4">
        <v>20</v>
      </c>
    </row>
    <row r="3307" spans="1:12">
      <c r="A3307" t="s">
        <v>93</v>
      </c>
      <c r="B3307" s="10">
        <v>45420</v>
      </c>
      <c r="C3307" s="18">
        <f t="shared" si="51"/>
        <v>5</v>
      </c>
      <c r="D3307" t="s">
        <v>152</v>
      </c>
      <c r="E3307">
        <v>4873703</v>
      </c>
      <c r="F3307" t="s">
        <v>90</v>
      </c>
      <c r="G3307" t="s">
        <v>203</v>
      </c>
      <c r="H3307" t="s">
        <v>228</v>
      </c>
      <c r="I3307" s="4">
        <v>100638.28079999999</v>
      </c>
      <c r="J3307" s="4">
        <v>201276.56159999999</v>
      </c>
      <c r="L3307" s="4">
        <v>2</v>
      </c>
    </row>
    <row r="3308" spans="1:12">
      <c r="A3308" t="s">
        <v>93</v>
      </c>
      <c r="B3308" s="10">
        <v>45420</v>
      </c>
      <c r="C3308" s="18">
        <f t="shared" si="51"/>
        <v>5</v>
      </c>
      <c r="D3308" t="s">
        <v>152</v>
      </c>
      <c r="E3308">
        <v>4873703</v>
      </c>
      <c r="F3308" t="s">
        <v>90</v>
      </c>
      <c r="G3308" t="s">
        <v>203</v>
      </c>
      <c r="H3308" t="s">
        <v>224</v>
      </c>
      <c r="I3308" s="4">
        <v>100638.28079999999</v>
      </c>
      <c r="J3308" s="4">
        <v>201276.56159999999</v>
      </c>
      <c r="L3308" s="4">
        <v>2</v>
      </c>
    </row>
    <row r="3309" spans="1:12">
      <c r="A3309" t="s">
        <v>93</v>
      </c>
      <c r="B3309" s="10">
        <v>45420</v>
      </c>
      <c r="C3309" s="18">
        <f t="shared" si="51"/>
        <v>5</v>
      </c>
      <c r="D3309" t="s">
        <v>152</v>
      </c>
      <c r="E3309">
        <v>4873703</v>
      </c>
      <c r="F3309" t="s">
        <v>90</v>
      </c>
      <c r="G3309" t="s">
        <v>203</v>
      </c>
      <c r="H3309" t="s">
        <v>223</v>
      </c>
      <c r="I3309" s="4">
        <v>100638.28079999999</v>
      </c>
      <c r="J3309" s="4">
        <v>201276.56159999999</v>
      </c>
      <c r="L3309" s="4">
        <v>2</v>
      </c>
    </row>
    <row r="3310" spans="1:12">
      <c r="A3310" t="s">
        <v>93</v>
      </c>
      <c r="B3310" s="10">
        <v>45422</v>
      </c>
      <c r="C3310" s="18">
        <f t="shared" si="51"/>
        <v>5</v>
      </c>
      <c r="D3310" t="s">
        <v>139</v>
      </c>
      <c r="E3310">
        <v>4873444</v>
      </c>
      <c r="F3310" t="s">
        <v>89</v>
      </c>
      <c r="G3310" t="s">
        <v>203</v>
      </c>
      <c r="H3310" t="s">
        <v>237</v>
      </c>
      <c r="I3310" s="4">
        <v>125766.4408</v>
      </c>
      <c r="J3310" s="4">
        <v>628832.20400000003</v>
      </c>
      <c r="L3310" s="4">
        <v>5</v>
      </c>
    </row>
    <row r="3311" spans="1:12">
      <c r="A3311" t="s">
        <v>93</v>
      </c>
      <c r="B3311" s="10">
        <v>45423</v>
      </c>
      <c r="C3311" s="18">
        <f t="shared" si="51"/>
        <v>5</v>
      </c>
      <c r="D3311" t="s">
        <v>176</v>
      </c>
      <c r="E3311">
        <v>4878737</v>
      </c>
      <c r="F3311" t="s">
        <v>87</v>
      </c>
      <c r="G3311" t="s">
        <v>203</v>
      </c>
      <c r="H3311" t="s">
        <v>238</v>
      </c>
      <c r="I3311" s="4">
        <v>95606.36675999999</v>
      </c>
      <c r="J3311" s="4">
        <v>191212.73351999998</v>
      </c>
      <c r="L3311" s="4">
        <v>2</v>
      </c>
    </row>
    <row r="3312" spans="1:12">
      <c r="A3312" t="s">
        <v>93</v>
      </c>
      <c r="B3312" s="10">
        <v>45424</v>
      </c>
      <c r="C3312" s="18">
        <f t="shared" si="51"/>
        <v>5</v>
      </c>
      <c r="D3312" t="s">
        <v>141</v>
      </c>
      <c r="E3312">
        <v>4874206</v>
      </c>
      <c r="F3312" t="s">
        <v>90</v>
      </c>
      <c r="G3312" t="s">
        <v>203</v>
      </c>
      <c r="H3312" t="s">
        <v>242</v>
      </c>
      <c r="I3312" s="4">
        <v>100638.28079999999</v>
      </c>
      <c r="J3312" s="4">
        <v>201276.56159999999</v>
      </c>
      <c r="L3312" s="4">
        <v>2</v>
      </c>
    </row>
    <row r="3313" spans="1:12">
      <c r="A3313" t="s">
        <v>93</v>
      </c>
      <c r="B3313" s="10">
        <v>45424</v>
      </c>
      <c r="C3313" s="18">
        <f t="shared" si="51"/>
        <v>5</v>
      </c>
      <c r="D3313" t="s">
        <v>141</v>
      </c>
      <c r="E3313">
        <v>4874206</v>
      </c>
      <c r="F3313" t="s">
        <v>90</v>
      </c>
      <c r="G3313" t="s">
        <v>203</v>
      </c>
      <c r="H3313" t="s">
        <v>236</v>
      </c>
      <c r="I3313" s="4">
        <v>100638.28079999999</v>
      </c>
      <c r="J3313" s="4">
        <v>201276.56159999999</v>
      </c>
      <c r="L3313" s="4">
        <v>2</v>
      </c>
    </row>
    <row r="3314" spans="1:12">
      <c r="A3314" t="s">
        <v>93</v>
      </c>
      <c r="B3314" s="10">
        <v>45424</v>
      </c>
      <c r="C3314" s="18">
        <f t="shared" si="51"/>
        <v>5</v>
      </c>
      <c r="D3314" t="s">
        <v>141</v>
      </c>
      <c r="E3314">
        <v>4874206</v>
      </c>
      <c r="F3314" t="s">
        <v>90</v>
      </c>
      <c r="G3314" t="s">
        <v>203</v>
      </c>
      <c r="H3314" t="s">
        <v>228</v>
      </c>
      <c r="I3314" s="4">
        <v>100638.28079999999</v>
      </c>
      <c r="J3314" s="4">
        <v>201276.56159999999</v>
      </c>
      <c r="L3314" s="4">
        <v>2</v>
      </c>
    </row>
    <row r="3315" spans="1:12">
      <c r="A3315" t="s">
        <v>93</v>
      </c>
      <c r="B3315" s="10">
        <v>45424</v>
      </c>
      <c r="C3315" s="18">
        <f t="shared" si="51"/>
        <v>5</v>
      </c>
      <c r="D3315" t="s">
        <v>141</v>
      </c>
      <c r="E3315">
        <v>4874206</v>
      </c>
      <c r="F3315" t="s">
        <v>90</v>
      </c>
      <c r="G3315" t="s">
        <v>203</v>
      </c>
      <c r="H3315" t="s">
        <v>224</v>
      </c>
      <c r="I3315" s="4">
        <v>100638.28079999999</v>
      </c>
      <c r="J3315" s="4">
        <v>201276.56159999999</v>
      </c>
      <c r="L3315" s="4">
        <v>2</v>
      </c>
    </row>
    <row r="3316" spans="1:12">
      <c r="A3316" t="s">
        <v>93</v>
      </c>
      <c r="B3316" s="10">
        <v>45425</v>
      </c>
      <c r="C3316" s="18">
        <f t="shared" si="51"/>
        <v>5</v>
      </c>
      <c r="D3316" t="s">
        <v>155</v>
      </c>
      <c r="E3316">
        <v>4879013</v>
      </c>
      <c r="F3316" t="s">
        <v>88</v>
      </c>
      <c r="G3316" t="s">
        <v>204</v>
      </c>
      <c r="H3316" t="s">
        <v>212</v>
      </c>
      <c r="I3316" s="4">
        <v>62946.040799999995</v>
      </c>
      <c r="J3316" s="4">
        <v>1762489.1423999998</v>
      </c>
      <c r="K3316" s="4">
        <v>-52769.135999999999</v>
      </c>
      <c r="L3316" s="4">
        <v>28</v>
      </c>
    </row>
    <row r="3317" spans="1:12">
      <c r="A3317" t="s">
        <v>93</v>
      </c>
      <c r="B3317" s="10">
        <v>45426</v>
      </c>
      <c r="C3317" s="18">
        <f t="shared" si="51"/>
        <v>5</v>
      </c>
      <c r="D3317" t="s">
        <v>155</v>
      </c>
      <c r="E3317">
        <v>4873780</v>
      </c>
      <c r="F3317" t="s">
        <v>87</v>
      </c>
      <c r="G3317" t="s">
        <v>203</v>
      </c>
      <c r="H3317" t="s">
        <v>242</v>
      </c>
      <c r="I3317" s="4">
        <v>100638.28079999999</v>
      </c>
      <c r="J3317" s="4">
        <v>402553.12319999997</v>
      </c>
      <c r="L3317" s="4">
        <v>4</v>
      </c>
    </row>
    <row r="3318" spans="1:12">
      <c r="A3318" t="s">
        <v>93</v>
      </c>
      <c r="B3318" s="10">
        <v>45426</v>
      </c>
      <c r="C3318" s="18">
        <f t="shared" si="51"/>
        <v>5</v>
      </c>
      <c r="D3318" t="s">
        <v>155</v>
      </c>
      <c r="E3318">
        <v>4873780</v>
      </c>
      <c r="F3318" t="s">
        <v>87</v>
      </c>
      <c r="G3318" t="s">
        <v>203</v>
      </c>
      <c r="H3318" t="s">
        <v>240</v>
      </c>
      <c r="I3318" s="4">
        <v>100638.28079999999</v>
      </c>
      <c r="J3318" s="4">
        <v>402553.12319999997</v>
      </c>
      <c r="L3318" s="4">
        <v>4</v>
      </c>
    </row>
    <row r="3319" spans="1:12">
      <c r="A3319" t="s">
        <v>93</v>
      </c>
      <c r="B3319" s="10">
        <v>45426</v>
      </c>
      <c r="C3319" s="18">
        <f t="shared" si="51"/>
        <v>5</v>
      </c>
      <c r="D3319" t="s">
        <v>155</v>
      </c>
      <c r="E3319">
        <v>4873780</v>
      </c>
      <c r="F3319" t="s">
        <v>87</v>
      </c>
      <c r="G3319" t="s">
        <v>203</v>
      </c>
      <c r="H3319" t="s">
        <v>236</v>
      </c>
      <c r="I3319" s="4">
        <v>100638.28079999999</v>
      </c>
      <c r="J3319" s="4">
        <v>402553.12319999997</v>
      </c>
      <c r="L3319" s="4">
        <v>4</v>
      </c>
    </row>
    <row r="3320" spans="1:12">
      <c r="A3320" t="s">
        <v>93</v>
      </c>
      <c r="B3320" s="10">
        <v>45426</v>
      </c>
      <c r="C3320" s="18">
        <f t="shared" si="51"/>
        <v>5</v>
      </c>
      <c r="D3320" t="s">
        <v>155</v>
      </c>
      <c r="E3320">
        <v>4873780</v>
      </c>
      <c r="F3320" t="s">
        <v>87</v>
      </c>
      <c r="G3320" t="s">
        <v>203</v>
      </c>
      <c r="H3320" t="s">
        <v>239</v>
      </c>
      <c r="I3320" s="4">
        <v>125766.4408</v>
      </c>
      <c r="J3320" s="4">
        <v>503065.76319999999</v>
      </c>
      <c r="L3320" s="4">
        <v>4</v>
      </c>
    </row>
    <row r="3321" spans="1:12">
      <c r="A3321" t="s">
        <v>93</v>
      </c>
      <c r="B3321" s="10">
        <v>45426</v>
      </c>
      <c r="C3321" s="18">
        <f t="shared" si="51"/>
        <v>5</v>
      </c>
      <c r="D3321" t="s">
        <v>155</v>
      </c>
      <c r="E3321">
        <v>4873780</v>
      </c>
      <c r="F3321" t="s">
        <v>87</v>
      </c>
      <c r="G3321" t="s">
        <v>203</v>
      </c>
      <c r="H3321" t="s">
        <v>237</v>
      </c>
      <c r="I3321" s="4">
        <v>125766.4408</v>
      </c>
      <c r="J3321" s="4">
        <v>503065.76319999999</v>
      </c>
      <c r="L3321" s="4">
        <v>4</v>
      </c>
    </row>
    <row r="3322" spans="1:12">
      <c r="A3322" t="s">
        <v>93</v>
      </c>
      <c r="B3322" s="10">
        <v>45426</v>
      </c>
      <c r="C3322" s="18">
        <f t="shared" si="51"/>
        <v>5</v>
      </c>
      <c r="D3322" t="s">
        <v>155</v>
      </c>
      <c r="E3322">
        <v>4873780</v>
      </c>
      <c r="F3322" t="s">
        <v>87</v>
      </c>
      <c r="G3322" t="s">
        <v>203</v>
      </c>
      <c r="H3322" t="s">
        <v>233</v>
      </c>
      <c r="I3322" s="4">
        <v>120735.78316800001</v>
      </c>
      <c r="J3322" s="4">
        <v>482943.13267200004</v>
      </c>
      <c r="L3322" s="4">
        <v>4</v>
      </c>
    </row>
    <row r="3323" spans="1:12">
      <c r="A3323" t="s">
        <v>93</v>
      </c>
      <c r="B3323" s="10">
        <v>45426</v>
      </c>
      <c r="C3323" s="18">
        <f t="shared" si="51"/>
        <v>5</v>
      </c>
      <c r="D3323" t="s">
        <v>155</v>
      </c>
      <c r="E3323">
        <v>4873780</v>
      </c>
      <c r="F3323" t="s">
        <v>87</v>
      </c>
      <c r="G3323" t="s">
        <v>203</v>
      </c>
      <c r="H3323" t="s">
        <v>229</v>
      </c>
      <c r="I3323" s="4">
        <v>125766.4408</v>
      </c>
      <c r="J3323" s="4">
        <v>503065.76319999999</v>
      </c>
      <c r="L3323" s="4">
        <v>4</v>
      </c>
    </row>
    <row r="3324" spans="1:12">
      <c r="A3324" t="s">
        <v>93</v>
      </c>
      <c r="B3324" s="10">
        <v>45428</v>
      </c>
      <c r="C3324" s="18">
        <f t="shared" si="51"/>
        <v>5</v>
      </c>
      <c r="D3324" t="s">
        <v>184</v>
      </c>
      <c r="E3324">
        <v>4877273</v>
      </c>
      <c r="F3324" t="s">
        <v>87</v>
      </c>
      <c r="G3324" t="s">
        <v>203</v>
      </c>
      <c r="H3324" t="s">
        <v>239</v>
      </c>
      <c r="I3324" s="4">
        <v>125766.4408</v>
      </c>
      <c r="J3324" s="4">
        <v>125766.4408</v>
      </c>
      <c r="L3324" s="4">
        <v>1</v>
      </c>
    </row>
    <row r="3325" spans="1:12">
      <c r="A3325" t="s">
        <v>93</v>
      </c>
      <c r="B3325" s="10">
        <v>45428</v>
      </c>
      <c r="C3325" s="18">
        <f t="shared" si="51"/>
        <v>5</v>
      </c>
      <c r="D3325" t="s">
        <v>184</v>
      </c>
      <c r="E3325">
        <v>4877273</v>
      </c>
      <c r="F3325" t="s">
        <v>87</v>
      </c>
      <c r="G3325" t="s">
        <v>203</v>
      </c>
      <c r="H3325" t="s">
        <v>237</v>
      </c>
      <c r="I3325" s="4">
        <v>125766.4408</v>
      </c>
      <c r="J3325" s="4">
        <v>125766.4408</v>
      </c>
      <c r="L3325" s="4">
        <v>1</v>
      </c>
    </row>
    <row r="3326" spans="1:12">
      <c r="A3326" t="s">
        <v>93</v>
      </c>
      <c r="B3326" s="10">
        <v>45430</v>
      </c>
      <c r="C3326" s="18">
        <f t="shared" si="51"/>
        <v>5</v>
      </c>
      <c r="D3326" t="s">
        <v>155</v>
      </c>
      <c r="E3326">
        <v>4873785</v>
      </c>
      <c r="F3326" t="s">
        <v>87</v>
      </c>
      <c r="G3326" t="s">
        <v>203</v>
      </c>
      <c r="H3326" t="s">
        <v>240</v>
      </c>
      <c r="I3326" s="4">
        <v>100638.28079999999</v>
      </c>
      <c r="J3326" s="4">
        <v>201276.56159999999</v>
      </c>
      <c r="L3326" s="4">
        <v>2</v>
      </c>
    </row>
    <row r="3327" spans="1:12">
      <c r="A3327" t="s">
        <v>93</v>
      </c>
      <c r="B3327" s="10">
        <v>45430</v>
      </c>
      <c r="C3327" s="18">
        <f t="shared" si="51"/>
        <v>5</v>
      </c>
      <c r="D3327" t="s">
        <v>155</v>
      </c>
      <c r="E3327">
        <v>4873785</v>
      </c>
      <c r="F3327" t="s">
        <v>87</v>
      </c>
      <c r="G3327" t="s">
        <v>203</v>
      </c>
      <c r="H3327" t="s">
        <v>236</v>
      </c>
      <c r="I3327" s="4">
        <v>100638.28079999999</v>
      </c>
      <c r="J3327" s="4">
        <v>603829.68479999993</v>
      </c>
      <c r="L3327" s="4">
        <v>6</v>
      </c>
    </row>
    <row r="3328" spans="1:12">
      <c r="A3328" t="s">
        <v>93</v>
      </c>
      <c r="B3328" s="10">
        <v>45430</v>
      </c>
      <c r="C3328" s="18">
        <f t="shared" si="51"/>
        <v>5</v>
      </c>
      <c r="D3328" t="s">
        <v>155</v>
      </c>
      <c r="E3328">
        <v>4873785</v>
      </c>
      <c r="F3328" t="s">
        <v>87</v>
      </c>
      <c r="G3328" t="s">
        <v>203</v>
      </c>
      <c r="H3328" t="s">
        <v>228</v>
      </c>
      <c r="I3328" s="4">
        <v>100638.28079999999</v>
      </c>
      <c r="J3328" s="4">
        <v>603829.68479999993</v>
      </c>
      <c r="L3328" s="4">
        <v>6</v>
      </c>
    </row>
    <row r="3329" spans="1:12">
      <c r="A3329" t="s">
        <v>93</v>
      </c>
      <c r="B3329" s="10">
        <v>45430</v>
      </c>
      <c r="C3329" s="18">
        <f t="shared" si="51"/>
        <v>5</v>
      </c>
      <c r="D3329" t="s">
        <v>155</v>
      </c>
      <c r="E3329">
        <v>4873785</v>
      </c>
      <c r="F3329" t="s">
        <v>87</v>
      </c>
      <c r="G3329" t="s">
        <v>203</v>
      </c>
      <c r="H3329" t="s">
        <v>224</v>
      </c>
      <c r="I3329" s="4">
        <v>100638.28079999999</v>
      </c>
      <c r="J3329" s="4">
        <v>201276.56159999999</v>
      </c>
      <c r="L3329" s="4">
        <v>2</v>
      </c>
    </row>
    <row r="3330" spans="1:12">
      <c r="A3330" t="s">
        <v>93</v>
      </c>
      <c r="B3330" s="10">
        <v>45430</v>
      </c>
      <c r="C3330" s="18">
        <f t="shared" ref="C3330:C3393" si="52">MONTH(B3330)</f>
        <v>5</v>
      </c>
      <c r="D3330" t="s">
        <v>176</v>
      </c>
      <c r="E3330">
        <v>4878650</v>
      </c>
      <c r="F3330" t="s">
        <v>87</v>
      </c>
      <c r="G3330" t="s">
        <v>203</v>
      </c>
      <c r="H3330" t="s">
        <v>236</v>
      </c>
      <c r="I3330" s="4">
        <v>100638.28079999999</v>
      </c>
      <c r="J3330" s="4">
        <v>201276.56159999999</v>
      </c>
      <c r="L3330" s="4">
        <v>2</v>
      </c>
    </row>
    <row r="3331" spans="1:12">
      <c r="A3331" t="s">
        <v>93</v>
      </c>
      <c r="B3331" s="10">
        <v>45430</v>
      </c>
      <c r="C3331" s="18">
        <f t="shared" si="52"/>
        <v>5</v>
      </c>
      <c r="D3331" t="s">
        <v>176</v>
      </c>
      <c r="E3331">
        <v>4878650</v>
      </c>
      <c r="F3331" t="s">
        <v>87</v>
      </c>
      <c r="G3331" t="s">
        <v>203</v>
      </c>
      <c r="H3331" t="s">
        <v>228</v>
      </c>
      <c r="I3331" s="4">
        <v>100638.28079999999</v>
      </c>
      <c r="J3331" s="4">
        <v>201276.56159999999</v>
      </c>
      <c r="L3331" s="4">
        <v>2</v>
      </c>
    </row>
    <row r="3332" spans="1:12">
      <c r="A3332" t="s">
        <v>93</v>
      </c>
      <c r="B3332" s="10">
        <v>45430</v>
      </c>
      <c r="C3332" s="18">
        <f t="shared" si="52"/>
        <v>5</v>
      </c>
      <c r="D3332" t="s">
        <v>176</v>
      </c>
      <c r="E3332">
        <v>4878650</v>
      </c>
      <c r="F3332" t="s">
        <v>87</v>
      </c>
      <c r="G3332" t="s">
        <v>203</v>
      </c>
      <c r="H3332" t="s">
        <v>224</v>
      </c>
      <c r="I3332" s="4">
        <v>100638.28079999999</v>
      </c>
      <c r="J3332" s="4">
        <v>201276.56159999999</v>
      </c>
      <c r="L3332" s="4">
        <v>2</v>
      </c>
    </row>
    <row r="3333" spans="1:12">
      <c r="A3333" t="s">
        <v>93</v>
      </c>
      <c r="B3333" s="10">
        <v>45430</v>
      </c>
      <c r="C3333" s="18">
        <f t="shared" si="52"/>
        <v>5</v>
      </c>
      <c r="D3333" t="s">
        <v>176</v>
      </c>
      <c r="E3333">
        <v>4878650</v>
      </c>
      <c r="F3333" t="s">
        <v>87</v>
      </c>
      <c r="G3333" t="s">
        <v>203</v>
      </c>
      <c r="H3333" t="s">
        <v>239</v>
      </c>
      <c r="I3333" s="4">
        <v>125766.4408</v>
      </c>
      <c r="J3333" s="4">
        <v>251532.88159999999</v>
      </c>
      <c r="L3333" s="4">
        <v>2</v>
      </c>
    </row>
    <row r="3334" spans="1:12">
      <c r="A3334" t="s">
        <v>93</v>
      </c>
      <c r="B3334" s="10">
        <v>45430</v>
      </c>
      <c r="C3334" s="18">
        <f t="shared" si="52"/>
        <v>5</v>
      </c>
      <c r="D3334" t="s">
        <v>176</v>
      </c>
      <c r="E3334">
        <v>4878650</v>
      </c>
      <c r="F3334" t="s">
        <v>87</v>
      </c>
      <c r="G3334" t="s">
        <v>203</v>
      </c>
      <c r="H3334" t="s">
        <v>237</v>
      </c>
      <c r="I3334" s="4">
        <v>125766.4408</v>
      </c>
      <c r="J3334" s="4">
        <v>251532.88159999999</v>
      </c>
      <c r="L3334" s="4">
        <v>2</v>
      </c>
    </row>
    <row r="3335" spans="1:12">
      <c r="A3335" t="s">
        <v>93</v>
      </c>
      <c r="B3335" s="10">
        <v>45430</v>
      </c>
      <c r="C3335" s="18">
        <f t="shared" si="52"/>
        <v>5</v>
      </c>
      <c r="D3335" t="s">
        <v>176</v>
      </c>
      <c r="E3335">
        <v>4878650</v>
      </c>
      <c r="F3335" t="s">
        <v>87</v>
      </c>
      <c r="G3335" t="s">
        <v>203</v>
      </c>
      <c r="H3335" t="s">
        <v>233</v>
      </c>
      <c r="I3335" s="4">
        <v>120735.78316800001</v>
      </c>
      <c r="J3335" s="4">
        <v>241471.56633600002</v>
      </c>
      <c r="L3335" s="4">
        <v>2</v>
      </c>
    </row>
    <row r="3336" spans="1:12">
      <c r="A3336" t="s">
        <v>93</v>
      </c>
      <c r="B3336" s="10">
        <v>45430</v>
      </c>
      <c r="C3336" s="18">
        <f t="shared" si="52"/>
        <v>5</v>
      </c>
      <c r="D3336" t="s">
        <v>176</v>
      </c>
      <c r="E3336">
        <v>4878650</v>
      </c>
      <c r="F3336" t="s">
        <v>87</v>
      </c>
      <c r="G3336" t="s">
        <v>203</v>
      </c>
      <c r="H3336" t="s">
        <v>229</v>
      </c>
      <c r="I3336" s="4">
        <v>125766.4408</v>
      </c>
      <c r="J3336" s="4">
        <v>251532.88159999999</v>
      </c>
      <c r="L3336" s="4">
        <v>2</v>
      </c>
    </row>
    <row r="3337" spans="1:12">
      <c r="A3337" t="s">
        <v>93</v>
      </c>
      <c r="B3337" s="10">
        <v>45434</v>
      </c>
      <c r="C3337" s="18">
        <f t="shared" si="52"/>
        <v>5</v>
      </c>
      <c r="D3337" t="s">
        <v>155</v>
      </c>
      <c r="E3337">
        <v>4879013</v>
      </c>
      <c r="F3337" t="s">
        <v>88</v>
      </c>
      <c r="G3337" t="s">
        <v>204</v>
      </c>
      <c r="H3337" t="s">
        <v>212</v>
      </c>
      <c r="I3337" s="4">
        <v>62946.040799999995</v>
      </c>
      <c r="J3337" s="4">
        <v>2266057.4687999999</v>
      </c>
      <c r="K3337" s="4">
        <v>-67846.032000000007</v>
      </c>
      <c r="L3337" s="4">
        <v>36</v>
      </c>
    </row>
    <row r="3338" spans="1:12">
      <c r="A3338" t="s">
        <v>93</v>
      </c>
      <c r="B3338" s="10">
        <v>45436</v>
      </c>
      <c r="C3338" s="18">
        <f t="shared" si="52"/>
        <v>5</v>
      </c>
      <c r="D3338" t="s">
        <v>155</v>
      </c>
      <c r="E3338">
        <v>4879013</v>
      </c>
      <c r="F3338" t="s">
        <v>88</v>
      </c>
      <c r="G3338" t="s">
        <v>204</v>
      </c>
      <c r="H3338" t="s">
        <v>216</v>
      </c>
      <c r="I3338" s="4">
        <v>113202.36079999999</v>
      </c>
      <c r="J3338" s="4">
        <v>452809.44319999998</v>
      </c>
      <c r="L3338" s="4">
        <v>4</v>
      </c>
    </row>
    <row r="3339" spans="1:12">
      <c r="A3339" t="s">
        <v>93</v>
      </c>
      <c r="B3339" s="10">
        <v>45436</v>
      </c>
      <c r="C3339" s="18">
        <f t="shared" si="52"/>
        <v>5</v>
      </c>
      <c r="D3339" t="s">
        <v>155</v>
      </c>
      <c r="E3339">
        <v>4879013</v>
      </c>
      <c r="F3339" t="s">
        <v>88</v>
      </c>
      <c r="G3339" t="s">
        <v>204</v>
      </c>
      <c r="H3339" t="s">
        <v>221</v>
      </c>
      <c r="I3339" s="4">
        <v>25253.800799999997</v>
      </c>
      <c r="J3339" s="4">
        <v>252538.00799999997</v>
      </c>
      <c r="L3339" s="4">
        <v>10</v>
      </c>
    </row>
    <row r="3340" spans="1:12">
      <c r="A3340" t="s">
        <v>93</v>
      </c>
      <c r="B3340" s="10">
        <v>45436</v>
      </c>
      <c r="C3340" s="18">
        <f t="shared" si="52"/>
        <v>5</v>
      </c>
      <c r="D3340" t="s">
        <v>155</v>
      </c>
      <c r="E3340">
        <v>4879013</v>
      </c>
      <c r="F3340" t="s">
        <v>88</v>
      </c>
      <c r="G3340" t="s">
        <v>204</v>
      </c>
      <c r="H3340" t="s">
        <v>220</v>
      </c>
      <c r="I3340" s="4">
        <v>37817.880799999999</v>
      </c>
      <c r="J3340" s="4">
        <v>378178.80799999996</v>
      </c>
      <c r="L3340" s="4">
        <v>10</v>
      </c>
    </row>
    <row r="3341" spans="1:12">
      <c r="A3341" t="s">
        <v>93</v>
      </c>
      <c r="B3341" s="10">
        <v>45436</v>
      </c>
      <c r="C3341" s="18">
        <f t="shared" si="52"/>
        <v>5</v>
      </c>
      <c r="D3341" t="s">
        <v>155</v>
      </c>
      <c r="E3341">
        <v>4879013</v>
      </c>
      <c r="F3341" t="s">
        <v>88</v>
      </c>
      <c r="G3341" t="s">
        <v>204</v>
      </c>
      <c r="H3341" t="s">
        <v>212</v>
      </c>
      <c r="I3341" s="4">
        <v>62946.040799999995</v>
      </c>
      <c r="J3341" s="4">
        <v>629460.40799999994</v>
      </c>
      <c r="L3341" s="4">
        <v>10</v>
      </c>
    </row>
    <row r="3342" spans="1:12">
      <c r="A3342" t="s">
        <v>93</v>
      </c>
      <c r="B3342" s="10">
        <v>45443</v>
      </c>
      <c r="C3342" s="18">
        <f t="shared" si="52"/>
        <v>5</v>
      </c>
      <c r="D3342" t="s">
        <v>152</v>
      </c>
      <c r="E3342">
        <v>4873703</v>
      </c>
      <c r="F3342" t="s">
        <v>90</v>
      </c>
      <c r="G3342" t="s">
        <v>203</v>
      </c>
      <c r="H3342" t="s">
        <v>228</v>
      </c>
      <c r="I3342" s="4">
        <v>100638.28079999999</v>
      </c>
      <c r="J3342" s="4">
        <v>402553.12319999997</v>
      </c>
      <c r="L3342" s="4">
        <v>4</v>
      </c>
    </row>
    <row r="3343" spans="1:12">
      <c r="A3343" t="s">
        <v>93</v>
      </c>
      <c r="B3343" s="10">
        <v>45443</v>
      </c>
      <c r="C3343" s="18">
        <f t="shared" si="52"/>
        <v>5</v>
      </c>
      <c r="D3343" t="s">
        <v>152</v>
      </c>
      <c r="E3343">
        <v>4873703</v>
      </c>
      <c r="F3343" t="s">
        <v>90</v>
      </c>
      <c r="G3343" t="s">
        <v>203</v>
      </c>
      <c r="H3343" t="s">
        <v>224</v>
      </c>
      <c r="I3343" s="4">
        <v>100638.28079999999</v>
      </c>
      <c r="J3343" s="4">
        <v>402553.12319999997</v>
      </c>
      <c r="L3343" s="4">
        <v>4</v>
      </c>
    </row>
    <row r="3344" spans="1:12">
      <c r="A3344" t="s">
        <v>94</v>
      </c>
      <c r="B3344" s="10">
        <v>45416</v>
      </c>
      <c r="C3344" s="18">
        <f t="shared" si="52"/>
        <v>5</v>
      </c>
      <c r="D3344" t="s">
        <v>150</v>
      </c>
      <c r="E3344">
        <v>4875835</v>
      </c>
      <c r="F3344" t="s">
        <v>90</v>
      </c>
      <c r="G3344" t="s">
        <v>203</v>
      </c>
      <c r="H3344" t="s">
        <v>245</v>
      </c>
      <c r="I3344" s="4">
        <v>100638.28079999999</v>
      </c>
      <c r="J3344" s="4">
        <v>402553.12319999997</v>
      </c>
      <c r="L3344" s="4">
        <v>4</v>
      </c>
    </row>
    <row r="3345" spans="1:12">
      <c r="A3345" t="s">
        <v>94</v>
      </c>
      <c r="B3345" s="10">
        <v>45416</v>
      </c>
      <c r="C3345" s="18">
        <f t="shared" si="52"/>
        <v>5</v>
      </c>
      <c r="D3345" t="s">
        <v>150</v>
      </c>
      <c r="E3345">
        <v>4875835</v>
      </c>
      <c r="F3345" t="s">
        <v>90</v>
      </c>
      <c r="G3345" t="s">
        <v>203</v>
      </c>
      <c r="H3345" t="s">
        <v>243</v>
      </c>
      <c r="I3345" s="4">
        <v>100638.28079999999</v>
      </c>
      <c r="J3345" s="4">
        <v>402553.12319999997</v>
      </c>
      <c r="L3345" s="4">
        <v>4</v>
      </c>
    </row>
    <row r="3346" spans="1:12">
      <c r="A3346" t="s">
        <v>94</v>
      </c>
      <c r="B3346" s="10">
        <v>45416</v>
      </c>
      <c r="C3346" s="18">
        <f t="shared" si="52"/>
        <v>5</v>
      </c>
      <c r="D3346" t="s">
        <v>150</v>
      </c>
      <c r="E3346">
        <v>4875835</v>
      </c>
      <c r="F3346" t="s">
        <v>90</v>
      </c>
      <c r="G3346" t="s">
        <v>203</v>
      </c>
      <c r="H3346" t="s">
        <v>240</v>
      </c>
      <c r="I3346" s="4">
        <v>100638.28079999999</v>
      </c>
      <c r="J3346" s="4">
        <v>402553.12319999997</v>
      </c>
      <c r="L3346" s="4">
        <v>4</v>
      </c>
    </row>
    <row r="3347" spans="1:12">
      <c r="A3347" t="s">
        <v>94</v>
      </c>
      <c r="B3347" s="10">
        <v>45416</v>
      </c>
      <c r="C3347" s="18">
        <f t="shared" si="52"/>
        <v>5</v>
      </c>
      <c r="D3347" t="s">
        <v>150</v>
      </c>
      <c r="E3347">
        <v>4875835</v>
      </c>
      <c r="F3347" t="s">
        <v>90</v>
      </c>
      <c r="G3347" t="s">
        <v>203</v>
      </c>
      <c r="H3347" t="s">
        <v>238</v>
      </c>
      <c r="I3347" s="4">
        <v>95606.36675999999</v>
      </c>
      <c r="J3347" s="4">
        <v>382425.46703999996</v>
      </c>
      <c r="L3347" s="4">
        <v>4</v>
      </c>
    </row>
    <row r="3348" spans="1:12">
      <c r="A3348" t="s">
        <v>94</v>
      </c>
      <c r="B3348" s="10">
        <v>45416</v>
      </c>
      <c r="C3348" s="18">
        <f t="shared" si="52"/>
        <v>5</v>
      </c>
      <c r="D3348" t="s">
        <v>150</v>
      </c>
      <c r="E3348">
        <v>4875835</v>
      </c>
      <c r="F3348" t="s">
        <v>90</v>
      </c>
      <c r="G3348" t="s">
        <v>203</v>
      </c>
      <c r="H3348" t="s">
        <v>244</v>
      </c>
      <c r="I3348" s="4">
        <v>125766.4408</v>
      </c>
      <c r="J3348" s="4">
        <v>251532.88159999999</v>
      </c>
      <c r="L3348" s="4">
        <v>2</v>
      </c>
    </row>
    <row r="3349" spans="1:12">
      <c r="A3349" t="s">
        <v>94</v>
      </c>
      <c r="B3349" s="10">
        <v>45416</v>
      </c>
      <c r="C3349" s="18">
        <f t="shared" si="52"/>
        <v>5</v>
      </c>
      <c r="D3349" t="s">
        <v>150</v>
      </c>
      <c r="E3349">
        <v>4875835</v>
      </c>
      <c r="F3349" t="s">
        <v>90</v>
      </c>
      <c r="G3349" t="s">
        <v>203</v>
      </c>
      <c r="H3349" t="s">
        <v>241</v>
      </c>
      <c r="I3349" s="4">
        <v>125766.4408</v>
      </c>
      <c r="J3349" s="4">
        <v>503065.76319999999</v>
      </c>
      <c r="L3349" s="4">
        <v>4</v>
      </c>
    </row>
    <row r="3350" spans="1:12">
      <c r="A3350" t="s">
        <v>94</v>
      </c>
      <c r="B3350" s="10">
        <v>45416</v>
      </c>
      <c r="C3350" s="18">
        <f t="shared" si="52"/>
        <v>5</v>
      </c>
      <c r="D3350" t="s">
        <v>150</v>
      </c>
      <c r="E3350">
        <v>4875835</v>
      </c>
      <c r="F3350" t="s">
        <v>90</v>
      </c>
      <c r="G3350" t="s">
        <v>203</v>
      </c>
      <c r="H3350" t="s">
        <v>235</v>
      </c>
      <c r="I3350" s="4">
        <v>125766.4408</v>
      </c>
      <c r="J3350" s="4">
        <v>251532.88159999999</v>
      </c>
      <c r="L3350" s="4">
        <v>2</v>
      </c>
    </row>
    <row r="3351" spans="1:12">
      <c r="A3351" t="s">
        <v>94</v>
      </c>
      <c r="B3351" s="10">
        <v>45416</v>
      </c>
      <c r="C3351" s="18">
        <f t="shared" si="52"/>
        <v>5</v>
      </c>
      <c r="D3351" t="s">
        <v>150</v>
      </c>
      <c r="E3351">
        <v>4875835</v>
      </c>
      <c r="F3351" t="s">
        <v>90</v>
      </c>
      <c r="G3351" t="s">
        <v>203</v>
      </c>
      <c r="H3351" t="s">
        <v>231</v>
      </c>
      <c r="I3351" s="4">
        <v>125766.4408</v>
      </c>
      <c r="J3351" s="4">
        <v>503065.76319999999</v>
      </c>
      <c r="L3351" s="4">
        <v>4</v>
      </c>
    </row>
    <row r="3352" spans="1:12">
      <c r="A3352" t="s">
        <v>94</v>
      </c>
      <c r="B3352" s="10">
        <v>45419</v>
      </c>
      <c r="C3352" s="18">
        <f t="shared" si="52"/>
        <v>5</v>
      </c>
      <c r="D3352" t="s">
        <v>150</v>
      </c>
      <c r="E3352">
        <v>4876291</v>
      </c>
      <c r="F3352" t="s">
        <v>87</v>
      </c>
      <c r="G3352" t="s">
        <v>203</v>
      </c>
      <c r="H3352" t="s">
        <v>241</v>
      </c>
      <c r="I3352" s="4">
        <v>125766.4408</v>
      </c>
      <c r="J3352" s="4">
        <v>628832.20400000003</v>
      </c>
      <c r="K3352" s="4">
        <v>-23369.1888</v>
      </c>
      <c r="L3352" s="4">
        <v>5</v>
      </c>
    </row>
    <row r="3353" spans="1:12">
      <c r="A3353" t="s">
        <v>94</v>
      </c>
      <c r="B3353" s="10">
        <v>45419</v>
      </c>
      <c r="C3353" s="18">
        <f t="shared" si="52"/>
        <v>5</v>
      </c>
      <c r="D3353" t="s">
        <v>150</v>
      </c>
      <c r="E3353">
        <v>4876291</v>
      </c>
      <c r="F3353" t="s">
        <v>87</v>
      </c>
      <c r="G3353" t="s">
        <v>203</v>
      </c>
      <c r="H3353" t="s">
        <v>235</v>
      </c>
      <c r="I3353" s="4">
        <v>125766.4408</v>
      </c>
      <c r="J3353" s="4">
        <v>628832.20400000003</v>
      </c>
      <c r="K3353" s="4">
        <v>-23369.1888</v>
      </c>
      <c r="L3353" s="4">
        <v>5</v>
      </c>
    </row>
    <row r="3354" spans="1:12">
      <c r="A3354" t="s">
        <v>94</v>
      </c>
      <c r="B3354" s="10">
        <v>45419</v>
      </c>
      <c r="C3354" s="18">
        <f t="shared" si="52"/>
        <v>5</v>
      </c>
      <c r="D3354" t="s">
        <v>150</v>
      </c>
      <c r="E3354">
        <v>4876291</v>
      </c>
      <c r="F3354" t="s">
        <v>87</v>
      </c>
      <c r="G3354" t="s">
        <v>203</v>
      </c>
      <c r="H3354" t="s">
        <v>231</v>
      </c>
      <c r="I3354" s="4">
        <v>125766.4408</v>
      </c>
      <c r="J3354" s="4">
        <v>628832.20400000003</v>
      </c>
      <c r="K3354" s="4">
        <v>-23369.1888</v>
      </c>
      <c r="L3354" s="4">
        <v>5</v>
      </c>
    </row>
    <row r="3355" spans="1:12">
      <c r="A3355" t="s">
        <v>94</v>
      </c>
      <c r="B3355" s="10">
        <v>45422</v>
      </c>
      <c r="C3355" s="18">
        <f t="shared" si="52"/>
        <v>5</v>
      </c>
      <c r="D3355" t="s">
        <v>150</v>
      </c>
      <c r="E3355">
        <v>4875967</v>
      </c>
      <c r="F3355" t="s">
        <v>87</v>
      </c>
      <c r="G3355" t="s">
        <v>203</v>
      </c>
      <c r="H3355" t="s">
        <v>245</v>
      </c>
      <c r="I3355" s="4">
        <v>100638.28079999999</v>
      </c>
      <c r="J3355" s="4">
        <v>201276.56159999999</v>
      </c>
      <c r="K3355" s="4">
        <v>-7236.9100799999997</v>
      </c>
      <c r="L3355" s="4">
        <v>2</v>
      </c>
    </row>
    <row r="3356" spans="1:12">
      <c r="A3356" t="s">
        <v>94</v>
      </c>
      <c r="B3356" s="10">
        <v>45422</v>
      </c>
      <c r="C3356" s="18">
        <f t="shared" si="52"/>
        <v>5</v>
      </c>
      <c r="D3356" t="s">
        <v>150</v>
      </c>
      <c r="E3356">
        <v>4875967</v>
      </c>
      <c r="F3356" t="s">
        <v>87</v>
      </c>
      <c r="G3356" t="s">
        <v>203</v>
      </c>
      <c r="H3356" t="s">
        <v>243</v>
      </c>
      <c r="I3356" s="4">
        <v>100638.28079999999</v>
      </c>
      <c r="J3356" s="4">
        <v>201276.56159999999</v>
      </c>
      <c r="K3356" s="4">
        <v>-7236.9100799999997</v>
      </c>
      <c r="L3356" s="4">
        <v>2</v>
      </c>
    </row>
    <row r="3357" spans="1:12">
      <c r="A3357" t="s">
        <v>94</v>
      </c>
      <c r="B3357" s="10">
        <v>45422</v>
      </c>
      <c r="C3357" s="18">
        <f t="shared" si="52"/>
        <v>5</v>
      </c>
      <c r="D3357" t="s">
        <v>150</v>
      </c>
      <c r="E3357">
        <v>4875967</v>
      </c>
      <c r="F3357" t="s">
        <v>87</v>
      </c>
      <c r="G3357" t="s">
        <v>203</v>
      </c>
      <c r="H3357" t="s">
        <v>240</v>
      </c>
      <c r="I3357" s="4">
        <v>100638.28079999999</v>
      </c>
      <c r="J3357" s="4">
        <v>201276.56159999999</v>
      </c>
      <c r="K3357" s="4">
        <v>-7236.9100799999997</v>
      </c>
      <c r="L3357" s="4">
        <v>2</v>
      </c>
    </row>
    <row r="3358" spans="1:12">
      <c r="A3358" t="s">
        <v>94</v>
      </c>
      <c r="B3358" s="10">
        <v>45422</v>
      </c>
      <c r="C3358" s="18">
        <f t="shared" si="52"/>
        <v>5</v>
      </c>
      <c r="D3358" t="s">
        <v>150</v>
      </c>
      <c r="E3358">
        <v>4875967</v>
      </c>
      <c r="F3358" t="s">
        <v>87</v>
      </c>
      <c r="G3358" t="s">
        <v>203</v>
      </c>
      <c r="H3358" t="s">
        <v>238</v>
      </c>
      <c r="I3358" s="4">
        <v>95606.36675999999</v>
      </c>
      <c r="J3358" s="4">
        <v>191212.73351999998</v>
      </c>
      <c r="K3358" s="4">
        <v>-7236.9100799999997</v>
      </c>
      <c r="L3358" s="4">
        <v>2</v>
      </c>
    </row>
    <row r="3359" spans="1:12">
      <c r="A3359" t="s">
        <v>94</v>
      </c>
      <c r="B3359" s="10">
        <v>45422</v>
      </c>
      <c r="C3359" s="18">
        <f t="shared" si="52"/>
        <v>5</v>
      </c>
      <c r="D3359" t="s">
        <v>150</v>
      </c>
      <c r="E3359">
        <v>4875967</v>
      </c>
      <c r="F3359" t="s">
        <v>87</v>
      </c>
      <c r="G3359" t="s">
        <v>203</v>
      </c>
      <c r="H3359" t="s">
        <v>241</v>
      </c>
      <c r="I3359" s="4">
        <v>125766.4408</v>
      </c>
      <c r="J3359" s="4">
        <v>251532.88159999999</v>
      </c>
      <c r="K3359" s="4">
        <v>-9347.6755200000007</v>
      </c>
      <c r="L3359" s="4">
        <v>2</v>
      </c>
    </row>
    <row r="3360" spans="1:12">
      <c r="A3360" t="s">
        <v>94</v>
      </c>
      <c r="B3360" s="10">
        <v>45422</v>
      </c>
      <c r="C3360" s="18">
        <f t="shared" si="52"/>
        <v>5</v>
      </c>
      <c r="D3360" t="s">
        <v>150</v>
      </c>
      <c r="E3360">
        <v>4875967</v>
      </c>
      <c r="F3360" t="s">
        <v>87</v>
      </c>
      <c r="G3360" t="s">
        <v>203</v>
      </c>
      <c r="H3360" t="s">
        <v>235</v>
      </c>
      <c r="I3360" s="4">
        <v>125766.4408</v>
      </c>
      <c r="J3360" s="4">
        <v>251532.88159999999</v>
      </c>
      <c r="K3360" s="4">
        <v>-9347.6755200000007</v>
      </c>
      <c r="L3360" s="4">
        <v>2</v>
      </c>
    </row>
    <row r="3361" spans="1:12">
      <c r="A3361" t="s">
        <v>94</v>
      </c>
      <c r="B3361" s="10">
        <v>45422</v>
      </c>
      <c r="C3361" s="18">
        <f t="shared" si="52"/>
        <v>5</v>
      </c>
      <c r="D3361" t="s">
        <v>150</v>
      </c>
      <c r="E3361">
        <v>4875967</v>
      </c>
      <c r="F3361" t="s">
        <v>87</v>
      </c>
      <c r="G3361" t="s">
        <v>203</v>
      </c>
      <c r="H3361" t="s">
        <v>231</v>
      </c>
      <c r="I3361" s="4">
        <v>125766.4408</v>
      </c>
      <c r="J3361" s="4">
        <v>251532.88159999999</v>
      </c>
      <c r="K3361" s="4">
        <v>-9347.6755200000007</v>
      </c>
      <c r="L3361" s="4">
        <v>2</v>
      </c>
    </row>
    <row r="3362" spans="1:12">
      <c r="A3362" t="s">
        <v>94</v>
      </c>
      <c r="B3362" s="10">
        <v>45423</v>
      </c>
      <c r="C3362" s="18">
        <f t="shared" si="52"/>
        <v>5</v>
      </c>
      <c r="D3362" t="s">
        <v>150</v>
      </c>
      <c r="E3362">
        <v>4876004</v>
      </c>
      <c r="F3362" t="s">
        <v>90</v>
      </c>
      <c r="G3362" t="s">
        <v>203</v>
      </c>
      <c r="H3362" t="s">
        <v>241</v>
      </c>
      <c r="I3362" s="4">
        <v>125766.4408</v>
      </c>
      <c r="J3362" s="4">
        <v>628832.20400000003</v>
      </c>
      <c r="K3362" s="4">
        <v>-23369.1888</v>
      </c>
      <c r="L3362" s="4">
        <v>5</v>
      </c>
    </row>
    <row r="3363" spans="1:12">
      <c r="A3363" t="s">
        <v>94</v>
      </c>
      <c r="B3363" s="10">
        <v>45435</v>
      </c>
      <c r="C3363" s="18">
        <f t="shared" si="52"/>
        <v>5</v>
      </c>
      <c r="D3363" t="s">
        <v>150</v>
      </c>
      <c r="E3363">
        <v>4876291</v>
      </c>
      <c r="F3363" t="s">
        <v>87</v>
      </c>
      <c r="G3363" t="s">
        <v>203</v>
      </c>
      <c r="H3363" t="s">
        <v>245</v>
      </c>
      <c r="I3363" s="4">
        <v>100638.28079999999</v>
      </c>
      <c r="J3363" s="4">
        <v>402553.12319999997</v>
      </c>
      <c r="K3363" s="4">
        <v>-14473.820159999999</v>
      </c>
      <c r="L3363" s="4">
        <v>4</v>
      </c>
    </row>
    <row r="3364" spans="1:12">
      <c r="A3364" t="s">
        <v>94</v>
      </c>
      <c r="B3364" s="10">
        <v>45435</v>
      </c>
      <c r="C3364" s="18">
        <f t="shared" si="52"/>
        <v>5</v>
      </c>
      <c r="D3364" t="s">
        <v>150</v>
      </c>
      <c r="E3364">
        <v>4876291</v>
      </c>
      <c r="F3364" t="s">
        <v>87</v>
      </c>
      <c r="G3364" t="s">
        <v>203</v>
      </c>
      <c r="H3364" t="s">
        <v>243</v>
      </c>
      <c r="I3364" s="4">
        <v>100638.28079999999</v>
      </c>
      <c r="J3364" s="4">
        <v>402553.12319999997</v>
      </c>
      <c r="K3364" s="4">
        <v>-14473.820159999999</v>
      </c>
      <c r="L3364" s="4">
        <v>4</v>
      </c>
    </row>
    <row r="3365" spans="1:12">
      <c r="A3365" t="s">
        <v>94</v>
      </c>
      <c r="B3365" s="10">
        <v>45435</v>
      </c>
      <c r="C3365" s="18">
        <f t="shared" si="52"/>
        <v>5</v>
      </c>
      <c r="D3365" t="s">
        <v>150</v>
      </c>
      <c r="E3365">
        <v>4876291</v>
      </c>
      <c r="F3365" t="s">
        <v>87</v>
      </c>
      <c r="G3365" t="s">
        <v>203</v>
      </c>
      <c r="H3365" t="s">
        <v>240</v>
      </c>
      <c r="I3365" s="4">
        <v>100638.28079999999</v>
      </c>
      <c r="J3365" s="4">
        <v>402553.12319999997</v>
      </c>
      <c r="K3365" s="4">
        <v>-14473.820159999999</v>
      </c>
      <c r="L3365" s="4">
        <v>4</v>
      </c>
    </row>
    <row r="3366" spans="1:12">
      <c r="A3366" t="s">
        <v>94</v>
      </c>
      <c r="B3366" s="10">
        <v>45435</v>
      </c>
      <c r="C3366" s="18">
        <f t="shared" si="52"/>
        <v>5</v>
      </c>
      <c r="D3366" t="s">
        <v>150</v>
      </c>
      <c r="E3366">
        <v>4876291</v>
      </c>
      <c r="F3366" t="s">
        <v>87</v>
      </c>
      <c r="G3366" t="s">
        <v>203</v>
      </c>
      <c r="H3366" t="s">
        <v>238</v>
      </c>
      <c r="I3366" s="4">
        <v>95606.36675999999</v>
      </c>
      <c r="J3366" s="4">
        <v>382425.46703999996</v>
      </c>
      <c r="K3366" s="4">
        <v>-14473.820159999999</v>
      </c>
      <c r="L3366" s="4">
        <v>4</v>
      </c>
    </row>
    <row r="3367" spans="1:12">
      <c r="A3367" t="s">
        <v>95</v>
      </c>
      <c r="B3367" s="10">
        <v>45414</v>
      </c>
      <c r="C3367" s="18">
        <f t="shared" si="52"/>
        <v>5</v>
      </c>
      <c r="D3367" t="s">
        <v>188</v>
      </c>
      <c r="E3367">
        <v>4878670</v>
      </c>
      <c r="F3367" t="s">
        <v>90</v>
      </c>
      <c r="G3367" t="s">
        <v>203</v>
      </c>
      <c r="H3367" t="s">
        <v>230</v>
      </c>
      <c r="I3367" s="4">
        <v>100638.28079999999</v>
      </c>
      <c r="J3367" s="4">
        <v>201276.56159999999</v>
      </c>
      <c r="L3367" s="4">
        <v>2</v>
      </c>
    </row>
    <row r="3368" spans="1:12">
      <c r="A3368" t="s">
        <v>95</v>
      </c>
      <c r="B3368" s="10">
        <v>45414</v>
      </c>
      <c r="C3368" s="18">
        <f t="shared" si="52"/>
        <v>5</v>
      </c>
      <c r="D3368" t="s">
        <v>188</v>
      </c>
      <c r="E3368">
        <v>4878670</v>
      </c>
      <c r="F3368" t="s">
        <v>90</v>
      </c>
      <c r="G3368" t="s">
        <v>203</v>
      </c>
      <c r="H3368" t="s">
        <v>229</v>
      </c>
      <c r="I3368" s="4">
        <v>125766.4408</v>
      </c>
      <c r="J3368" s="4">
        <v>251532.88159999999</v>
      </c>
      <c r="L3368" s="4">
        <v>2</v>
      </c>
    </row>
    <row r="3369" spans="1:12">
      <c r="A3369" t="s">
        <v>95</v>
      </c>
      <c r="B3369" s="10">
        <v>45414</v>
      </c>
      <c r="C3369" s="18">
        <f t="shared" si="52"/>
        <v>5</v>
      </c>
      <c r="D3369" t="s">
        <v>188</v>
      </c>
      <c r="E3369">
        <v>4877183</v>
      </c>
      <c r="F3369" t="s">
        <v>90</v>
      </c>
      <c r="G3369" t="s">
        <v>203</v>
      </c>
      <c r="H3369" t="s">
        <v>230</v>
      </c>
      <c r="I3369" s="4">
        <v>100638.28079999999</v>
      </c>
      <c r="J3369" s="4">
        <v>201276.56159999999</v>
      </c>
      <c r="L3369" s="4">
        <v>2</v>
      </c>
    </row>
    <row r="3370" spans="1:12">
      <c r="A3370" t="s">
        <v>95</v>
      </c>
      <c r="B3370" s="10">
        <v>45414</v>
      </c>
      <c r="C3370" s="18">
        <f t="shared" si="52"/>
        <v>5</v>
      </c>
      <c r="D3370" t="s">
        <v>188</v>
      </c>
      <c r="E3370">
        <v>4877018</v>
      </c>
      <c r="F3370" t="s">
        <v>89</v>
      </c>
      <c r="G3370" t="s">
        <v>203</v>
      </c>
      <c r="H3370" t="s">
        <v>240</v>
      </c>
      <c r="I3370" s="4">
        <v>100638.28079999999</v>
      </c>
      <c r="J3370" s="4">
        <v>1006382.808</v>
      </c>
      <c r="L3370" s="4">
        <v>10</v>
      </c>
    </row>
    <row r="3371" spans="1:12">
      <c r="A3371" t="s">
        <v>95</v>
      </c>
      <c r="B3371" s="10">
        <v>45414</v>
      </c>
      <c r="C3371" s="18">
        <f t="shared" si="52"/>
        <v>5</v>
      </c>
      <c r="D3371" t="s">
        <v>188</v>
      </c>
      <c r="E3371">
        <v>4877018</v>
      </c>
      <c r="F3371" t="s">
        <v>89</v>
      </c>
      <c r="G3371" t="s">
        <v>203</v>
      </c>
      <c r="H3371" t="s">
        <v>229</v>
      </c>
      <c r="I3371" s="4">
        <v>125766.4408</v>
      </c>
      <c r="J3371" s="4">
        <v>1257664.4080000001</v>
      </c>
      <c r="L3371" s="4">
        <v>10</v>
      </c>
    </row>
    <row r="3372" spans="1:12">
      <c r="A3372" t="s">
        <v>95</v>
      </c>
      <c r="B3372" s="10">
        <v>45416</v>
      </c>
      <c r="C3372" s="18">
        <f t="shared" si="52"/>
        <v>5</v>
      </c>
      <c r="D3372" t="s">
        <v>174</v>
      </c>
      <c r="E3372">
        <v>4876014</v>
      </c>
      <c r="F3372" t="s">
        <v>87</v>
      </c>
      <c r="G3372" t="s">
        <v>203</v>
      </c>
      <c r="H3372" t="s">
        <v>240</v>
      </c>
      <c r="I3372" s="4">
        <v>100638.28079999999</v>
      </c>
      <c r="J3372" s="4">
        <v>201276.56159999999</v>
      </c>
      <c r="L3372" s="4">
        <v>2</v>
      </c>
    </row>
    <row r="3373" spans="1:12">
      <c r="A3373" t="s">
        <v>95</v>
      </c>
      <c r="B3373" s="10">
        <v>45416</v>
      </c>
      <c r="C3373" s="18">
        <f t="shared" si="52"/>
        <v>5</v>
      </c>
      <c r="D3373" t="s">
        <v>174</v>
      </c>
      <c r="E3373">
        <v>4876014</v>
      </c>
      <c r="F3373" t="s">
        <v>87</v>
      </c>
      <c r="G3373" t="s">
        <v>203</v>
      </c>
      <c r="H3373" t="s">
        <v>238</v>
      </c>
      <c r="I3373" s="4">
        <v>95606.36675999999</v>
      </c>
      <c r="J3373" s="4">
        <v>191212.73351999998</v>
      </c>
      <c r="L3373" s="4">
        <v>2</v>
      </c>
    </row>
    <row r="3374" spans="1:12">
      <c r="A3374" t="s">
        <v>95</v>
      </c>
      <c r="B3374" s="10">
        <v>45416</v>
      </c>
      <c r="C3374" s="18">
        <f t="shared" si="52"/>
        <v>5</v>
      </c>
      <c r="D3374" t="s">
        <v>174</v>
      </c>
      <c r="E3374">
        <v>4876014</v>
      </c>
      <c r="F3374" t="s">
        <v>87</v>
      </c>
      <c r="G3374" t="s">
        <v>203</v>
      </c>
      <c r="H3374" t="s">
        <v>230</v>
      </c>
      <c r="I3374" s="4">
        <v>100638.28079999999</v>
      </c>
      <c r="J3374" s="4">
        <v>201276.56159999999</v>
      </c>
      <c r="L3374" s="4">
        <v>2</v>
      </c>
    </row>
    <row r="3375" spans="1:12">
      <c r="A3375" t="s">
        <v>95</v>
      </c>
      <c r="B3375" s="10">
        <v>45416</v>
      </c>
      <c r="C3375" s="18">
        <f t="shared" si="52"/>
        <v>5</v>
      </c>
      <c r="D3375" t="s">
        <v>188</v>
      </c>
      <c r="E3375">
        <v>4879158</v>
      </c>
      <c r="F3375" t="s">
        <v>87</v>
      </c>
      <c r="G3375" t="s">
        <v>203</v>
      </c>
      <c r="H3375" t="s">
        <v>225</v>
      </c>
      <c r="I3375" s="4">
        <v>100638.28079999999</v>
      </c>
      <c r="J3375" s="4">
        <v>1006382.808</v>
      </c>
      <c r="L3375" s="4">
        <v>10</v>
      </c>
    </row>
    <row r="3376" spans="1:12">
      <c r="A3376" t="s">
        <v>95</v>
      </c>
      <c r="B3376" s="10">
        <v>45416</v>
      </c>
      <c r="C3376" s="18">
        <f t="shared" si="52"/>
        <v>5</v>
      </c>
      <c r="D3376" t="s">
        <v>188</v>
      </c>
      <c r="E3376">
        <v>4879158</v>
      </c>
      <c r="F3376" t="s">
        <v>87</v>
      </c>
      <c r="G3376" t="s">
        <v>203</v>
      </c>
      <c r="H3376" t="s">
        <v>229</v>
      </c>
      <c r="I3376" s="4">
        <v>125766.4408</v>
      </c>
      <c r="J3376" s="4">
        <v>1257664.4080000001</v>
      </c>
      <c r="L3376" s="4">
        <v>10</v>
      </c>
    </row>
    <row r="3377" spans="1:12">
      <c r="A3377" t="s">
        <v>95</v>
      </c>
      <c r="B3377" s="10">
        <v>45416</v>
      </c>
      <c r="C3377" s="18">
        <f t="shared" si="52"/>
        <v>5</v>
      </c>
      <c r="D3377" t="s">
        <v>188</v>
      </c>
      <c r="E3377">
        <v>4876149</v>
      </c>
      <c r="F3377" t="s">
        <v>88</v>
      </c>
      <c r="G3377" t="s">
        <v>203</v>
      </c>
      <c r="H3377" t="s">
        <v>229</v>
      </c>
      <c r="I3377" s="4">
        <v>125766.4408</v>
      </c>
      <c r="J3377" s="4">
        <v>503065.76319999999</v>
      </c>
      <c r="L3377" s="4">
        <v>4</v>
      </c>
    </row>
    <row r="3378" spans="1:12">
      <c r="A3378" t="s">
        <v>95</v>
      </c>
      <c r="B3378" s="10">
        <v>45416</v>
      </c>
      <c r="C3378" s="18">
        <f t="shared" si="52"/>
        <v>5</v>
      </c>
      <c r="D3378" t="s">
        <v>188</v>
      </c>
      <c r="E3378">
        <v>4878830</v>
      </c>
      <c r="F3378" t="s">
        <v>90</v>
      </c>
      <c r="G3378" t="s">
        <v>203</v>
      </c>
      <c r="H3378" t="s">
        <v>238</v>
      </c>
      <c r="I3378" s="4">
        <v>95606.36675999999</v>
      </c>
      <c r="J3378" s="4">
        <v>573638.20055999991</v>
      </c>
      <c r="L3378" s="4">
        <v>6</v>
      </c>
    </row>
    <row r="3379" spans="1:12">
      <c r="A3379" t="s">
        <v>95</v>
      </c>
      <c r="B3379" s="10">
        <v>45418</v>
      </c>
      <c r="C3379" s="18">
        <f t="shared" si="52"/>
        <v>5</v>
      </c>
      <c r="D3379" t="s">
        <v>188</v>
      </c>
      <c r="E3379">
        <v>4876241</v>
      </c>
      <c r="F3379" t="s">
        <v>89</v>
      </c>
      <c r="G3379" t="s">
        <v>203</v>
      </c>
      <c r="H3379" t="s">
        <v>240</v>
      </c>
      <c r="I3379" s="4">
        <v>100638.28079999999</v>
      </c>
      <c r="J3379" s="4">
        <v>301914.84239999996</v>
      </c>
      <c r="L3379" s="4">
        <v>3</v>
      </c>
    </row>
    <row r="3380" spans="1:12">
      <c r="A3380" t="s">
        <v>95</v>
      </c>
      <c r="B3380" s="10">
        <v>45419</v>
      </c>
      <c r="C3380" s="18">
        <f t="shared" si="52"/>
        <v>5</v>
      </c>
      <c r="D3380" t="s">
        <v>188</v>
      </c>
      <c r="E3380">
        <v>4875879</v>
      </c>
      <c r="F3380" t="s">
        <v>87</v>
      </c>
      <c r="G3380" t="s">
        <v>203</v>
      </c>
      <c r="H3380" t="s">
        <v>229</v>
      </c>
      <c r="I3380" s="4">
        <v>125766.4408</v>
      </c>
      <c r="J3380" s="4">
        <v>251532.88159999999</v>
      </c>
      <c r="L3380" s="4">
        <v>2</v>
      </c>
    </row>
    <row r="3381" spans="1:12">
      <c r="A3381" t="s">
        <v>95</v>
      </c>
      <c r="B3381" s="10">
        <v>45423</v>
      </c>
      <c r="C3381" s="18">
        <f t="shared" si="52"/>
        <v>5</v>
      </c>
      <c r="D3381" t="s">
        <v>145</v>
      </c>
      <c r="E3381">
        <v>4876396</v>
      </c>
      <c r="F3381" t="s">
        <v>87</v>
      </c>
      <c r="G3381" t="s">
        <v>203</v>
      </c>
      <c r="H3381" t="s">
        <v>238</v>
      </c>
      <c r="I3381" s="4">
        <v>95606.36675999999</v>
      </c>
      <c r="J3381" s="4">
        <v>956063.66759999993</v>
      </c>
      <c r="L3381" s="4">
        <v>10</v>
      </c>
    </row>
    <row r="3382" spans="1:12">
      <c r="A3382" t="s">
        <v>95</v>
      </c>
      <c r="B3382" s="10">
        <v>45423</v>
      </c>
      <c r="C3382" s="18">
        <f t="shared" si="52"/>
        <v>5</v>
      </c>
      <c r="D3382" t="s">
        <v>145</v>
      </c>
      <c r="E3382">
        <v>4876396</v>
      </c>
      <c r="F3382" t="s">
        <v>87</v>
      </c>
      <c r="G3382" t="s">
        <v>203</v>
      </c>
      <c r="H3382" t="s">
        <v>229</v>
      </c>
      <c r="I3382" s="4">
        <v>125766.4408</v>
      </c>
      <c r="J3382" s="4">
        <v>1257664.4080000001</v>
      </c>
      <c r="L3382" s="4">
        <v>10</v>
      </c>
    </row>
    <row r="3383" spans="1:12">
      <c r="A3383" t="s">
        <v>95</v>
      </c>
      <c r="B3383" s="10">
        <v>45423</v>
      </c>
      <c r="C3383" s="18">
        <f t="shared" si="52"/>
        <v>5</v>
      </c>
      <c r="D3383" t="s">
        <v>188</v>
      </c>
      <c r="E3383">
        <v>4877018</v>
      </c>
      <c r="F3383" t="s">
        <v>89</v>
      </c>
      <c r="G3383" t="s">
        <v>203</v>
      </c>
      <c r="H3383" t="s">
        <v>240</v>
      </c>
      <c r="I3383" s="4">
        <v>100638.28079999999</v>
      </c>
      <c r="J3383" s="4">
        <v>301914.84239999996</v>
      </c>
      <c r="L3383" s="4">
        <v>3</v>
      </c>
    </row>
    <row r="3384" spans="1:12">
      <c r="A3384" t="s">
        <v>95</v>
      </c>
      <c r="B3384" s="10">
        <v>45423</v>
      </c>
      <c r="C3384" s="18">
        <f t="shared" si="52"/>
        <v>5</v>
      </c>
      <c r="D3384" t="s">
        <v>188</v>
      </c>
      <c r="E3384">
        <v>4877018</v>
      </c>
      <c r="F3384" t="s">
        <v>89</v>
      </c>
      <c r="G3384" t="s">
        <v>203</v>
      </c>
      <c r="H3384" t="s">
        <v>238</v>
      </c>
      <c r="I3384" s="4">
        <v>95606.36675999999</v>
      </c>
      <c r="J3384" s="4">
        <v>95606.36675999999</v>
      </c>
      <c r="L3384" s="4">
        <v>1</v>
      </c>
    </row>
    <row r="3385" spans="1:12">
      <c r="A3385" t="s">
        <v>95</v>
      </c>
      <c r="B3385" s="10">
        <v>45423</v>
      </c>
      <c r="C3385" s="18">
        <f t="shared" si="52"/>
        <v>5</v>
      </c>
      <c r="D3385" t="s">
        <v>188</v>
      </c>
      <c r="E3385">
        <v>4877018</v>
      </c>
      <c r="F3385" t="s">
        <v>89</v>
      </c>
      <c r="G3385" t="s">
        <v>203</v>
      </c>
      <c r="H3385" t="s">
        <v>232</v>
      </c>
      <c r="I3385" s="4">
        <v>100638.28079999999</v>
      </c>
      <c r="J3385" s="4">
        <v>100638.28079999999</v>
      </c>
      <c r="L3385" s="4">
        <v>1</v>
      </c>
    </row>
    <row r="3386" spans="1:12">
      <c r="A3386" t="s">
        <v>95</v>
      </c>
      <c r="B3386" s="10">
        <v>45423</v>
      </c>
      <c r="C3386" s="18">
        <f t="shared" si="52"/>
        <v>5</v>
      </c>
      <c r="D3386" t="s">
        <v>188</v>
      </c>
      <c r="E3386">
        <v>4877018</v>
      </c>
      <c r="F3386" t="s">
        <v>89</v>
      </c>
      <c r="G3386" t="s">
        <v>203</v>
      </c>
      <c r="H3386" t="s">
        <v>230</v>
      </c>
      <c r="I3386" s="4">
        <v>100638.28079999999</v>
      </c>
      <c r="J3386" s="4">
        <v>301914.84239999996</v>
      </c>
      <c r="L3386" s="4">
        <v>3</v>
      </c>
    </row>
    <row r="3387" spans="1:12">
      <c r="A3387" t="s">
        <v>95</v>
      </c>
      <c r="B3387" s="10">
        <v>45423</v>
      </c>
      <c r="C3387" s="18">
        <f t="shared" si="52"/>
        <v>5</v>
      </c>
      <c r="D3387" t="s">
        <v>188</v>
      </c>
      <c r="E3387">
        <v>4877018</v>
      </c>
      <c r="F3387" t="s">
        <v>89</v>
      </c>
      <c r="G3387" t="s">
        <v>203</v>
      </c>
      <c r="H3387" t="s">
        <v>228</v>
      </c>
      <c r="I3387" s="4">
        <v>100638.28079999999</v>
      </c>
      <c r="J3387" s="4">
        <v>1006382.808</v>
      </c>
      <c r="L3387" s="4">
        <v>10</v>
      </c>
    </row>
    <row r="3388" spans="1:12">
      <c r="A3388" t="s">
        <v>95</v>
      </c>
      <c r="B3388" s="10">
        <v>45423</v>
      </c>
      <c r="C3388" s="18">
        <f t="shared" si="52"/>
        <v>5</v>
      </c>
      <c r="D3388" t="s">
        <v>188</v>
      </c>
      <c r="E3388">
        <v>4877018</v>
      </c>
      <c r="F3388" t="s">
        <v>89</v>
      </c>
      <c r="G3388" t="s">
        <v>203</v>
      </c>
      <c r="H3388" t="s">
        <v>229</v>
      </c>
      <c r="I3388" s="4">
        <v>125766.4408</v>
      </c>
      <c r="J3388" s="4">
        <v>125766.4408</v>
      </c>
      <c r="L3388" s="4">
        <v>1</v>
      </c>
    </row>
    <row r="3389" spans="1:12">
      <c r="A3389" t="s">
        <v>95</v>
      </c>
      <c r="B3389" s="10">
        <v>45424</v>
      </c>
      <c r="C3389" s="18">
        <f t="shared" si="52"/>
        <v>5</v>
      </c>
      <c r="D3389" t="s">
        <v>145</v>
      </c>
      <c r="E3389">
        <v>4878040</v>
      </c>
      <c r="F3389" t="s">
        <v>88</v>
      </c>
      <c r="G3389" t="s">
        <v>203</v>
      </c>
      <c r="H3389" t="s">
        <v>238</v>
      </c>
      <c r="I3389" s="4">
        <v>95606.36675999999</v>
      </c>
      <c r="J3389" s="4">
        <v>95606.36675999999</v>
      </c>
      <c r="L3389" s="4">
        <v>1</v>
      </c>
    </row>
    <row r="3390" spans="1:12">
      <c r="A3390" t="s">
        <v>95</v>
      </c>
      <c r="B3390" s="10">
        <v>45431</v>
      </c>
      <c r="C3390" s="18">
        <f t="shared" si="52"/>
        <v>5</v>
      </c>
      <c r="D3390" t="s">
        <v>188</v>
      </c>
      <c r="E3390">
        <v>4878040</v>
      </c>
      <c r="F3390" t="s">
        <v>88</v>
      </c>
      <c r="G3390" t="s">
        <v>203</v>
      </c>
      <c r="H3390" t="s">
        <v>225</v>
      </c>
      <c r="I3390" s="4">
        <v>100638.28079999999</v>
      </c>
      <c r="J3390" s="4">
        <v>100638.28079999999</v>
      </c>
      <c r="L3390" s="4">
        <v>1</v>
      </c>
    </row>
    <row r="3391" spans="1:12">
      <c r="A3391" t="s">
        <v>108</v>
      </c>
      <c r="B3391" s="10">
        <v>45425</v>
      </c>
      <c r="C3391" s="18">
        <f t="shared" si="52"/>
        <v>5</v>
      </c>
      <c r="D3391" t="s">
        <v>170</v>
      </c>
      <c r="E3391">
        <v>4878304</v>
      </c>
      <c r="F3391" t="s">
        <v>88</v>
      </c>
      <c r="G3391" t="s">
        <v>204</v>
      </c>
      <c r="H3391" t="s">
        <v>216</v>
      </c>
      <c r="I3391" s="4">
        <v>113202.36079999999</v>
      </c>
      <c r="J3391" s="4">
        <v>113202.36079999999</v>
      </c>
      <c r="K3391" s="4">
        <v>-3392.3016000000002</v>
      </c>
      <c r="L3391" s="4">
        <v>1</v>
      </c>
    </row>
    <row r="3392" spans="1:12">
      <c r="A3392" t="s">
        <v>108</v>
      </c>
      <c r="B3392" s="10">
        <v>45428</v>
      </c>
      <c r="C3392" s="18">
        <f t="shared" si="52"/>
        <v>5</v>
      </c>
      <c r="D3392" t="s">
        <v>170</v>
      </c>
      <c r="E3392">
        <v>6080413</v>
      </c>
      <c r="F3392" t="s">
        <v>88</v>
      </c>
      <c r="G3392" t="s">
        <v>204</v>
      </c>
      <c r="H3392" t="s">
        <v>216</v>
      </c>
      <c r="I3392" s="4">
        <v>113202.36079999999</v>
      </c>
      <c r="J3392" s="4">
        <v>113202.36079999999</v>
      </c>
      <c r="L3392" s="4">
        <v>1</v>
      </c>
    </row>
    <row r="3393" spans="1:12">
      <c r="A3393" t="s">
        <v>108</v>
      </c>
      <c r="B3393" s="10">
        <v>45443</v>
      </c>
      <c r="C3393" s="18">
        <f t="shared" si="52"/>
        <v>5</v>
      </c>
      <c r="D3393" t="s">
        <v>169</v>
      </c>
      <c r="E3393">
        <v>6080235</v>
      </c>
      <c r="F3393" t="s">
        <v>89</v>
      </c>
      <c r="G3393" t="s">
        <v>203</v>
      </c>
      <c r="H3393" t="s">
        <v>238</v>
      </c>
      <c r="I3393" s="4">
        <v>95606.36675999999</v>
      </c>
      <c r="J3393" s="4">
        <v>191212.73351999998</v>
      </c>
      <c r="L3393" s="4">
        <v>2</v>
      </c>
    </row>
    <row r="3394" spans="1:12">
      <c r="A3394" t="s">
        <v>108</v>
      </c>
      <c r="B3394" s="10">
        <v>45443</v>
      </c>
      <c r="C3394" s="18">
        <f t="shared" ref="C3394:C3457" si="53">MONTH(B3394)</f>
        <v>5</v>
      </c>
      <c r="D3394" t="s">
        <v>168</v>
      </c>
      <c r="E3394">
        <v>4876999</v>
      </c>
      <c r="F3394" t="s">
        <v>89</v>
      </c>
      <c r="G3394" t="s">
        <v>203</v>
      </c>
      <c r="H3394" t="s">
        <v>243</v>
      </c>
      <c r="I3394" s="4">
        <v>100638.28079999999</v>
      </c>
      <c r="J3394" s="4">
        <v>201276.56159999999</v>
      </c>
      <c r="L3394" s="4">
        <v>2</v>
      </c>
    </row>
    <row r="3395" spans="1:12">
      <c r="A3395" t="s">
        <v>108</v>
      </c>
      <c r="B3395" s="10">
        <v>45443</v>
      </c>
      <c r="C3395" s="18">
        <f t="shared" si="53"/>
        <v>5</v>
      </c>
      <c r="D3395" t="s">
        <v>168</v>
      </c>
      <c r="E3395">
        <v>4876999</v>
      </c>
      <c r="F3395" t="s">
        <v>89</v>
      </c>
      <c r="G3395" t="s">
        <v>203</v>
      </c>
      <c r="H3395" t="s">
        <v>238</v>
      </c>
      <c r="I3395" s="4">
        <v>95606.36675999999</v>
      </c>
      <c r="J3395" s="4">
        <v>191212.73351999998</v>
      </c>
      <c r="L3395" s="4">
        <v>2</v>
      </c>
    </row>
    <row r="3396" spans="1:12">
      <c r="A3396" t="s">
        <v>108</v>
      </c>
      <c r="B3396" s="10">
        <v>45443</v>
      </c>
      <c r="C3396" s="18">
        <f t="shared" si="53"/>
        <v>5</v>
      </c>
      <c r="D3396" t="s">
        <v>168</v>
      </c>
      <c r="E3396">
        <v>4876999</v>
      </c>
      <c r="F3396" t="s">
        <v>89</v>
      </c>
      <c r="G3396" t="s">
        <v>203</v>
      </c>
      <c r="H3396" t="s">
        <v>244</v>
      </c>
      <c r="I3396" s="4">
        <v>125766.4408</v>
      </c>
      <c r="J3396" s="4">
        <v>125766.4408</v>
      </c>
      <c r="L3396" s="4">
        <v>1</v>
      </c>
    </row>
    <row r="3397" spans="1:12">
      <c r="A3397" t="s">
        <v>108</v>
      </c>
      <c r="B3397" s="10">
        <v>45443</v>
      </c>
      <c r="C3397" s="18">
        <f t="shared" si="53"/>
        <v>5</v>
      </c>
      <c r="D3397" t="s">
        <v>168</v>
      </c>
      <c r="E3397">
        <v>4876999</v>
      </c>
      <c r="F3397" t="s">
        <v>89</v>
      </c>
      <c r="G3397" t="s">
        <v>203</v>
      </c>
      <c r="H3397" t="s">
        <v>239</v>
      </c>
      <c r="I3397" s="4">
        <v>125766.4408</v>
      </c>
      <c r="J3397" s="4">
        <v>125766.4408</v>
      </c>
      <c r="L3397" s="4">
        <v>1</v>
      </c>
    </row>
    <row r="3398" spans="1:12">
      <c r="A3398" t="s">
        <v>108</v>
      </c>
      <c r="B3398" s="10">
        <v>45443</v>
      </c>
      <c r="C3398" s="18">
        <f t="shared" si="53"/>
        <v>5</v>
      </c>
      <c r="D3398" t="s">
        <v>168</v>
      </c>
      <c r="E3398">
        <v>4877395</v>
      </c>
      <c r="F3398" t="s">
        <v>87</v>
      </c>
      <c r="G3398" t="s">
        <v>203</v>
      </c>
      <c r="H3398" t="s">
        <v>239</v>
      </c>
      <c r="I3398" s="4">
        <v>125766.4408</v>
      </c>
      <c r="J3398" s="4">
        <v>628832.20400000003</v>
      </c>
      <c r="L3398" s="4">
        <v>5</v>
      </c>
    </row>
    <row r="3399" spans="1:12">
      <c r="A3399" t="s">
        <v>108</v>
      </c>
      <c r="B3399" s="10">
        <v>45443</v>
      </c>
      <c r="C3399" s="18">
        <f t="shared" si="53"/>
        <v>5</v>
      </c>
      <c r="D3399" t="s">
        <v>170</v>
      </c>
      <c r="E3399">
        <v>6080413</v>
      </c>
      <c r="F3399" t="s">
        <v>88</v>
      </c>
      <c r="G3399" t="s">
        <v>204</v>
      </c>
      <c r="H3399" t="s">
        <v>216</v>
      </c>
      <c r="I3399" s="4">
        <v>113202.36079999999</v>
      </c>
      <c r="J3399" s="4">
        <v>-113202.36079999999</v>
      </c>
      <c r="L3399" s="4">
        <v>-1</v>
      </c>
    </row>
    <row r="3400" spans="1:12">
      <c r="A3400" t="s">
        <v>106</v>
      </c>
      <c r="B3400" s="10">
        <v>45416</v>
      </c>
      <c r="C3400" s="18">
        <f t="shared" si="53"/>
        <v>5</v>
      </c>
      <c r="D3400" t="s">
        <v>135</v>
      </c>
      <c r="E3400">
        <v>4873291</v>
      </c>
      <c r="F3400" t="s">
        <v>89</v>
      </c>
      <c r="G3400" t="s">
        <v>203</v>
      </c>
      <c r="H3400" t="s">
        <v>238</v>
      </c>
      <c r="I3400" s="4">
        <v>95606.36675999999</v>
      </c>
      <c r="J3400" s="4">
        <v>382425.46703999996</v>
      </c>
      <c r="L3400" s="4">
        <v>4</v>
      </c>
    </row>
    <row r="3401" spans="1:12">
      <c r="A3401" t="s">
        <v>106</v>
      </c>
      <c r="B3401" s="10">
        <v>45416</v>
      </c>
      <c r="C3401" s="18">
        <f t="shared" si="53"/>
        <v>5</v>
      </c>
      <c r="D3401" t="s">
        <v>135</v>
      </c>
      <c r="E3401">
        <v>4873291</v>
      </c>
      <c r="F3401" t="s">
        <v>89</v>
      </c>
      <c r="G3401" t="s">
        <v>203</v>
      </c>
      <c r="H3401" t="s">
        <v>244</v>
      </c>
      <c r="I3401" s="4">
        <v>125766.4408</v>
      </c>
      <c r="J3401" s="4">
        <v>503065.76319999999</v>
      </c>
      <c r="L3401" s="4">
        <v>4</v>
      </c>
    </row>
    <row r="3402" spans="1:12">
      <c r="A3402" t="s">
        <v>106</v>
      </c>
      <c r="B3402" s="10">
        <v>45423</v>
      </c>
      <c r="C3402" s="18">
        <f t="shared" si="53"/>
        <v>5</v>
      </c>
      <c r="D3402" t="s">
        <v>135</v>
      </c>
      <c r="E3402">
        <v>4872613</v>
      </c>
      <c r="F3402" t="s">
        <v>88</v>
      </c>
      <c r="G3402" t="s">
        <v>204</v>
      </c>
      <c r="H3402" t="s">
        <v>217</v>
      </c>
      <c r="I3402" s="4">
        <v>78022.936799999996</v>
      </c>
      <c r="J3402" s="4">
        <v>-78022.936799999996</v>
      </c>
      <c r="L3402" s="4">
        <v>-1</v>
      </c>
    </row>
    <row r="3403" spans="1:12">
      <c r="A3403" t="s">
        <v>106</v>
      </c>
      <c r="B3403" s="10">
        <v>45427</v>
      </c>
      <c r="C3403" s="18">
        <f t="shared" si="53"/>
        <v>5</v>
      </c>
      <c r="D3403" t="s">
        <v>135</v>
      </c>
      <c r="E3403">
        <v>4878723</v>
      </c>
      <c r="F3403" t="s">
        <v>90</v>
      </c>
      <c r="G3403" t="s">
        <v>203</v>
      </c>
      <c r="H3403" t="s">
        <v>240</v>
      </c>
      <c r="I3403" s="4">
        <v>100638.28079999999</v>
      </c>
      <c r="J3403" s="4">
        <v>1006382.808</v>
      </c>
      <c r="L3403" s="4">
        <v>10</v>
      </c>
    </row>
    <row r="3404" spans="1:12">
      <c r="A3404" t="s">
        <v>106</v>
      </c>
      <c r="B3404" s="10">
        <v>45427</v>
      </c>
      <c r="C3404" s="18">
        <f t="shared" si="53"/>
        <v>5</v>
      </c>
      <c r="D3404" t="s">
        <v>135</v>
      </c>
      <c r="E3404">
        <v>4872839</v>
      </c>
      <c r="F3404" t="s">
        <v>89</v>
      </c>
      <c r="G3404" t="s">
        <v>203</v>
      </c>
      <c r="H3404" t="s">
        <v>240</v>
      </c>
      <c r="I3404" s="4">
        <v>100638.28079999999</v>
      </c>
      <c r="J3404" s="4">
        <v>805106.24639999995</v>
      </c>
      <c r="L3404" s="4">
        <v>8</v>
      </c>
    </row>
    <row r="3405" spans="1:12">
      <c r="A3405" t="s">
        <v>106</v>
      </c>
      <c r="B3405" s="10">
        <v>45427</v>
      </c>
      <c r="C3405" s="18">
        <f t="shared" si="53"/>
        <v>5</v>
      </c>
      <c r="D3405" t="s">
        <v>135</v>
      </c>
      <c r="E3405">
        <v>4872948</v>
      </c>
      <c r="F3405" t="s">
        <v>88</v>
      </c>
      <c r="G3405" t="s">
        <v>203</v>
      </c>
      <c r="H3405" t="s">
        <v>245</v>
      </c>
      <c r="I3405" s="4">
        <v>100638.28079999999</v>
      </c>
      <c r="J3405" s="4">
        <v>402553.12319999997</v>
      </c>
      <c r="L3405" s="4">
        <v>4</v>
      </c>
    </row>
    <row r="3406" spans="1:12">
      <c r="A3406" t="s">
        <v>106</v>
      </c>
      <c r="B3406" s="10">
        <v>45427</v>
      </c>
      <c r="C3406" s="18">
        <f t="shared" si="53"/>
        <v>5</v>
      </c>
      <c r="D3406" t="s">
        <v>135</v>
      </c>
      <c r="E3406">
        <v>4872948</v>
      </c>
      <c r="F3406" t="s">
        <v>88</v>
      </c>
      <c r="G3406" t="s">
        <v>203</v>
      </c>
      <c r="H3406" t="s">
        <v>240</v>
      </c>
      <c r="I3406" s="4">
        <v>100638.28079999999</v>
      </c>
      <c r="J3406" s="4">
        <v>402553.12319999997</v>
      </c>
      <c r="L3406" s="4">
        <v>4</v>
      </c>
    </row>
    <row r="3407" spans="1:12">
      <c r="A3407" t="s">
        <v>106</v>
      </c>
      <c r="B3407" s="10">
        <v>45427</v>
      </c>
      <c r="C3407" s="18">
        <f t="shared" si="53"/>
        <v>5</v>
      </c>
      <c r="D3407" t="s">
        <v>135</v>
      </c>
      <c r="E3407">
        <v>4872948</v>
      </c>
      <c r="F3407" t="s">
        <v>88</v>
      </c>
      <c r="G3407" t="s">
        <v>203</v>
      </c>
      <c r="H3407" t="s">
        <v>238</v>
      </c>
      <c r="I3407" s="4">
        <v>95606.36675999999</v>
      </c>
      <c r="J3407" s="4">
        <v>382425.46703999996</v>
      </c>
      <c r="L3407" s="4">
        <v>4</v>
      </c>
    </row>
    <row r="3408" spans="1:12">
      <c r="A3408" t="s">
        <v>106</v>
      </c>
      <c r="B3408" s="10">
        <v>45427</v>
      </c>
      <c r="C3408" s="18">
        <f t="shared" si="53"/>
        <v>5</v>
      </c>
      <c r="D3408" t="s">
        <v>135</v>
      </c>
      <c r="E3408">
        <v>4873481</v>
      </c>
      <c r="F3408" t="s">
        <v>87</v>
      </c>
      <c r="G3408" t="s">
        <v>203</v>
      </c>
      <c r="H3408" t="s">
        <v>245</v>
      </c>
      <c r="I3408" s="4">
        <v>100638.28079999999</v>
      </c>
      <c r="J3408" s="4">
        <v>603829.68479999993</v>
      </c>
      <c r="L3408" s="4">
        <v>6</v>
      </c>
    </row>
    <row r="3409" spans="1:12">
      <c r="A3409" t="s">
        <v>106</v>
      </c>
      <c r="B3409" s="10">
        <v>45427</v>
      </c>
      <c r="C3409" s="18">
        <f t="shared" si="53"/>
        <v>5</v>
      </c>
      <c r="D3409" t="s">
        <v>135</v>
      </c>
      <c r="E3409">
        <v>4873481</v>
      </c>
      <c r="F3409" t="s">
        <v>87</v>
      </c>
      <c r="G3409" t="s">
        <v>203</v>
      </c>
      <c r="H3409" t="s">
        <v>243</v>
      </c>
      <c r="I3409" s="4">
        <v>100638.28079999999</v>
      </c>
      <c r="J3409" s="4">
        <v>402553.12319999997</v>
      </c>
      <c r="L3409" s="4">
        <v>4</v>
      </c>
    </row>
    <row r="3410" spans="1:12">
      <c r="A3410" t="s">
        <v>106</v>
      </c>
      <c r="B3410" s="10">
        <v>45427</v>
      </c>
      <c r="C3410" s="18">
        <f t="shared" si="53"/>
        <v>5</v>
      </c>
      <c r="D3410" t="s">
        <v>135</v>
      </c>
      <c r="E3410">
        <v>6080798</v>
      </c>
      <c r="F3410" t="s">
        <v>88</v>
      </c>
      <c r="G3410" t="s">
        <v>204</v>
      </c>
      <c r="H3410" t="s">
        <v>219</v>
      </c>
      <c r="I3410" s="4">
        <v>44099.9208</v>
      </c>
      <c r="J3410" s="4">
        <v>44099.9208</v>
      </c>
      <c r="L3410" s="4">
        <v>1</v>
      </c>
    </row>
    <row r="3411" spans="1:12">
      <c r="A3411" t="s">
        <v>106</v>
      </c>
      <c r="B3411" s="10">
        <v>45427</v>
      </c>
      <c r="C3411" s="18">
        <f t="shared" si="53"/>
        <v>5</v>
      </c>
      <c r="D3411" t="s">
        <v>135</v>
      </c>
      <c r="E3411">
        <v>6080798</v>
      </c>
      <c r="F3411" t="s">
        <v>88</v>
      </c>
      <c r="G3411" t="s">
        <v>204</v>
      </c>
      <c r="H3411" t="s">
        <v>218</v>
      </c>
      <c r="I3411" s="4">
        <v>71740.896800000002</v>
      </c>
      <c r="J3411" s="4">
        <v>71740.896800000002</v>
      </c>
      <c r="L3411" s="4">
        <v>1</v>
      </c>
    </row>
    <row r="3412" spans="1:12">
      <c r="A3412" t="s">
        <v>106</v>
      </c>
      <c r="B3412" s="10">
        <v>45427</v>
      </c>
      <c r="C3412" s="18">
        <f t="shared" si="53"/>
        <v>5</v>
      </c>
      <c r="D3412" t="s">
        <v>135</v>
      </c>
      <c r="E3412">
        <v>6080798</v>
      </c>
      <c r="F3412" t="s">
        <v>88</v>
      </c>
      <c r="G3412" t="s">
        <v>204</v>
      </c>
      <c r="H3412" t="s">
        <v>215</v>
      </c>
      <c r="I3412" s="4">
        <v>75510.12079999999</v>
      </c>
      <c r="J3412" s="4">
        <v>75510.12079999999</v>
      </c>
      <c r="L3412" s="4">
        <v>1</v>
      </c>
    </row>
    <row r="3413" spans="1:12">
      <c r="A3413" t="s">
        <v>106</v>
      </c>
      <c r="B3413" s="10">
        <v>45427</v>
      </c>
      <c r="C3413" s="18">
        <f t="shared" si="53"/>
        <v>5</v>
      </c>
      <c r="D3413" t="s">
        <v>135</v>
      </c>
      <c r="E3413">
        <v>4873827</v>
      </c>
      <c r="F3413" t="s">
        <v>88</v>
      </c>
      <c r="G3413" t="s">
        <v>204</v>
      </c>
      <c r="H3413" t="s">
        <v>216</v>
      </c>
      <c r="I3413" s="4">
        <v>113202.36079999999</v>
      </c>
      <c r="J3413" s="4">
        <v>792416.52559999994</v>
      </c>
      <c r="L3413" s="4">
        <v>7</v>
      </c>
    </row>
    <row r="3414" spans="1:12">
      <c r="A3414" t="s">
        <v>106</v>
      </c>
      <c r="B3414" s="10">
        <v>45427</v>
      </c>
      <c r="C3414" s="18">
        <f t="shared" si="53"/>
        <v>5</v>
      </c>
      <c r="D3414" t="s">
        <v>135</v>
      </c>
      <c r="E3414">
        <v>4873827</v>
      </c>
      <c r="F3414" t="s">
        <v>88</v>
      </c>
      <c r="G3414" t="s">
        <v>204</v>
      </c>
      <c r="H3414" t="s">
        <v>215</v>
      </c>
      <c r="I3414" s="4">
        <v>75510.12079999999</v>
      </c>
      <c r="J3414" s="4">
        <v>604080.96639999992</v>
      </c>
      <c r="L3414" s="4">
        <v>8</v>
      </c>
    </row>
    <row r="3415" spans="1:12">
      <c r="A3415" t="s">
        <v>106</v>
      </c>
      <c r="B3415" s="10">
        <v>45427</v>
      </c>
      <c r="C3415" s="18">
        <f t="shared" si="53"/>
        <v>5</v>
      </c>
      <c r="D3415" t="s">
        <v>135</v>
      </c>
      <c r="E3415">
        <v>4873827</v>
      </c>
      <c r="F3415" t="s">
        <v>88</v>
      </c>
      <c r="G3415" t="s">
        <v>204</v>
      </c>
      <c r="H3415" t="s">
        <v>220</v>
      </c>
      <c r="I3415" s="4">
        <v>37817.880799999999</v>
      </c>
      <c r="J3415" s="4">
        <v>567268.21199999994</v>
      </c>
      <c r="L3415" s="4">
        <v>15</v>
      </c>
    </row>
    <row r="3416" spans="1:12">
      <c r="A3416" t="s">
        <v>106</v>
      </c>
      <c r="B3416" s="10">
        <v>45427</v>
      </c>
      <c r="C3416" s="18">
        <f t="shared" si="53"/>
        <v>5</v>
      </c>
      <c r="D3416" t="s">
        <v>135</v>
      </c>
      <c r="E3416">
        <v>4878846</v>
      </c>
      <c r="F3416" t="s">
        <v>89</v>
      </c>
      <c r="G3416" t="s">
        <v>203</v>
      </c>
      <c r="H3416" t="s">
        <v>245</v>
      </c>
      <c r="I3416" s="4">
        <v>100638.28079999999</v>
      </c>
      <c r="J3416" s="4">
        <v>402553.12319999997</v>
      </c>
      <c r="L3416" s="4">
        <v>4</v>
      </c>
    </row>
    <row r="3417" spans="1:12">
      <c r="A3417" t="s">
        <v>106</v>
      </c>
      <c r="B3417" s="10">
        <v>45427</v>
      </c>
      <c r="C3417" s="18">
        <f t="shared" si="53"/>
        <v>5</v>
      </c>
      <c r="D3417" t="s">
        <v>135</v>
      </c>
      <c r="E3417">
        <v>4878846</v>
      </c>
      <c r="F3417" t="s">
        <v>89</v>
      </c>
      <c r="G3417" t="s">
        <v>203</v>
      </c>
      <c r="H3417" t="s">
        <v>240</v>
      </c>
      <c r="I3417" s="4">
        <v>100638.28079999999</v>
      </c>
      <c r="J3417" s="4">
        <v>402553.12319999997</v>
      </c>
      <c r="L3417" s="4">
        <v>4</v>
      </c>
    </row>
    <row r="3418" spans="1:12">
      <c r="A3418" t="s">
        <v>106</v>
      </c>
      <c r="B3418" s="10">
        <v>45427</v>
      </c>
      <c r="C3418" s="18">
        <f t="shared" si="53"/>
        <v>5</v>
      </c>
      <c r="D3418" t="s">
        <v>135</v>
      </c>
      <c r="E3418">
        <v>4878846</v>
      </c>
      <c r="F3418" t="s">
        <v>89</v>
      </c>
      <c r="G3418" t="s">
        <v>203</v>
      </c>
      <c r="H3418" t="s">
        <v>238</v>
      </c>
      <c r="I3418" s="4">
        <v>95606.36675999999</v>
      </c>
      <c r="J3418" s="4">
        <v>382425.46703999996</v>
      </c>
      <c r="L3418" s="4">
        <v>4</v>
      </c>
    </row>
    <row r="3419" spans="1:12">
      <c r="A3419" t="s">
        <v>106</v>
      </c>
      <c r="B3419" s="10">
        <v>45427</v>
      </c>
      <c r="C3419" s="18">
        <f t="shared" si="53"/>
        <v>5</v>
      </c>
      <c r="D3419" t="s">
        <v>135</v>
      </c>
      <c r="E3419">
        <v>4873291</v>
      </c>
      <c r="F3419" t="s">
        <v>89</v>
      </c>
      <c r="G3419" t="s">
        <v>203</v>
      </c>
      <c r="H3419" t="s">
        <v>245</v>
      </c>
      <c r="I3419" s="4">
        <v>100638.28079999999</v>
      </c>
      <c r="J3419" s="4">
        <v>603829.68479999993</v>
      </c>
      <c r="L3419" s="4">
        <v>6</v>
      </c>
    </row>
    <row r="3420" spans="1:12">
      <c r="A3420" t="s">
        <v>106</v>
      </c>
      <c r="B3420" s="10">
        <v>45427</v>
      </c>
      <c r="C3420" s="18">
        <f t="shared" si="53"/>
        <v>5</v>
      </c>
      <c r="D3420" t="s">
        <v>135</v>
      </c>
      <c r="E3420">
        <v>4873291</v>
      </c>
      <c r="F3420" t="s">
        <v>89</v>
      </c>
      <c r="G3420" t="s">
        <v>203</v>
      </c>
      <c r="H3420" t="s">
        <v>240</v>
      </c>
      <c r="I3420" s="4">
        <v>100638.28079999999</v>
      </c>
      <c r="J3420" s="4">
        <v>402553.12319999997</v>
      </c>
      <c r="L3420" s="4">
        <v>4</v>
      </c>
    </row>
    <row r="3421" spans="1:12">
      <c r="A3421" t="s">
        <v>106</v>
      </c>
      <c r="B3421" s="10">
        <v>45427</v>
      </c>
      <c r="C3421" s="18">
        <f t="shared" si="53"/>
        <v>5</v>
      </c>
      <c r="D3421" t="s">
        <v>135</v>
      </c>
      <c r="E3421">
        <v>4873291</v>
      </c>
      <c r="F3421" t="s">
        <v>89</v>
      </c>
      <c r="G3421" t="s">
        <v>203</v>
      </c>
      <c r="H3421" t="s">
        <v>238</v>
      </c>
      <c r="I3421" s="4">
        <v>95606.36675999999</v>
      </c>
      <c r="J3421" s="4">
        <v>191212.73351999998</v>
      </c>
      <c r="L3421" s="4">
        <v>2</v>
      </c>
    </row>
    <row r="3422" spans="1:12">
      <c r="A3422" t="s">
        <v>106</v>
      </c>
      <c r="B3422" s="10">
        <v>45427</v>
      </c>
      <c r="C3422" s="18">
        <f t="shared" si="53"/>
        <v>5</v>
      </c>
      <c r="D3422" t="s">
        <v>135</v>
      </c>
      <c r="E3422">
        <v>4872947</v>
      </c>
      <c r="F3422" t="s">
        <v>88</v>
      </c>
      <c r="G3422" t="s">
        <v>203</v>
      </c>
      <c r="H3422" t="s">
        <v>245</v>
      </c>
      <c r="I3422" s="4">
        <v>100638.28079999999</v>
      </c>
      <c r="J3422" s="4">
        <v>603829.68479999993</v>
      </c>
      <c r="L3422" s="4">
        <v>6</v>
      </c>
    </row>
    <row r="3423" spans="1:12">
      <c r="A3423" t="s">
        <v>106</v>
      </c>
      <c r="B3423" s="10">
        <v>45427</v>
      </c>
      <c r="C3423" s="18">
        <f t="shared" si="53"/>
        <v>5</v>
      </c>
      <c r="D3423" t="s">
        <v>135</v>
      </c>
      <c r="E3423">
        <v>4872947</v>
      </c>
      <c r="F3423" t="s">
        <v>88</v>
      </c>
      <c r="G3423" t="s">
        <v>203</v>
      </c>
      <c r="H3423" t="s">
        <v>243</v>
      </c>
      <c r="I3423" s="4">
        <v>100638.28079999999</v>
      </c>
      <c r="J3423" s="4">
        <v>402553.12319999997</v>
      </c>
      <c r="L3423" s="4">
        <v>4</v>
      </c>
    </row>
    <row r="3424" spans="1:12">
      <c r="A3424" t="s">
        <v>106</v>
      </c>
      <c r="B3424" s="10">
        <v>45427</v>
      </c>
      <c r="C3424" s="18">
        <f t="shared" si="53"/>
        <v>5</v>
      </c>
      <c r="D3424" t="s">
        <v>135</v>
      </c>
      <c r="E3424">
        <v>4872947</v>
      </c>
      <c r="F3424" t="s">
        <v>88</v>
      </c>
      <c r="G3424" t="s">
        <v>203</v>
      </c>
      <c r="H3424" t="s">
        <v>240</v>
      </c>
      <c r="I3424" s="4">
        <v>100638.28079999999</v>
      </c>
      <c r="J3424" s="4">
        <v>603829.68479999993</v>
      </c>
      <c r="L3424" s="4">
        <v>6</v>
      </c>
    </row>
    <row r="3425" spans="1:12">
      <c r="A3425" t="s">
        <v>106</v>
      </c>
      <c r="B3425" s="10">
        <v>45427</v>
      </c>
      <c r="C3425" s="18">
        <f t="shared" si="53"/>
        <v>5</v>
      </c>
      <c r="D3425" t="s">
        <v>135</v>
      </c>
      <c r="E3425">
        <v>4873753</v>
      </c>
      <c r="F3425" t="s">
        <v>88</v>
      </c>
      <c r="G3425" t="s">
        <v>203</v>
      </c>
      <c r="H3425" t="s">
        <v>245</v>
      </c>
      <c r="I3425" s="4">
        <v>100638.28079999999</v>
      </c>
      <c r="J3425" s="4">
        <v>603829.68479999993</v>
      </c>
      <c r="L3425" s="4">
        <v>6</v>
      </c>
    </row>
    <row r="3426" spans="1:12">
      <c r="A3426" t="s">
        <v>106</v>
      </c>
      <c r="B3426" s="10">
        <v>45427</v>
      </c>
      <c r="C3426" s="18">
        <f t="shared" si="53"/>
        <v>5</v>
      </c>
      <c r="D3426" t="s">
        <v>135</v>
      </c>
      <c r="E3426">
        <v>4873753</v>
      </c>
      <c r="F3426" t="s">
        <v>88</v>
      </c>
      <c r="G3426" t="s">
        <v>203</v>
      </c>
      <c r="H3426" t="s">
        <v>240</v>
      </c>
      <c r="I3426" s="4">
        <v>100638.28079999999</v>
      </c>
      <c r="J3426" s="4">
        <v>1006382.808</v>
      </c>
      <c r="L3426" s="4">
        <v>10</v>
      </c>
    </row>
    <row r="3427" spans="1:12">
      <c r="A3427" t="s">
        <v>106</v>
      </c>
      <c r="B3427" s="10">
        <v>45430</v>
      </c>
      <c r="C3427" s="18">
        <f t="shared" si="53"/>
        <v>5</v>
      </c>
      <c r="D3427" t="s">
        <v>135</v>
      </c>
      <c r="E3427">
        <v>4878797</v>
      </c>
      <c r="F3427" t="s">
        <v>88</v>
      </c>
      <c r="G3427" t="s">
        <v>204</v>
      </c>
      <c r="H3427" t="s">
        <v>219</v>
      </c>
      <c r="I3427" s="4">
        <v>44099.9208</v>
      </c>
      <c r="J3427" s="4">
        <v>132299.76240000001</v>
      </c>
      <c r="L3427" s="4">
        <v>3</v>
      </c>
    </row>
    <row r="3428" spans="1:12">
      <c r="A3428" t="s">
        <v>106</v>
      </c>
      <c r="B3428" s="10">
        <v>45430</v>
      </c>
      <c r="C3428" s="18">
        <f t="shared" si="53"/>
        <v>5</v>
      </c>
      <c r="D3428" t="s">
        <v>135</v>
      </c>
      <c r="E3428">
        <v>4878797</v>
      </c>
      <c r="F3428" t="s">
        <v>88</v>
      </c>
      <c r="G3428" t="s">
        <v>204</v>
      </c>
      <c r="H3428" t="s">
        <v>218</v>
      </c>
      <c r="I3428" s="4">
        <v>71740.896800000002</v>
      </c>
      <c r="J3428" s="4">
        <v>215222.69040000002</v>
      </c>
      <c r="L3428" s="4">
        <v>3</v>
      </c>
    </row>
    <row r="3429" spans="1:12">
      <c r="A3429" t="s">
        <v>106</v>
      </c>
      <c r="B3429" s="10">
        <v>45430</v>
      </c>
      <c r="C3429" s="18">
        <f t="shared" si="53"/>
        <v>5</v>
      </c>
      <c r="D3429" t="s">
        <v>135</v>
      </c>
      <c r="E3429">
        <v>4872947</v>
      </c>
      <c r="F3429" t="s">
        <v>88</v>
      </c>
      <c r="G3429" t="s">
        <v>204</v>
      </c>
      <c r="H3429" t="s">
        <v>215</v>
      </c>
      <c r="I3429" s="4">
        <v>75510.12079999999</v>
      </c>
      <c r="J3429" s="4">
        <v>453060.72479999997</v>
      </c>
      <c r="L3429" s="4">
        <v>6</v>
      </c>
    </row>
    <row r="3430" spans="1:12">
      <c r="A3430" t="s">
        <v>106</v>
      </c>
      <c r="B3430" s="10">
        <v>45435</v>
      </c>
      <c r="C3430" s="18">
        <f t="shared" si="53"/>
        <v>5</v>
      </c>
      <c r="D3430" t="s">
        <v>135</v>
      </c>
      <c r="E3430">
        <v>4878797</v>
      </c>
      <c r="F3430" t="s">
        <v>88</v>
      </c>
      <c r="G3430" t="s">
        <v>204</v>
      </c>
      <c r="H3430" t="s">
        <v>219</v>
      </c>
      <c r="I3430" s="4">
        <v>44099.9208</v>
      </c>
      <c r="J3430" s="4">
        <v>176399.6832</v>
      </c>
      <c r="L3430" s="4">
        <v>4</v>
      </c>
    </row>
    <row r="3431" spans="1:12">
      <c r="A3431" t="s">
        <v>106</v>
      </c>
      <c r="B3431" s="10">
        <v>45435</v>
      </c>
      <c r="C3431" s="18">
        <f t="shared" si="53"/>
        <v>5</v>
      </c>
      <c r="D3431" t="s">
        <v>135</v>
      </c>
      <c r="E3431">
        <v>4878797</v>
      </c>
      <c r="F3431" t="s">
        <v>88</v>
      </c>
      <c r="G3431" t="s">
        <v>204</v>
      </c>
      <c r="H3431" t="s">
        <v>216</v>
      </c>
      <c r="I3431" s="4">
        <v>113202.36079999999</v>
      </c>
      <c r="J3431" s="4">
        <v>226404.72159999999</v>
      </c>
      <c r="L3431" s="4">
        <v>2</v>
      </c>
    </row>
    <row r="3432" spans="1:12">
      <c r="A3432" t="s">
        <v>106</v>
      </c>
      <c r="B3432" s="10">
        <v>45435</v>
      </c>
      <c r="C3432" s="18">
        <f t="shared" si="53"/>
        <v>5</v>
      </c>
      <c r="D3432" t="s">
        <v>135</v>
      </c>
      <c r="E3432">
        <v>4872948</v>
      </c>
      <c r="F3432" t="s">
        <v>88</v>
      </c>
      <c r="G3432" t="s">
        <v>203</v>
      </c>
      <c r="H3432" t="s">
        <v>236</v>
      </c>
      <c r="I3432" s="4">
        <v>100638.28079999999</v>
      </c>
      <c r="J3432" s="4">
        <v>603829.68479999993</v>
      </c>
      <c r="L3432" s="4">
        <v>6</v>
      </c>
    </row>
    <row r="3433" spans="1:12">
      <c r="A3433" t="s">
        <v>106</v>
      </c>
      <c r="B3433" s="10">
        <v>45435</v>
      </c>
      <c r="C3433" s="18">
        <f t="shared" si="53"/>
        <v>5</v>
      </c>
      <c r="D3433" t="s">
        <v>135</v>
      </c>
      <c r="E3433">
        <v>4872948</v>
      </c>
      <c r="F3433" t="s">
        <v>88</v>
      </c>
      <c r="G3433" t="s">
        <v>203</v>
      </c>
      <c r="H3433" t="s">
        <v>234</v>
      </c>
      <c r="I3433" s="4">
        <v>100638.28079999999</v>
      </c>
      <c r="J3433" s="4">
        <v>603829.68479999993</v>
      </c>
      <c r="L3433" s="4">
        <v>6</v>
      </c>
    </row>
    <row r="3434" spans="1:12">
      <c r="A3434" t="s">
        <v>106</v>
      </c>
      <c r="B3434" s="10">
        <v>45435</v>
      </c>
      <c r="C3434" s="18">
        <f t="shared" si="53"/>
        <v>5</v>
      </c>
      <c r="D3434" t="s">
        <v>135</v>
      </c>
      <c r="E3434">
        <v>4872948</v>
      </c>
      <c r="F3434" t="s">
        <v>88</v>
      </c>
      <c r="G3434" t="s">
        <v>203</v>
      </c>
      <c r="H3434" t="s">
        <v>224</v>
      </c>
      <c r="I3434" s="4">
        <v>100638.28079999999</v>
      </c>
      <c r="J3434" s="4">
        <v>1006382.808</v>
      </c>
      <c r="L3434" s="4">
        <v>10</v>
      </c>
    </row>
    <row r="3435" spans="1:12">
      <c r="A3435" t="s">
        <v>106</v>
      </c>
      <c r="B3435" s="10">
        <v>45435</v>
      </c>
      <c r="C3435" s="18">
        <f t="shared" si="53"/>
        <v>5</v>
      </c>
      <c r="D3435" t="s">
        <v>135</v>
      </c>
      <c r="E3435">
        <v>4872948</v>
      </c>
      <c r="F3435" t="s">
        <v>88</v>
      </c>
      <c r="G3435" t="s">
        <v>203</v>
      </c>
      <c r="H3435" t="s">
        <v>223</v>
      </c>
      <c r="I3435" s="4">
        <v>100638.28079999999</v>
      </c>
      <c r="J3435" s="4">
        <v>1006382.808</v>
      </c>
      <c r="L3435" s="4">
        <v>10</v>
      </c>
    </row>
    <row r="3436" spans="1:12">
      <c r="A3436" t="s">
        <v>106</v>
      </c>
      <c r="B3436" s="10">
        <v>45435</v>
      </c>
      <c r="C3436" s="18">
        <f t="shared" si="53"/>
        <v>5</v>
      </c>
      <c r="D3436" t="s">
        <v>135</v>
      </c>
      <c r="E3436">
        <v>4872948</v>
      </c>
      <c r="F3436" t="s">
        <v>88</v>
      </c>
      <c r="G3436" t="s">
        <v>203</v>
      </c>
      <c r="H3436" t="s">
        <v>244</v>
      </c>
      <c r="I3436" s="4">
        <v>125766.4408</v>
      </c>
      <c r="J3436" s="4">
        <v>628832.20400000003</v>
      </c>
      <c r="L3436" s="4">
        <v>5</v>
      </c>
    </row>
    <row r="3437" spans="1:12">
      <c r="A3437" t="s">
        <v>106</v>
      </c>
      <c r="B3437" s="10">
        <v>45435</v>
      </c>
      <c r="C3437" s="18">
        <f t="shared" si="53"/>
        <v>5</v>
      </c>
      <c r="D3437" t="s">
        <v>135</v>
      </c>
      <c r="E3437">
        <v>4872948</v>
      </c>
      <c r="F3437" t="s">
        <v>88</v>
      </c>
      <c r="G3437" t="s">
        <v>203</v>
      </c>
      <c r="H3437" t="s">
        <v>233</v>
      </c>
      <c r="I3437" s="4">
        <v>120735.78316800001</v>
      </c>
      <c r="J3437" s="4">
        <v>603678.91584000003</v>
      </c>
      <c r="L3437" s="4">
        <v>5</v>
      </c>
    </row>
    <row r="3438" spans="1:12">
      <c r="A3438" t="s">
        <v>106</v>
      </c>
      <c r="B3438" s="10">
        <v>45435</v>
      </c>
      <c r="C3438" s="18">
        <f t="shared" si="53"/>
        <v>5</v>
      </c>
      <c r="D3438" t="s">
        <v>135</v>
      </c>
      <c r="E3438">
        <v>4878582</v>
      </c>
      <c r="F3438" t="s">
        <v>90</v>
      </c>
      <c r="G3438" t="s">
        <v>203</v>
      </c>
      <c r="H3438" t="s">
        <v>236</v>
      </c>
      <c r="I3438" s="4">
        <v>100638.28079999999</v>
      </c>
      <c r="J3438" s="4">
        <v>402553.12319999997</v>
      </c>
      <c r="L3438" s="4">
        <v>4</v>
      </c>
    </row>
    <row r="3439" spans="1:12">
      <c r="A3439" t="s">
        <v>106</v>
      </c>
      <c r="B3439" s="10">
        <v>45435</v>
      </c>
      <c r="C3439" s="18">
        <f t="shared" si="53"/>
        <v>5</v>
      </c>
      <c r="D3439" t="s">
        <v>135</v>
      </c>
      <c r="E3439">
        <v>4878582</v>
      </c>
      <c r="F3439" t="s">
        <v>90</v>
      </c>
      <c r="G3439" t="s">
        <v>203</v>
      </c>
      <c r="H3439" t="s">
        <v>234</v>
      </c>
      <c r="I3439" s="4">
        <v>100638.28079999999</v>
      </c>
      <c r="J3439" s="4">
        <v>402553.12319999997</v>
      </c>
      <c r="L3439" s="4">
        <v>4</v>
      </c>
    </row>
    <row r="3440" spans="1:12">
      <c r="A3440" t="s">
        <v>106</v>
      </c>
      <c r="B3440" s="10">
        <v>45435</v>
      </c>
      <c r="C3440" s="18">
        <f t="shared" si="53"/>
        <v>5</v>
      </c>
      <c r="D3440" t="s">
        <v>135</v>
      </c>
      <c r="E3440">
        <v>4878582</v>
      </c>
      <c r="F3440" t="s">
        <v>90</v>
      </c>
      <c r="G3440" t="s">
        <v>203</v>
      </c>
      <c r="H3440" t="s">
        <v>224</v>
      </c>
      <c r="I3440" s="4">
        <v>100638.28079999999</v>
      </c>
      <c r="J3440" s="4">
        <v>402553.12319999997</v>
      </c>
      <c r="L3440" s="4">
        <v>4</v>
      </c>
    </row>
    <row r="3441" spans="1:12">
      <c r="A3441" t="s">
        <v>106</v>
      </c>
      <c r="B3441" s="10">
        <v>45435</v>
      </c>
      <c r="C3441" s="18">
        <f t="shared" si="53"/>
        <v>5</v>
      </c>
      <c r="D3441" t="s">
        <v>135</v>
      </c>
      <c r="E3441">
        <v>4878582</v>
      </c>
      <c r="F3441" t="s">
        <v>90</v>
      </c>
      <c r="G3441" t="s">
        <v>203</v>
      </c>
      <c r="H3441" t="s">
        <v>223</v>
      </c>
      <c r="I3441" s="4">
        <v>100638.28079999999</v>
      </c>
      <c r="J3441" s="4">
        <v>402553.12319999997</v>
      </c>
      <c r="L3441" s="4">
        <v>4</v>
      </c>
    </row>
    <row r="3442" spans="1:12">
      <c r="A3442" t="s">
        <v>106</v>
      </c>
      <c r="B3442" s="10">
        <v>45435</v>
      </c>
      <c r="C3442" s="18">
        <f t="shared" si="53"/>
        <v>5</v>
      </c>
      <c r="D3442" t="s">
        <v>135</v>
      </c>
      <c r="E3442">
        <v>4878582</v>
      </c>
      <c r="F3442" t="s">
        <v>90</v>
      </c>
      <c r="G3442" t="s">
        <v>203</v>
      </c>
      <c r="H3442" t="s">
        <v>244</v>
      </c>
      <c r="I3442" s="4">
        <v>125766.4408</v>
      </c>
      <c r="J3442" s="4">
        <v>377299.3224</v>
      </c>
      <c r="L3442" s="4">
        <v>3</v>
      </c>
    </row>
    <row r="3443" spans="1:12">
      <c r="A3443" t="s">
        <v>106</v>
      </c>
      <c r="B3443" s="10">
        <v>45435</v>
      </c>
      <c r="C3443" s="18">
        <f t="shared" si="53"/>
        <v>5</v>
      </c>
      <c r="D3443" t="s">
        <v>135</v>
      </c>
      <c r="E3443">
        <v>4879076</v>
      </c>
      <c r="F3443" t="s">
        <v>88</v>
      </c>
      <c r="G3443" t="s">
        <v>203</v>
      </c>
      <c r="H3443" t="s">
        <v>236</v>
      </c>
      <c r="I3443" s="4">
        <v>100638.28079999999</v>
      </c>
      <c r="J3443" s="4">
        <v>603829.68479999993</v>
      </c>
      <c r="L3443" s="4">
        <v>6</v>
      </c>
    </row>
    <row r="3444" spans="1:12">
      <c r="A3444" t="s">
        <v>106</v>
      </c>
      <c r="B3444" s="10">
        <v>45435</v>
      </c>
      <c r="C3444" s="18">
        <f t="shared" si="53"/>
        <v>5</v>
      </c>
      <c r="D3444" t="s">
        <v>135</v>
      </c>
      <c r="E3444">
        <v>4879076</v>
      </c>
      <c r="F3444" t="s">
        <v>88</v>
      </c>
      <c r="G3444" t="s">
        <v>203</v>
      </c>
      <c r="H3444" t="s">
        <v>234</v>
      </c>
      <c r="I3444" s="4">
        <v>100638.28079999999</v>
      </c>
      <c r="J3444" s="4">
        <v>603829.68479999993</v>
      </c>
      <c r="L3444" s="4">
        <v>6</v>
      </c>
    </row>
    <row r="3445" spans="1:12">
      <c r="A3445" t="s">
        <v>106</v>
      </c>
      <c r="B3445" s="10">
        <v>45435</v>
      </c>
      <c r="C3445" s="18">
        <f t="shared" si="53"/>
        <v>5</v>
      </c>
      <c r="D3445" t="s">
        <v>135</v>
      </c>
      <c r="E3445">
        <v>4879076</v>
      </c>
      <c r="F3445" t="s">
        <v>88</v>
      </c>
      <c r="G3445" t="s">
        <v>203</v>
      </c>
      <c r="H3445" t="s">
        <v>224</v>
      </c>
      <c r="I3445" s="4">
        <v>100638.28079999999</v>
      </c>
      <c r="J3445" s="4">
        <v>603829.68479999993</v>
      </c>
      <c r="L3445" s="4">
        <v>6</v>
      </c>
    </row>
    <row r="3446" spans="1:12">
      <c r="A3446" t="s">
        <v>106</v>
      </c>
      <c r="B3446" s="10">
        <v>45435</v>
      </c>
      <c r="C3446" s="18">
        <f t="shared" si="53"/>
        <v>5</v>
      </c>
      <c r="D3446" t="s">
        <v>135</v>
      </c>
      <c r="E3446">
        <v>4879076</v>
      </c>
      <c r="F3446" t="s">
        <v>88</v>
      </c>
      <c r="G3446" t="s">
        <v>203</v>
      </c>
      <c r="H3446" t="s">
        <v>223</v>
      </c>
      <c r="I3446" s="4">
        <v>100638.28079999999</v>
      </c>
      <c r="J3446" s="4">
        <v>603829.68479999993</v>
      </c>
      <c r="L3446" s="4">
        <v>6</v>
      </c>
    </row>
    <row r="3447" spans="1:12">
      <c r="A3447" t="s">
        <v>106</v>
      </c>
      <c r="B3447" s="10">
        <v>45435</v>
      </c>
      <c r="C3447" s="18">
        <f t="shared" si="53"/>
        <v>5</v>
      </c>
      <c r="D3447" t="s">
        <v>135</v>
      </c>
      <c r="E3447">
        <v>4879076</v>
      </c>
      <c r="F3447" t="s">
        <v>88</v>
      </c>
      <c r="G3447" t="s">
        <v>203</v>
      </c>
      <c r="H3447" t="s">
        <v>244</v>
      </c>
      <c r="I3447" s="4">
        <v>125766.4408</v>
      </c>
      <c r="J3447" s="4">
        <v>503065.76319999999</v>
      </c>
      <c r="L3447" s="4">
        <v>4</v>
      </c>
    </row>
    <row r="3448" spans="1:12">
      <c r="A3448" t="s">
        <v>106</v>
      </c>
      <c r="B3448" s="10">
        <v>45435</v>
      </c>
      <c r="C3448" s="18">
        <f t="shared" si="53"/>
        <v>5</v>
      </c>
      <c r="D3448" t="s">
        <v>135</v>
      </c>
      <c r="E3448">
        <v>4872613</v>
      </c>
      <c r="F3448" t="s">
        <v>88</v>
      </c>
      <c r="G3448" t="s">
        <v>203</v>
      </c>
      <c r="H3448" t="s">
        <v>236</v>
      </c>
      <c r="I3448" s="4">
        <v>100638.28079999999</v>
      </c>
      <c r="J3448" s="4">
        <v>402553.12319999997</v>
      </c>
      <c r="L3448" s="4">
        <v>4</v>
      </c>
    </row>
    <row r="3449" spans="1:12">
      <c r="A3449" t="s">
        <v>106</v>
      </c>
      <c r="B3449" s="10">
        <v>45435</v>
      </c>
      <c r="C3449" s="18">
        <f t="shared" si="53"/>
        <v>5</v>
      </c>
      <c r="D3449" t="s">
        <v>135</v>
      </c>
      <c r="E3449">
        <v>4872613</v>
      </c>
      <c r="F3449" t="s">
        <v>88</v>
      </c>
      <c r="G3449" t="s">
        <v>203</v>
      </c>
      <c r="H3449" t="s">
        <v>234</v>
      </c>
      <c r="I3449" s="4">
        <v>100638.28079999999</v>
      </c>
      <c r="J3449" s="4">
        <v>201276.56159999999</v>
      </c>
      <c r="L3449" s="4">
        <v>2</v>
      </c>
    </row>
    <row r="3450" spans="1:12">
      <c r="A3450" t="s">
        <v>106</v>
      </c>
      <c r="B3450" s="10">
        <v>45435</v>
      </c>
      <c r="C3450" s="18">
        <f t="shared" si="53"/>
        <v>5</v>
      </c>
      <c r="D3450" t="s">
        <v>135</v>
      </c>
      <c r="E3450">
        <v>4872613</v>
      </c>
      <c r="F3450" t="s">
        <v>88</v>
      </c>
      <c r="G3450" t="s">
        <v>203</v>
      </c>
      <c r="H3450" t="s">
        <v>224</v>
      </c>
      <c r="I3450" s="4">
        <v>100638.28079999999</v>
      </c>
      <c r="J3450" s="4">
        <v>402553.12319999997</v>
      </c>
      <c r="L3450" s="4">
        <v>4</v>
      </c>
    </row>
    <row r="3451" spans="1:12">
      <c r="A3451" t="s">
        <v>106</v>
      </c>
      <c r="B3451" s="10">
        <v>45435</v>
      </c>
      <c r="C3451" s="18">
        <f t="shared" si="53"/>
        <v>5</v>
      </c>
      <c r="D3451" t="s">
        <v>135</v>
      </c>
      <c r="E3451">
        <v>4872613</v>
      </c>
      <c r="F3451" t="s">
        <v>88</v>
      </c>
      <c r="G3451" t="s">
        <v>203</v>
      </c>
      <c r="H3451" t="s">
        <v>223</v>
      </c>
      <c r="I3451" s="4">
        <v>100638.28079999999</v>
      </c>
      <c r="J3451" s="4">
        <v>402553.12319999997</v>
      </c>
      <c r="L3451" s="4">
        <v>4</v>
      </c>
    </row>
    <row r="3452" spans="1:12">
      <c r="A3452" t="s">
        <v>106</v>
      </c>
      <c r="B3452" s="10">
        <v>45435</v>
      </c>
      <c r="C3452" s="18">
        <f t="shared" si="53"/>
        <v>5</v>
      </c>
      <c r="D3452" t="s">
        <v>135</v>
      </c>
      <c r="E3452">
        <v>4873291</v>
      </c>
      <c r="F3452" t="s">
        <v>89</v>
      </c>
      <c r="G3452" t="s">
        <v>203</v>
      </c>
      <c r="H3452" t="s">
        <v>236</v>
      </c>
      <c r="I3452" s="4">
        <v>100638.28079999999</v>
      </c>
      <c r="J3452" s="4">
        <v>402553.12319999997</v>
      </c>
      <c r="L3452" s="4">
        <v>4</v>
      </c>
    </row>
    <row r="3453" spans="1:12">
      <c r="A3453" t="s">
        <v>106</v>
      </c>
      <c r="B3453" s="10">
        <v>45435</v>
      </c>
      <c r="C3453" s="18">
        <f t="shared" si="53"/>
        <v>5</v>
      </c>
      <c r="D3453" t="s">
        <v>135</v>
      </c>
      <c r="E3453">
        <v>4873291</v>
      </c>
      <c r="F3453" t="s">
        <v>89</v>
      </c>
      <c r="G3453" t="s">
        <v>203</v>
      </c>
      <c r="H3453" t="s">
        <v>234</v>
      </c>
      <c r="I3453" s="4">
        <v>100638.28079999999</v>
      </c>
      <c r="J3453" s="4">
        <v>402553.12319999997</v>
      </c>
      <c r="L3453" s="4">
        <v>4</v>
      </c>
    </row>
    <row r="3454" spans="1:12">
      <c r="A3454" t="s">
        <v>106</v>
      </c>
      <c r="B3454" s="10">
        <v>45435</v>
      </c>
      <c r="C3454" s="18">
        <f t="shared" si="53"/>
        <v>5</v>
      </c>
      <c r="D3454" t="s">
        <v>135</v>
      </c>
      <c r="E3454">
        <v>4873291</v>
      </c>
      <c r="F3454" t="s">
        <v>89</v>
      </c>
      <c r="G3454" t="s">
        <v>203</v>
      </c>
      <c r="H3454" t="s">
        <v>224</v>
      </c>
      <c r="I3454" s="4">
        <v>100638.28079999999</v>
      </c>
      <c r="J3454" s="4">
        <v>402553.12319999997</v>
      </c>
      <c r="L3454" s="4">
        <v>4</v>
      </c>
    </row>
    <row r="3455" spans="1:12">
      <c r="A3455" t="s">
        <v>106</v>
      </c>
      <c r="B3455" s="10">
        <v>45435</v>
      </c>
      <c r="C3455" s="18">
        <f t="shared" si="53"/>
        <v>5</v>
      </c>
      <c r="D3455" t="s">
        <v>135</v>
      </c>
      <c r="E3455">
        <v>4873291</v>
      </c>
      <c r="F3455" t="s">
        <v>89</v>
      </c>
      <c r="G3455" t="s">
        <v>203</v>
      </c>
      <c r="H3455" t="s">
        <v>223</v>
      </c>
      <c r="I3455" s="4">
        <v>100638.28079999999</v>
      </c>
      <c r="J3455" s="4">
        <v>402553.12319999997</v>
      </c>
      <c r="L3455" s="4">
        <v>4</v>
      </c>
    </row>
    <row r="3456" spans="1:12">
      <c r="A3456" t="s">
        <v>106</v>
      </c>
      <c r="B3456" s="10">
        <v>45435</v>
      </c>
      <c r="C3456" s="18">
        <f t="shared" si="53"/>
        <v>5</v>
      </c>
      <c r="D3456" t="s">
        <v>135</v>
      </c>
      <c r="E3456">
        <v>4875961</v>
      </c>
      <c r="F3456" t="s">
        <v>90</v>
      </c>
      <c r="G3456" t="s">
        <v>203</v>
      </c>
      <c r="H3456" t="s">
        <v>236</v>
      </c>
      <c r="I3456" s="4">
        <v>100638.28079999999</v>
      </c>
      <c r="J3456" s="4">
        <v>603829.68479999993</v>
      </c>
      <c r="L3456" s="4">
        <v>6</v>
      </c>
    </row>
    <row r="3457" spans="1:12">
      <c r="A3457" t="s">
        <v>106</v>
      </c>
      <c r="B3457" s="10">
        <v>45435</v>
      </c>
      <c r="C3457" s="18">
        <f t="shared" si="53"/>
        <v>5</v>
      </c>
      <c r="D3457" t="s">
        <v>135</v>
      </c>
      <c r="E3457">
        <v>4875961</v>
      </c>
      <c r="F3457" t="s">
        <v>90</v>
      </c>
      <c r="G3457" t="s">
        <v>203</v>
      </c>
      <c r="H3457" t="s">
        <v>234</v>
      </c>
      <c r="I3457" s="4">
        <v>100638.28079999999</v>
      </c>
      <c r="J3457" s="4">
        <v>402553.12319999997</v>
      </c>
      <c r="L3457" s="4">
        <v>4</v>
      </c>
    </row>
    <row r="3458" spans="1:12">
      <c r="A3458" t="s">
        <v>106</v>
      </c>
      <c r="B3458" s="10">
        <v>45435</v>
      </c>
      <c r="C3458" s="18">
        <f t="shared" ref="C3458:C3521" si="54">MONTH(B3458)</f>
        <v>5</v>
      </c>
      <c r="D3458" t="s">
        <v>135</v>
      </c>
      <c r="E3458">
        <v>4875961</v>
      </c>
      <c r="F3458" t="s">
        <v>90</v>
      </c>
      <c r="G3458" t="s">
        <v>203</v>
      </c>
      <c r="H3458" t="s">
        <v>224</v>
      </c>
      <c r="I3458" s="4">
        <v>100638.28079999999</v>
      </c>
      <c r="J3458" s="4">
        <v>603829.68479999993</v>
      </c>
      <c r="L3458" s="4">
        <v>6</v>
      </c>
    </row>
    <row r="3459" spans="1:12">
      <c r="A3459" t="s">
        <v>106</v>
      </c>
      <c r="B3459" s="10">
        <v>45435</v>
      </c>
      <c r="C3459" s="18">
        <f t="shared" si="54"/>
        <v>5</v>
      </c>
      <c r="D3459" t="s">
        <v>135</v>
      </c>
      <c r="E3459">
        <v>4875961</v>
      </c>
      <c r="F3459" t="s">
        <v>90</v>
      </c>
      <c r="G3459" t="s">
        <v>203</v>
      </c>
      <c r="H3459" t="s">
        <v>223</v>
      </c>
      <c r="I3459" s="4">
        <v>100638.28079999999</v>
      </c>
      <c r="J3459" s="4">
        <v>603829.68479999993</v>
      </c>
      <c r="L3459" s="4">
        <v>6</v>
      </c>
    </row>
    <row r="3460" spans="1:12">
      <c r="A3460" t="s">
        <v>106</v>
      </c>
      <c r="B3460" s="10">
        <v>45435</v>
      </c>
      <c r="C3460" s="18">
        <f t="shared" si="54"/>
        <v>5</v>
      </c>
      <c r="D3460" t="s">
        <v>135</v>
      </c>
      <c r="E3460">
        <v>4875961</v>
      </c>
      <c r="F3460" t="s">
        <v>90</v>
      </c>
      <c r="G3460" t="s">
        <v>203</v>
      </c>
      <c r="H3460" t="s">
        <v>244</v>
      </c>
      <c r="I3460" s="4">
        <v>125766.4408</v>
      </c>
      <c r="J3460" s="4">
        <v>628832.20400000003</v>
      </c>
      <c r="L3460" s="4">
        <v>5</v>
      </c>
    </row>
    <row r="3461" spans="1:12">
      <c r="A3461" t="s">
        <v>106</v>
      </c>
      <c r="B3461" s="10">
        <v>45435</v>
      </c>
      <c r="C3461" s="18">
        <f t="shared" si="54"/>
        <v>5</v>
      </c>
      <c r="D3461" t="s">
        <v>135</v>
      </c>
      <c r="E3461">
        <v>4875961</v>
      </c>
      <c r="F3461" t="s">
        <v>90</v>
      </c>
      <c r="G3461" t="s">
        <v>203</v>
      </c>
      <c r="H3461" t="s">
        <v>233</v>
      </c>
      <c r="I3461" s="4">
        <v>120735.78316800001</v>
      </c>
      <c r="J3461" s="4">
        <v>603678.91584000003</v>
      </c>
      <c r="L3461" s="4">
        <v>5</v>
      </c>
    </row>
    <row r="3462" spans="1:12">
      <c r="A3462" t="s">
        <v>106</v>
      </c>
      <c r="B3462" s="10">
        <v>45435</v>
      </c>
      <c r="C3462" s="18">
        <f t="shared" si="54"/>
        <v>5</v>
      </c>
      <c r="D3462" t="s">
        <v>135</v>
      </c>
      <c r="E3462">
        <v>4873753</v>
      </c>
      <c r="F3462" t="s">
        <v>88</v>
      </c>
      <c r="G3462" t="s">
        <v>203</v>
      </c>
      <c r="H3462" t="s">
        <v>236</v>
      </c>
      <c r="I3462" s="4">
        <v>100638.28079999999</v>
      </c>
      <c r="J3462" s="4">
        <v>2012765.6159999999</v>
      </c>
      <c r="L3462" s="4">
        <v>20</v>
      </c>
    </row>
    <row r="3463" spans="1:12">
      <c r="A3463" t="s">
        <v>106</v>
      </c>
      <c r="B3463" s="10">
        <v>45435</v>
      </c>
      <c r="C3463" s="18">
        <f t="shared" si="54"/>
        <v>5</v>
      </c>
      <c r="D3463" t="s">
        <v>135</v>
      </c>
      <c r="E3463">
        <v>4873753</v>
      </c>
      <c r="F3463" t="s">
        <v>88</v>
      </c>
      <c r="G3463" t="s">
        <v>203</v>
      </c>
      <c r="H3463" t="s">
        <v>234</v>
      </c>
      <c r="I3463" s="4">
        <v>100638.28079999999</v>
      </c>
      <c r="J3463" s="4">
        <v>1408935.9312</v>
      </c>
      <c r="L3463" s="4">
        <v>14</v>
      </c>
    </row>
    <row r="3464" spans="1:12">
      <c r="A3464" t="s">
        <v>106</v>
      </c>
      <c r="B3464" s="10">
        <v>45435</v>
      </c>
      <c r="C3464" s="18">
        <f t="shared" si="54"/>
        <v>5</v>
      </c>
      <c r="D3464" t="s">
        <v>135</v>
      </c>
      <c r="E3464">
        <v>4873753</v>
      </c>
      <c r="F3464" t="s">
        <v>88</v>
      </c>
      <c r="G3464" t="s">
        <v>203</v>
      </c>
      <c r="H3464" t="s">
        <v>224</v>
      </c>
      <c r="I3464" s="4">
        <v>100638.28079999999</v>
      </c>
      <c r="J3464" s="4">
        <v>1006382.808</v>
      </c>
      <c r="L3464" s="4">
        <v>10</v>
      </c>
    </row>
    <row r="3465" spans="1:12">
      <c r="A3465" t="s">
        <v>106</v>
      </c>
      <c r="B3465" s="10">
        <v>45435</v>
      </c>
      <c r="C3465" s="18">
        <f t="shared" si="54"/>
        <v>5</v>
      </c>
      <c r="D3465" t="s">
        <v>135</v>
      </c>
      <c r="E3465">
        <v>4873753</v>
      </c>
      <c r="F3465" t="s">
        <v>88</v>
      </c>
      <c r="G3465" t="s">
        <v>203</v>
      </c>
      <c r="H3465" t="s">
        <v>223</v>
      </c>
      <c r="I3465" s="4">
        <v>100638.28079999999</v>
      </c>
      <c r="J3465" s="4">
        <v>1006382.808</v>
      </c>
      <c r="L3465" s="4">
        <v>10</v>
      </c>
    </row>
    <row r="3466" spans="1:12">
      <c r="A3466" t="s">
        <v>106</v>
      </c>
      <c r="B3466" s="10">
        <v>45437</v>
      </c>
      <c r="C3466" s="18">
        <f t="shared" si="54"/>
        <v>5</v>
      </c>
      <c r="D3466" t="s">
        <v>135</v>
      </c>
      <c r="E3466">
        <v>4879076</v>
      </c>
      <c r="F3466" t="s">
        <v>88</v>
      </c>
      <c r="G3466" t="s">
        <v>203</v>
      </c>
      <c r="H3466" t="s">
        <v>236</v>
      </c>
      <c r="I3466" s="4">
        <v>100638.28079999999</v>
      </c>
      <c r="J3466" s="4">
        <v>402553.12319999997</v>
      </c>
      <c r="L3466" s="4">
        <v>4</v>
      </c>
    </row>
    <row r="3467" spans="1:12">
      <c r="A3467" t="s">
        <v>106</v>
      </c>
      <c r="B3467" s="10">
        <v>45437</v>
      </c>
      <c r="C3467" s="18">
        <f t="shared" si="54"/>
        <v>5</v>
      </c>
      <c r="D3467" t="s">
        <v>135</v>
      </c>
      <c r="E3467">
        <v>4879076</v>
      </c>
      <c r="F3467" t="s">
        <v>88</v>
      </c>
      <c r="G3467" t="s">
        <v>203</v>
      </c>
      <c r="H3467" t="s">
        <v>223</v>
      </c>
      <c r="I3467" s="4">
        <v>100638.28079999999</v>
      </c>
      <c r="J3467" s="4">
        <v>402553.12319999997</v>
      </c>
      <c r="L3467" s="4">
        <v>4</v>
      </c>
    </row>
    <row r="3468" spans="1:12">
      <c r="A3468" t="s">
        <v>106</v>
      </c>
      <c r="B3468" s="10">
        <v>45437</v>
      </c>
      <c r="C3468" s="18">
        <f t="shared" si="54"/>
        <v>5</v>
      </c>
      <c r="D3468" t="s">
        <v>135</v>
      </c>
      <c r="E3468">
        <v>4879076</v>
      </c>
      <c r="F3468" t="s">
        <v>88</v>
      </c>
      <c r="G3468" t="s">
        <v>203</v>
      </c>
      <c r="H3468" t="s">
        <v>244</v>
      </c>
      <c r="I3468" s="4">
        <v>125766.4408</v>
      </c>
      <c r="J3468" s="4">
        <v>377299.3224</v>
      </c>
      <c r="L3468" s="4">
        <v>3</v>
      </c>
    </row>
    <row r="3469" spans="1:12">
      <c r="A3469" t="s">
        <v>106</v>
      </c>
      <c r="B3469" s="10">
        <v>45438</v>
      </c>
      <c r="C3469" s="18">
        <f t="shared" si="54"/>
        <v>5</v>
      </c>
      <c r="D3469" t="s">
        <v>135</v>
      </c>
      <c r="E3469">
        <v>4878797</v>
      </c>
      <c r="F3469" t="s">
        <v>88</v>
      </c>
      <c r="G3469" t="s">
        <v>202</v>
      </c>
      <c r="H3469" t="s">
        <v>258</v>
      </c>
      <c r="I3469" s="4">
        <v>37817.880799999999</v>
      </c>
      <c r="J3469" s="4">
        <v>1890894.04</v>
      </c>
      <c r="L3469" s="4">
        <v>50</v>
      </c>
    </row>
    <row r="3470" spans="1:12">
      <c r="A3470" t="s">
        <v>106</v>
      </c>
      <c r="B3470" s="10">
        <v>45438</v>
      </c>
      <c r="C3470" s="18">
        <f t="shared" si="54"/>
        <v>5</v>
      </c>
      <c r="D3470" t="s">
        <v>135</v>
      </c>
      <c r="E3470">
        <v>4878797</v>
      </c>
      <c r="F3470" t="s">
        <v>88</v>
      </c>
      <c r="G3470" t="s">
        <v>202</v>
      </c>
      <c r="H3470" t="s">
        <v>257</v>
      </c>
      <c r="I3470" s="4">
        <v>56664.000799999994</v>
      </c>
      <c r="J3470" s="4">
        <v>2833200.0399999996</v>
      </c>
      <c r="L3470" s="4">
        <v>50</v>
      </c>
    </row>
    <row r="3471" spans="1:12">
      <c r="A3471" t="s">
        <v>106</v>
      </c>
      <c r="B3471" s="10">
        <v>45438</v>
      </c>
      <c r="C3471" s="18">
        <f t="shared" si="54"/>
        <v>5</v>
      </c>
      <c r="D3471" t="s">
        <v>135</v>
      </c>
      <c r="E3471">
        <v>4878797</v>
      </c>
      <c r="F3471" t="s">
        <v>88</v>
      </c>
      <c r="G3471" t="s">
        <v>202</v>
      </c>
      <c r="H3471" t="s">
        <v>255</v>
      </c>
      <c r="I3471" s="4">
        <v>72489.71596799999</v>
      </c>
      <c r="J3471" s="4">
        <v>9423663.0758399982</v>
      </c>
      <c r="L3471" s="4">
        <v>130</v>
      </c>
    </row>
    <row r="3472" spans="1:12">
      <c r="A3472" t="s">
        <v>106</v>
      </c>
      <c r="B3472" s="10">
        <v>45438</v>
      </c>
      <c r="C3472" s="18">
        <f t="shared" si="54"/>
        <v>5</v>
      </c>
      <c r="D3472" t="s">
        <v>135</v>
      </c>
      <c r="E3472">
        <v>4878797</v>
      </c>
      <c r="F3472" t="s">
        <v>88</v>
      </c>
      <c r="G3472" t="s">
        <v>206</v>
      </c>
      <c r="H3472" t="s">
        <v>248</v>
      </c>
      <c r="I3472" s="4">
        <v>16207.663200000001</v>
      </c>
      <c r="J3472" s="4">
        <v>1620766.32</v>
      </c>
      <c r="L3472" s="4">
        <v>100</v>
      </c>
    </row>
    <row r="3473" spans="1:12">
      <c r="A3473" t="s">
        <v>106</v>
      </c>
      <c r="B3473" s="10">
        <v>45438</v>
      </c>
      <c r="C3473" s="18">
        <f t="shared" si="54"/>
        <v>5</v>
      </c>
      <c r="D3473" t="s">
        <v>135</v>
      </c>
      <c r="E3473">
        <v>4878797</v>
      </c>
      <c r="F3473" t="s">
        <v>88</v>
      </c>
      <c r="G3473" t="s">
        <v>206</v>
      </c>
      <c r="H3473" t="s">
        <v>209</v>
      </c>
      <c r="I3473" s="4">
        <v>17715.352800000001</v>
      </c>
      <c r="J3473" s="4">
        <v>3543070.56</v>
      </c>
      <c r="L3473" s="4">
        <v>200</v>
      </c>
    </row>
    <row r="3474" spans="1:12">
      <c r="A3474" t="s">
        <v>106</v>
      </c>
      <c r="B3474" s="10">
        <v>45438</v>
      </c>
      <c r="C3474" s="18">
        <f t="shared" si="54"/>
        <v>5</v>
      </c>
      <c r="D3474" t="s">
        <v>135</v>
      </c>
      <c r="E3474">
        <v>4878797</v>
      </c>
      <c r="F3474" t="s">
        <v>88</v>
      </c>
      <c r="G3474" t="s">
        <v>206</v>
      </c>
      <c r="H3474" t="s">
        <v>252</v>
      </c>
      <c r="I3474" s="4">
        <v>20102.528000000002</v>
      </c>
      <c r="J3474" s="4">
        <v>2010252.8000000003</v>
      </c>
      <c r="L3474" s="4">
        <v>100</v>
      </c>
    </row>
    <row r="3475" spans="1:12">
      <c r="A3475" t="s">
        <v>106</v>
      </c>
      <c r="B3475" s="10">
        <v>45438</v>
      </c>
      <c r="C3475" s="18">
        <f t="shared" si="54"/>
        <v>5</v>
      </c>
      <c r="D3475" t="s">
        <v>135</v>
      </c>
      <c r="E3475">
        <v>4878797</v>
      </c>
      <c r="F3475" t="s">
        <v>88</v>
      </c>
      <c r="G3475" t="s">
        <v>206</v>
      </c>
      <c r="H3475" t="s">
        <v>251</v>
      </c>
      <c r="I3475" s="4">
        <v>19223.042399999998</v>
      </c>
      <c r="J3475" s="4">
        <v>3844608.4799999995</v>
      </c>
      <c r="L3475" s="4">
        <v>200</v>
      </c>
    </row>
    <row r="3476" spans="1:12">
      <c r="A3476" t="s">
        <v>106</v>
      </c>
      <c r="B3476" s="10">
        <v>45438</v>
      </c>
      <c r="C3476" s="18">
        <f t="shared" si="54"/>
        <v>5</v>
      </c>
      <c r="D3476" t="s">
        <v>135</v>
      </c>
      <c r="E3476">
        <v>4873017</v>
      </c>
      <c r="F3476" t="s">
        <v>88</v>
      </c>
      <c r="G3476" t="s">
        <v>203</v>
      </c>
      <c r="H3476" t="s">
        <v>243</v>
      </c>
      <c r="I3476" s="4">
        <v>100638.28079999999</v>
      </c>
      <c r="J3476" s="4">
        <v>201276.56159999999</v>
      </c>
      <c r="L3476" s="4">
        <v>2</v>
      </c>
    </row>
    <row r="3477" spans="1:12">
      <c r="A3477" t="s">
        <v>106</v>
      </c>
      <c r="B3477" s="10">
        <v>45438</v>
      </c>
      <c r="C3477" s="18">
        <f t="shared" si="54"/>
        <v>5</v>
      </c>
      <c r="D3477" t="s">
        <v>135</v>
      </c>
      <c r="E3477">
        <v>4873017</v>
      </c>
      <c r="F3477" t="s">
        <v>88</v>
      </c>
      <c r="G3477" t="s">
        <v>203</v>
      </c>
      <c r="H3477" t="s">
        <v>234</v>
      </c>
      <c r="I3477" s="4">
        <v>100638.28079999999</v>
      </c>
      <c r="J3477" s="4">
        <v>603829.68479999993</v>
      </c>
      <c r="L3477" s="4">
        <v>6</v>
      </c>
    </row>
    <row r="3478" spans="1:12">
      <c r="A3478" t="s">
        <v>106</v>
      </c>
      <c r="B3478" s="10">
        <v>45438</v>
      </c>
      <c r="C3478" s="18">
        <f t="shared" si="54"/>
        <v>5</v>
      </c>
      <c r="D3478" t="s">
        <v>135</v>
      </c>
      <c r="E3478">
        <v>4873017</v>
      </c>
      <c r="F3478" t="s">
        <v>88</v>
      </c>
      <c r="G3478" t="s">
        <v>204</v>
      </c>
      <c r="H3478" t="s">
        <v>219</v>
      </c>
      <c r="I3478" s="4">
        <v>44099.9208</v>
      </c>
      <c r="J3478" s="4">
        <v>617398.89119999995</v>
      </c>
      <c r="L3478" s="4">
        <v>14</v>
      </c>
    </row>
    <row r="3479" spans="1:12">
      <c r="A3479" t="s">
        <v>106</v>
      </c>
      <c r="B3479" s="10">
        <v>45438</v>
      </c>
      <c r="C3479" s="18">
        <f t="shared" si="54"/>
        <v>5</v>
      </c>
      <c r="D3479" t="s">
        <v>135</v>
      </c>
      <c r="E3479">
        <v>4873017</v>
      </c>
      <c r="F3479" t="s">
        <v>88</v>
      </c>
      <c r="G3479" t="s">
        <v>204</v>
      </c>
      <c r="H3479" t="s">
        <v>218</v>
      </c>
      <c r="I3479" s="4">
        <v>71740.896800000002</v>
      </c>
      <c r="J3479" s="4">
        <v>358704.484</v>
      </c>
      <c r="L3479" s="4">
        <v>5</v>
      </c>
    </row>
    <row r="3480" spans="1:12">
      <c r="A3480" t="s">
        <v>106</v>
      </c>
      <c r="B3480" s="10">
        <v>45438</v>
      </c>
      <c r="C3480" s="18">
        <f t="shared" si="54"/>
        <v>5</v>
      </c>
      <c r="D3480" t="s">
        <v>135</v>
      </c>
      <c r="E3480">
        <v>4873017</v>
      </c>
      <c r="F3480" t="s">
        <v>88</v>
      </c>
      <c r="G3480" t="s">
        <v>204</v>
      </c>
      <c r="H3480" t="s">
        <v>216</v>
      </c>
      <c r="I3480" s="4">
        <v>113202.36079999999</v>
      </c>
      <c r="J3480" s="4">
        <v>2830059.02</v>
      </c>
      <c r="L3480" s="4">
        <v>25</v>
      </c>
    </row>
    <row r="3481" spans="1:12">
      <c r="A3481" t="s">
        <v>106</v>
      </c>
      <c r="B3481" s="10">
        <v>45438</v>
      </c>
      <c r="C3481" s="18">
        <f t="shared" si="54"/>
        <v>5</v>
      </c>
      <c r="D3481" t="s">
        <v>135</v>
      </c>
      <c r="E3481">
        <v>4873017</v>
      </c>
      <c r="F3481" t="s">
        <v>88</v>
      </c>
      <c r="G3481" t="s">
        <v>204</v>
      </c>
      <c r="H3481" t="s">
        <v>215</v>
      </c>
      <c r="I3481" s="4">
        <v>75510.12079999999</v>
      </c>
      <c r="J3481" s="4">
        <v>377550.60399999993</v>
      </c>
      <c r="L3481" s="4">
        <v>5</v>
      </c>
    </row>
    <row r="3482" spans="1:12">
      <c r="A3482" t="s">
        <v>106</v>
      </c>
      <c r="B3482" s="10">
        <v>45438</v>
      </c>
      <c r="C3482" s="18">
        <f t="shared" si="54"/>
        <v>5</v>
      </c>
      <c r="D3482" t="s">
        <v>135</v>
      </c>
      <c r="E3482">
        <v>4873017</v>
      </c>
      <c r="F3482" t="s">
        <v>88</v>
      </c>
      <c r="G3482" t="s">
        <v>204</v>
      </c>
      <c r="H3482" t="s">
        <v>214</v>
      </c>
      <c r="I3482" s="4">
        <v>119484.4008</v>
      </c>
      <c r="J3482" s="4">
        <v>119484.4008</v>
      </c>
      <c r="L3482" s="4">
        <v>1</v>
      </c>
    </row>
    <row r="3483" spans="1:12">
      <c r="A3483" t="s">
        <v>106</v>
      </c>
      <c r="B3483" s="10">
        <v>45438</v>
      </c>
      <c r="C3483" s="18">
        <f t="shared" si="54"/>
        <v>5</v>
      </c>
      <c r="D3483" t="s">
        <v>135</v>
      </c>
      <c r="E3483">
        <v>4873017</v>
      </c>
      <c r="F3483" t="s">
        <v>88</v>
      </c>
      <c r="G3483" t="s">
        <v>204</v>
      </c>
      <c r="H3483" t="s">
        <v>221</v>
      </c>
      <c r="I3483" s="4">
        <v>25253.800799999997</v>
      </c>
      <c r="J3483" s="4">
        <v>1388959.0439999998</v>
      </c>
      <c r="L3483" s="4">
        <v>55</v>
      </c>
    </row>
    <row r="3484" spans="1:12">
      <c r="A3484" t="s">
        <v>106</v>
      </c>
      <c r="B3484" s="10">
        <v>45438</v>
      </c>
      <c r="C3484" s="18">
        <f t="shared" si="54"/>
        <v>5</v>
      </c>
      <c r="D3484" t="s">
        <v>135</v>
      </c>
      <c r="E3484">
        <v>4873017</v>
      </c>
      <c r="F3484" t="s">
        <v>88</v>
      </c>
      <c r="G3484" t="s">
        <v>204</v>
      </c>
      <c r="H3484" t="s">
        <v>220</v>
      </c>
      <c r="I3484" s="4">
        <v>37817.880799999999</v>
      </c>
      <c r="J3484" s="4">
        <v>2344708.6096000001</v>
      </c>
      <c r="L3484" s="4">
        <v>62</v>
      </c>
    </row>
    <row r="3485" spans="1:12">
      <c r="A3485" t="s">
        <v>106</v>
      </c>
      <c r="B3485" s="10">
        <v>45438</v>
      </c>
      <c r="C3485" s="18">
        <f t="shared" si="54"/>
        <v>5</v>
      </c>
      <c r="D3485" t="s">
        <v>135</v>
      </c>
      <c r="E3485">
        <v>4873017</v>
      </c>
      <c r="F3485" t="s">
        <v>88</v>
      </c>
      <c r="G3485" t="s">
        <v>204</v>
      </c>
      <c r="H3485" t="s">
        <v>212</v>
      </c>
      <c r="I3485" s="4">
        <v>62946.040799999995</v>
      </c>
      <c r="J3485" s="4">
        <v>125892.08159999999</v>
      </c>
      <c r="L3485" s="4">
        <v>2</v>
      </c>
    </row>
    <row r="3486" spans="1:12">
      <c r="A3486" t="s">
        <v>106</v>
      </c>
      <c r="B3486" s="10">
        <v>45439</v>
      </c>
      <c r="C3486" s="18">
        <f t="shared" si="54"/>
        <v>5</v>
      </c>
      <c r="D3486" t="s">
        <v>135</v>
      </c>
      <c r="E3486">
        <v>4873827</v>
      </c>
      <c r="F3486" t="s">
        <v>88</v>
      </c>
      <c r="G3486" t="s">
        <v>204</v>
      </c>
      <c r="H3486" t="s">
        <v>218</v>
      </c>
      <c r="I3486" s="4">
        <v>71740.896800000002</v>
      </c>
      <c r="J3486" s="4">
        <v>430445.38080000004</v>
      </c>
      <c r="L3486" s="4">
        <v>6</v>
      </c>
    </row>
    <row r="3487" spans="1:12">
      <c r="A3487" t="s">
        <v>106</v>
      </c>
      <c r="B3487" s="10">
        <v>45439</v>
      </c>
      <c r="C3487" s="18">
        <f t="shared" si="54"/>
        <v>5</v>
      </c>
      <c r="D3487" t="s">
        <v>135</v>
      </c>
      <c r="E3487">
        <v>4873827</v>
      </c>
      <c r="F3487" t="s">
        <v>88</v>
      </c>
      <c r="G3487" t="s">
        <v>204</v>
      </c>
      <c r="H3487" t="s">
        <v>214</v>
      </c>
      <c r="I3487" s="4">
        <v>119484.4008</v>
      </c>
      <c r="J3487" s="4">
        <v>597422.00399999996</v>
      </c>
      <c r="L3487" s="4">
        <v>5</v>
      </c>
    </row>
    <row r="3488" spans="1:12">
      <c r="A3488" t="s">
        <v>106</v>
      </c>
      <c r="B3488" s="10">
        <v>45440</v>
      </c>
      <c r="C3488" s="18">
        <f t="shared" si="54"/>
        <v>5</v>
      </c>
      <c r="D3488" t="s">
        <v>135</v>
      </c>
      <c r="E3488">
        <v>4872845</v>
      </c>
      <c r="F3488" t="s">
        <v>87</v>
      </c>
      <c r="G3488" t="s">
        <v>203</v>
      </c>
      <c r="H3488" t="s">
        <v>223</v>
      </c>
      <c r="I3488" s="4">
        <v>100638.28079999999</v>
      </c>
      <c r="J3488" s="4">
        <v>100638.28079999999</v>
      </c>
      <c r="L3488" s="4">
        <v>1</v>
      </c>
    </row>
    <row r="3489" spans="1:12">
      <c r="A3489" t="s">
        <v>106</v>
      </c>
      <c r="B3489" s="10">
        <v>45440</v>
      </c>
      <c r="C3489" s="18">
        <f t="shared" si="54"/>
        <v>5</v>
      </c>
      <c r="D3489" t="s">
        <v>135</v>
      </c>
      <c r="E3489">
        <v>4872613</v>
      </c>
      <c r="F3489" t="s">
        <v>88</v>
      </c>
      <c r="G3489" t="s">
        <v>203</v>
      </c>
      <c r="H3489" t="s">
        <v>236</v>
      </c>
      <c r="I3489" s="4">
        <v>100638.28079999999</v>
      </c>
      <c r="J3489" s="4">
        <v>402553.12319999997</v>
      </c>
      <c r="L3489" s="4">
        <v>4</v>
      </c>
    </row>
    <row r="3490" spans="1:12">
      <c r="A3490" t="s">
        <v>106</v>
      </c>
      <c r="B3490" s="10">
        <v>45440</v>
      </c>
      <c r="C3490" s="18">
        <f t="shared" si="54"/>
        <v>5</v>
      </c>
      <c r="D3490" t="s">
        <v>135</v>
      </c>
      <c r="E3490">
        <v>4872613</v>
      </c>
      <c r="F3490" t="s">
        <v>88</v>
      </c>
      <c r="G3490" t="s">
        <v>203</v>
      </c>
      <c r="H3490" t="s">
        <v>225</v>
      </c>
      <c r="I3490" s="4">
        <v>100638.28079999999</v>
      </c>
      <c r="J3490" s="4">
        <v>201276.56159999999</v>
      </c>
      <c r="L3490" s="4">
        <v>2</v>
      </c>
    </row>
    <row r="3491" spans="1:12">
      <c r="A3491" t="s">
        <v>106</v>
      </c>
      <c r="B3491" s="10">
        <v>45440</v>
      </c>
      <c r="C3491" s="18">
        <f t="shared" si="54"/>
        <v>5</v>
      </c>
      <c r="D3491" t="s">
        <v>135</v>
      </c>
      <c r="E3491">
        <v>4872613</v>
      </c>
      <c r="F3491" t="s">
        <v>88</v>
      </c>
      <c r="G3491" t="s">
        <v>203</v>
      </c>
      <c r="H3491" t="s">
        <v>224</v>
      </c>
      <c r="I3491" s="4">
        <v>100638.28079999999</v>
      </c>
      <c r="J3491" s="4">
        <v>201276.56159999999</v>
      </c>
      <c r="L3491" s="4">
        <v>2</v>
      </c>
    </row>
    <row r="3492" spans="1:12">
      <c r="A3492" t="s">
        <v>106</v>
      </c>
      <c r="B3492" s="10">
        <v>45440</v>
      </c>
      <c r="C3492" s="18">
        <f t="shared" si="54"/>
        <v>5</v>
      </c>
      <c r="D3492" t="s">
        <v>135</v>
      </c>
      <c r="E3492">
        <v>4872613</v>
      </c>
      <c r="F3492" t="s">
        <v>88</v>
      </c>
      <c r="G3492" t="s">
        <v>203</v>
      </c>
      <c r="H3492" t="s">
        <v>223</v>
      </c>
      <c r="I3492" s="4">
        <v>100638.28079999999</v>
      </c>
      <c r="J3492" s="4">
        <v>201276.56159999999</v>
      </c>
      <c r="L3492" s="4">
        <v>2</v>
      </c>
    </row>
    <row r="3493" spans="1:12">
      <c r="A3493" t="s">
        <v>106</v>
      </c>
      <c r="B3493" s="10">
        <v>45440</v>
      </c>
      <c r="C3493" s="18">
        <f t="shared" si="54"/>
        <v>5</v>
      </c>
      <c r="D3493" t="s">
        <v>135</v>
      </c>
      <c r="E3493">
        <v>4873827</v>
      </c>
      <c r="F3493" t="s">
        <v>88</v>
      </c>
      <c r="G3493" t="s">
        <v>203</v>
      </c>
      <c r="H3493" t="s">
        <v>236</v>
      </c>
      <c r="I3493" s="4">
        <v>100638.28079999999</v>
      </c>
      <c r="J3493" s="4">
        <v>201276.56159999999</v>
      </c>
      <c r="L3493" s="4">
        <v>2</v>
      </c>
    </row>
    <row r="3494" spans="1:12">
      <c r="A3494" t="s">
        <v>106</v>
      </c>
      <c r="B3494" s="10">
        <v>45440</v>
      </c>
      <c r="C3494" s="18">
        <f t="shared" si="54"/>
        <v>5</v>
      </c>
      <c r="D3494" t="s">
        <v>135</v>
      </c>
      <c r="E3494">
        <v>4873827</v>
      </c>
      <c r="F3494" t="s">
        <v>88</v>
      </c>
      <c r="G3494" t="s">
        <v>203</v>
      </c>
      <c r="H3494" t="s">
        <v>224</v>
      </c>
      <c r="I3494" s="4">
        <v>100638.28079999999</v>
      </c>
      <c r="J3494" s="4">
        <v>201276.56159999999</v>
      </c>
      <c r="L3494" s="4">
        <v>2</v>
      </c>
    </row>
    <row r="3495" spans="1:12">
      <c r="A3495" t="s">
        <v>106</v>
      </c>
      <c r="B3495" s="10">
        <v>45440</v>
      </c>
      <c r="C3495" s="18">
        <f t="shared" si="54"/>
        <v>5</v>
      </c>
      <c r="D3495" t="s">
        <v>135</v>
      </c>
      <c r="E3495">
        <v>4873827</v>
      </c>
      <c r="F3495" t="s">
        <v>88</v>
      </c>
      <c r="G3495" t="s">
        <v>203</v>
      </c>
      <c r="H3495" t="s">
        <v>223</v>
      </c>
      <c r="I3495" s="4">
        <v>100638.28079999999</v>
      </c>
      <c r="J3495" s="4">
        <v>201276.56159999999</v>
      </c>
      <c r="L3495" s="4">
        <v>2</v>
      </c>
    </row>
    <row r="3496" spans="1:12">
      <c r="A3496" t="s">
        <v>106</v>
      </c>
      <c r="B3496" s="10">
        <v>45440</v>
      </c>
      <c r="C3496" s="18">
        <f t="shared" si="54"/>
        <v>5</v>
      </c>
      <c r="D3496" t="s">
        <v>135</v>
      </c>
      <c r="E3496">
        <v>4873827</v>
      </c>
      <c r="F3496" t="s">
        <v>88</v>
      </c>
      <c r="G3496" t="s">
        <v>204</v>
      </c>
      <c r="H3496" t="s">
        <v>214</v>
      </c>
      <c r="I3496" s="4">
        <v>119484.4008</v>
      </c>
      <c r="J3496" s="4">
        <v>358453.20240000001</v>
      </c>
      <c r="L3496" s="4">
        <v>3</v>
      </c>
    </row>
    <row r="3497" spans="1:12">
      <c r="A3497" t="s">
        <v>106</v>
      </c>
      <c r="B3497" s="10">
        <v>45440</v>
      </c>
      <c r="C3497" s="18">
        <f t="shared" si="54"/>
        <v>5</v>
      </c>
      <c r="D3497" t="s">
        <v>135</v>
      </c>
      <c r="E3497">
        <v>4872397</v>
      </c>
      <c r="F3497" t="s">
        <v>90</v>
      </c>
      <c r="G3497" t="s">
        <v>203</v>
      </c>
      <c r="H3497" t="s">
        <v>236</v>
      </c>
      <c r="I3497" s="4">
        <v>100638.28079999999</v>
      </c>
      <c r="J3497" s="4">
        <v>201276.56159999999</v>
      </c>
      <c r="L3497" s="4">
        <v>2</v>
      </c>
    </row>
    <row r="3498" spans="1:12">
      <c r="A3498" t="s">
        <v>106</v>
      </c>
      <c r="B3498" s="10">
        <v>45440</v>
      </c>
      <c r="C3498" s="18">
        <f t="shared" si="54"/>
        <v>5</v>
      </c>
      <c r="D3498" t="s">
        <v>135</v>
      </c>
      <c r="E3498">
        <v>4872397</v>
      </c>
      <c r="F3498" t="s">
        <v>90</v>
      </c>
      <c r="G3498" t="s">
        <v>203</v>
      </c>
      <c r="H3498" t="s">
        <v>224</v>
      </c>
      <c r="I3498" s="4">
        <v>100638.28079999999</v>
      </c>
      <c r="J3498" s="4">
        <v>402553.12319999997</v>
      </c>
      <c r="L3498" s="4">
        <v>4</v>
      </c>
    </row>
    <row r="3499" spans="1:12">
      <c r="A3499" t="s">
        <v>106</v>
      </c>
      <c r="B3499" s="10">
        <v>45440</v>
      </c>
      <c r="C3499" s="18">
        <f t="shared" si="54"/>
        <v>5</v>
      </c>
      <c r="D3499" t="s">
        <v>135</v>
      </c>
      <c r="E3499">
        <v>4872397</v>
      </c>
      <c r="F3499" t="s">
        <v>90</v>
      </c>
      <c r="G3499" t="s">
        <v>203</v>
      </c>
      <c r="H3499" t="s">
        <v>223</v>
      </c>
      <c r="I3499" s="4">
        <v>100638.28079999999</v>
      </c>
      <c r="J3499" s="4">
        <v>402553.12319999997</v>
      </c>
      <c r="L3499" s="4">
        <v>4</v>
      </c>
    </row>
    <row r="3500" spans="1:12">
      <c r="A3500" t="s">
        <v>106</v>
      </c>
      <c r="B3500" s="10">
        <v>45440</v>
      </c>
      <c r="C3500" s="18">
        <f t="shared" si="54"/>
        <v>5</v>
      </c>
      <c r="D3500" t="s">
        <v>135</v>
      </c>
      <c r="E3500">
        <v>6088435</v>
      </c>
      <c r="F3500" t="s">
        <v>90</v>
      </c>
      <c r="G3500" t="s">
        <v>203</v>
      </c>
      <c r="H3500" t="s">
        <v>236</v>
      </c>
      <c r="I3500" s="4">
        <v>100638.28079999999</v>
      </c>
      <c r="J3500" s="4">
        <v>201276.56159999999</v>
      </c>
      <c r="L3500" s="4">
        <v>2</v>
      </c>
    </row>
    <row r="3501" spans="1:12">
      <c r="A3501" t="s">
        <v>106</v>
      </c>
      <c r="B3501" s="10">
        <v>45440</v>
      </c>
      <c r="C3501" s="18">
        <f t="shared" si="54"/>
        <v>5</v>
      </c>
      <c r="D3501" t="s">
        <v>135</v>
      </c>
      <c r="E3501">
        <v>6088435</v>
      </c>
      <c r="F3501" t="s">
        <v>90</v>
      </c>
      <c r="G3501" t="s">
        <v>203</v>
      </c>
      <c r="H3501" t="s">
        <v>224</v>
      </c>
      <c r="I3501" s="4">
        <v>100638.28079999999</v>
      </c>
      <c r="J3501" s="4">
        <v>201276.56159999999</v>
      </c>
      <c r="L3501" s="4">
        <v>2</v>
      </c>
    </row>
    <row r="3502" spans="1:12">
      <c r="A3502" t="s">
        <v>106</v>
      </c>
      <c r="B3502" s="10">
        <v>45440</v>
      </c>
      <c r="C3502" s="18">
        <f t="shared" si="54"/>
        <v>5</v>
      </c>
      <c r="D3502" t="s">
        <v>135</v>
      </c>
      <c r="E3502">
        <v>6088435</v>
      </c>
      <c r="F3502" t="s">
        <v>90</v>
      </c>
      <c r="G3502" t="s">
        <v>203</v>
      </c>
      <c r="H3502" t="s">
        <v>223</v>
      </c>
      <c r="I3502" s="4">
        <v>100638.28079999999</v>
      </c>
      <c r="J3502" s="4">
        <v>201276.56159999999</v>
      </c>
      <c r="L3502" s="4">
        <v>2</v>
      </c>
    </row>
    <row r="3503" spans="1:12">
      <c r="A3503" t="s">
        <v>106</v>
      </c>
      <c r="B3503" s="10">
        <v>45441</v>
      </c>
      <c r="C3503" s="18">
        <f t="shared" si="54"/>
        <v>5</v>
      </c>
      <c r="D3503" t="s">
        <v>135</v>
      </c>
      <c r="E3503">
        <v>4878797</v>
      </c>
      <c r="F3503" t="s">
        <v>88</v>
      </c>
      <c r="G3503" t="s">
        <v>203</v>
      </c>
      <c r="H3503" t="s">
        <v>223</v>
      </c>
      <c r="I3503" s="4">
        <v>100638.28079999999</v>
      </c>
      <c r="J3503" s="4">
        <v>100638.28079999999</v>
      </c>
      <c r="L3503" s="4">
        <v>1</v>
      </c>
    </row>
    <row r="3504" spans="1:12">
      <c r="A3504" t="s">
        <v>106</v>
      </c>
      <c r="B3504" s="10">
        <v>45441</v>
      </c>
      <c r="C3504" s="18">
        <f t="shared" si="54"/>
        <v>5</v>
      </c>
      <c r="D3504" t="s">
        <v>135</v>
      </c>
      <c r="E3504">
        <v>4872947</v>
      </c>
      <c r="F3504" t="s">
        <v>88</v>
      </c>
      <c r="G3504" t="s">
        <v>203</v>
      </c>
      <c r="H3504" t="s">
        <v>236</v>
      </c>
      <c r="I3504" s="4">
        <v>100638.28079999999</v>
      </c>
      <c r="J3504" s="4">
        <v>201276.56159999999</v>
      </c>
      <c r="L3504" s="4">
        <v>2</v>
      </c>
    </row>
    <row r="3505" spans="1:12">
      <c r="A3505" t="s">
        <v>106</v>
      </c>
      <c r="B3505" s="10">
        <v>45441</v>
      </c>
      <c r="C3505" s="18">
        <f t="shared" si="54"/>
        <v>5</v>
      </c>
      <c r="D3505" t="s">
        <v>135</v>
      </c>
      <c r="E3505">
        <v>4872947</v>
      </c>
      <c r="F3505" t="s">
        <v>88</v>
      </c>
      <c r="G3505" t="s">
        <v>203</v>
      </c>
      <c r="H3505" t="s">
        <v>224</v>
      </c>
      <c r="I3505" s="4">
        <v>100638.28079999999</v>
      </c>
      <c r="J3505" s="4">
        <v>1006382.808</v>
      </c>
      <c r="L3505" s="4">
        <v>10</v>
      </c>
    </row>
    <row r="3506" spans="1:12">
      <c r="A3506" t="s">
        <v>106</v>
      </c>
      <c r="B3506" s="10">
        <v>45441</v>
      </c>
      <c r="C3506" s="18">
        <f t="shared" si="54"/>
        <v>5</v>
      </c>
      <c r="D3506" t="s">
        <v>135</v>
      </c>
      <c r="E3506">
        <v>4872947</v>
      </c>
      <c r="F3506" t="s">
        <v>88</v>
      </c>
      <c r="G3506" t="s">
        <v>203</v>
      </c>
      <c r="H3506" t="s">
        <v>223</v>
      </c>
      <c r="I3506" s="4">
        <v>100638.28079999999</v>
      </c>
      <c r="J3506" s="4">
        <v>1006382.808</v>
      </c>
      <c r="L3506" s="4">
        <v>10</v>
      </c>
    </row>
    <row r="3507" spans="1:12">
      <c r="A3507" t="s">
        <v>106</v>
      </c>
      <c r="B3507" s="10">
        <v>45441</v>
      </c>
      <c r="C3507" s="18">
        <f t="shared" si="54"/>
        <v>5</v>
      </c>
      <c r="D3507" t="s">
        <v>135</v>
      </c>
      <c r="E3507">
        <v>4872947</v>
      </c>
      <c r="F3507" t="s">
        <v>88</v>
      </c>
      <c r="G3507" t="s">
        <v>204</v>
      </c>
      <c r="H3507" t="s">
        <v>219</v>
      </c>
      <c r="I3507" s="4">
        <v>44099.9208</v>
      </c>
      <c r="J3507" s="4">
        <v>88199.8416</v>
      </c>
      <c r="L3507" s="4">
        <v>2</v>
      </c>
    </row>
    <row r="3508" spans="1:12">
      <c r="A3508" t="s">
        <v>106</v>
      </c>
      <c r="B3508" s="10">
        <v>45441</v>
      </c>
      <c r="C3508" s="18">
        <f t="shared" si="54"/>
        <v>5</v>
      </c>
      <c r="D3508" t="s">
        <v>135</v>
      </c>
      <c r="E3508">
        <v>4872947</v>
      </c>
      <c r="F3508" t="s">
        <v>88</v>
      </c>
      <c r="G3508" t="s">
        <v>204</v>
      </c>
      <c r="H3508" t="s">
        <v>214</v>
      </c>
      <c r="I3508" s="4">
        <v>119484.4008</v>
      </c>
      <c r="J3508" s="4">
        <v>358453.20240000001</v>
      </c>
      <c r="L3508" s="4">
        <v>3</v>
      </c>
    </row>
    <row r="3509" spans="1:12">
      <c r="A3509" t="s">
        <v>106</v>
      </c>
      <c r="B3509" s="10">
        <v>45442</v>
      </c>
      <c r="C3509" s="18">
        <f t="shared" si="54"/>
        <v>5</v>
      </c>
      <c r="D3509" t="s">
        <v>135</v>
      </c>
      <c r="E3509">
        <v>4872844</v>
      </c>
      <c r="F3509" t="s">
        <v>88</v>
      </c>
      <c r="G3509" t="s">
        <v>204</v>
      </c>
      <c r="H3509" t="s">
        <v>215</v>
      </c>
      <c r="I3509" s="4">
        <v>75510.12079999999</v>
      </c>
      <c r="J3509" s="4">
        <v>-75510.12079999999</v>
      </c>
      <c r="L3509" s="4">
        <v>-1</v>
      </c>
    </row>
    <row r="3510" spans="1:12">
      <c r="A3510" t="s">
        <v>106</v>
      </c>
      <c r="B3510" s="10">
        <v>45442</v>
      </c>
      <c r="C3510" s="18">
        <f t="shared" si="54"/>
        <v>5</v>
      </c>
      <c r="D3510" t="s">
        <v>135</v>
      </c>
      <c r="E3510">
        <v>4872613</v>
      </c>
      <c r="F3510" t="s">
        <v>88</v>
      </c>
      <c r="G3510" t="s">
        <v>203</v>
      </c>
      <c r="H3510" t="s">
        <v>224</v>
      </c>
      <c r="I3510" s="4">
        <v>100638.28079999999</v>
      </c>
      <c r="J3510" s="4">
        <v>402553.12319999997</v>
      </c>
      <c r="L3510" s="4">
        <v>4</v>
      </c>
    </row>
    <row r="3511" spans="1:12">
      <c r="A3511" t="s">
        <v>106</v>
      </c>
      <c r="B3511" s="10">
        <v>45442</v>
      </c>
      <c r="C3511" s="18">
        <f t="shared" si="54"/>
        <v>5</v>
      </c>
      <c r="D3511" t="s">
        <v>135</v>
      </c>
      <c r="E3511">
        <v>4872613</v>
      </c>
      <c r="F3511" t="s">
        <v>88</v>
      </c>
      <c r="G3511" t="s">
        <v>203</v>
      </c>
      <c r="H3511" t="s">
        <v>223</v>
      </c>
      <c r="I3511" s="4">
        <v>100638.28079999999</v>
      </c>
      <c r="J3511" s="4">
        <v>402553.12319999997</v>
      </c>
      <c r="L3511" s="4">
        <v>4</v>
      </c>
    </row>
    <row r="3512" spans="1:12">
      <c r="A3512" t="s">
        <v>106</v>
      </c>
      <c r="B3512" s="10">
        <v>45443</v>
      </c>
      <c r="C3512" s="18">
        <f t="shared" si="54"/>
        <v>5</v>
      </c>
      <c r="D3512" t="s">
        <v>135</v>
      </c>
      <c r="E3512">
        <v>4873753</v>
      </c>
      <c r="F3512" t="s">
        <v>88</v>
      </c>
      <c r="G3512" t="s">
        <v>203</v>
      </c>
      <c r="H3512" t="s">
        <v>224</v>
      </c>
      <c r="I3512" s="4">
        <v>100638.28079999999</v>
      </c>
      <c r="J3512" s="4">
        <v>805106.24639999995</v>
      </c>
      <c r="L3512" s="4">
        <v>8</v>
      </c>
    </row>
    <row r="3513" spans="1:12">
      <c r="A3513" t="s">
        <v>106</v>
      </c>
      <c r="B3513" s="10">
        <v>45443</v>
      </c>
      <c r="C3513" s="18">
        <f t="shared" si="54"/>
        <v>5</v>
      </c>
      <c r="D3513" t="s">
        <v>135</v>
      </c>
      <c r="E3513">
        <v>4873753</v>
      </c>
      <c r="F3513" t="s">
        <v>88</v>
      </c>
      <c r="G3513" t="s">
        <v>203</v>
      </c>
      <c r="H3513" t="s">
        <v>223</v>
      </c>
      <c r="I3513" s="4">
        <v>100638.28079999999</v>
      </c>
      <c r="J3513" s="4">
        <v>603829.68479999993</v>
      </c>
      <c r="L3513" s="4">
        <v>6</v>
      </c>
    </row>
    <row r="3514" spans="1:12">
      <c r="A3514" t="s">
        <v>264</v>
      </c>
      <c r="B3514" s="10">
        <v>45413</v>
      </c>
      <c r="C3514" s="18">
        <f t="shared" si="54"/>
        <v>5</v>
      </c>
      <c r="D3514" t="s">
        <v>196</v>
      </c>
      <c r="E3514">
        <v>4874006</v>
      </c>
      <c r="F3514" t="s">
        <v>8</v>
      </c>
      <c r="G3514" t="s">
        <v>204</v>
      </c>
      <c r="H3514" t="s">
        <v>218</v>
      </c>
      <c r="I3514" s="4">
        <v>71740.896800000002</v>
      </c>
      <c r="J3514" s="4">
        <v>7389312.3704000004</v>
      </c>
      <c r="K3514" s="4">
        <v>-368818.56839999999</v>
      </c>
      <c r="L3514" s="4">
        <v>103</v>
      </c>
    </row>
    <row r="3515" spans="1:12">
      <c r="A3515" t="s">
        <v>264</v>
      </c>
      <c r="B3515" s="10">
        <v>45413</v>
      </c>
      <c r="C3515" s="18">
        <f t="shared" si="54"/>
        <v>5</v>
      </c>
      <c r="D3515" t="s">
        <v>196</v>
      </c>
      <c r="E3515">
        <v>4874006</v>
      </c>
      <c r="F3515" t="s">
        <v>8</v>
      </c>
      <c r="G3515" t="s">
        <v>204</v>
      </c>
      <c r="H3515" t="s">
        <v>216</v>
      </c>
      <c r="I3515" s="4">
        <v>113202.36079999999</v>
      </c>
      <c r="J3515" s="4">
        <v>3396070.824</v>
      </c>
      <c r="K3515" s="4">
        <v>-169615.08</v>
      </c>
      <c r="L3515" s="4">
        <v>30</v>
      </c>
    </row>
    <row r="3516" spans="1:12">
      <c r="A3516" t="s">
        <v>264</v>
      </c>
      <c r="B3516" s="10">
        <v>45413</v>
      </c>
      <c r="C3516" s="18">
        <f t="shared" si="54"/>
        <v>5</v>
      </c>
      <c r="D3516" t="s">
        <v>196</v>
      </c>
      <c r="E3516">
        <v>4874006</v>
      </c>
      <c r="F3516" t="s">
        <v>8</v>
      </c>
      <c r="G3516" t="s">
        <v>204</v>
      </c>
      <c r="H3516" t="s">
        <v>215</v>
      </c>
      <c r="I3516" s="4">
        <v>75510.12079999999</v>
      </c>
      <c r="J3516" s="4">
        <v>3775506.0399999996</v>
      </c>
      <c r="K3516" s="4">
        <v>-188461.2</v>
      </c>
      <c r="L3516" s="4">
        <v>50</v>
      </c>
    </row>
    <row r="3517" spans="1:12">
      <c r="A3517" t="s">
        <v>264</v>
      </c>
      <c r="B3517" s="10">
        <v>45413</v>
      </c>
      <c r="C3517" s="18">
        <f t="shared" si="54"/>
        <v>5</v>
      </c>
      <c r="D3517" t="s">
        <v>196</v>
      </c>
      <c r="E3517">
        <v>4874006</v>
      </c>
      <c r="F3517" t="s">
        <v>8</v>
      </c>
      <c r="G3517" t="s">
        <v>204</v>
      </c>
      <c r="H3517" t="s">
        <v>214</v>
      </c>
      <c r="I3517" s="4">
        <v>119484.4008</v>
      </c>
      <c r="J3517" s="4">
        <v>5974220.04</v>
      </c>
      <c r="K3517" s="4">
        <v>-298396.90000000002</v>
      </c>
      <c r="L3517" s="4">
        <v>50</v>
      </c>
    </row>
    <row r="3518" spans="1:12">
      <c r="A3518" t="s">
        <v>264</v>
      </c>
      <c r="B3518" s="10">
        <v>45413</v>
      </c>
      <c r="C3518" s="18">
        <f t="shared" si="54"/>
        <v>5</v>
      </c>
      <c r="D3518" t="s">
        <v>196</v>
      </c>
      <c r="E3518">
        <v>4874006</v>
      </c>
      <c r="F3518" t="s">
        <v>8</v>
      </c>
      <c r="G3518" t="s">
        <v>205</v>
      </c>
      <c r="H3518" t="s">
        <v>210</v>
      </c>
      <c r="I3518" s="4">
        <v>7538.4479999999994</v>
      </c>
      <c r="J3518" s="4">
        <v>927229.10399999993</v>
      </c>
      <c r="K3518" s="4">
        <v>-46361.455199999997</v>
      </c>
      <c r="L3518" s="4">
        <v>123</v>
      </c>
    </row>
    <row r="3519" spans="1:12">
      <c r="A3519" t="s">
        <v>264</v>
      </c>
      <c r="B3519" s="10">
        <v>45413</v>
      </c>
      <c r="C3519" s="18">
        <f t="shared" si="54"/>
        <v>5</v>
      </c>
      <c r="D3519" t="s">
        <v>196</v>
      </c>
      <c r="E3519">
        <v>4874006</v>
      </c>
      <c r="F3519" t="s">
        <v>8</v>
      </c>
      <c r="G3519" t="s">
        <v>205</v>
      </c>
      <c r="H3519" t="s">
        <v>211</v>
      </c>
      <c r="I3519" s="4">
        <v>5151.2727999999997</v>
      </c>
      <c r="J3519" s="4">
        <v>5151272.8</v>
      </c>
      <c r="K3519" s="4">
        <v>-251281.6</v>
      </c>
      <c r="L3519" s="4">
        <v>1000</v>
      </c>
    </row>
    <row r="3520" spans="1:12">
      <c r="A3520" t="s">
        <v>264</v>
      </c>
      <c r="B3520" s="10">
        <v>45413</v>
      </c>
      <c r="C3520" s="18">
        <f t="shared" si="54"/>
        <v>5</v>
      </c>
      <c r="D3520" t="s">
        <v>196</v>
      </c>
      <c r="E3520">
        <v>4873615</v>
      </c>
      <c r="F3520" t="s">
        <v>8</v>
      </c>
      <c r="G3520" t="s">
        <v>203</v>
      </c>
      <c r="H3520" t="s">
        <v>229</v>
      </c>
      <c r="I3520" s="4">
        <v>125766.4408</v>
      </c>
      <c r="J3520" s="4">
        <v>1257664.4080000001</v>
      </c>
      <c r="K3520" s="4">
        <v>-56538.36</v>
      </c>
      <c r="L3520" s="4">
        <v>10</v>
      </c>
    </row>
    <row r="3521" spans="1:12">
      <c r="A3521" t="s">
        <v>264</v>
      </c>
      <c r="B3521" s="10">
        <v>45413</v>
      </c>
      <c r="C3521" s="18">
        <f t="shared" si="54"/>
        <v>5</v>
      </c>
      <c r="D3521" t="s">
        <v>196</v>
      </c>
      <c r="E3521">
        <v>4876759</v>
      </c>
      <c r="F3521" t="s">
        <v>8</v>
      </c>
      <c r="G3521" t="s">
        <v>203</v>
      </c>
      <c r="H3521" t="s">
        <v>245</v>
      </c>
      <c r="I3521" s="4">
        <v>100638.28079999999</v>
      </c>
      <c r="J3521" s="4">
        <v>2012765.6159999999</v>
      </c>
      <c r="K3521" s="4">
        <v>-86692.152000000002</v>
      </c>
      <c r="L3521" s="4">
        <v>20</v>
      </c>
    </row>
    <row r="3522" spans="1:12">
      <c r="A3522" t="s">
        <v>264</v>
      </c>
      <c r="B3522" s="10">
        <v>45413</v>
      </c>
      <c r="C3522" s="18">
        <f t="shared" ref="C3522:C3585" si="55">MONTH(B3522)</f>
        <v>5</v>
      </c>
      <c r="D3522" t="s">
        <v>196</v>
      </c>
      <c r="E3522">
        <v>4876759</v>
      </c>
      <c r="F3522" t="s">
        <v>8</v>
      </c>
      <c r="G3522" t="s">
        <v>203</v>
      </c>
      <c r="H3522" t="s">
        <v>243</v>
      </c>
      <c r="I3522" s="4">
        <v>100638.28079999999</v>
      </c>
      <c r="J3522" s="4">
        <v>3019148.4239999996</v>
      </c>
      <c r="K3522" s="4">
        <v>-130038.22799999999</v>
      </c>
      <c r="L3522" s="4">
        <v>30</v>
      </c>
    </row>
    <row r="3523" spans="1:12">
      <c r="A3523" t="s">
        <v>264</v>
      </c>
      <c r="B3523" s="10">
        <v>45413</v>
      </c>
      <c r="C3523" s="18">
        <f t="shared" si="55"/>
        <v>5</v>
      </c>
      <c r="D3523" t="s">
        <v>196</v>
      </c>
      <c r="E3523">
        <v>4876759</v>
      </c>
      <c r="F3523" t="s">
        <v>8</v>
      </c>
      <c r="G3523" t="s">
        <v>203</v>
      </c>
      <c r="H3523" t="s">
        <v>240</v>
      </c>
      <c r="I3523" s="4">
        <v>100638.28079999999</v>
      </c>
      <c r="J3523" s="4">
        <v>3019148.4239999996</v>
      </c>
      <c r="K3523" s="4">
        <v>-130038.22799999999</v>
      </c>
      <c r="L3523" s="4">
        <v>30</v>
      </c>
    </row>
    <row r="3524" spans="1:12">
      <c r="A3524" t="s">
        <v>264</v>
      </c>
      <c r="B3524" s="10">
        <v>45413</v>
      </c>
      <c r="C3524" s="18">
        <f t="shared" si="55"/>
        <v>5</v>
      </c>
      <c r="D3524" t="s">
        <v>196</v>
      </c>
      <c r="E3524">
        <v>4876759</v>
      </c>
      <c r="F3524" t="s">
        <v>8</v>
      </c>
      <c r="G3524" t="s">
        <v>203</v>
      </c>
      <c r="H3524" t="s">
        <v>238</v>
      </c>
      <c r="I3524" s="4">
        <v>95606.36675999999</v>
      </c>
      <c r="J3524" s="4">
        <v>1912127.3351999999</v>
      </c>
      <c r="K3524" s="4">
        <v>-86692.152000000002</v>
      </c>
      <c r="L3524" s="4">
        <v>20</v>
      </c>
    </row>
    <row r="3525" spans="1:12">
      <c r="A3525" t="s">
        <v>264</v>
      </c>
      <c r="B3525" s="10">
        <v>45413</v>
      </c>
      <c r="C3525" s="18">
        <f t="shared" si="55"/>
        <v>5</v>
      </c>
      <c r="D3525" t="s">
        <v>196</v>
      </c>
      <c r="E3525">
        <v>4876759</v>
      </c>
      <c r="F3525" t="s">
        <v>8</v>
      </c>
      <c r="G3525" t="s">
        <v>203</v>
      </c>
      <c r="H3525" t="s">
        <v>236</v>
      </c>
      <c r="I3525" s="4">
        <v>100638.28079999999</v>
      </c>
      <c r="J3525" s="4">
        <v>3019148.4239999996</v>
      </c>
      <c r="K3525" s="4">
        <v>-130038.22799999999</v>
      </c>
      <c r="L3525" s="4">
        <v>30</v>
      </c>
    </row>
    <row r="3526" spans="1:12">
      <c r="A3526" t="s">
        <v>264</v>
      </c>
      <c r="B3526" s="10">
        <v>45413</v>
      </c>
      <c r="C3526" s="18">
        <f t="shared" si="55"/>
        <v>5</v>
      </c>
      <c r="D3526" t="s">
        <v>196</v>
      </c>
      <c r="E3526">
        <v>4876759</v>
      </c>
      <c r="F3526" t="s">
        <v>8</v>
      </c>
      <c r="G3526" t="s">
        <v>203</v>
      </c>
      <c r="H3526" t="s">
        <v>228</v>
      </c>
      <c r="I3526" s="4">
        <v>100638.28079999999</v>
      </c>
      <c r="J3526" s="4">
        <v>3019148.4239999996</v>
      </c>
      <c r="K3526" s="4">
        <v>-130038.22799999999</v>
      </c>
      <c r="L3526" s="4">
        <v>30</v>
      </c>
    </row>
    <row r="3527" spans="1:12">
      <c r="A3527" t="s">
        <v>264</v>
      </c>
      <c r="B3527" s="10">
        <v>45413</v>
      </c>
      <c r="C3527" s="18">
        <f t="shared" si="55"/>
        <v>5</v>
      </c>
      <c r="D3527" t="s">
        <v>196</v>
      </c>
      <c r="E3527">
        <v>4876759</v>
      </c>
      <c r="F3527" t="s">
        <v>8</v>
      </c>
      <c r="G3527" t="s">
        <v>203</v>
      </c>
      <c r="H3527" t="s">
        <v>223</v>
      </c>
      <c r="I3527" s="4">
        <v>100638.28079999999</v>
      </c>
      <c r="J3527" s="4">
        <v>3019148.4239999996</v>
      </c>
      <c r="K3527" s="4">
        <v>-130038.22799999999</v>
      </c>
      <c r="L3527" s="4">
        <v>30</v>
      </c>
    </row>
    <row r="3528" spans="1:12">
      <c r="A3528" t="s">
        <v>264</v>
      </c>
      <c r="B3528" s="10">
        <v>45413</v>
      </c>
      <c r="C3528" s="18">
        <f t="shared" si="55"/>
        <v>5</v>
      </c>
      <c r="D3528" t="s">
        <v>196</v>
      </c>
      <c r="E3528">
        <v>4876759</v>
      </c>
      <c r="F3528" t="s">
        <v>8</v>
      </c>
      <c r="G3528" t="s">
        <v>203</v>
      </c>
      <c r="H3528" t="s">
        <v>241</v>
      </c>
      <c r="I3528" s="4">
        <v>125766.4408</v>
      </c>
      <c r="J3528" s="4">
        <v>3772993.2239999999</v>
      </c>
      <c r="K3528" s="4">
        <v>-169615.08</v>
      </c>
      <c r="L3528" s="4">
        <v>30</v>
      </c>
    </row>
    <row r="3529" spans="1:12">
      <c r="A3529" t="s">
        <v>264</v>
      </c>
      <c r="B3529" s="10">
        <v>45413</v>
      </c>
      <c r="C3529" s="18">
        <f t="shared" si="55"/>
        <v>5</v>
      </c>
      <c r="D3529" t="s">
        <v>196</v>
      </c>
      <c r="E3529">
        <v>4876759</v>
      </c>
      <c r="F3529" t="s">
        <v>8</v>
      </c>
      <c r="G3529" t="s">
        <v>203</v>
      </c>
      <c r="H3529" t="s">
        <v>235</v>
      </c>
      <c r="I3529" s="4">
        <v>125766.4408</v>
      </c>
      <c r="J3529" s="4">
        <v>2515328.8160000001</v>
      </c>
      <c r="K3529" s="4">
        <v>-113076.72</v>
      </c>
      <c r="L3529" s="4">
        <v>20</v>
      </c>
    </row>
    <row r="3530" spans="1:12">
      <c r="A3530" t="s">
        <v>264</v>
      </c>
      <c r="B3530" s="10">
        <v>45413</v>
      </c>
      <c r="C3530" s="18">
        <f t="shared" si="55"/>
        <v>5</v>
      </c>
      <c r="D3530" t="s">
        <v>196</v>
      </c>
      <c r="E3530">
        <v>4876759</v>
      </c>
      <c r="F3530" t="s">
        <v>8</v>
      </c>
      <c r="G3530" t="s">
        <v>203</v>
      </c>
      <c r="H3530" t="s">
        <v>231</v>
      </c>
      <c r="I3530" s="4">
        <v>125766.4408</v>
      </c>
      <c r="J3530" s="4">
        <v>3772993.2239999999</v>
      </c>
      <c r="K3530" s="4">
        <v>-169615.08</v>
      </c>
      <c r="L3530" s="4">
        <v>30</v>
      </c>
    </row>
    <row r="3531" spans="1:12">
      <c r="A3531" t="s">
        <v>264</v>
      </c>
      <c r="B3531" s="10">
        <v>45413</v>
      </c>
      <c r="C3531" s="18">
        <f t="shared" si="55"/>
        <v>5</v>
      </c>
      <c r="D3531" t="s">
        <v>196</v>
      </c>
      <c r="E3531">
        <v>4876759</v>
      </c>
      <c r="F3531" t="s">
        <v>8</v>
      </c>
      <c r="G3531" t="s">
        <v>203</v>
      </c>
      <c r="H3531" t="s">
        <v>229</v>
      </c>
      <c r="I3531" s="4">
        <v>125766.4408</v>
      </c>
      <c r="J3531" s="4">
        <v>2515328.8160000001</v>
      </c>
      <c r="K3531" s="4">
        <v>-113076.72</v>
      </c>
      <c r="L3531" s="4">
        <v>20</v>
      </c>
    </row>
    <row r="3532" spans="1:12">
      <c r="A3532" t="s">
        <v>264</v>
      </c>
      <c r="B3532" s="10">
        <v>45413</v>
      </c>
      <c r="C3532" s="18">
        <f t="shared" si="55"/>
        <v>5</v>
      </c>
      <c r="D3532" t="s">
        <v>196</v>
      </c>
      <c r="E3532">
        <v>4872210</v>
      </c>
      <c r="F3532" t="s">
        <v>8</v>
      </c>
      <c r="G3532" t="s">
        <v>203</v>
      </c>
      <c r="H3532" t="s">
        <v>240</v>
      </c>
      <c r="I3532" s="4">
        <v>100638.28079999999</v>
      </c>
      <c r="J3532" s="4">
        <v>2012765.6159999999</v>
      </c>
      <c r="K3532" s="4">
        <v>-86692.152000000002</v>
      </c>
      <c r="L3532" s="4">
        <v>20</v>
      </c>
    </row>
    <row r="3533" spans="1:12">
      <c r="A3533" t="s">
        <v>264</v>
      </c>
      <c r="B3533" s="10">
        <v>45413</v>
      </c>
      <c r="C3533" s="18">
        <f t="shared" si="55"/>
        <v>5</v>
      </c>
      <c r="D3533" t="s">
        <v>196</v>
      </c>
      <c r="E3533">
        <v>4872210</v>
      </c>
      <c r="F3533" t="s">
        <v>8</v>
      </c>
      <c r="G3533" t="s">
        <v>203</v>
      </c>
      <c r="H3533" t="s">
        <v>238</v>
      </c>
      <c r="I3533" s="4">
        <v>95606.36675999999</v>
      </c>
      <c r="J3533" s="4">
        <v>1912127.3351999999</v>
      </c>
      <c r="K3533" s="4">
        <v>-86692.152000000002</v>
      </c>
      <c r="L3533" s="4">
        <v>20</v>
      </c>
    </row>
    <row r="3534" spans="1:12">
      <c r="A3534" t="s">
        <v>264</v>
      </c>
      <c r="B3534" s="10">
        <v>45413</v>
      </c>
      <c r="C3534" s="18">
        <f t="shared" si="55"/>
        <v>5</v>
      </c>
      <c r="D3534" t="s">
        <v>196</v>
      </c>
      <c r="E3534">
        <v>4872210</v>
      </c>
      <c r="F3534" t="s">
        <v>8</v>
      </c>
      <c r="G3534" t="s">
        <v>203</v>
      </c>
      <c r="H3534" t="s">
        <v>229</v>
      </c>
      <c r="I3534" s="4">
        <v>125766.4408</v>
      </c>
      <c r="J3534" s="4">
        <v>5030657.6320000002</v>
      </c>
      <c r="K3534" s="4">
        <v>-226153.44</v>
      </c>
      <c r="L3534" s="4">
        <v>40</v>
      </c>
    </row>
    <row r="3535" spans="1:12">
      <c r="A3535" t="s">
        <v>264</v>
      </c>
      <c r="B3535" s="10">
        <v>45414</v>
      </c>
      <c r="C3535" s="18">
        <f t="shared" si="55"/>
        <v>5</v>
      </c>
      <c r="D3535" t="s">
        <v>196</v>
      </c>
      <c r="E3535">
        <v>4872058</v>
      </c>
      <c r="F3535" t="s">
        <v>8</v>
      </c>
      <c r="G3535" t="s">
        <v>203</v>
      </c>
      <c r="H3535" t="s">
        <v>240</v>
      </c>
      <c r="I3535" s="4">
        <v>100638.28079999999</v>
      </c>
      <c r="J3535" s="4">
        <v>1006382.808</v>
      </c>
      <c r="K3535" s="4">
        <v>-43346.076000000001</v>
      </c>
      <c r="L3535" s="4">
        <v>10</v>
      </c>
    </row>
    <row r="3536" spans="1:12">
      <c r="A3536" t="s">
        <v>264</v>
      </c>
      <c r="B3536" s="10">
        <v>45414</v>
      </c>
      <c r="C3536" s="18">
        <f t="shared" si="55"/>
        <v>5</v>
      </c>
      <c r="D3536" t="s">
        <v>196</v>
      </c>
      <c r="E3536">
        <v>4872068</v>
      </c>
      <c r="F3536" t="s">
        <v>8</v>
      </c>
      <c r="G3536" t="s">
        <v>203</v>
      </c>
      <c r="H3536" t="s">
        <v>241</v>
      </c>
      <c r="I3536" s="4">
        <v>125766.4408</v>
      </c>
      <c r="J3536" s="4">
        <v>1886496.612</v>
      </c>
      <c r="K3536" s="4">
        <v>-84807.54</v>
      </c>
      <c r="L3536" s="4">
        <v>15</v>
      </c>
    </row>
    <row r="3537" spans="1:12">
      <c r="A3537" t="s">
        <v>264</v>
      </c>
      <c r="B3537" s="10">
        <v>45414</v>
      </c>
      <c r="C3537" s="18">
        <f t="shared" si="55"/>
        <v>5</v>
      </c>
      <c r="D3537" t="s">
        <v>196</v>
      </c>
      <c r="E3537">
        <v>4872243</v>
      </c>
      <c r="F3537" t="s">
        <v>8</v>
      </c>
      <c r="G3537" t="s">
        <v>203</v>
      </c>
      <c r="H3537" t="s">
        <v>240</v>
      </c>
      <c r="I3537" s="4">
        <v>100638.28079999999</v>
      </c>
      <c r="J3537" s="4">
        <v>1006382.808</v>
      </c>
      <c r="K3537" s="4">
        <v>-43346.076000000001</v>
      </c>
      <c r="L3537" s="4">
        <v>10</v>
      </c>
    </row>
    <row r="3538" spans="1:12">
      <c r="A3538" t="s">
        <v>264</v>
      </c>
      <c r="B3538" s="10">
        <v>45414</v>
      </c>
      <c r="C3538" s="18">
        <f t="shared" si="55"/>
        <v>5</v>
      </c>
      <c r="D3538" t="s">
        <v>196</v>
      </c>
      <c r="E3538">
        <v>4872243</v>
      </c>
      <c r="F3538" t="s">
        <v>8</v>
      </c>
      <c r="G3538" t="s">
        <v>203</v>
      </c>
      <c r="H3538" t="s">
        <v>236</v>
      </c>
      <c r="I3538" s="4">
        <v>100638.28079999999</v>
      </c>
      <c r="J3538" s="4">
        <v>1006382.808</v>
      </c>
      <c r="K3538" s="4">
        <v>-43346.076000000001</v>
      </c>
      <c r="L3538" s="4">
        <v>10</v>
      </c>
    </row>
    <row r="3539" spans="1:12">
      <c r="A3539" t="s">
        <v>264</v>
      </c>
      <c r="B3539" s="10">
        <v>45414</v>
      </c>
      <c r="C3539" s="18">
        <f t="shared" si="55"/>
        <v>5</v>
      </c>
      <c r="D3539" t="s">
        <v>196</v>
      </c>
      <c r="E3539">
        <v>4872243</v>
      </c>
      <c r="F3539" t="s">
        <v>8</v>
      </c>
      <c r="G3539" t="s">
        <v>203</v>
      </c>
      <c r="H3539" t="s">
        <v>228</v>
      </c>
      <c r="I3539" s="4">
        <v>100638.28079999999</v>
      </c>
      <c r="J3539" s="4">
        <v>1006382.808</v>
      </c>
      <c r="K3539" s="4">
        <v>-43346.076000000001</v>
      </c>
      <c r="L3539" s="4">
        <v>10</v>
      </c>
    </row>
    <row r="3540" spans="1:12">
      <c r="A3540" t="s">
        <v>264</v>
      </c>
      <c r="B3540" s="10">
        <v>45414</v>
      </c>
      <c r="C3540" s="18">
        <f t="shared" si="55"/>
        <v>5</v>
      </c>
      <c r="D3540" t="s">
        <v>196</v>
      </c>
      <c r="E3540">
        <v>4872243</v>
      </c>
      <c r="F3540" t="s">
        <v>8</v>
      </c>
      <c r="G3540" t="s">
        <v>203</v>
      </c>
      <c r="H3540" t="s">
        <v>241</v>
      </c>
      <c r="I3540" s="4">
        <v>125766.4408</v>
      </c>
      <c r="J3540" s="4">
        <v>1257664.4080000001</v>
      </c>
      <c r="K3540" s="4">
        <v>-56538.36</v>
      </c>
      <c r="L3540" s="4">
        <v>10</v>
      </c>
    </row>
    <row r="3541" spans="1:12">
      <c r="A3541" t="s">
        <v>264</v>
      </c>
      <c r="B3541" s="10">
        <v>45414</v>
      </c>
      <c r="C3541" s="18">
        <f t="shared" si="55"/>
        <v>5</v>
      </c>
      <c r="D3541" t="s">
        <v>196</v>
      </c>
      <c r="E3541">
        <v>4873121</v>
      </c>
      <c r="F3541" t="s">
        <v>8</v>
      </c>
      <c r="G3541" t="s">
        <v>203</v>
      </c>
      <c r="H3541" t="s">
        <v>245</v>
      </c>
      <c r="I3541" s="4">
        <v>100638.28079999999</v>
      </c>
      <c r="J3541" s="4">
        <v>2012765.6159999999</v>
      </c>
      <c r="K3541" s="4">
        <v>-86692.152000000002</v>
      </c>
      <c r="L3541" s="4">
        <v>20</v>
      </c>
    </row>
    <row r="3542" spans="1:12">
      <c r="A3542" t="s">
        <v>264</v>
      </c>
      <c r="B3542" s="10">
        <v>45414</v>
      </c>
      <c r="C3542" s="18">
        <f t="shared" si="55"/>
        <v>5</v>
      </c>
      <c r="D3542" t="s">
        <v>196</v>
      </c>
      <c r="E3542">
        <v>4873121</v>
      </c>
      <c r="F3542" t="s">
        <v>8</v>
      </c>
      <c r="G3542" t="s">
        <v>203</v>
      </c>
      <c r="H3542" t="s">
        <v>243</v>
      </c>
      <c r="I3542" s="4">
        <v>100638.28079999999</v>
      </c>
      <c r="J3542" s="4">
        <v>2012765.6159999999</v>
      </c>
      <c r="K3542" s="4">
        <v>-86692.152000000002</v>
      </c>
      <c r="L3542" s="4">
        <v>20</v>
      </c>
    </row>
    <row r="3543" spans="1:12">
      <c r="A3543" t="s">
        <v>264</v>
      </c>
      <c r="B3543" s="10">
        <v>45414</v>
      </c>
      <c r="C3543" s="18">
        <f t="shared" si="55"/>
        <v>5</v>
      </c>
      <c r="D3543" t="s">
        <v>196</v>
      </c>
      <c r="E3543">
        <v>4873121</v>
      </c>
      <c r="F3543" t="s">
        <v>8</v>
      </c>
      <c r="G3543" t="s">
        <v>203</v>
      </c>
      <c r="H3543" t="s">
        <v>240</v>
      </c>
      <c r="I3543" s="4">
        <v>100638.28079999999</v>
      </c>
      <c r="J3543" s="4">
        <v>2012765.6159999999</v>
      </c>
      <c r="K3543" s="4">
        <v>-86692.152000000002</v>
      </c>
      <c r="L3543" s="4">
        <v>20</v>
      </c>
    </row>
    <row r="3544" spans="1:12">
      <c r="A3544" t="s">
        <v>264</v>
      </c>
      <c r="B3544" s="10">
        <v>45414</v>
      </c>
      <c r="C3544" s="18">
        <f t="shared" si="55"/>
        <v>5</v>
      </c>
      <c r="D3544" t="s">
        <v>196</v>
      </c>
      <c r="E3544">
        <v>4873121</v>
      </c>
      <c r="F3544" t="s">
        <v>8</v>
      </c>
      <c r="G3544" t="s">
        <v>203</v>
      </c>
      <c r="H3544" t="s">
        <v>238</v>
      </c>
      <c r="I3544" s="4">
        <v>95606.36675999999</v>
      </c>
      <c r="J3544" s="4">
        <v>1912127.3351999999</v>
      </c>
      <c r="K3544" s="4">
        <v>-86692.152000000002</v>
      </c>
      <c r="L3544" s="4">
        <v>20</v>
      </c>
    </row>
    <row r="3545" spans="1:12">
      <c r="A3545" t="s">
        <v>264</v>
      </c>
      <c r="B3545" s="10">
        <v>45414</v>
      </c>
      <c r="C3545" s="18">
        <f t="shared" si="55"/>
        <v>5</v>
      </c>
      <c r="D3545" t="s">
        <v>196</v>
      </c>
      <c r="E3545">
        <v>4873121</v>
      </c>
      <c r="F3545" t="s">
        <v>8</v>
      </c>
      <c r="G3545" t="s">
        <v>203</v>
      </c>
      <c r="H3545" t="s">
        <v>241</v>
      </c>
      <c r="I3545" s="4">
        <v>125766.4408</v>
      </c>
      <c r="J3545" s="4">
        <v>2515328.8160000001</v>
      </c>
      <c r="K3545" s="4">
        <v>-113076.72</v>
      </c>
      <c r="L3545" s="4">
        <v>20</v>
      </c>
    </row>
    <row r="3546" spans="1:12">
      <c r="A3546" t="s">
        <v>264</v>
      </c>
      <c r="B3546" s="10">
        <v>45414</v>
      </c>
      <c r="C3546" s="18">
        <f t="shared" si="55"/>
        <v>5</v>
      </c>
      <c r="D3546" t="s">
        <v>196</v>
      </c>
      <c r="E3546">
        <v>4873121</v>
      </c>
      <c r="F3546" t="s">
        <v>8</v>
      </c>
      <c r="G3546" t="s">
        <v>203</v>
      </c>
      <c r="H3546" t="s">
        <v>235</v>
      </c>
      <c r="I3546" s="4">
        <v>125766.4408</v>
      </c>
      <c r="J3546" s="4">
        <v>2263795.9344000001</v>
      </c>
      <c r="K3546" s="4">
        <v>-101769.048</v>
      </c>
      <c r="L3546" s="4">
        <v>18</v>
      </c>
    </row>
    <row r="3547" spans="1:12">
      <c r="A3547" t="s">
        <v>264</v>
      </c>
      <c r="B3547" s="10">
        <v>45414</v>
      </c>
      <c r="C3547" s="18">
        <f t="shared" si="55"/>
        <v>5</v>
      </c>
      <c r="D3547" t="s">
        <v>196</v>
      </c>
      <c r="E3547">
        <v>4873121</v>
      </c>
      <c r="F3547" t="s">
        <v>8</v>
      </c>
      <c r="G3547" t="s">
        <v>203</v>
      </c>
      <c r="H3547" t="s">
        <v>231</v>
      </c>
      <c r="I3547" s="4">
        <v>125766.4408</v>
      </c>
      <c r="J3547" s="4">
        <v>2515328.8160000001</v>
      </c>
      <c r="K3547" s="4">
        <v>-113076.72</v>
      </c>
      <c r="L3547" s="4">
        <v>20</v>
      </c>
    </row>
    <row r="3548" spans="1:12">
      <c r="A3548" t="s">
        <v>264</v>
      </c>
      <c r="B3548" s="10">
        <v>45414</v>
      </c>
      <c r="C3548" s="18">
        <f t="shared" si="55"/>
        <v>5</v>
      </c>
      <c r="D3548" t="s">
        <v>196</v>
      </c>
      <c r="E3548">
        <v>4874586</v>
      </c>
      <c r="F3548" t="s">
        <v>8</v>
      </c>
      <c r="G3548" t="s">
        <v>203</v>
      </c>
      <c r="H3548" t="s">
        <v>245</v>
      </c>
      <c r="I3548" s="4">
        <v>100638.28079999999</v>
      </c>
      <c r="J3548" s="4">
        <v>1006382.808</v>
      </c>
      <c r="K3548" s="4">
        <v>-43346.076000000001</v>
      </c>
      <c r="L3548" s="4">
        <v>10</v>
      </c>
    </row>
    <row r="3549" spans="1:12">
      <c r="A3549" t="s">
        <v>264</v>
      </c>
      <c r="B3549" s="10">
        <v>45414</v>
      </c>
      <c r="C3549" s="18">
        <f t="shared" si="55"/>
        <v>5</v>
      </c>
      <c r="D3549" t="s">
        <v>196</v>
      </c>
      <c r="E3549">
        <v>4874586</v>
      </c>
      <c r="F3549" t="s">
        <v>8</v>
      </c>
      <c r="G3549" t="s">
        <v>203</v>
      </c>
      <c r="H3549" t="s">
        <v>240</v>
      </c>
      <c r="I3549" s="4">
        <v>100638.28079999999</v>
      </c>
      <c r="J3549" s="4">
        <v>1006382.808</v>
      </c>
      <c r="K3549" s="4">
        <v>-43346.076000000001</v>
      </c>
      <c r="L3549" s="4">
        <v>10</v>
      </c>
    </row>
    <row r="3550" spans="1:12">
      <c r="A3550" t="s">
        <v>264</v>
      </c>
      <c r="B3550" s="10">
        <v>45414</v>
      </c>
      <c r="C3550" s="18">
        <f t="shared" si="55"/>
        <v>5</v>
      </c>
      <c r="D3550" t="s">
        <v>196</v>
      </c>
      <c r="E3550">
        <v>4874586</v>
      </c>
      <c r="F3550" t="s">
        <v>8</v>
      </c>
      <c r="G3550" t="s">
        <v>203</v>
      </c>
      <c r="H3550" t="s">
        <v>238</v>
      </c>
      <c r="I3550" s="4">
        <v>95606.36675999999</v>
      </c>
      <c r="J3550" s="4">
        <v>956063.66759999993</v>
      </c>
      <c r="K3550" s="4">
        <v>-43346.076000000001</v>
      </c>
      <c r="L3550" s="4">
        <v>10</v>
      </c>
    </row>
    <row r="3551" spans="1:12">
      <c r="A3551" t="s">
        <v>264</v>
      </c>
      <c r="B3551" s="10">
        <v>45414</v>
      </c>
      <c r="C3551" s="18">
        <f t="shared" si="55"/>
        <v>5</v>
      </c>
      <c r="D3551" t="s">
        <v>196</v>
      </c>
      <c r="E3551">
        <v>4874586</v>
      </c>
      <c r="F3551" t="s">
        <v>8</v>
      </c>
      <c r="G3551" t="s">
        <v>203</v>
      </c>
      <c r="H3551" t="s">
        <v>236</v>
      </c>
      <c r="I3551" s="4">
        <v>100638.28079999999</v>
      </c>
      <c r="J3551" s="4">
        <v>1006382.808</v>
      </c>
      <c r="K3551" s="4">
        <v>-43346.076000000001</v>
      </c>
      <c r="L3551" s="4">
        <v>10</v>
      </c>
    </row>
    <row r="3552" spans="1:12">
      <c r="A3552" t="s">
        <v>264</v>
      </c>
      <c r="B3552" s="10">
        <v>45414</v>
      </c>
      <c r="C3552" s="18">
        <f t="shared" si="55"/>
        <v>5</v>
      </c>
      <c r="D3552" t="s">
        <v>196</v>
      </c>
      <c r="E3552">
        <v>4874586</v>
      </c>
      <c r="F3552" t="s">
        <v>8</v>
      </c>
      <c r="G3552" t="s">
        <v>203</v>
      </c>
      <c r="H3552" t="s">
        <v>228</v>
      </c>
      <c r="I3552" s="4">
        <v>100638.28079999999</v>
      </c>
      <c r="J3552" s="4">
        <v>1006382.808</v>
      </c>
      <c r="K3552" s="4">
        <v>-43346.076000000001</v>
      </c>
      <c r="L3552" s="4">
        <v>10</v>
      </c>
    </row>
    <row r="3553" spans="1:12">
      <c r="A3553" t="s">
        <v>264</v>
      </c>
      <c r="B3553" s="10">
        <v>45414</v>
      </c>
      <c r="C3553" s="18">
        <f t="shared" si="55"/>
        <v>5</v>
      </c>
      <c r="D3553" t="s">
        <v>196</v>
      </c>
      <c r="E3553">
        <v>4874586</v>
      </c>
      <c r="F3553" t="s">
        <v>8</v>
      </c>
      <c r="G3553" t="s">
        <v>203</v>
      </c>
      <c r="H3553" t="s">
        <v>241</v>
      </c>
      <c r="I3553" s="4">
        <v>125766.4408</v>
      </c>
      <c r="J3553" s="4">
        <v>880365.08559999999</v>
      </c>
      <c r="K3553" s="4">
        <v>-39576.851999999999</v>
      </c>
      <c r="L3553" s="4">
        <v>7</v>
      </c>
    </row>
    <row r="3554" spans="1:12">
      <c r="A3554" t="s">
        <v>264</v>
      </c>
      <c r="B3554" s="10">
        <v>45414</v>
      </c>
      <c r="C3554" s="18">
        <f t="shared" si="55"/>
        <v>5</v>
      </c>
      <c r="D3554" t="s">
        <v>196</v>
      </c>
      <c r="E3554">
        <v>4874586</v>
      </c>
      <c r="F3554" t="s">
        <v>8</v>
      </c>
      <c r="G3554" t="s">
        <v>202</v>
      </c>
      <c r="H3554" t="s">
        <v>261</v>
      </c>
      <c r="I3554" s="4">
        <v>41587.104800000001</v>
      </c>
      <c r="J3554" s="4">
        <v>1247613.1440000001</v>
      </c>
      <c r="K3554" s="4">
        <v>-62192.196000000004</v>
      </c>
      <c r="L3554" s="4">
        <v>30</v>
      </c>
    </row>
    <row r="3555" spans="1:12">
      <c r="A3555" t="s">
        <v>264</v>
      </c>
      <c r="B3555" s="10">
        <v>45414</v>
      </c>
      <c r="C3555" s="18">
        <f t="shared" si="55"/>
        <v>5</v>
      </c>
      <c r="D3555" t="s">
        <v>196</v>
      </c>
      <c r="E3555">
        <v>4872193</v>
      </c>
      <c r="F3555" t="s">
        <v>8</v>
      </c>
      <c r="G3555" t="s">
        <v>203</v>
      </c>
      <c r="H3555" t="s">
        <v>243</v>
      </c>
      <c r="I3555" s="4">
        <v>100638.28079999999</v>
      </c>
      <c r="J3555" s="4">
        <v>2012765.6159999999</v>
      </c>
      <c r="K3555" s="4">
        <v>-86692.152000000002</v>
      </c>
      <c r="L3555" s="4">
        <v>20</v>
      </c>
    </row>
    <row r="3556" spans="1:12">
      <c r="A3556" t="s">
        <v>264</v>
      </c>
      <c r="B3556" s="10">
        <v>45414</v>
      </c>
      <c r="C3556" s="18">
        <f t="shared" si="55"/>
        <v>5</v>
      </c>
      <c r="D3556" t="s">
        <v>196</v>
      </c>
      <c r="E3556">
        <v>4872193</v>
      </c>
      <c r="F3556" t="s">
        <v>8</v>
      </c>
      <c r="G3556" t="s">
        <v>203</v>
      </c>
      <c r="H3556" t="s">
        <v>240</v>
      </c>
      <c r="I3556" s="4">
        <v>100638.28079999999</v>
      </c>
      <c r="J3556" s="4">
        <v>2012765.6159999999</v>
      </c>
      <c r="K3556" s="4">
        <v>-86692.152000000002</v>
      </c>
      <c r="L3556" s="4">
        <v>20</v>
      </c>
    </row>
    <row r="3557" spans="1:12">
      <c r="A3557" t="s">
        <v>264</v>
      </c>
      <c r="B3557" s="10">
        <v>45414</v>
      </c>
      <c r="C3557" s="18">
        <f t="shared" si="55"/>
        <v>5</v>
      </c>
      <c r="D3557" t="s">
        <v>196</v>
      </c>
      <c r="E3557">
        <v>4872193</v>
      </c>
      <c r="F3557" t="s">
        <v>8</v>
      </c>
      <c r="G3557" t="s">
        <v>203</v>
      </c>
      <c r="H3557" t="s">
        <v>238</v>
      </c>
      <c r="I3557" s="4">
        <v>95606.36675999999</v>
      </c>
      <c r="J3557" s="4">
        <v>1912127.3351999999</v>
      </c>
      <c r="K3557" s="4">
        <v>-86692.152000000002</v>
      </c>
      <c r="L3557" s="4">
        <v>20</v>
      </c>
    </row>
    <row r="3558" spans="1:12">
      <c r="A3558" t="s">
        <v>264</v>
      </c>
      <c r="B3558" s="10">
        <v>45414</v>
      </c>
      <c r="C3558" s="18">
        <f t="shared" si="55"/>
        <v>5</v>
      </c>
      <c r="D3558" t="s">
        <v>196</v>
      </c>
      <c r="E3558">
        <v>4872193</v>
      </c>
      <c r="F3558" t="s">
        <v>8</v>
      </c>
      <c r="G3558" t="s">
        <v>203</v>
      </c>
      <c r="H3558" t="s">
        <v>236</v>
      </c>
      <c r="I3558" s="4">
        <v>100638.28079999999</v>
      </c>
      <c r="J3558" s="4">
        <v>2012765.6159999999</v>
      </c>
      <c r="K3558" s="4">
        <v>-86692.152000000002</v>
      </c>
      <c r="L3558" s="4">
        <v>20</v>
      </c>
    </row>
    <row r="3559" spans="1:12">
      <c r="A3559" t="s">
        <v>264</v>
      </c>
      <c r="B3559" s="10">
        <v>45414</v>
      </c>
      <c r="C3559" s="18">
        <f t="shared" si="55"/>
        <v>5</v>
      </c>
      <c r="D3559" t="s">
        <v>196</v>
      </c>
      <c r="E3559">
        <v>4872193</v>
      </c>
      <c r="F3559" t="s">
        <v>8</v>
      </c>
      <c r="G3559" t="s">
        <v>203</v>
      </c>
      <c r="H3559" t="s">
        <v>228</v>
      </c>
      <c r="I3559" s="4">
        <v>100638.28079999999</v>
      </c>
      <c r="J3559" s="4">
        <v>201276.56159999999</v>
      </c>
      <c r="K3559" s="4">
        <v>-8669.2151999999987</v>
      </c>
      <c r="L3559" s="4">
        <v>2</v>
      </c>
    </row>
    <row r="3560" spans="1:12">
      <c r="A3560" t="s">
        <v>264</v>
      </c>
      <c r="B3560" s="10">
        <v>45414</v>
      </c>
      <c r="C3560" s="18">
        <f t="shared" si="55"/>
        <v>5</v>
      </c>
      <c r="D3560" t="s">
        <v>196</v>
      </c>
      <c r="E3560">
        <v>4872193</v>
      </c>
      <c r="F3560" t="s">
        <v>8</v>
      </c>
      <c r="G3560" t="s">
        <v>203</v>
      </c>
      <c r="H3560" t="s">
        <v>223</v>
      </c>
      <c r="I3560" s="4">
        <v>100638.28079999999</v>
      </c>
      <c r="J3560" s="4">
        <v>1811489.0543999998</v>
      </c>
      <c r="K3560" s="4">
        <v>-78022.936799999996</v>
      </c>
      <c r="L3560" s="4">
        <v>18</v>
      </c>
    </row>
    <row r="3561" spans="1:12">
      <c r="A3561" t="s">
        <v>264</v>
      </c>
      <c r="B3561" s="10">
        <v>45414</v>
      </c>
      <c r="C3561" s="18">
        <f t="shared" si="55"/>
        <v>5</v>
      </c>
      <c r="D3561" t="s">
        <v>196</v>
      </c>
      <c r="E3561">
        <v>4872193</v>
      </c>
      <c r="F3561" t="s">
        <v>8</v>
      </c>
      <c r="G3561" t="s">
        <v>203</v>
      </c>
      <c r="H3561" t="s">
        <v>241</v>
      </c>
      <c r="I3561" s="4">
        <v>125766.4408</v>
      </c>
      <c r="J3561" s="4">
        <v>4401825.4280000003</v>
      </c>
      <c r="K3561" s="4">
        <v>-197884.26</v>
      </c>
      <c r="L3561" s="4">
        <v>35</v>
      </c>
    </row>
    <row r="3562" spans="1:12">
      <c r="A3562" t="s">
        <v>264</v>
      </c>
      <c r="B3562" s="10">
        <v>45414</v>
      </c>
      <c r="C3562" s="18">
        <f t="shared" si="55"/>
        <v>5</v>
      </c>
      <c r="D3562" t="s">
        <v>196</v>
      </c>
      <c r="E3562">
        <v>4872193</v>
      </c>
      <c r="F3562" t="s">
        <v>8</v>
      </c>
      <c r="G3562" t="s">
        <v>203</v>
      </c>
      <c r="H3562" t="s">
        <v>231</v>
      </c>
      <c r="I3562" s="4">
        <v>125766.4408</v>
      </c>
      <c r="J3562" s="4">
        <v>628832.20400000003</v>
      </c>
      <c r="K3562" s="4">
        <v>-28269.18</v>
      </c>
      <c r="L3562" s="4">
        <v>5</v>
      </c>
    </row>
    <row r="3563" spans="1:12">
      <c r="A3563" t="s">
        <v>264</v>
      </c>
      <c r="B3563" s="10">
        <v>45414</v>
      </c>
      <c r="C3563" s="18">
        <f t="shared" si="55"/>
        <v>5</v>
      </c>
      <c r="D3563" t="s">
        <v>196</v>
      </c>
      <c r="E3563">
        <v>4872193</v>
      </c>
      <c r="F3563" t="s">
        <v>8</v>
      </c>
      <c r="G3563" t="s">
        <v>204</v>
      </c>
      <c r="H3563" t="s">
        <v>219</v>
      </c>
      <c r="I3563" s="4">
        <v>44099.9208</v>
      </c>
      <c r="J3563" s="4">
        <v>1719896.9112</v>
      </c>
      <c r="K3563" s="4">
        <v>-73499.868000000002</v>
      </c>
      <c r="L3563" s="4">
        <v>39</v>
      </c>
    </row>
    <row r="3564" spans="1:12">
      <c r="A3564" t="s">
        <v>264</v>
      </c>
      <c r="B3564" s="10">
        <v>45415</v>
      </c>
      <c r="C3564" s="18">
        <f t="shared" si="55"/>
        <v>5</v>
      </c>
      <c r="D3564" t="s">
        <v>196</v>
      </c>
      <c r="E3564">
        <v>4871600</v>
      </c>
      <c r="F3564" t="s">
        <v>8</v>
      </c>
      <c r="G3564" t="s">
        <v>202</v>
      </c>
      <c r="H3564" t="s">
        <v>255</v>
      </c>
      <c r="I3564" s="4">
        <v>72489.71596799999</v>
      </c>
      <c r="J3564" s="4">
        <v>434938.29580799991</v>
      </c>
      <c r="K3564" s="4">
        <v>-22615.344000000001</v>
      </c>
      <c r="L3564" s="4">
        <v>6</v>
      </c>
    </row>
    <row r="3565" spans="1:12">
      <c r="A3565" t="s">
        <v>264</v>
      </c>
      <c r="B3565" s="10">
        <v>45415</v>
      </c>
      <c r="C3565" s="18">
        <f t="shared" si="55"/>
        <v>5</v>
      </c>
      <c r="D3565" t="s">
        <v>196</v>
      </c>
      <c r="E3565">
        <v>4872158</v>
      </c>
      <c r="F3565" t="s">
        <v>8</v>
      </c>
      <c r="G3565" t="s">
        <v>203</v>
      </c>
      <c r="H3565" t="s">
        <v>245</v>
      </c>
      <c r="I3565" s="4">
        <v>100638.28079999999</v>
      </c>
      <c r="J3565" s="4">
        <v>3220424.9855999998</v>
      </c>
      <c r="K3565" s="4">
        <v>-138707.44319999998</v>
      </c>
      <c r="L3565" s="4">
        <v>32</v>
      </c>
    </row>
    <row r="3566" spans="1:12">
      <c r="A3566" t="s">
        <v>264</v>
      </c>
      <c r="B3566" s="10">
        <v>45415</v>
      </c>
      <c r="C3566" s="18">
        <f t="shared" si="55"/>
        <v>5</v>
      </c>
      <c r="D3566" t="s">
        <v>196</v>
      </c>
      <c r="E3566">
        <v>4872158</v>
      </c>
      <c r="F3566" t="s">
        <v>8</v>
      </c>
      <c r="G3566" t="s">
        <v>203</v>
      </c>
      <c r="H3566" t="s">
        <v>243</v>
      </c>
      <c r="I3566" s="4">
        <v>100638.28079999999</v>
      </c>
      <c r="J3566" s="4">
        <v>402553.12319999997</v>
      </c>
      <c r="K3566" s="4">
        <v>-17338.430399999997</v>
      </c>
      <c r="L3566" s="4">
        <v>4</v>
      </c>
    </row>
    <row r="3567" spans="1:12">
      <c r="A3567" t="s">
        <v>264</v>
      </c>
      <c r="B3567" s="10">
        <v>45415</v>
      </c>
      <c r="C3567" s="18">
        <f t="shared" si="55"/>
        <v>5</v>
      </c>
      <c r="D3567" t="s">
        <v>196</v>
      </c>
      <c r="E3567">
        <v>4872158</v>
      </c>
      <c r="F3567" t="s">
        <v>8</v>
      </c>
      <c r="G3567" t="s">
        <v>203</v>
      </c>
      <c r="H3567" t="s">
        <v>240</v>
      </c>
      <c r="I3567" s="4">
        <v>100638.28079999999</v>
      </c>
      <c r="J3567" s="4">
        <v>4629360.9167999998</v>
      </c>
      <c r="K3567" s="4">
        <v>-199391.94959999999</v>
      </c>
      <c r="L3567" s="4">
        <v>46</v>
      </c>
    </row>
    <row r="3568" spans="1:12">
      <c r="A3568" t="s">
        <v>264</v>
      </c>
      <c r="B3568" s="10">
        <v>45415</v>
      </c>
      <c r="C3568" s="18">
        <f t="shared" si="55"/>
        <v>5</v>
      </c>
      <c r="D3568" t="s">
        <v>196</v>
      </c>
      <c r="E3568">
        <v>4872158</v>
      </c>
      <c r="F3568" t="s">
        <v>8</v>
      </c>
      <c r="G3568" t="s">
        <v>203</v>
      </c>
      <c r="H3568" t="s">
        <v>238</v>
      </c>
      <c r="I3568" s="4">
        <v>95606.36675999999</v>
      </c>
      <c r="J3568" s="4">
        <v>191212.73351999998</v>
      </c>
      <c r="K3568" s="4">
        <v>-8669.2151999999987</v>
      </c>
      <c r="L3568" s="4">
        <v>2</v>
      </c>
    </row>
    <row r="3569" spans="1:12">
      <c r="A3569" t="s">
        <v>264</v>
      </c>
      <c r="B3569" s="10">
        <v>45415</v>
      </c>
      <c r="C3569" s="18">
        <f t="shared" si="55"/>
        <v>5</v>
      </c>
      <c r="D3569" t="s">
        <v>196</v>
      </c>
      <c r="E3569">
        <v>4872158</v>
      </c>
      <c r="F3569" t="s">
        <v>8</v>
      </c>
      <c r="G3569" t="s">
        <v>204</v>
      </c>
      <c r="H3569" t="s">
        <v>216</v>
      </c>
      <c r="I3569" s="4">
        <v>113202.36079999999</v>
      </c>
      <c r="J3569" s="4">
        <v>3396070.824</v>
      </c>
      <c r="K3569" s="4">
        <v>-169615.08</v>
      </c>
      <c r="L3569" s="4">
        <v>30</v>
      </c>
    </row>
    <row r="3570" spans="1:12">
      <c r="A3570" t="s">
        <v>264</v>
      </c>
      <c r="B3570" s="10">
        <v>45415</v>
      </c>
      <c r="C3570" s="18">
        <f t="shared" si="55"/>
        <v>5</v>
      </c>
      <c r="D3570" t="s">
        <v>196</v>
      </c>
      <c r="E3570">
        <v>4872158</v>
      </c>
      <c r="F3570" t="s">
        <v>8</v>
      </c>
      <c r="G3570" t="s">
        <v>204</v>
      </c>
      <c r="H3570" t="s">
        <v>220</v>
      </c>
      <c r="I3570" s="4">
        <v>37817.880799999999</v>
      </c>
      <c r="J3570" s="4">
        <v>1134536.4239999999</v>
      </c>
      <c r="K3570" s="4">
        <v>-56538.36</v>
      </c>
      <c r="L3570" s="4">
        <v>30</v>
      </c>
    </row>
    <row r="3571" spans="1:12">
      <c r="A3571" t="s">
        <v>264</v>
      </c>
      <c r="B3571" s="10">
        <v>45415</v>
      </c>
      <c r="C3571" s="18">
        <f t="shared" si="55"/>
        <v>5</v>
      </c>
      <c r="D3571" t="s">
        <v>196</v>
      </c>
      <c r="E3571">
        <v>4872158</v>
      </c>
      <c r="F3571" t="s">
        <v>8</v>
      </c>
      <c r="G3571" t="s">
        <v>204</v>
      </c>
      <c r="H3571" t="s">
        <v>212</v>
      </c>
      <c r="I3571" s="4">
        <v>62946.040799999995</v>
      </c>
      <c r="J3571" s="4">
        <v>1258920.8159999999</v>
      </c>
      <c r="K3571" s="4">
        <v>-37692.239999999998</v>
      </c>
      <c r="L3571" s="4">
        <v>20</v>
      </c>
    </row>
    <row r="3572" spans="1:12">
      <c r="A3572" t="s">
        <v>264</v>
      </c>
      <c r="B3572" s="10">
        <v>45415</v>
      </c>
      <c r="C3572" s="18">
        <f t="shared" si="55"/>
        <v>5</v>
      </c>
      <c r="D3572" t="s">
        <v>196</v>
      </c>
      <c r="E3572">
        <v>4872345</v>
      </c>
      <c r="F3572" t="s">
        <v>8</v>
      </c>
      <c r="G3572" t="s">
        <v>203</v>
      </c>
      <c r="H3572" t="s">
        <v>236</v>
      </c>
      <c r="I3572" s="4">
        <v>100638.28079999999</v>
      </c>
      <c r="J3572" s="4">
        <v>1006382.808</v>
      </c>
      <c r="K3572" s="4">
        <v>-43346.076000000001</v>
      </c>
      <c r="L3572" s="4">
        <v>10</v>
      </c>
    </row>
    <row r="3573" spans="1:12">
      <c r="A3573" t="s">
        <v>264</v>
      </c>
      <c r="B3573" s="10">
        <v>45415</v>
      </c>
      <c r="C3573" s="18">
        <f t="shared" si="55"/>
        <v>5</v>
      </c>
      <c r="D3573" t="s">
        <v>196</v>
      </c>
      <c r="E3573">
        <v>4872345</v>
      </c>
      <c r="F3573" t="s">
        <v>8</v>
      </c>
      <c r="G3573" t="s">
        <v>203</v>
      </c>
      <c r="H3573" t="s">
        <v>228</v>
      </c>
      <c r="I3573" s="4">
        <v>100638.28079999999</v>
      </c>
      <c r="J3573" s="4">
        <v>1006382.808</v>
      </c>
      <c r="K3573" s="4">
        <v>-43346.076000000001</v>
      </c>
      <c r="L3573" s="4">
        <v>10</v>
      </c>
    </row>
    <row r="3574" spans="1:12">
      <c r="A3574" t="s">
        <v>264</v>
      </c>
      <c r="B3574" s="10">
        <v>45415</v>
      </c>
      <c r="C3574" s="18">
        <f t="shared" si="55"/>
        <v>5</v>
      </c>
      <c r="D3574" t="s">
        <v>196</v>
      </c>
      <c r="E3574">
        <v>4875779</v>
      </c>
      <c r="F3574" t="s">
        <v>8</v>
      </c>
      <c r="G3574" t="s">
        <v>204</v>
      </c>
      <c r="H3574" t="s">
        <v>216</v>
      </c>
      <c r="I3574" s="4">
        <v>113202.36079999999</v>
      </c>
      <c r="J3574" s="4">
        <v>679214.16479999991</v>
      </c>
      <c r="K3574" s="4">
        <v>-33923.016000000003</v>
      </c>
      <c r="L3574" s="4">
        <v>6</v>
      </c>
    </row>
    <row r="3575" spans="1:12">
      <c r="A3575" t="s">
        <v>264</v>
      </c>
      <c r="B3575" s="10">
        <v>45415</v>
      </c>
      <c r="C3575" s="18">
        <f t="shared" si="55"/>
        <v>5</v>
      </c>
      <c r="D3575" t="s">
        <v>196</v>
      </c>
      <c r="E3575">
        <v>4875779</v>
      </c>
      <c r="F3575" t="s">
        <v>8</v>
      </c>
      <c r="G3575" t="s">
        <v>202</v>
      </c>
      <c r="H3575" t="s">
        <v>261</v>
      </c>
      <c r="I3575" s="4">
        <v>41587.104800000001</v>
      </c>
      <c r="J3575" s="4">
        <v>249522.62880000001</v>
      </c>
      <c r="K3575" s="4">
        <v>-12438.439200000001</v>
      </c>
      <c r="L3575" s="4">
        <v>6</v>
      </c>
    </row>
    <row r="3576" spans="1:12">
      <c r="A3576" t="s">
        <v>264</v>
      </c>
      <c r="B3576" s="10">
        <v>45416</v>
      </c>
      <c r="C3576" s="18">
        <f t="shared" si="55"/>
        <v>5</v>
      </c>
      <c r="D3576" t="s">
        <v>196</v>
      </c>
      <c r="E3576">
        <v>4872571</v>
      </c>
      <c r="F3576" t="s">
        <v>8</v>
      </c>
      <c r="G3576" t="s">
        <v>203</v>
      </c>
      <c r="H3576" t="s">
        <v>236</v>
      </c>
      <c r="I3576" s="4">
        <v>100638.28079999999</v>
      </c>
      <c r="J3576" s="4">
        <v>402553.12319999997</v>
      </c>
      <c r="K3576" s="4">
        <v>-17338.430399999997</v>
      </c>
      <c r="L3576" s="4">
        <v>4</v>
      </c>
    </row>
    <row r="3577" spans="1:12">
      <c r="A3577" t="s">
        <v>264</v>
      </c>
      <c r="B3577" s="10">
        <v>45416</v>
      </c>
      <c r="C3577" s="18">
        <f t="shared" si="55"/>
        <v>5</v>
      </c>
      <c r="D3577" t="s">
        <v>196</v>
      </c>
      <c r="E3577">
        <v>4872571</v>
      </c>
      <c r="F3577" t="s">
        <v>8</v>
      </c>
      <c r="G3577" t="s">
        <v>203</v>
      </c>
      <c r="H3577" t="s">
        <v>228</v>
      </c>
      <c r="I3577" s="4">
        <v>100638.28079999999</v>
      </c>
      <c r="J3577" s="4">
        <v>2012765.6159999999</v>
      </c>
      <c r="K3577" s="4">
        <v>-86692.152000000002</v>
      </c>
      <c r="L3577" s="4">
        <v>20</v>
      </c>
    </row>
    <row r="3578" spans="1:12">
      <c r="A3578" t="s">
        <v>264</v>
      </c>
      <c r="B3578" s="10">
        <v>45416</v>
      </c>
      <c r="C3578" s="18">
        <f t="shared" si="55"/>
        <v>5</v>
      </c>
      <c r="D3578" t="s">
        <v>196</v>
      </c>
      <c r="E3578">
        <v>4872158</v>
      </c>
      <c r="F3578" t="s">
        <v>8</v>
      </c>
      <c r="G3578" t="s">
        <v>206</v>
      </c>
      <c r="H3578" t="s">
        <v>248</v>
      </c>
      <c r="I3578" s="4">
        <v>16207.663200000001</v>
      </c>
      <c r="J3578" s="4">
        <v>1620766.32</v>
      </c>
      <c r="K3578" s="4">
        <v>-169615.08</v>
      </c>
      <c r="L3578" s="4">
        <v>100</v>
      </c>
    </row>
    <row r="3579" spans="1:12">
      <c r="A3579" t="s">
        <v>264</v>
      </c>
      <c r="B3579" s="10">
        <v>45416</v>
      </c>
      <c r="C3579" s="18">
        <f t="shared" si="55"/>
        <v>5</v>
      </c>
      <c r="D3579" t="s">
        <v>196</v>
      </c>
      <c r="E3579">
        <v>4872158</v>
      </c>
      <c r="F3579" t="s">
        <v>8</v>
      </c>
      <c r="G3579" t="s">
        <v>206</v>
      </c>
      <c r="H3579" t="s">
        <v>209</v>
      </c>
      <c r="I3579" s="4">
        <v>17715.352800000001</v>
      </c>
      <c r="J3579" s="4">
        <v>3543070.56</v>
      </c>
      <c r="K3579" s="4">
        <v>-351794.24</v>
      </c>
      <c r="L3579" s="4">
        <v>200</v>
      </c>
    </row>
    <row r="3580" spans="1:12">
      <c r="A3580" t="s">
        <v>264</v>
      </c>
      <c r="B3580" s="10">
        <v>45416</v>
      </c>
      <c r="C3580" s="18">
        <f t="shared" si="55"/>
        <v>5</v>
      </c>
      <c r="D3580" t="s">
        <v>196</v>
      </c>
      <c r="E3580">
        <v>4872158</v>
      </c>
      <c r="F3580" t="s">
        <v>8</v>
      </c>
      <c r="G3580" t="s">
        <v>206</v>
      </c>
      <c r="H3580" t="s">
        <v>252</v>
      </c>
      <c r="I3580" s="4">
        <v>20102.528000000002</v>
      </c>
      <c r="J3580" s="4">
        <v>2010252.8000000003</v>
      </c>
      <c r="K3580" s="4">
        <v>-201025.28</v>
      </c>
      <c r="L3580" s="4">
        <v>100</v>
      </c>
    </row>
    <row r="3581" spans="1:12">
      <c r="A3581" t="s">
        <v>264</v>
      </c>
      <c r="B3581" s="10">
        <v>45416</v>
      </c>
      <c r="C3581" s="18">
        <f t="shared" si="55"/>
        <v>5</v>
      </c>
      <c r="D3581" t="s">
        <v>196</v>
      </c>
      <c r="E3581">
        <v>4872158</v>
      </c>
      <c r="F3581" t="s">
        <v>8</v>
      </c>
      <c r="G3581" t="s">
        <v>206</v>
      </c>
      <c r="H3581" t="s">
        <v>251</v>
      </c>
      <c r="I3581" s="4">
        <v>19223.042399999998</v>
      </c>
      <c r="J3581" s="4">
        <v>3844608.4799999995</v>
      </c>
      <c r="K3581" s="4">
        <v>-402050.56</v>
      </c>
      <c r="L3581" s="4">
        <v>200</v>
      </c>
    </row>
    <row r="3582" spans="1:12">
      <c r="A3582" t="s">
        <v>264</v>
      </c>
      <c r="B3582" s="10">
        <v>45416</v>
      </c>
      <c r="C3582" s="18">
        <f t="shared" si="55"/>
        <v>5</v>
      </c>
      <c r="D3582" t="s">
        <v>196</v>
      </c>
      <c r="E3582">
        <v>4873868</v>
      </c>
      <c r="F3582" t="s">
        <v>8</v>
      </c>
      <c r="G3582" t="s">
        <v>203</v>
      </c>
      <c r="H3582" t="s">
        <v>236</v>
      </c>
      <c r="I3582" s="4">
        <v>100638.28079999999</v>
      </c>
      <c r="J3582" s="4">
        <v>603829.68479999993</v>
      </c>
      <c r="K3582" s="4">
        <v>-26007.645599999996</v>
      </c>
      <c r="L3582" s="4">
        <v>6</v>
      </c>
    </row>
    <row r="3583" spans="1:12">
      <c r="A3583" t="s">
        <v>264</v>
      </c>
      <c r="B3583" s="10">
        <v>45416</v>
      </c>
      <c r="C3583" s="18">
        <f t="shared" si="55"/>
        <v>5</v>
      </c>
      <c r="D3583" t="s">
        <v>196</v>
      </c>
      <c r="E3583">
        <v>4873868</v>
      </c>
      <c r="F3583" t="s">
        <v>8</v>
      </c>
      <c r="G3583" t="s">
        <v>203</v>
      </c>
      <c r="H3583" t="s">
        <v>228</v>
      </c>
      <c r="I3583" s="4">
        <v>100638.28079999999</v>
      </c>
      <c r="J3583" s="4">
        <v>603829.68479999993</v>
      </c>
      <c r="K3583" s="4">
        <v>-26007.645599999996</v>
      </c>
      <c r="L3583" s="4">
        <v>6</v>
      </c>
    </row>
    <row r="3584" spans="1:12">
      <c r="A3584" t="s">
        <v>264</v>
      </c>
      <c r="B3584" s="10">
        <v>45416</v>
      </c>
      <c r="C3584" s="18">
        <f t="shared" si="55"/>
        <v>5</v>
      </c>
      <c r="D3584" t="s">
        <v>196</v>
      </c>
      <c r="E3584">
        <v>4873723</v>
      </c>
      <c r="F3584" t="s">
        <v>8</v>
      </c>
      <c r="G3584" t="s">
        <v>204</v>
      </c>
      <c r="H3584" t="s">
        <v>214</v>
      </c>
      <c r="I3584" s="4">
        <v>119484.4008</v>
      </c>
      <c r="J3584" s="4">
        <v>2270203.6151999999</v>
      </c>
      <c r="K3584" s="4">
        <v>-113390.822</v>
      </c>
      <c r="L3584" s="4">
        <v>19</v>
      </c>
    </row>
    <row r="3585" spans="1:12">
      <c r="A3585" t="s">
        <v>264</v>
      </c>
      <c r="B3585" s="10">
        <v>45416</v>
      </c>
      <c r="C3585" s="18">
        <f t="shared" si="55"/>
        <v>5</v>
      </c>
      <c r="D3585" t="s">
        <v>196</v>
      </c>
      <c r="E3585">
        <v>4873723</v>
      </c>
      <c r="F3585" t="s">
        <v>8</v>
      </c>
      <c r="G3585" t="s">
        <v>204</v>
      </c>
      <c r="H3585" t="s">
        <v>221</v>
      </c>
      <c r="I3585" s="4">
        <v>25253.800799999997</v>
      </c>
      <c r="J3585" s="4">
        <v>50507.601599999995</v>
      </c>
      <c r="K3585" s="4">
        <v>-2512.8160000000003</v>
      </c>
      <c r="L3585" s="4">
        <v>2</v>
      </c>
    </row>
    <row r="3586" spans="1:12">
      <c r="A3586" t="s">
        <v>264</v>
      </c>
      <c r="B3586" s="10">
        <v>45416</v>
      </c>
      <c r="C3586" s="18">
        <f t="shared" ref="C3586:C3649" si="56">MONTH(B3586)</f>
        <v>5</v>
      </c>
      <c r="D3586" t="s">
        <v>196</v>
      </c>
      <c r="E3586">
        <v>4872345</v>
      </c>
      <c r="F3586" t="s">
        <v>8</v>
      </c>
      <c r="G3586" t="s">
        <v>203</v>
      </c>
      <c r="H3586" t="s">
        <v>236</v>
      </c>
      <c r="I3586" s="4">
        <v>100638.28079999999</v>
      </c>
      <c r="J3586" s="4">
        <v>2012765.6159999999</v>
      </c>
      <c r="K3586" s="4">
        <v>-86692.152000000002</v>
      </c>
      <c r="L3586" s="4">
        <v>20</v>
      </c>
    </row>
    <row r="3587" spans="1:12">
      <c r="A3587" t="s">
        <v>264</v>
      </c>
      <c r="B3587" s="10">
        <v>45416</v>
      </c>
      <c r="C3587" s="18">
        <f t="shared" si="56"/>
        <v>5</v>
      </c>
      <c r="D3587" t="s">
        <v>196</v>
      </c>
      <c r="E3587">
        <v>4872345</v>
      </c>
      <c r="F3587" t="s">
        <v>8</v>
      </c>
      <c r="G3587" t="s">
        <v>203</v>
      </c>
      <c r="H3587" t="s">
        <v>228</v>
      </c>
      <c r="I3587" s="4">
        <v>100638.28079999999</v>
      </c>
      <c r="J3587" s="4">
        <v>2012765.6159999999</v>
      </c>
      <c r="K3587" s="4">
        <v>-86692.152000000002</v>
      </c>
      <c r="L3587" s="4">
        <v>20</v>
      </c>
    </row>
    <row r="3588" spans="1:12">
      <c r="A3588" t="s">
        <v>264</v>
      </c>
      <c r="B3588" s="10">
        <v>45416</v>
      </c>
      <c r="C3588" s="18">
        <f t="shared" si="56"/>
        <v>5</v>
      </c>
      <c r="D3588" t="s">
        <v>196</v>
      </c>
      <c r="E3588">
        <v>4872163</v>
      </c>
      <c r="F3588" t="s">
        <v>8</v>
      </c>
      <c r="G3588" t="s">
        <v>203</v>
      </c>
      <c r="H3588" t="s">
        <v>236</v>
      </c>
      <c r="I3588" s="4">
        <v>100638.28079999999</v>
      </c>
      <c r="J3588" s="4">
        <v>5031914.04</v>
      </c>
      <c r="K3588" s="4">
        <v>-216730.38</v>
      </c>
      <c r="L3588" s="4">
        <v>50</v>
      </c>
    </row>
    <row r="3589" spans="1:12">
      <c r="A3589" t="s">
        <v>264</v>
      </c>
      <c r="B3589" s="10">
        <v>45416</v>
      </c>
      <c r="C3589" s="18">
        <f t="shared" si="56"/>
        <v>5</v>
      </c>
      <c r="D3589" t="s">
        <v>196</v>
      </c>
      <c r="E3589">
        <v>4872163</v>
      </c>
      <c r="F3589" t="s">
        <v>8</v>
      </c>
      <c r="G3589" t="s">
        <v>203</v>
      </c>
      <c r="H3589" t="s">
        <v>228</v>
      </c>
      <c r="I3589" s="4">
        <v>100638.28079999999</v>
      </c>
      <c r="J3589" s="4">
        <v>5031914.04</v>
      </c>
      <c r="K3589" s="4">
        <v>-216730.38</v>
      </c>
      <c r="L3589" s="4">
        <v>50</v>
      </c>
    </row>
    <row r="3590" spans="1:12">
      <c r="A3590" t="s">
        <v>264</v>
      </c>
      <c r="B3590" s="10">
        <v>45416</v>
      </c>
      <c r="C3590" s="18">
        <f t="shared" si="56"/>
        <v>5</v>
      </c>
      <c r="D3590" t="s">
        <v>196</v>
      </c>
      <c r="E3590">
        <v>4876759</v>
      </c>
      <c r="F3590" t="s">
        <v>8</v>
      </c>
      <c r="G3590" t="s">
        <v>202</v>
      </c>
      <c r="H3590" t="s">
        <v>258</v>
      </c>
      <c r="I3590" s="4">
        <v>37817.880799999999</v>
      </c>
      <c r="J3590" s="4">
        <v>75635.761599999998</v>
      </c>
      <c r="K3590" s="4">
        <v>-3769.2239999999997</v>
      </c>
      <c r="L3590" s="4">
        <v>2</v>
      </c>
    </row>
    <row r="3591" spans="1:12">
      <c r="A3591" t="s">
        <v>264</v>
      </c>
      <c r="B3591" s="10">
        <v>45416</v>
      </c>
      <c r="C3591" s="18">
        <f t="shared" si="56"/>
        <v>5</v>
      </c>
      <c r="D3591" t="s">
        <v>196</v>
      </c>
      <c r="E3591">
        <v>4872141</v>
      </c>
      <c r="F3591" t="s">
        <v>8</v>
      </c>
      <c r="G3591" t="s">
        <v>203</v>
      </c>
      <c r="H3591" t="s">
        <v>228</v>
      </c>
      <c r="I3591" s="4">
        <v>100638.28079999999</v>
      </c>
      <c r="J3591" s="4">
        <v>5031914.04</v>
      </c>
      <c r="K3591" s="4">
        <v>-216730.38</v>
      </c>
      <c r="L3591" s="4">
        <v>50</v>
      </c>
    </row>
    <row r="3592" spans="1:12">
      <c r="A3592" t="s">
        <v>264</v>
      </c>
      <c r="B3592" s="10">
        <v>45416</v>
      </c>
      <c r="C3592" s="18">
        <f t="shared" si="56"/>
        <v>5</v>
      </c>
      <c r="D3592" t="s">
        <v>196</v>
      </c>
      <c r="E3592">
        <v>4875779</v>
      </c>
      <c r="F3592" t="s">
        <v>8</v>
      </c>
      <c r="G3592" t="s">
        <v>204</v>
      </c>
      <c r="H3592" t="s">
        <v>221</v>
      </c>
      <c r="I3592" s="4">
        <v>25253.800799999997</v>
      </c>
      <c r="J3592" s="4">
        <v>757614.02399999998</v>
      </c>
      <c r="K3592" s="4">
        <v>-37692.239999999998</v>
      </c>
      <c r="L3592" s="4">
        <v>30</v>
      </c>
    </row>
    <row r="3593" spans="1:12">
      <c r="A3593" t="s">
        <v>264</v>
      </c>
      <c r="B3593" s="10">
        <v>45416</v>
      </c>
      <c r="C3593" s="18">
        <f t="shared" si="56"/>
        <v>5</v>
      </c>
      <c r="D3593" t="s">
        <v>196</v>
      </c>
      <c r="E3593">
        <v>4875779</v>
      </c>
      <c r="F3593" t="s">
        <v>8</v>
      </c>
      <c r="G3593" t="s">
        <v>204</v>
      </c>
      <c r="H3593" t="s">
        <v>220</v>
      </c>
      <c r="I3593" s="4">
        <v>37817.880799999999</v>
      </c>
      <c r="J3593" s="4">
        <v>1134536.4239999999</v>
      </c>
      <c r="K3593" s="4">
        <v>-56538.36</v>
      </c>
      <c r="L3593" s="4">
        <v>30</v>
      </c>
    </row>
    <row r="3594" spans="1:12">
      <c r="A3594" t="s">
        <v>264</v>
      </c>
      <c r="B3594" s="10">
        <v>45416</v>
      </c>
      <c r="C3594" s="18">
        <f t="shared" si="56"/>
        <v>5</v>
      </c>
      <c r="D3594" t="s">
        <v>196</v>
      </c>
      <c r="E3594">
        <v>4875779</v>
      </c>
      <c r="F3594" t="s">
        <v>8</v>
      </c>
      <c r="G3594" t="s">
        <v>205</v>
      </c>
      <c r="H3594" t="s">
        <v>211</v>
      </c>
      <c r="I3594" s="4">
        <v>5151.2727999999997</v>
      </c>
      <c r="J3594" s="4">
        <v>515127.27999999997</v>
      </c>
      <c r="K3594" s="4">
        <v>-25128.16</v>
      </c>
      <c r="L3594" s="4">
        <v>100</v>
      </c>
    </row>
    <row r="3595" spans="1:12">
      <c r="A3595" t="s">
        <v>264</v>
      </c>
      <c r="B3595" s="10">
        <v>45416</v>
      </c>
      <c r="C3595" s="18">
        <f t="shared" si="56"/>
        <v>5</v>
      </c>
      <c r="D3595" t="s">
        <v>196</v>
      </c>
      <c r="E3595">
        <v>4875779</v>
      </c>
      <c r="F3595" t="s">
        <v>8</v>
      </c>
      <c r="G3595" t="s">
        <v>205</v>
      </c>
      <c r="H3595" t="s">
        <v>246</v>
      </c>
      <c r="I3595" s="4">
        <v>5967.9380000000001</v>
      </c>
      <c r="J3595" s="4">
        <v>1193587.6000000001</v>
      </c>
      <c r="K3595" s="4">
        <v>-62820.4</v>
      </c>
      <c r="L3595" s="4">
        <v>200</v>
      </c>
    </row>
    <row r="3596" spans="1:12">
      <c r="A3596" t="s">
        <v>264</v>
      </c>
      <c r="B3596" s="10">
        <v>45416</v>
      </c>
      <c r="C3596" s="18">
        <f t="shared" si="56"/>
        <v>5</v>
      </c>
      <c r="D3596" t="s">
        <v>196</v>
      </c>
      <c r="E3596">
        <v>4875779</v>
      </c>
      <c r="F3596" t="s">
        <v>8</v>
      </c>
      <c r="G3596" t="s">
        <v>205</v>
      </c>
      <c r="H3596" t="s">
        <v>247</v>
      </c>
      <c r="I3596" s="4">
        <v>8355.1131999999998</v>
      </c>
      <c r="J3596" s="4">
        <v>1253266.98</v>
      </c>
      <c r="K3596" s="4">
        <v>-65961.42</v>
      </c>
      <c r="L3596" s="4">
        <v>150</v>
      </c>
    </row>
    <row r="3597" spans="1:12">
      <c r="A3597" t="s">
        <v>264</v>
      </c>
      <c r="B3597" s="10">
        <v>45417</v>
      </c>
      <c r="C3597" s="18">
        <f t="shared" si="56"/>
        <v>5</v>
      </c>
      <c r="D3597" t="s">
        <v>196</v>
      </c>
      <c r="E3597">
        <v>4871600</v>
      </c>
      <c r="F3597" t="s">
        <v>8</v>
      </c>
      <c r="G3597" t="s">
        <v>202</v>
      </c>
      <c r="H3597" t="s">
        <v>256</v>
      </c>
      <c r="I3597" s="4">
        <v>64202.448800000006</v>
      </c>
      <c r="J3597" s="4">
        <v>770429.38560000004</v>
      </c>
      <c r="K3597" s="4">
        <v>-38446.084799999997</v>
      </c>
      <c r="L3597" s="4">
        <v>12</v>
      </c>
    </row>
    <row r="3598" spans="1:12">
      <c r="A3598" t="s">
        <v>264</v>
      </c>
      <c r="B3598" s="10">
        <v>45417</v>
      </c>
      <c r="C3598" s="18">
        <f t="shared" si="56"/>
        <v>5</v>
      </c>
      <c r="D3598" t="s">
        <v>196</v>
      </c>
      <c r="E3598">
        <v>4873921</v>
      </c>
      <c r="F3598" t="s">
        <v>8</v>
      </c>
      <c r="G3598" t="s">
        <v>202</v>
      </c>
      <c r="H3598" t="s">
        <v>253</v>
      </c>
      <c r="I3598" s="4">
        <v>46669.275160000005</v>
      </c>
      <c r="J3598" s="4">
        <v>933385.50320000015</v>
      </c>
      <c r="K3598" s="4">
        <v>-48999.911999999997</v>
      </c>
      <c r="L3598" s="4">
        <v>20</v>
      </c>
    </row>
    <row r="3599" spans="1:12">
      <c r="A3599" t="s">
        <v>264</v>
      </c>
      <c r="B3599" s="10">
        <v>45417</v>
      </c>
      <c r="C3599" s="18">
        <f t="shared" si="56"/>
        <v>5</v>
      </c>
      <c r="D3599" t="s">
        <v>196</v>
      </c>
      <c r="E3599">
        <v>4872160</v>
      </c>
      <c r="F3599" t="s">
        <v>8</v>
      </c>
      <c r="G3599" t="s">
        <v>203</v>
      </c>
      <c r="H3599" t="s">
        <v>245</v>
      </c>
      <c r="I3599" s="4">
        <v>100638.28079999999</v>
      </c>
      <c r="J3599" s="4">
        <v>1006382.808</v>
      </c>
      <c r="K3599" s="4">
        <v>-43346.076000000001</v>
      </c>
      <c r="L3599" s="4">
        <v>10</v>
      </c>
    </row>
    <row r="3600" spans="1:12">
      <c r="A3600" t="s">
        <v>264</v>
      </c>
      <c r="B3600" s="10">
        <v>45417</v>
      </c>
      <c r="C3600" s="18">
        <f t="shared" si="56"/>
        <v>5</v>
      </c>
      <c r="D3600" t="s">
        <v>196</v>
      </c>
      <c r="E3600">
        <v>4872160</v>
      </c>
      <c r="F3600" t="s">
        <v>8</v>
      </c>
      <c r="G3600" t="s">
        <v>203</v>
      </c>
      <c r="H3600" t="s">
        <v>240</v>
      </c>
      <c r="I3600" s="4">
        <v>100638.28079999999</v>
      </c>
      <c r="J3600" s="4">
        <v>1006382.808</v>
      </c>
      <c r="K3600" s="4">
        <v>-43346.076000000001</v>
      </c>
      <c r="L3600" s="4">
        <v>10</v>
      </c>
    </row>
    <row r="3601" spans="1:12">
      <c r="A3601" t="s">
        <v>264</v>
      </c>
      <c r="B3601" s="10">
        <v>45417</v>
      </c>
      <c r="C3601" s="18">
        <f t="shared" si="56"/>
        <v>5</v>
      </c>
      <c r="D3601" t="s">
        <v>196</v>
      </c>
      <c r="E3601">
        <v>4872160</v>
      </c>
      <c r="F3601" t="s">
        <v>8</v>
      </c>
      <c r="G3601" t="s">
        <v>203</v>
      </c>
      <c r="H3601" t="s">
        <v>236</v>
      </c>
      <c r="I3601" s="4">
        <v>100638.28079999999</v>
      </c>
      <c r="J3601" s="4">
        <v>402553.12319999997</v>
      </c>
      <c r="K3601" s="4">
        <v>-17338.430399999997</v>
      </c>
      <c r="L3601" s="4">
        <v>4</v>
      </c>
    </row>
    <row r="3602" spans="1:12">
      <c r="A3602" t="s">
        <v>264</v>
      </c>
      <c r="B3602" s="10">
        <v>45417</v>
      </c>
      <c r="C3602" s="18">
        <f t="shared" si="56"/>
        <v>5</v>
      </c>
      <c r="D3602" t="s">
        <v>196</v>
      </c>
      <c r="E3602">
        <v>4872160</v>
      </c>
      <c r="F3602" t="s">
        <v>8</v>
      </c>
      <c r="G3602" t="s">
        <v>203</v>
      </c>
      <c r="H3602" t="s">
        <v>230</v>
      </c>
      <c r="I3602" s="4">
        <v>100638.28079999999</v>
      </c>
      <c r="J3602" s="4">
        <v>1006382.808</v>
      </c>
      <c r="K3602" s="4">
        <v>-43346.076000000001</v>
      </c>
      <c r="L3602" s="4">
        <v>10</v>
      </c>
    </row>
    <row r="3603" spans="1:12">
      <c r="A3603" t="s">
        <v>264</v>
      </c>
      <c r="B3603" s="10">
        <v>45417</v>
      </c>
      <c r="C3603" s="18">
        <f t="shared" si="56"/>
        <v>5</v>
      </c>
      <c r="D3603" t="s">
        <v>196</v>
      </c>
      <c r="E3603">
        <v>4872160</v>
      </c>
      <c r="F3603" t="s">
        <v>8</v>
      </c>
      <c r="G3603" t="s">
        <v>203</v>
      </c>
      <c r="H3603" t="s">
        <v>237</v>
      </c>
      <c r="I3603" s="4">
        <v>125766.4408</v>
      </c>
      <c r="J3603" s="4">
        <v>1257664.4080000001</v>
      </c>
      <c r="K3603" s="4">
        <v>-56538.36</v>
      </c>
      <c r="L3603" s="4">
        <v>10</v>
      </c>
    </row>
    <row r="3604" spans="1:12">
      <c r="A3604" t="s">
        <v>264</v>
      </c>
      <c r="B3604" s="10">
        <v>45417</v>
      </c>
      <c r="C3604" s="18">
        <f t="shared" si="56"/>
        <v>5</v>
      </c>
      <c r="D3604" t="s">
        <v>196</v>
      </c>
      <c r="E3604">
        <v>4872160</v>
      </c>
      <c r="F3604" t="s">
        <v>8</v>
      </c>
      <c r="G3604" t="s">
        <v>204</v>
      </c>
      <c r="H3604" t="s">
        <v>215</v>
      </c>
      <c r="I3604" s="4">
        <v>75510.12079999999</v>
      </c>
      <c r="J3604" s="4">
        <v>377550.60399999993</v>
      </c>
      <c r="K3604" s="4">
        <v>-18846.12</v>
      </c>
      <c r="L3604" s="4">
        <v>5</v>
      </c>
    </row>
    <row r="3605" spans="1:12">
      <c r="A3605" t="s">
        <v>264</v>
      </c>
      <c r="B3605" s="10">
        <v>45417</v>
      </c>
      <c r="C3605" s="18">
        <f t="shared" si="56"/>
        <v>5</v>
      </c>
      <c r="D3605" t="s">
        <v>196</v>
      </c>
      <c r="E3605">
        <v>4872160</v>
      </c>
      <c r="F3605" t="s">
        <v>8</v>
      </c>
      <c r="G3605" t="s">
        <v>205</v>
      </c>
      <c r="H3605" t="s">
        <v>211</v>
      </c>
      <c r="I3605" s="4">
        <v>5151.2727999999997</v>
      </c>
      <c r="J3605" s="4">
        <v>257563.63999999998</v>
      </c>
      <c r="K3605" s="4">
        <v>-12564.08</v>
      </c>
      <c r="L3605" s="4">
        <v>50</v>
      </c>
    </row>
    <row r="3606" spans="1:12">
      <c r="A3606" t="s">
        <v>264</v>
      </c>
      <c r="B3606" s="10">
        <v>45417</v>
      </c>
      <c r="C3606" s="18">
        <f t="shared" si="56"/>
        <v>5</v>
      </c>
      <c r="D3606" t="s">
        <v>196</v>
      </c>
      <c r="E3606">
        <v>4873121</v>
      </c>
      <c r="F3606" t="s">
        <v>8</v>
      </c>
      <c r="G3606" t="s">
        <v>203</v>
      </c>
      <c r="H3606" t="s">
        <v>235</v>
      </c>
      <c r="I3606" s="4">
        <v>125766.4408</v>
      </c>
      <c r="J3606" s="4">
        <v>-251532.88159999999</v>
      </c>
      <c r="K3606" s="4">
        <v>11307.672</v>
      </c>
      <c r="L3606" s="4">
        <v>-2</v>
      </c>
    </row>
    <row r="3607" spans="1:12">
      <c r="A3607" t="s">
        <v>264</v>
      </c>
      <c r="B3607" s="10">
        <v>45417</v>
      </c>
      <c r="C3607" s="18">
        <f t="shared" si="56"/>
        <v>5</v>
      </c>
      <c r="D3607" t="s">
        <v>196</v>
      </c>
      <c r="E3607">
        <v>4874586</v>
      </c>
      <c r="F3607" t="s">
        <v>8</v>
      </c>
      <c r="G3607" t="s">
        <v>203</v>
      </c>
      <c r="H3607" t="s">
        <v>238</v>
      </c>
      <c r="I3607" s="4">
        <v>95606.36675999999</v>
      </c>
      <c r="J3607" s="4">
        <v>-764850.93407999992</v>
      </c>
      <c r="K3607" s="4">
        <v>34676.860799999995</v>
      </c>
      <c r="L3607" s="4">
        <v>-8</v>
      </c>
    </row>
    <row r="3608" spans="1:12">
      <c r="A3608" t="s">
        <v>264</v>
      </c>
      <c r="B3608" s="10">
        <v>45417</v>
      </c>
      <c r="C3608" s="18">
        <f t="shared" si="56"/>
        <v>5</v>
      </c>
      <c r="D3608" t="s">
        <v>196</v>
      </c>
      <c r="E3608">
        <v>4872193</v>
      </c>
      <c r="F3608" t="s">
        <v>8</v>
      </c>
      <c r="G3608" t="s">
        <v>204</v>
      </c>
      <c r="H3608" t="s">
        <v>219</v>
      </c>
      <c r="I3608" s="4">
        <v>44099.9208</v>
      </c>
      <c r="J3608" s="4">
        <v>-88199.8416</v>
      </c>
      <c r="K3608" s="4">
        <v>3769.2239999999997</v>
      </c>
      <c r="L3608" s="4">
        <v>-2</v>
      </c>
    </row>
    <row r="3609" spans="1:12">
      <c r="A3609" t="s">
        <v>264</v>
      </c>
      <c r="B3609" s="10">
        <v>45417</v>
      </c>
      <c r="C3609" s="18">
        <f t="shared" si="56"/>
        <v>5</v>
      </c>
      <c r="D3609" t="s">
        <v>196</v>
      </c>
      <c r="E3609">
        <v>4872193</v>
      </c>
      <c r="F3609" t="s">
        <v>8</v>
      </c>
      <c r="G3609" t="s">
        <v>205</v>
      </c>
      <c r="H3609" t="s">
        <v>246</v>
      </c>
      <c r="I3609" s="4">
        <v>5967.9380000000001</v>
      </c>
      <c r="J3609" s="4">
        <v>-5967.9380000000001</v>
      </c>
      <c r="K3609" s="4">
        <v>314.10200000000003</v>
      </c>
      <c r="L3609" s="4">
        <v>-1</v>
      </c>
    </row>
    <row r="3610" spans="1:12">
      <c r="A3610" t="s">
        <v>264</v>
      </c>
      <c r="B3610" s="10">
        <v>45417</v>
      </c>
      <c r="C3610" s="18">
        <f t="shared" si="56"/>
        <v>5</v>
      </c>
      <c r="D3610" t="s">
        <v>196</v>
      </c>
      <c r="E3610">
        <v>4873723</v>
      </c>
      <c r="F3610" t="s">
        <v>8</v>
      </c>
      <c r="G3610" t="s">
        <v>203</v>
      </c>
      <c r="H3610" t="s">
        <v>245</v>
      </c>
      <c r="I3610" s="4">
        <v>100638.28079999999</v>
      </c>
      <c r="J3610" s="4">
        <v>402553.12319999997</v>
      </c>
      <c r="K3610" s="4">
        <v>-17338.430399999997</v>
      </c>
      <c r="L3610" s="4">
        <v>4</v>
      </c>
    </row>
    <row r="3611" spans="1:12">
      <c r="A3611" t="s">
        <v>264</v>
      </c>
      <c r="B3611" s="10">
        <v>45417</v>
      </c>
      <c r="C3611" s="18">
        <f t="shared" si="56"/>
        <v>5</v>
      </c>
      <c r="D3611" t="s">
        <v>196</v>
      </c>
      <c r="E3611">
        <v>4873723</v>
      </c>
      <c r="F3611" t="s">
        <v>8</v>
      </c>
      <c r="G3611" t="s">
        <v>203</v>
      </c>
      <c r="H3611" t="s">
        <v>242</v>
      </c>
      <c r="I3611" s="4">
        <v>100638.28079999999</v>
      </c>
      <c r="J3611" s="4">
        <v>402553.12319999997</v>
      </c>
      <c r="K3611" s="4">
        <v>-17338.430399999997</v>
      </c>
      <c r="L3611" s="4">
        <v>4</v>
      </c>
    </row>
    <row r="3612" spans="1:12">
      <c r="A3612" t="s">
        <v>264</v>
      </c>
      <c r="B3612" s="10">
        <v>45417</v>
      </c>
      <c r="C3612" s="18">
        <f t="shared" si="56"/>
        <v>5</v>
      </c>
      <c r="D3612" t="s">
        <v>196</v>
      </c>
      <c r="E3612">
        <v>4873723</v>
      </c>
      <c r="F3612" t="s">
        <v>8</v>
      </c>
      <c r="G3612" t="s">
        <v>203</v>
      </c>
      <c r="H3612" t="s">
        <v>240</v>
      </c>
      <c r="I3612" s="4">
        <v>100638.28079999999</v>
      </c>
      <c r="J3612" s="4">
        <v>402553.12319999997</v>
      </c>
      <c r="K3612" s="4">
        <v>-17338.430399999997</v>
      </c>
      <c r="L3612" s="4">
        <v>4</v>
      </c>
    </row>
    <row r="3613" spans="1:12">
      <c r="A3613" t="s">
        <v>264</v>
      </c>
      <c r="B3613" s="10">
        <v>45417</v>
      </c>
      <c r="C3613" s="18">
        <f t="shared" si="56"/>
        <v>5</v>
      </c>
      <c r="D3613" t="s">
        <v>196</v>
      </c>
      <c r="E3613">
        <v>4873723</v>
      </c>
      <c r="F3613" t="s">
        <v>8</v>
      </c>
      <c r="G3613" t="s">
        <v>203</v>
      </c>
      <c r="H3613" t="s">
        <v>230</v>
      </c>
      <c r="I3613" s="4">
        <v>100638.28079999999</v>
      </c>
      <c r="J3613" s="4">
        <v>402553.12319999997</v>
      </c>
      <c r="K3613" s="4">
        <v>-17338.430399999997</v>
      </c>
      <c r="L3613" s="4">
        <v>4</v>
      </c>
    </row>
    <row r="3614" spans="1:12">
      <c r="A3614" t="s">
        <v>264</v>
      </c>
      <c r="B3614" s="10">
        <v>45417</v>
      </c>
      <c r="C3614" s="18">
        <f t="shared" si="56"/>
        <v>5</v>
      </c>
      <c r="D3614" t="s">
        <v>196</v>
      </c>
      <c r="E3614">
        <v>4873723</v>
      </c>
      <c r="F3614" t="s">
        <v>8</v>
      </c>
      <c r="G3614" t="s">
        <v>203</v>
      </c>
      <c r="H3614" t="s">
        <v>228</v>
      </c>
      <c r="I3614" s="4">
        <v>100638.28079999999</v>
      </c>
      <c r="J3614" s="4">
        <v>402553.12319999997</v>
      </c>
      <c r="K3614" s="4">
        <v>-17338.430399999997</v>
      </c>
      <c r="L3614" s="4">
        <v>4</v>
      </c>
    </row>
    <row r="3615" spans="1:12">
      <c r="A3615" t="s">
        <v>264</v>
      </c>
      <c r="B3615" s="10">
        <v>45417</v>
      </c>
      <c r="C3615" s="18">
        <f t="shared" si="56"/>
        <v>5</v>
      </c>
      <c r="D3615" t="s">
        <v>196</v>
      </c>
      <c r="E3615">
        <v>4873723</v>
      </c>
      <c r="F3615" t="s">
        <v>8</v>
      </c>
      <c r="G3615" t="s">
        <v>203</v>
      </c>
      <c r="H3615" t="s">
        <v>224</v>
      </c>
      <c r="I3615" s="4">
        <v>100638.28079999999</v>
      </c>
      <c r="J3615" s="4">
        <v>402553.12319999997</v>
      </c>
      <c r="K3615" s="4">
        <v>-17338.430399999997</v>
      </c>
      <c r="L3615" s="4">
        <v>4</v>
      </c>
    </row>
    <row r="3616" spans="1:12">
      <c r="A3616" t="s">
        <v>264</v>
      </c>
      <c r="B3616" s="10">
        <v>45417</v>
      </c>
      <c r="C3616" s="18">
        <f t="shared" si="56"/>
        <v>5</v>
      </c>
      <c r="D3616" t="s">
        <v>196</v>
      </c>
      <c r="E3616">
        <v>4873723</v>
      </c>
      <c r="F3616" t="s">
        <v>8</v>
      </c>
      <c r="G3616" t="s">
        <v>202</v>
      </c>
      <c r="H3616" t="s">
        <v>256</v>
      </c>
      <c r="I3616" s="4">
        <v>64202.448800000006</v>
      </c>
      <c r="J3616" s="4">
        <v>642024.48800000001</v>
      </c>
      <c r="K3616" s="4">
        <v>-32038.403999999999</v>
      </c>
      <c r="L3616" s="4">
        <v>10</v>
      </c>
    </row>
    <row r="3617" spans="1:12">
      <c r="A3617" t="s">
        <v>264</v>
      </c>
      <c r="B3617" s="10">
        <v>45417</v>
      </c>
      <c r="C3617" s="18">
        <f t="shared" si="56"/>
        <v>5</v>
      </c>
      <c r="D3617" t="s">
        <v>196</v>
      </c>
      <c r="E3617">
        <v>4872141</v>
      </c>
      <c r="F3617" t="s">
        <v>8</v>
      </c>
      <c r="G3617" t="s">
        <v>205</v>
      </c>
      <c r="H3617" t="s">
        <v>246</v>
      </c>
      <c r="I3617" s="4">
        <v>5967.9380000000001</v>
      </c>
      <c r="J3617" s="4">
        <v>-77583.194000000003</v>
      </c>
      <c r="K3617" s="4">
        <v>4083.326</v>
      </c>
      <c r="L3617" s="4">
        <v>-13</v>
      </c>
    </row>
    <row r="3618" spans="1:12">
      <c r="A3618" t="s">
        <v>264</v>
      </c>
      <c r="B3618" s="10">
        <v>45418</v>
      </c>
      <c r="C3618" s="18">
        <f t="shared" si="56"/>
        <v>5</v>
      </c>
      <c r="D3618" t="s">
        <v>196</v>
      </c>
      <c r="E3618">
        <v>4871600</v>
      </c>
      <c r="F3618" t="s">
        <v>8</v>
      </c>
      <c r="G3618" t="s">
        <v>204</v>
      </c>
      <c r="H3618" t="s">
        <v>214</v>
      </c>
      <c r="I3618" s="4">
        <v>119484.4008</v>
      </c>
      <c r="J3618" s="4">
        <v>119484.4008</v>
      </c>
      <c r="K3618" s="4">
        <v>-5967.9380000000001</v>
      </c>
      <c r="L3618" s="4">
        <v>1</v>
      </c>
    </row>
    <row r="3619" spans="1:12">
      <c r="A3619" t="s">
        <v>264</v>
      </c>
      <c r="B3619" s="10">
        <v>45418</v>
      </c>
      <c r="C3619" s="18">
        <f t="shared" si="56"/>
        <v>5</v>
      </c>
      <c r="D3619" t="s">
        <v>196</v>
      </c>
      <c r="E3619">
        <v>4871600</v>
      </c>
      <c r="F3619" t="s">
        <v>8</v>
      </c>
      <c r="G3619" t="s">
        <v>204</v>
      </c>
      <c r="H3619" t="s">
        <v>221</v>
      </c>
      <c r="I3619" s="4">
        <v>25253.800799999997</v>
      </c>
      <c r="J3619" s="4">
        <v>505076.01599999995</v>
      </c>
      <c r="K3619" s="4">
        <v>-25128.16</v>
      </c>
      <c r="L3619" s="4">
        <v>20</v>
      </c>
    </row>
    <row r="3620" spans="1:12">
      <c r="A3620" t="s">
        <v>264</v>
      </c>
      <c r="B3620" s="10">
        <v>45418</v>
      </c>
      <c r="C3620" s="18">
        <f t="shared" si="56"/>
        <v>5</v>
      </c>
      <c r="D3620" t="s">
        <v>196</v>
      </c>
      <c r="E3620">
        <v>4871600</v>
      </c>
      <c r="F3620" t="s">
        <v>8</v>
      </c>
      <c r="G3620" t="s">
        <v>204</v>
      </c>
      <c r="H3620" t="s">
        <v>220</v>
      </c>
      <c r="I3620" s="4">
        <v>37817.880799999999</v>
      </c>
      <c r="J3620" s="4">
        <v>378178.80799999996</v>
      </c>
      <c r="K3620" s="4">
        <v>-18846.12</v>
      </c>
      <c r="L3620" s="4">
        <v>10</v>
      </c>
    </row>
    <row r="3621" spans="1:12">
      <c r="A3621" t="s">
        <v>264</v>
      </c>
      <c r="B3621" s="10">
        <v>45418</v>
      </c>
      <c r="C3621" s="18">
        <f t="shared" si="56"/>
        <v>5</v>
      </c>
      <c r="D3621" t="s">
        <v>196</v>
      </c>
      <c r="E3621">
        <v>4871600</v>
      </c>
      <c r="F3621" t="s">
        <v>8</v>
      </c>
      <c r="G3621" t="s">
        <v>204</v>
      </c>
      <c r="H3621" t="s">
        <v>212</v>
      </c>
      <c r="I3621" s="4">
        <v>62946.040799999995</v>
      </c>
      <c r="J3621" s="4">
        <v>1510704.9791999999</v>
      </c>
      <c r="K3621" s="4">
        <v>-45230.688000000002</v>
      </c>
      <c r="L3621" s="4">
        <v>24</v>
      </c>
    </row>
    <row r="3622" spans="1:12">
      <c r="A3622" t="s">
        <v>264</v>
      </c>
      <c r="B3622" s="10">
        <v>45418</v>
      </c>
      <c r="C3622" s="18">
        <f t="shared" si="56"/>
        <v>5</v>
      </c>
      <c r="D3622" t="s">
        <v>196</v>
      </c>
      <c r="E3622">
        <v>4872571</v>
      </c>
      <c r="F3622" t="s">
        <v>8</v>
      </c>
      <c r="G3622" t="s">
        <v>204</v>
      </c>
      <c r="H3622" t="s">
        <v>221</v>
      </c>
      <c r="I3622" s="4">
        <v>25253.800799999997</v>
      </c>
      <c r="J3622" s="4">
        <v>505076.01599999995</v>
      </c>
      <c r="K3622" s="4">
        <v>-25128.16</v>
      </c>
      <c r="L3622" s="4">
        <v>20</v>
      </c>
    </row>
    <row r="3623" spans="1:12">
      <c r="A3623" t="s">
        <v>264</v>
      </c>
      <c r="B3623" s="10">
        <v>45418</v>
      </c>
      <c r="C3623" s="18">
        <f t="shared" si="56"/>
        <v>5</v>
      </c>
      <c r="D3623" t="s">
        <v>196</v>
      </c>
      <c r="E3623">
        <v>4871657</v>
      </c>
      <c r="F3623" t="s">
        <v>8</v>
      </c>
      <c r="G3623" t="s">
        <v>205</v>
      </c>
      <c r="H3623" t="s">
        <v>211</v>
      </c>
      <c r="I3623" s="4">
        <v>5151.2727999999997</v>
      </c>
      <c r="J3623" s="4">
        <v>77269.09199999999</v>
      </c>
      <c r="K3623" s="4">
        <v>-3769.2239999999997</v>
      </c>
      <c r="L3623" s="4">
        <v>15</v>
      </c>
    </row>
    <row r="3624" spans="1:12">
      <c r="A3624" t="s">
        <v>264</v>
      </c>
      <c r="B3624" s="10">
        <v>45418</v>
      </c>
      <c r="C3624" s="18">
        <f t="shared" si="56"/>
        <v>5</v>
      </c>
      <c r="D3624" t="s">
        <v>196</v>
      </c>
      <c r="E3624">
        <v>4873806</v>
      </c>
      <c r="F3624" t="s">
        <v>8</v>
      </c>
      <c r="G3624" t="s">
        <v>204</v>
      </c>
      <c r="H3624" t="s">
        <v>221</v>
      </c>
      <c r="I3624" s="4">
        <v>25253.800799999997</v>
      </c>
      <c r="J3624" s="4">
        <v>101015.20319999999</v>
      </c>
      <c r="K3624" s="4">
        <v>-5025.6320000000005</v>
      </c>
      <c r="L3624" s="4">
        <v>4</v>
      </c>
    </row>
    <row r="3625" spans="1:12">
      <c r="A3625" t="s">
        <v>264</v>
      </c>
      <c r="B3625" s="10">
        <v>45418</v>
      </c>
      <c r="C3625" s="18">
        <f t="shared" si="56"/>
        <v>5</v>
      </c>
      <c r="D3625" t="s">
        <v>196</v>
      </c>
      <c r="E3625">
        <v>4873806</v>
      </c>
      <c r="F3625" t="s">
        <v>8</v>
      </c>
      <c r="G3625" t="s">
        <v>204</v>
      </c>
      <c r="H3625" t="s">
        <v>212</v>
      </c>
      <c r="I3625" s="4">
        <v>62946.040799999995</v>
      </c>
      <c r="J3625" s="4">
        <v>692406.4487999999</v>
      </c>
      <c r="K3625" s="4">
        <v>-20730.732</v>
      </c>
      <c r="L3625" s="4">
        <v>11</v>
      </c>
    </row>
    <row r="3626" spans="1:12">
      <c r="A3626" t="s">
        <v>264</v>
      </c>
      <c r="B3626" s="10">
        <v>45418</v>
      </c>
      <c r="C3626" s="18">
        <f t="shared" si="56"/>
        <v>5</v>
      </c>
      <c r="D3626" t="s">
        <v>196</v>
      </c>
      <c r="E3626">
        <v>4873723</v>
      </c>
      <c r="F3626" t="s">
        <v>8</v>
      </c>
      <c r="G3626" t="s">
        <v>204</v>
      </c>
      <c r="H3626" t="s">
        <v>214</v>
      </c>
      <c r="I3626" s="4">
        <v>119484.4008</v>
      </c>
      <c r="J3626" s="4">
        <v>477937.60320000001</v>
      </c>
      <c r="K3626" s="4">
        <v>-23871.752</v>
      </c>
      <c r="L3626" s="4">
        <v>4</v>
      </c>
    </row>
    <row r="3627" spans="1:12">
      <c r="A3627" t="s">
        <v>264</v>
      </c>
      <c r="B3627" s="10">
        <v>45419</v>
      </c>
      <c r="C3627" s="18">
        <f t="shared" si="56"/>
        <v>5</v>
      </c>
      <c r="D3627" t="s">
        <v>196</v>
      </c>
      <c r="E3627">
        <v>4871600</v>
      </c>
      <c r="F3627" t="s">
        <v>8</v>
      </c>
      <c r="G3627" t="s">
        <v>203</v>
      </c>
      <c r="H3627" t="s">
        <v>245</v>
      </c>
      <c r="I3627" s="4">
        <v>100638.28079999999</v>
      </c>
      <c r="J3627" s="4">
        <v>201276.56159999999</v>
      </c>
      <c r="K3627" s="4">
        <v>-8669.2151999999987</v>
      </c>
      <c r="L3627" s="4">
        <v>2</v>
      </c>
    </row>
    <row r="3628" spans="1:12">
      <c r="A3628" t="s">
        <v>264</v>
      </c>
      <c r="B3628" s="10">
        <v>45419</v>
      </c>
      <c r="C3628" s="18">
        <f t="shared" si="56"/>
        <v>5</v>
      </c>
      <c r="D3628" t="s">
        <v>196</v>
      </c>
      <c r="E3628">
        <v>4871600</v>
      </c>
      <c r="F3628" t="s">
        <v>8</v>
      </c>
      <c r="G3628" t="s">
        <v>203</v>
      </c>
      <c r="H3628" t="s">
        <v>242</v>
      </c>
      <c r="I3628" s="4">
        <v>100638.28079999999</v>
      </c>
      <c r="J3628" s="4">
        <v>201276.56159999999</v>
      </c>
      <c r="K3628" s="4">
        <v>-8669.2151999999987</v>
      </c>
      <c r="L3628" s="4">
        <v>2</v>
      </c>
    </row>
    <row r="3629" spans="1:12">
      <c r="A3629" t="s">
        <v>264</v>
      </c>
      <c r="B3629" s="10">
        <v>45419</v>
      </c>
      <c r="C3629" s="18">
        <f t="shared" si="56"/>
        <v>5</v>
      </c>
      <c r="D3629" t="s">
        <v>196</v>
      </c>
      <c r="E3629">
        <v>4871600</v>
      </c>
      <c r="F3629" t="s">
        <v>8</v>
      </c>
      <c r="G3629" t="s">
        <v>203</v>
      </c>
      <c r="H3629" t="s">
        <v>240</v>
      </c>
      <c r="I3629" s="4">
        <v>100638.28079999999</v>
      </c>
      <c r="J3629" s="4">
        <v>201276.56159999999</v>
      </c>
      <c r="K3629" s="4">
        <v>-8669.2151999999987</v>
      </c>
      <c r="L3629" s="4">
        <v>2</v>
      </c>
    </row>
    <row r="3630" spans="1:12">
      <c r="A3630" t="s">
        <v>264</v>
      </c>
      <c r="B3630" s="10">
        <v>45419</v>
      </c>
      <c r="C3630" s="18">
        <f t="shared" si="56"/>
        <v>5</v>
      </c>
      <c r="D3630" t="s">
        <v>196</v>
      </c>
      <c r="E3630">
        <v>4871600</v>
      </c>
      <c r="F3630" t="s">
        <v>8</v>
      </c>
      <c r="G3630" t="s">
        <v>203</v>
      </c>
      <c r="H3630" t="s">
        <v>238</v>
      </c>
      <c r="I3630" s="4">
        <v>95606.36675999999</v>
      </c>
      <c r="J3630" s="4">
        <v>191212.73351999998</v>
      </c>
      <c r="K3630" s="4">
        <v>-8669.2151999999987</v>
      </c>
      <c r="L3630" s="4">
        <v>2</v>
      </c>
    </row>
    <row r="3631" spans="1:12">
      <c r="A3631" t="s">
        <v>264</v>
      </c>
      <c r="B3631" s="10">
        <v>45419</v>
      </c>
      <c r="C3631" s="18">
        <f t="shared" si="56"/>
        <v>5</v>
      </c>
      <c r="D3631" t="s">
        <v>196</v>
      </c>
      <c r="E3631">
        <v>4871600</v>
      </c>
      <c r="F3631" t="s">
        <v>8</v>
      </c>
      <c r="G3631" t="s">
        <v>203</v>
      </c>
      <c r="H3631" t="s">
        <v>230</v>
      </c>
      <c r="I3631" s="4">
        <v>100638.28079999999</v>
      </c>
      <c r="J3631" s="4">
        <v>201276.56159999999</v>
      </c>
      <c r="K3631" s="4">
        <v>-8669.2151999999987</v>
      </c>
      <c r="L3631" s="4">
        <v>2</v>
      </c>
    </row>
    <row r="3632" spans="1:12">
      <c r="A3632" t="s">
        <v>264</v>
      </c>
      <c r="B3632" s="10">
        <v>45419</v>
      </c>
      <c r="C3632" s="18">
        <f t="shared" si="56"/>
        <v>5</v>
      </c>
      <c r="D3632" t="s">
        <v>196</v>
      </c>
      <c r="E3632">
        <v>4871600</v>
      </c>
      <c r="F3632" t="s">
        <v>8</v>
      </c>
      <c r="G3632" t="s">
        <v>203</v>
      </c>
      <c r="H3632" t="s">
        <v>228</v>
      </c>
      <c r="I3632" s="4">
        <v>100638.28079999999</v>
      </c>
      <c r="J3632" s="4">
        <v>201276.56159999999</v>
      </c>
      <c r="K3632" s="4">
        <v>-8669.2151999999987</v>
      </c>
      <c r="L3632" s="4">
        <v>2</v>
      </c>
    </row>
    <row r="3633" spans="1:12">
      <c r="A3633" t="s">
        <v>264</v>
      </c>
      <c r="B3633" s="10">
        <v>45419</v>
      </c>
      <c r="C3633" s="18">
        <f t="shared" si="56"/>
        <v>5</v>
      </c>
      <c r="D3633" t="s">
        <v>196</v>
      </c>
      <c r="E3633">
        <v>4871600</v>
      </c>
      <c r="F3633" t="s">
        <v>8</v>
      </c>
      <c r="G3633" t="s">
        <v>203</v>
      </c>
      <c r="H3633" t="s">
        <v>224</v>
      </c>
      <c r="I3633" s="4">
        <v>100638.28079999999</v>
      </c>
      <c r="J3633" s="4">
        <v>201276.56159999999</v>
      </c>
      <c r="K3633" s="4">
        <v>-8669.2151999999987</v>
      </c>
      <c r="L3633" s="4">
        <v>2</v>
      </c>
    </row>
    <row r="3634" spans="1:12">
      <c r="A3634" t="s">
        <v>264</v>
      </c>
      <c r="B3634" s="10">
        <v>45419</v>
      </c>
      <c r="C3634" s="18">
        <f t="shared" si="56"/>
        <v>5</v>
      </c>
      <c r="D3634" t="s">
        <v>196</v>
      </c>
      <c r="E3634">
        <v>4871600</v>
      </c>
      <c r="F3634" t="s">
        <v>8</v>
      </c>
      <c r="G3634" t="s">
        <v>203</v>
      </c>
      <c r="H3634" t="s">
        <v>244</v>
      </c>
      <c r="I3634" s="4">
        <v>125766.4408</v>
      </c>
      <c r="J3634" s="4">
        <v>251532.88159999999</v>
      </c>
      <c r="K3634" s="4">
        <v>-11307.672</v>
      </c>
      <c r="L3634" s="4">
        <v>2</v>
      </c>
    </row>
    <row r="3635" spans="1:12">
      <c r="A3635" t="s">
        <v>264</v>
      </c>
      <c r="B3635" s="10">
        <v>45419</v>
      </c>
      <c r="C3635" s="18">
        <f t="shared" si="56"/>
        <v>5</v>
      </c>
      <c r="D3635" t="s">
        <v>196</v>
      </c>
      <c r="E3635">
        <v>4871600</v>
      </c>
      <c r="F3635" t="s">
        <v>8</v>
      </c>
      <c r="G3635" t="s">
        <v>203</v>
      </c>
      <c r="H3635" t="s">
        <v>237</v>
      </c>
      <c r="I3635" s="4">
        <v>125766.4408</v>
      </c>
      <c r="J3635" s="4">
        <v>251532.88159999999</v>
      </c>
      <c r="K3635" s="4">
        <v>-11307.672</v>
      </c>
      <c r="L3635" s="4">
        <v>2</v>
      </c>
    </row>
    <row r="3636" spans="1:12">
      <c r="A3636" t="s">
        <v>264</v>
      </c>
      <c r="B3636" s="10">
        <v>45419</v>
      </c>
      <c r="C3636" s="18">
        <f t="shared" si="56"/>
        <v>5</v>
      </c>
      <c r="D3636" t="s">
        <v>196</v>
      </c>
      <c r="E3636">
        <v>4871600</v>
      </c>
      <c r="F3636" t="s">
        <v>8</v>
      </c>
      <c r="G3636" t="s">
        <v>203</v>
      </c>
      <c r="H3636" t="s">
        <v>235</v>
      </c>
      <c r="I3636" s="4">
        <v>125766.4408</v>
      </c>
      <c r="J3636" s="4">
        <v>251532.88159999999</v>
      </c>
      <c r="K3636" s="4">
        <v>-11307.672</v>
      </c>
      <c r="L3636" s="4">
        <v>2</v>
      </c>
    </row>
    <row r="3637" spans="1:12">
      <c r="A3637" t="s">
        <v>264</v>
      </c>
      <c r="B3637" s="10">
        <v>45419</v>
      </c>
      <c r="C3637" s="18">
        <f t="shared" si="56"/>
        <v>5</v>
      </c>
      <c r="D3637" t="s">
        <v>196</v>
      </c>
      <c r="E3637">
        <v>4872058</v>
      </c>
      <c r="F3637" t="s">
        <v>8</v>
      </c>
      <c r="G3637" t="s">
        <v>203</v>
      </c>
      <c r="H3637" t="s">
        <v>242</v>
      </c>
      <c r="I3637" s="4">
        <v>100638.28079999999</v>
      </c>
      <c r="J3637" s="4">
        <v>402553.12319999997</v>
      </c>
      <c r="K3637" s="4">
        <v>-17338.430399999997</v>
      </c>
      <c r="L3637" s="4">
        <v>4</v>
      </c>
    </row>
    <row r="3638" spans="1:12">
      <c r="A3638" t="s">
        <v>264</v>
      </c>
      <c r="B3638" s="10">
        <v>45419</v>
      </c>
      <c r="C3638" s="18">
        <f t="shared" si="56"/>
        <v>5</v>
      </c>
      <c r="D3638" t="s">
        <v>196</v>
      </c>
      <c r="E3638">
        <v>4872058</v>
      </c>
      <c r="F3638" t="s">
        <v>8</v>
      </c>
      <c r="G3638" t="s">
        <v>203</v>
      </c>
      <c r="H3638" t="s">
        <v>230</v>
      </c>
      <c r="I3638" s="4">
        <v>100638.28079999999</v>
      </c>
      <c r="J3638" s="4">
        <v>402553.12319999997</v>
      </c>
      <c r="K3638" s="4">
        <v>-17338.430399999997</v>
      </c>
      <c r="L3638" s="4">
        <v>4</v>
      </c>
    </row>
    <row r="3639" spans="1:12">
      <c r="A3639" t="s">
        <v>264</v>
      </c>
      <c r="B3639" s="10">
        <v>45419</v>
      </c>
      <c r="C3639" s="18">
        <f t="shared" si="56"/>
        <v>5</v>
      </c>
      <c r="D3639" t="s">
        <v>196</v>
      </c>
      <c r="E3639">
        <v>4872058</v>
      </c>
      <c r="F3639" t="s">
        <v>8</v>
      </c>
      <c r="G3639" t="s">
        <v>203</v>
      </c>
      <c r="H3639" t="s">
        <v>228</v>
      </c>
      <c r="I3639" s="4">
        <v>100638.28079999999</v>
      </c>
      <c r="J3639" s="4">
        <v>402553.12319999997</v>
      </c>
      <c r="K3639" s="4">
        <v>-17338.430399999997</v>
      </c>
      <c r="L3639" s="4">
        <v>4</v>
      </c>
    </row>
    <row r="3640" spans="1:12">
      <c r="A3640" t="s">
        <v>264</v>
      </c>
      <c r="B3640" s="10">
        <v>45419</v>
      </c>
      <c r="C3640" s="18">
        <f t="shared" si="56"/>
        <v>5</v>
      </c>
      <c r="D3640" t="s">
        <v>196</v>
      </c>
      <c r="E3640">
        <v>4872058</v>
      </c>
      <c r="F3640" t="s">
        <v>8</v>
      </c>
      <c r="G3640" t="s">
        <v>203</v>
      </c>
      <c r="H3640" t="s">
        <v>224</v>
      </c>
      <c r="I3640" s="4">
        <v>100638.28079999999</v>
      </c>
      <c r="J3640" s="4">
        <v>402553.12319999997</v>
      </c>
      <c r="K3640" s="4">
        <v>-17338.430399999997</v>
      </c>
      <c r="L3640" s="4">
        <v>4</v>
      </c>
    </row>
    <row r="3641" spans="1:12">
      <c r="A3641" t="s">
        <v>264</v>
      </c>
      <c r="B3641" s="10">
        <v>45419</v>
      </c>
      <c r="C3641" s="18">
        <f t="shared" si="56"/>
        <v>5</v>
      </c>
      <c r="D3641" t="s">
        <v>196</v>
      </c>
      <c r="E3641">
        <v>4872193</v>
      </c>
      <c r="F3641" t="s">
        <v>8</v>
      </c>
      <c r="G3641" t="s">
        <v>203</v>
      </c>
      <c r="H3641" t="s">
        <v>237</v>
      </c>
      <c r="I3641" s="4">
        <v>125766.4408</v>
      </c>
      <c r="J3641" s="4">
        <v>2515328.8160000001</v>
      </c>
      <c r="K3641" s="4">
        <v>-113076.72</v>
      </c>
      <c r="L3641" s="4">
        <v>20</v>
      </c>
    </row>
    <row r="3642" spans="1:12">
      <c r="A3642" t="s">
        <v>264</v>
      </c>
      <c r="B3642" s="10">
        <v>45419</v>
      </c>
      <c r="C3642" s="18">
        <f t="shared" si="56"/>
        <v>5</v>
      </c>
      <c r="D3642" t="s">
        <v>196</v>
      </c>
      <c r="E3642">
        <v>4872163</v>
      </c>
      <c r="F3642" t="s">
        <v>8</v>
      </c>
      <c r="G3642" t="s">
        <v>203</v>
      </c>
      <c r="H3642" t="s">
        <v>245</v>
      </c>
      <c r="I3642" s="4">
        <v>100638.28079999999</v>
      </c>
      <c r="J3642" s="4">
        <v>2415318.7391999997</v>
      </c>
      <c r="K3642" s="4">
        <v>-104030.58239999998</v>
      </c>
      <c r="L3642" s="4">
        <v>24</v>
      </c>
    </row>
    <row r="3643" spans="1:12">
      <c r="A3643" t="s">
        <v>264</v>
      </c>
      <c r="B3643" s="10">
        <v>45419</v>
      </c>
      <c r="C3643" s="18">
        <f t="shared" si="56"/>
        <v>5</v>
      </c>
      <c r="D3643" t="s">
        <v>196</v>
      </c>
      <c r="E3643">
        <v>4872163</v>
      </c>
      <c r="F3643" t="s">
        <v>8</v>
      </c>
      <c r="G3643" t="s">
        <v>203</v>
      </c>
      <c r="H3643" t="s">
        <v>242</v>
      </c>
      <c r="I3643" s="4">
        <v>100638.28079999999</v>
      </c>
      <c r="J3643" s="4">
        <v>2012765.6159999999</v>
      </c>
      <c r="K3643" s="4">
        <v>-86692.152000000002</v>
      </c>
      <c r="L3643" s="4">
        <v>20</v>
      </c>
    </row>
    <row r="3644" spans="1:12">
      <c r="A3644" t="s">
        <v>264</v>
      </c>
      <c r="B3644" s="10">
        <v>45419</v>
      </c>
      <c r="C3644" s="18">
        <f t="shared" si="56"/>
        <v>5</v>
      </c>
      <c r="D3644" t="s">
        <v>196</v>
      </c>
      <c r="E3644">
        <v>4872163</v>
      </c>
      <c r="F3644" t="s">
        <v>8</v>
      </c>
      <c r="G3644" t="s">
        <v>203</v>
      </c>
      <c r="H3644" t="s">
        <v>240</v>
      </c>
      <c r="I3644" s="4">
        <v>100638.28079999999</v>
      </c>
      <c r="J3644" s="4">
        <v>1408935.9312</v>
      </c>
      <c r="K3644" s="4">
        <v>-60684.506399999998</v>
      </c>
      <c r="L3644" s="4">
        <v>14</v>
      </c>
    </row>
    <row r="3645" spans="1:12">
      <c r="A3645" t="s">
        <v>264</v>
      </c>
      <c r="B3645" s="10">
        <v>45419</v>
      </c>
      <c r="C3645" s="18">
        <f t="shared" si="56"/>
        <v>5</v>
      </c>
      <c r="D3645" t="s">
        <v>196</v>
      </c>
      <c r="E3645">
        <v>4872163</v>
      </c>
      <c r="F3645" t="s">
        <v>8</v>
      </c>
      <c r="G3645" t="s">
        <v>203</v>
      </c>
      <c r="H3645" t="s">
        <v>238</v>
      </c>
      <c r="I3645" s="4">
        <v>95606.36675999999</v>
      </c>
      <c r="J3645" s="4">
        <v>573638.20055999991</v>
      </c>
      <c r="K3645" s="4">
        <v>-26007.645599999996</v>
      </c>
      <c r="L3645" s="4">
        <v>6</v>
      </c>
    </row>
    <row r="3646" spans="1:12">
      <c r="A3646" t="s">
        <v>264</v>
      </c>
      <c r="B3646" s="10">
        <v>45419</v>
      </c>
      <c r="C3646" s="18">
        <f t="shared" si="56"/>
        <v>5</v>
      </c>
      <c r="D3646" t="s">
        <v>196</v>
      </c>
      <c r="E3646">
        <v>4872163</v>
      </c>
      <c r="F3646" t="s">
        <v>8</v>
      </c>
      <c r="G3646" t="s">
        <v>203</v>
      </c>
      <c r="H3646" t="s">
        <v>230</v>
      </c>
      <c r="I3646" s="4">
        <v>100638.28079999999</v>
      </c>
      <c r="J3646" s="4">
        <v>2012765.6159999999</v>
      </c>
      <c r="K3646" s="4">
        <v>-86692.152000000002</v>
      </c>
      <c r="L3646" s="4">
        <v>20</v>
      </c>
    </row>
    <row r="3647" spans="1:12">
      <c r="A3647" t="s">
        <v>264</v>
      </c>
      <c r="B3647" s="10">
        <v>45419</v>
      </c>
      <c r="C3647" s="18">
        <f t="shared" si="56"/>
        <v>5</v>
      </c>
      <c r="D3647" t="s">
        <v>196</v>
      </c>
      <c r="E3647">
        <v>4872163</v>
      </c>
      <c r="F3647" t="s">
        <v>8</v>
      </c>
      <c r="G3647" t="s">
        <v>203</v>
      </c>
      <c r="H3647" t="s">
        <v>228</v>
      </c>
      <c r="I3647" s="4">
        <v>100638.28079999999</v>
      </c>
      <c r="J3647" s="4">
        <v>2012765.6159999999</v>
      </c>
      <c r="K3647" s="4">
        <v>-86692.152000000002</v>
      </c>
      <c r="L3647" s="4">
        <v>20</v>
      </c>
    </row>
    <row r="3648" spans="1:12">
      <c r="A3648" t="s">
        <v>264</v>
      </c>
      <c r="B3648" s="10">
        <v>45419</v>
      </c>
      <c r="C3648" s="18">
        <f t="shared" si="56"/>
        <v>5</v>
      </c>
      <c r="D3648" t="s">
        <v>196</v>
      </c>
      <c r="E3648">
        <v>4872163</v>
      </c>
      <c r="F3648" t="s">
        <v>8</v>
      </c>
      <c r="G3648" t="s">
        <v>203</v>
      </c>
      <c r="H3648" t="s">
        <v>224</v>
      </c>
      <c r="I3648" s="4">
        <v>100638.28079999999</v>
      </c>
      <c r="J3648" s="4">
        <v>2012765.6159999999</v>
      </c>
      <c r="K3648" s="4">
        <v>-86692.152000000002</v>
      </c>
      <c r="L3648" s="4">
        <v>20</v>
      </c>
    </row>
    <row r="3649" spans="1:12">
      <c r="A3649" t="s">
        <v>264</v>
      </c>
      <c r="B3649" s="10">
        <v>45419</v>
      </c>
      <c r="C3649" s="18">
        <f t="shared" si="56"/>
        <v>5</v>
      </c>
      <c r="D3649" t="s">
        <v>196</v>
      </c>
      <c r="E3649">
        <v>4872163</v>
      </c>
      <c r="F3649" t="s">
        <v>8</v>
      </c>
      <c r="G3649" t="s">
        <v>203</v>
      </c>
      <c r="H3649" t="s">
        <v>244</v>
      </c>
      <c r="I3649" s="4">
        <v>125766.4408</v>
      </c>
      <c r="J3649" s="4">
        <v>3647226.7831999999</v>
      </c>
      <c r="K3649" s="4">
        <v>-163961.24400000001</v>
      </c>
      <c r="L3649" s="4">
        <v>29</v>
      </c>
    </row>
    <row r="3650" spans="1:12">
      <c r="A3650" t="s">
        <v>264</v>
      </c>
      <c r="B3650" s="10">
        <v>45419</v>
      </c>
      <c r="C3650" s="18">
        <f t="shared" ref="C3650:C3713" si="57">MONTH(B3650)</f>
        <v>5</v>
      </c>
      <c r="D3650" t="s">
        <v>196</v>
      </c>
      <c r="E3650">
        <v>4872163</v>
      </c>
      <c r="F3650" t="s">
        <v>8</v>
      </c>
      <c r="G3650" t="s">
        <v>203</v>
      </c>
      <c r="H3650" t="s">
        <v>237</v>
      </c>
      <c r="I3650" s="4">
        <v>125766.4408</v>
      </c>
      <c r="J3650" s="4">
        <v>2515328.8160000001</v>
      </c>
      <c r="K3650" s="4">
        <v>-113076.72</v>
      </c>
      <c r="L3650" s="4">
        <v>20</v>
      </c>
    </row>
    <row r="3651" spans="1:12">
      <c r="A3651" t="s">
        <v>264</v>
      </c>
      <c r="B3651" s="10">
        <v>45419</v>
      </c>
      <c r="C3651" s="18">
        <f t="shared" si="57"/>
        <v>5</v>
      </c>
      <c r="D3651" t="s">
        <v>196</v>
      </c>
      <c r="E3651">
        <v>4872200</v>
      </c>
      <c r="F3651" t="s">
        <v>8</v>
      </c>
      <c r="G3651" t="s">
        <v>204</v>
      </c>
      <c r="H3651" t="s">
        <v>219</v>
      </c>
      <c r="I3651" s="4">
        <v>44099.9208</v>
      </c>
      <c r="J3651" s="4">
        <v>44099.9208</v>
      </c>
      <c r="K3651" s="4">
        <v>-1884.6119999999999</v>
      </c>
      <c r="L3651" s="4">
        <v>1</v>
      </c>
    </row>
    <row r="3652" spans="1:12">
      <c r="A3652" t="s">
        <v>264</v>
      </c>
      <c r="B3652" s="10">
        <v>45419</v>
      </c>
      <c r="C3652" s="18">
        <f t="shared" si="57"/>
        <v>5</v>
      </c>
      <c r="D3652" t="s">
        <v>196</v>
      </c>
      <c r="E3652">
        <v>4872200</v>
      </c>
      <c r="F3652" t="s">
        <v>8</v>
      </c>
      <c r="G3652" t="s">
        <v>204</v>
      </c>
      <c r="H3652" t="s">
        <v>216</v>
      </c>
      <c r="I3652" s="4">
        <v>113202.36079999999</v>
      </c>
      <c r="J3652" s="4">
        <v>113202.36079999999</v>
      </c>
      <c r="K3652" s="4">
        <v>-5653.8360000000002</v>
      </c>
      <c r="L3652" s="4">
        <v>1</v>
      </c>
    </row>
    <row r="3653" spans="1:12">
      <c r="A3653" t="s">
        <v>264</v>
      </c>
      <c r="B3653" s="10">
        <v>45419</v>
      </c>
      <c r="C3653" s="18">
        <f t="shared" si="57"/>
        <v>5</v>
      </c>
      <c r="D3653" t="s">
        <v>196</v>
      </c>
      <c r="E3653">
        <v>4872200</v>
      </c>
      <c r="F3653" t="s">
        <v>8</v>
      </c>
      <c r="G3653" t="s">
        <v>204</v>
      </c>
      <c r="H3653" t="s">
        <v>215</v>
      </c>
      <c r="I3653" s="4">
        <v>75510.12079999999</v>
      </c>
      <c r="J3653" s="4">
        <v>75510.12079999999</v>
      </c>
      <c r="K3653" s="4">
        <v>-3769.2239999999997</v>
      </c>
      <c r="L3653" s="4">
        <v>1</v>
      </c>
    </row>
    <row r="3654" spans="1:12">
      <c r="A3654" t="s">
        <v>264</v>
      </c>
      <c r="B3654" s="10">
        <v>45419</v>
      </c>
      <c r="C3654" s="18">
        <f t="shared" si="57"/>
        <v>5</v>
      </c>
      <c r="D3654" t="s">
        <v>196</v>
      </c>
      <c r="E3654">
        <v>4872200</v>
      </c>
      <c r="F3654" t="s">
        <v>8</v>
      </c>
      <c r="G3654" t="s">
        <v>204</v>
      </c>
      <c r="H3654" t="s">
        <v>221</v>
      </c>
      <c r="I3654" s="4">
        <v>25253.800799999997</v>
      </c>
      <c r="J3654" s="4">
        <v>25253.800799999997</v>
      </c>
      <c r="K3654" s="4">
        <v>-1256.4080000000001</v>
      </c>
      <c r="L3654" s="4">
        <v>1</v>
      </c>
    </row>
    <row r="3655" spans="1:12">
      <c r="A3655" t="s">
        <v>264</v>
      </c>
      <c r="B3655" s="10">
        <v>45419</v>
      </c>
      <c r="C3655" s="18">
        <f t="shared" si="57"/>
        <v>5</v>
      </c>
      <c r="D3655" t="s">
        <v>196</v>
      </c>
      <c r="E3655">
        <v>4872200</v>
      </c>
      <c r="F3655" t="s">
        <v>8</v>
      </c>
      <c r="G3655" t="s">
        <v>204</v>
      </c>
      <c r="H3655" t="s">
        <v>220</v>
      </c>
      <c r="I3655" s="4">
        <v>37817.880799999999</v>
      </c>
      <c r="J3655" s="4">
        <v>37817.880799999999</v>
      </c>
      <c r="K3655" s="4">
        <v>-1884.6119999999999</v>
      </c>
      <c r="L3655" s="4">
        <v>1</v>
      </c>
    </row>
    <row r="3656" spans="1:12">
      <c r="A3656" t="s">
        <v>264</v>
      </c>
      <c r="B3656" s="10">
        <v>45420</v>
      </c>
      <c r="C3656" s="18">
        <f t="shared" si="57"/>
        <v>5</v>
      </c>
      <c r="D3656" t="s">
        <v>196</v>
      </c>
      <c r="E3656">
        <v>4873921</v>
      </c>
      <c r="F3656" t="s">
        <v>8</v>
      </c>
      <c r="G3656" t="s">
        <v>202</v>
      </c>
      <c r="H3656" t="s">
        <v>256</v>
      </c>
      <c r="I3656" s="4">
        <v>64202.448800000006</v>
      </c>
      <c r="J3656" s="4">
        <v>321012.24400000001</v>
      </c>
      <c r="K3656" s="4">
        <v>-16019.201999999999</v>
      </c>
      <c r="L3656" s="4">
        <v>5</v>
      </c>
    </row>
    <row r="3657" spans="1:12">
      <c r="A3657" t="s">
        <v>264</v>
      </c>
      <c r="B3657" s="10">
        <v>45420</v>
      </c>
      <c r="C3657" s="18">
        <f t="shared" si="57"/>
        <v>5</v>
      </c>
      <c r="D3657" t="s">
        <v>196</v>
      </c>
      <c r="E3657">
        <v>4872156</v>
      </c>
      <c r="F3657" t="s">
        <v>8</v>
      </c>
      <c r="G3657" t="s">
        <v>204</v>
      </c>
      <c r="H3657" t="s">
        <v>221</v>
      </c>
      <c r="I3657" s="4">
        <v>25253.800799999997</v>
      </c>
      <c r="J3657" s="4">
        <v>757614.02399999998</v>
      </c>
      <c r="K3657" s="4">
        <v>-37692.239999999998</v>
      </c>
      <c r="L3657" s="4">
        <v>30</v>
      </c>
    </row>
    <row r="3658" spans="1:12">
      <c r="A3658" t="s">
        <v>264</v>
      </c>
      <c r="B3658" s="10">
        <v>45420</v>
      </c>
      <c r="C3658" s="18">
        <f t="shared" si="57"/>
        <v>5</v>
      </c>
      <c r="D3658" t="s">
        <v>196</v>
      </c>
      <c r="E3658">
        <v>4877269</v>
      </c>
      <c r="F3658" t="s">
        <v>8</v>
      </c>
      <c r="G3658" t="s">
        <v>205</v>
      </c>
      <c r="H3658" t="s">
        <v>211</v>
      </c>
      <c r="I3658" s="4">
        <v>5151.2727999999997</v>
      </c>
      <c r="J3658" s="4">
        <v>103025.45599999999</v>
      </c>
      <c r="K3658" s="4">
        <v>-5025.6320000000005</v>
      </c>
      <c r="L3658" s="4">
        <v>20</v>
      </c>
    </row>
    <row r="3659" spans="1:12">
      <c r="A3659" t="s">
        <v>264</v>
      </c>
      <c r="B3659" s="10">
        <v>45420</v>
      </c>
      <c r="C3659" s="18">
        <f t="shared" si="57"/>
        <v>5</v>
      </c>
      <c r="D3659" t="s">
        <v>196</v>
      </c>
      <c r="E3659">
        <v>4878536</v>
      </c>
      <c r="F3659" t="s">
        <v>8</v>
      </c>
      <c r="G3659" t="s">
        <v>202</v>
      </c>
      <c r="H3659" t="s">
        <v>256</v>
      </c>
      <c r="I3659" s="4">
        <v>64202.448800000006</v>
      </c>
      <c r="J3659" s="4">
        <v>642024.48800000001</v>
      </c>
      <c r="K3659" s="4">
        <v>-32038.403999999999</v>
      </c>
      <c r="L3659" s="4">
        <v>10</v>
      </c>
    </row>
    <row r="3660" spans="1:12">
      <c r="A3660" t="s">
        <v>264</v>
      </c>
      <c r="B3660" s="10">
        <v>45420</v>
      </c>
      <c r="C3660" s="18">
        <f t="shared" si="57"/>
        <v>5</v>
      </c>
      <c r="D3660" t="s">
        <v>196</v>
      </c>
      <c r="E3660">
        <v>4874586</v>
      </c>
      <c r="F3660" t="s">
        <v>8</v>
      </c>
      <c r="G3660" t="s">
        <v>204</v>
      </c>
      <c r="H3660" t="s">
        <v>221</v>
      </c>
      <c r="I3660" s="4">
        <v>25253.800799999997</v>
      </c>
      <c r="J3660" s="4">
        <v>1262690.0399999998</v>
      </c>
      <c r="K3660" s="4">
        <v>-62820.4</v>
      </c>
      <c r="L3660" s="4">
        <v>50</v>
      </c>
    </row>
    <row r="3661" spans="1:12">
      <c r="A3661" t="s">
        <v>264</v>
      </c>
      <c r="B3661" s="10">
        <v>45420</v>
      </c>
      <c r="C3661" s="18">
        <f t="shared" si="57"/>
        <v>5</v>
      </c>
      <c r="D3661" t="s">
        <v>196</v>
      </c>
      <c r="E3661">
        <v>4874586</v>
      </c>
      <c r="F3661" t="s">
        <v>8</v>
      </c>
      <c r="G3661" t="s">
        <v>204</v>
      </c>
      <c r="H3661" t="s">
        <v>212</v>
      </c>
      <c r="I3661" s="4">
        <v>62946.040799999995</v>
      </c>
      <c r="J3661" s="4">
        <v>1888381.2239999999</v>
      </c>
      <c r="K3661" s="4">
        <v>-56538.36</v>
      </c>
      <c r="L3661" s="4">
        <v>30</v>
      </c>
    </row>
    <row r="3662" spans="1:12">
      <c r="A3662" t="s">
        <v>264</v>
      </c>
      <c r="B3662" s="10">
        <v>45420</v>
      </c>
      <c r="C3662" s="18">
        <f t="shared" si="57"/>
        <v>5</v>
      </c>
      <c r="D3662" t="s">
        <v>196</v>
      </c>
      <c r="E3662">
        <v>4873723</v>
      </c>
      <c r="F3662" t="s">
        <v>8</v>
      </c>
      <c r="G3662" t="s">
        <v>204</v>
      </c>
      <c r="H3662" t="s">
        <v>212</v>
      </c>
      <c r="I3662" s="4">
        <v>62946.040799999995</v>
      </c>
      <c r="J3662" s="4">
        <v>1258920.8159999999</v>
      </c>
      <c r="K3662" s="4">
        <v>-37692.239999999998</v>
      </c>
      <c r="L3662" s="4">
        <v>20</v>
      </c>
    </row>
    <row r="3663" spans="1:12">
      <c r="A3663" t="s">
        <v>264</v>
      </c>
      <c r="B3663" s="10">
        <v>45420</v>
      </c>
      <c r="C3663" s="18">
        <f t="shared" si="57"/>
        <v>5</v>
      </c>
      <c r="D3663" t="s">
        <v>196</v>
      </c>
      <c r="E3663">
        <v>4872203</v>
      </c>
      <c r="F3663" t="s">
        <v>8</v>
      </c>
      <c r="G3663" t="s">
        <v>204</v>
      </c>
      <c r="H3663" t="s">
        <v>214</v>
      </c>
      <c r="I3663" s="4">
        <v>119484.4008</v>
      </c>
      <c r="J3663" s="4">
        <v>5974220.04</v>
      </c>
      <c r="K3663" s="4">
        <v>-298396.90000000002</v>
      </c>
      <c r="L3663" s="4">
        <v>50</v>
      </c>
    </row>
    <row r="3664" spans="1:12">
      <c r="A3664" t="s">
        <v>264</v>
      </c>
      <c r="B3664" s="10">
        <v>45420</v>
      </c>
      <c r="C3664" s="18">
        <f t="shared" si="57"/>
        <v>5</v>
      </c>
      <c r="D3664" t="s">
        <v>196</v>
      </c>
      <c r="E3664">
        <v>4872141</v>
      </c>
      <c r="F3664" t="s">
        <v>8</v>
      </c>
      <c r="G3664" t="s">
        <v>203</v>
      </c>
      <c r="H3664" t="s">
        <v>242</v>
      </c>
      <c r="I3664" s="4">
        <v>100638.28079999999</v>
      </c>
      <c r="J3664" s="4">
        <v>1006382.808</v>
      </c>
      <c r="K3664" s="4">
        <v>-43346.076000000001</v>
      </c>
      <c r="L3664" s="4">
        <v>10</v>
      </c>
    </row>
    <row r="3665" spans="1:12">
      <c r="A3665" t="s">
        <v>264</v>
      </c>
      <c r="B3665" s="10">
        <v>45420</v>
      </c>
      <c r="C3665" s="18">
        <f t="shared" si="57"/>
        <v>5</v>
      </c>
      <c r="D3665" t="s">
        <v>196</v>
      </c>
      <c r="E3665">
        <v>4872141</v>
      </c>
      <c r="F3665" t="s">
        <v>8</v>
      </c>
      <c r="G3665" t="s">
        <v>203</v>
      </c>
      <c r="H3665" t="s">
        <v>230</v>
      </c>
      <c r="I3665" s="4">
        <v>100638.28079999999</v>
      </c>
      <c r="J3665" s="4">
        <v>2012765.6159999999</v>
      </c>
      <c r="K3665" s="4">
        <v>-86692.152000000002</v>
      </c>
      <c r="L3665" s="4">
        <v>20</v>
      </c>
    </row>
    <row r="3666" spans="1:12">
      <c r="A3666" t="s">
        <v>264</v>
      </c>
      <c r="B3666" s="10">
        <v>45420</v>
      </c>
      <c r="C3666" s="18">
        <f t="shared" si="57"/>
        <v>5</v>
      </c>
      <c r="D3666" t="s">
        <v>196</v>
      </c>
      <c r="E3666">
        <v>4872141</v>
      </c>
      <c r="F3666" t="s">
        <v>8</v>
      </c>
      <c r="G3666" t="s">
        <v>203</v>
      </c>
      <c r="H3666" t="s">
        <v>228</v>
      </c>
      <c r="I3666" s="4">
        <v>100638.28079999999</v>
      </c>
      <c r="J3666" s="4">
        <v>1006382.808</v>
      </c>
      <c r="K3666" s="4">
        <v>-43346.076000000001</v>
      </c>
      <c r="L3666" s="4">
        <v>10</v>
      </c>
    </row>
    <row r="3667" spans="1:12">
      <c r="A3667" t="s">
        <v>264</v>
      </c>
      <c r="B3667" s="10">
        <v>45420</v>
      </c>
      <c r="C3667" s="18">
        <f t="shared" si="57"/>
        <v>5</v>
      </c>
      <c r="D3667" t="s">
        <v>196</v>
      </c>
      <c r="E3667">
        <v>4872141</v>
      </c>
      <c r="F3667" t="s">
        <v>8</v>
      </c>
      <c r="G3667" t="s">
        <v>203</v>
      </c>
      <c r="H3667" t="s">
        <v>224</v>
      </c>
      <c r="I3667" s="4">
        <v>100638.28079999999</v>
      </c>
      <c r="J3667" s="4">
        <v>1006382.808</v>
      </c>
      <c r="K3667" s="4">
        <v>-43346.076000000001</v>
      </c>
      <c r="L3667" s="4">
        <v>10</v>
      </c>
    </row>
    <row r="3668" spans="1:12">
      <c r="A3668" t="s">
        <v>264</v>
      </c>
      <c r="B3668" s="10">
        <v>45420</v>
      </c>
      <c r="C3668" s="18">
        <f t="shared" si="57"/>
        <v>5</v>
      </c>
      <c r="D3668" t="s">
        <v>196</v>
      </c>
      <c r="E3668">
        <v>4872141</v>
      </c>
      <c r="F3668" t="s">
        <v>8</v>
      </c>
      <c r="G3668" t="s">
        <v>203</v>
      </c>
      <c r="H3668" t="s">
        <v>237</v>
      </c>
      <c r="I3668" s="4">
        <v>125766.4408</v>
      </c>
      <c r="J3668" s="4">
        <v>4024526.1055999999</v>
      </c>
      <c r="K3668" s="4">
        <v>-180922.75200000001</v>
      </c>
      <c r="L3668" s="4">
        <v>32</v>
      </c>
    </row>
    <row r="3669" spans="1:12">
      <c r="A3669" t="s">
        <v>264</v>
      </c>
      <c r="B3669" s="10">
        <v>45420</v>
      </c>
      <c r="C3669" s="18">
        <f t="shared" si="57"/>
        <v>5</v>
      </c>
      <c r="D3669" t="s">
        <v>196</v>
      </c>
      <c r="E3669">
        <v>4875779</v>
      </c>
      <c r="F3669" t="s">
        <v>8</v>
      </c>
      <c r="G3669" t="s">
        <v>204</v>
      </c>
      <c r="H3669" t="s">
        <v>216</v>
      </c>
      <c r="I3669" s="4">
        <v>113202.36079999999</v>
      </c>
      <c r="J3669" s="4">
        <v>566011.804</v>
      </c>
      <c r="K3669" s="4">
        <v>-28269.18</v>
      </c>
      <c r="L3669" s="4">
        <v>5</v>
      </c>
    </row>
    <row r="3670" spans="1:12">
      <c r="A3670" t="s">
        <v>264</v>
      </c>
      <c r="B3670" s="10">
        <v>45420</v>
      </c>
      <c r="C3670" s="18">
        <f t="shared" si="57"/>
        <v>5</v>
      </c>
      <c r="D3670" t="s">
        <v>196</v>
      </c>
      <c r="E3670">
        <v>4872210</v>
      </c>
      <c r="F3670" t="s">
        <v>8</v>
      </c>
      <c r="G3670" t="s">
        <v>203</v>
      </c>
      <c r="H3670" t="s">
        <v>230</v>
      </c>
      <c r="I3670" s="4">
        <v>100638.28079999999</v>
      </c>
      <c r="J3670" s="4">
        <v>2012765.6159999999</v>
      </c>
      <c r="K3670" s="4">
        <v>-86692.152000000002</v>
      </c>
      <c r="L3670" s="4">
        <v>20</v>
      </c>
    </row>
    <row r="3671" spans="1:12">
      <c r="A3671" t="s">
        <v>264</v>
      </c>
      <c r="B3671" s="10">
        <v>45420</v>
      </c>
      <c r="C3671" s="18">
        <f t="shared" si="57"/>
        <v>5</v>
      </c>
      <c r="D3671" t="s">
        <v>196</v>
      </c>
      <c r="E3671">
        <v>4872210</v>
      </c>
      <c r="F3671" t="s">
        <v>8</v>
      </c>
      <c r="G3671" t="s">
        <v>203</v>
      </c>
      <c r="H3671" t="s">
        <v>228</v>
      </c>
      <c r="I3671" s="4">
        <v>100638.28079999999</v>
      </c>
      <c r="J3671" s="4">
        <v>1006382.808</v>
      </c>
      <c r="K3671" s="4">
        <v>-43346.076000000001</v>
      </c>
      <c r="L3671" s="4">
        <v>10</v>
      </c>
    </row>
    <row r="3672" spans="1:12">
      <c r="A3672" t="s">
        <v>264</v>
      </c>
      <c r="B3672" s="10">
        <v>45421</v>
      </c>
      <c r="C3672" s="18">
        <f t="shared" si="57"/>
        <v>5</v>
      </c>
      <c r="D3672" t="s">
        <v>196</v>
      </c>
      <c r="E3672">
        <v>4871600</v>
      </c>
      <c r="F3672" t="s">
        <v>8</v>
      </c>
      <c r="G3672" t="s">
        <v>203</v>
      </c>
      <c r="H3672" t="s">
        <v>244</v>
      </c>
      <c r="I3672" s="4">
        <v>125766.4408</v>
      </c>
      <c r="J3672" s="4">
        <v>251532.88159999999</v>
      </c>
      <c r="K3672" s="4">
        <v>-11307.672</v>
      </c>
      <c r="L3672" s="4">
        <v>2</v>
      </c>
    </row>
    <row r="3673" spans="1:12">
      <c r="A3673" t="s">
        <v>264</v>
      </c>
      <c r="B3673" s="10">
        <v>45421</v>
      </c>
      <c r="C3673" s="18">
        <f t="shared" si="57"/>
        <v>5</v>
      </c>
      <c r="D3673" t="s">
        <v>196</v>
      </c>
      <c r="E3673">
        <v>4871600</v>
      </c>
      <c r="F3673" t="s">
        <v>8</v>
      </c>
      <c r="G3673" t="s">
        <v>203</v>
      </c>
      <c r="H3673" t="s">
        <v>237</v>
      </c>
      <c r="I3673" s="4">
        <v>125766.4408</v>
      </c>
      <c r="J3673" s="4">
        <v>251532.88159999999</v>
      </c>
      <c r="K3673" s="4">
        <v>-11307.672</v>
      </c>
      <c r="L3673" s="4">
        <v>2</v>
      </c>
    </row>
    <row r="3674" spans="1:12">
      <c r="A3674" t="s">
        <v>264</v>
      </c>
      <c r="B3674" s="10">
        <v>45421</v>
      </c>
      <c r="C3674" s="18">
        <f t="shared" si="57"/>
        <v>5</v>
      </c>
      <c r="D3674" t="s">
        <v>196</v>
      </c>
      <c r="E3674">
        <v>4871600</v>
      </c>
      <c r="F3674" t="s">
        <v>8</v>
      </c>
      <c r="G3674" t="s">
        <v>203</v>
      </c>
      <c r="H3674" t="s">
        <v>235</v>
      </c>
      <c r="I3674" s="4">
        <v>125766.4408</v>
      </c>
      <c r="J3674" s="4">
        <v>-251532.88159999999</v>
      </c>
      <c r="K3674" s="4">
        <v>11307.672</v>
      </c>
      <c r="L3674" s="4">
        <v>-2</v>
      </c>
    </row>
    <row r="3675" spans="1:12">
      <c r="A3675" t="s">
        <v>264</v>
      </c>
      <c r="B3675" s="10">
        <v>45421</v>
      </c>
      <c r="C3675" s="18">
        <f t="shared" si="57"/>
        <v>5</v>
      </c>
      <c r="D3675" t="s">
        <v>196</v>
      </c>
      <c r="E3675">
        <v>4871600</v>
      </c>
      <c r="F3675" t="s">
        <v>8</v>
      </c>
      <c r="G3675" t="s">
        <v>204</v>
      </c>
      <c r="H3675" t="s">
        <v>221</v>
      </c>
      <c r="I3675" s="4">
        <v>25253.800799999997</v>
      </c>
      <c r="J3675" s="4">
        <v>50507.601599999995</v>
      </c>
      <c r="K3675" s="4">
        <v>-2512.8160000000003</v>
      </c>
      <c r="L3675" s="4">
        <v>2</v>
      </c>
    </row>
    <row r="3676" spans="1:12">
      <c r="A3676" t="s">
        <v>264</v>
      </c>
      <c r="B3676" s="10">
        <v>45421</v>
      </c>
      <c r="C3676" s="18">
        <f t="shared" si="57"/>
        <v>5</v>
      </c>
      <c r="D3676" t="s">
        <v>196</v>
      </c>
      <c r="E3676">
        <v>4871600</v>
      </c>
      <c r="F3676" t="s">
        <v>8</v>
      </c>
      <c r="G3676" t="s">
        <v>206</v>
      </c>
      <c r="H3676" t="s">
        <v>249</v>
      </c>
      <c r="I3676" s="4">
        <v>17715.352800000001</v>
      </c>
      <c r="J3676" s="4">
        <v>3543070.56</v>
      </c>
      <c r="K3676" s="4">
        <v>-351794.24</v>
      </c>
      <c r="L3676" s="4">
        <v>200</v>
      </c>
    </row>
    <row r="3677" spans="1:12">
      <c r="A3677" t="s">
        <v>264</v>
      </c>
      <c r="B3677" s="10">
        <v>45421</v>
      </c>
      <c r="C3677" s="18">
        <f t="shared" si="57"/>
        <v>5</v>
      </c>
      <c r="D3677" t="s">
        <v>196</v>
      </c>
      <c r="E3677">
        <v>4871600</v>
      </c>
      <c r="F3677" t="s">
        <v>8</v>
      </c>
      <c r="G3677" t="s">
        <v>206</v>
      </c>
      <c r="H3677" t="s">
        <v>209</v>
      </c>
      <c r="I3677" s="4">
        <v>17715.352800000001</v>
      </c>
      <c r="J3677" s="4">
        <v>3543070.56</v>
      </c>
      <c r="K3677" s="4">
        <v>-351794.24</v>
      </c>
      <c r="L3677" s="4">
        <v>200</v>
      </c>
    </row>
    <row r="3678" spans="1:12">
      <c r="A3678" t="s">
        <v>264</v>
      </c>
      <c r="B3678" s="10">
        <v>45421</v>
      </c>
      <c r="C3678" s="18">
        <f t="shared" si="57"/>
        <v>5</v>
      </c>
      <c r="D3678" t="s">
        <v>196</v>
      </c>
      <c r="E3678">
        <v>4871600</v>
      </c>
      <c r="F3678" t="s">
        <v>8</v>
      </c>
      <c r="G3678" t="s">
        <v>206</v>
      </c>
      <c r="H3678" t="s">
        <v>252</v>
      </c>
      <c r="I3678" s="4">
        <v>20102.528000000002</v>
      </c>
      <c r="J3678" s="4">
        <v>2010252.8000000003</v>
      </c>
      <c r="K3678" s="4">
        <v>-201025.28</v>
      </c>
      <c r="L3678" s="4">
        <v>100</v>
      </c>
    </row>
    <row r="3679" spans="1:12">
      <c r="A3679" t="s">
        <v>264</v>
      </c>
      <c r="B3679" s="10">
        <v>45421</v>
      </c>
      <c r="C3679" s="18">
        <f t="shared" si="57"/>
        <v>5</v>
      </c>
      <c r="D3679" t="s">
        <v>196</v>
      </c>
      <c r="E3679">
        <v>4871600</v>
      </c>
      <c r="F3679" t="s">
        <v>8</v>
      </c>
      <c r="G3679" t="s">
        <v>206</v>
      </c>
      <c r="H3679" t="s">
        <v>251</v>
      </c>
      <c r="I3679" s="4">
        <v>19223.042399999998</v>
      </c>
      <c r="J3679" s="4">
        <v>1922304.2399999998</v>
      </c>
      <c r="K3679" s="4">
        <v>-201025.28</v>
      </c>
      <c r="L3679" s="4">
        <v>100</v>
      </c>
    </row>
    <row r="3680" spans="1:12">
      <c r="A3680" t="s">
        <v>264</v>
      </c>
      <c r="B3680" s="10">
        <v>45421</v>
      </c>
      <c r="C3680" s="18">
        <f t="shared" si="57"/>
        <v>5</v>
      </c>
      <c r="D3680" t="s">
        <v>196</v>
      </c>
      <c r="E3680">
        <v>4878874</v>
      </c>
      <c r="F3680" t="s">
        <v>8</v>
      </c>
      <c r="G3680" t="s">
        <v>206</v>
      </c>
      <c r="H3680" t="s">
        <v>249</v>
      </c>
      <c r="I3680" s="4">
        <v>17715.352800000001</v>
      </c>
      <c r="J3680" s="4">
        <v>1771535.28</v>
      </c>
      <c r="K3680" s="4">
        <v>-175897.12</v>
      </c>
      <c r="L3680" s="4">
        <v>100</v>
      </c>
    </row>
    <row r="3681" spans="1:12">
      <c r="A3681" t="s">
        <v>264</v>
      </c>
      <c r="B3681" s="10">
        <v>45421</v>
      </c>
      <c r="C3681" s="18">
        <f t="shared" si="57"/>
        <v>5</v>
      </c>
      <c r="D3681" t="s">
        <v>196</v>
      </c>
      <c r="E3681">
        <v>4878874</v>
      </c>
      <c r="F3681" t="s">
        <v>8</v>
      </c>
      <c r="G3681" t="s">
        <v>206</v>
      </c>
      <c r="H3681" t="s">
        <v>209</v>
      </c>
      <c r="I3681" s="4">
        <v>17715.352800000001</v>
      </c>
      <c r="J3681" s="4">
        <v>1771535.28</v>
      </c>
      <c r="K3681" s="4">
        <v>-175897.12</v>
      </c>
      <c r="L3681" s="4">
        <v>100</v>
      </c>
    </row>
    <row r="3682" spans="1:12">
      <c r="A3682" t="s">
        <v>264</v>
      </c>
      <c r="B3682" s="10">
        <v>45421</v>
      </c>
      <c r="C3682" s="18">
        <f t="shared" si="57"/>
        <v>5</v>
      </c>
      <c r="D3682" t="s">
        <v>196</v>
      </c>
      <c r="E3682">
        <v>4872571</v>
      </c>
      <c r="F3682" t="s">
        <v>8</v>
      </c>
      <c r="G3682" t="s">
        <v>204</v>
      </c>
      <c r="H3682" t="s">
        <v>220</v>
      </c>
      <c r="I3682" s="4">
        <v>37817.880799999999</v>
      </c>
      <c r="J3682" s="4">
        <v>756357.61599999992</v>
      </c>
      <c r="K3682" s="4">
        <v>-37692.239999999998</v>
      </c>
      <c r="L3682" s="4">
        <v>20</v>
      </c>
    </row>
    <row r="3683" spans="1:12">
      <c r="A3683" t="s">
        <v>264</v>
      </c>
      <c r="B3683" s="10">
        <v>45421</v>
      </c>
      <c r="C3683" s="18">
        <f t="shared" si="57"/>
        <v>5</v>
      </c>
      <c r="D3683" t="s">
        <v>196</v>
      </c>
      <c r="E3683">
        <v>4877269</v>
      </c>
      <c r="F3683" t="s">
        <v>8</v>
      </c>
      <c r="G3683" t="s">
        <v>202</v>
      </c>
      <c r="H3683" t="s">
        <v>255</v>
      </c>
      <c r="I3683" s="4">
        <v>72489.71596799999</v>
      </c>
      <c r="J3683" s="4">
        <v>217469.14790399995</v>
      </c>
      <c r="K3683" s="4">
        <v>-11307.672</v>
      </c>
      <c r="L3683" s="4">
        <v>3</v>
      </c>
    </row>
    <row r="3684" spans="1:12">
      <c r="A3684" t="s">
        <v>264</v>
      </c>
      <c r="B3684" s="10">
        <v>45421</v>
      </c>
      <c r="C3684" s="18">
        <f t="shared" si="57"/>
        <v>5</v>
      </c>
      <c r="D3684" t="s">
        <v>196</v>
      </c>
      <c r="E3684">
        <v>4877269</v>
      </c>
      <c r="F3684" t="s">
        <v>8</v>
      </c>
      <c r="G3684" t="s">
        <v>206</v>
      </c>
      <c r="H3684" t="s">
        <v>249</v>
      </c>
      <c r="I3684" s="4">
        <v>17715.352800000001</v>
      </c>
      <c r="J3684" s="4">
        <v>1771535.28</v>
      </c>
      <c r="K3684" s="4">
        <v>-175897.12</v>
      </c>
      <c r="L3684" s="4">
        <v>100</v>
      </c>
    </row>
    <row r="3685" spans="1:12">
      <c r="A3685" t="s">
        <v>264</v>
      </c>
      <c r="B3685" s="10">
        <v>45421</v>
      </c>
      <c r="C3685" s="18">
        <f t="shared" si="57"/>
        <v>5</v>
      </c>
      <c r="D3685" t="s">
        <v>196</v>
      </c>
      <c r="E3685">
        <v>4877269</v>
      </c>
      <c r="F3685" t="s">
        <v>8</v>
      </c>
      <c r="G3685" t="s">
        <v>206</v>
      </c>
      <c r="H3685" t="s">
        <v>209</v>
      </c>
      <c r="I3685" s="4">
        <v>17715.352800000001</v>
      </c>
      <c r="J3685" s="4">
        <v>1771535.28</v>
      </c>
      <c r="K3685" s="4">
        <v>-175897.12</v>
      </c>
      <c r="L3685" s="4">
        <v>100</v>
      </c>
    </row>
    <row r="3686" spans="1:12">
      <c r="A3686" t="s">
        <v>264</v>
      </c>
      <c r="B3686" s="10">
        <v>45421</v>
      </c>
      <c r="C3686" s="18">
        <f t="shared" si="57"/>
        <v>5</v>
      </c>
      <c r="D3686" t="s">
        <v>196</v>
      </c>
      <c r="E3686">
        <v>4878748</v>
      </c>
      <c r="F3686" t="s">
        <v>8</v>
      </c>
      <c r="G3686" t="s">
        <v>204</v>
      </c>
      <c r="H3686" t="s">
        <v>212</v>
      </c>
      <c r="I3686" s="4">
        <v>62946.040799999995</v>
      </c>
      <c r="J3686" s="4">
        <v>1888381.2239999999</v>
      </c>
      <c r="K3686" s="4">
        <v>-56538.36</v>
      </c>
      <c r="L3686" s="4">
        <v>30</v>
      </c>
    </row>
    <row r="3687" spans="1:12">
      <c r="A3687" t="s">
        <v>264</v>
      </c>
      <c r="B3687" s="10">
        <v>45421</v>
      </c>
      <c r="C3687" s="18">
        <f t="shared" si="57"/>
        <v>5</v>
      </c>
      <c r="D3687" t="s">
        <v>196</v>
      </c>
      <c r="E3687">
        <v>4872163</v>
      </c>
      <c r="F3687" t="s">
        <v>8</v>
      </c>
      <c r="G3687" t="s">
        <v>203</v>
      </c>
      <c r="H3687" t="s">
        <v>244</v>
      </c>
      <c r="I3687" s="4">
        <v>125766.4408</v>
      </c>
      <c r="J3687" s="4">
        <v>-251532.88159999999</v>
      </c>
      <c r="K3687" s="4">
        <v>11307.672</v>
      </c>
      <c r="L3687" s="4">
        <v>-2</v>
      </c>
    </row>
    <row r="3688" spans="1:12">
      <c r="A3688" t="s">
        <v>264</v>
      </c>
      <c r="B3688" s="10">
        <v>45421</v>
      </c>
      <c r="C3688" s="18">
        <f t="shared" si="57"/>
        <v>5</v>
      </c>
      <c r="D3688" t="s">
        <v>196</v>
      </c>
      <c r="E3688">
        <v>4872141</v>
      </c>
      <c r="F3688" t="s">
        <v>8</v>
      </c>
      <c r="G3688" t="s">
        <v>203</v>
      </c>
      <c r="H3688" t="s">
        <v>237</v>
      </c>
      <c r="I3688" s="4">
        <v>125766.4408</v>
      </c>
      <c r="J3688" s="4">
        <v>-251532.88159999999</v>
      </c>
      <c r="K3688" s="4">
        <v>11307.672</v>
      </c>
      <c r="L3688" s="4">
        <v>-2</v>
      </c>
    </row>
    <row r="3689" spans="1:12">
      <c r="A3689" t="s">
        <v>264</v>
      </c>
      <c r="B3689" s="10">
        <v>45421</v>
      </c>
      <c r="C3689" s="18">
        <f t="shared" si="57"/>
        <v>5</v>
      </c>
      <c r="D3689" t="s">
        <v>196</v>
      </c>
      <c r="E3689">
        <v>4872218</v>
      </c>
      <c r="F3689" t="s">
        <v>8</v>
      </c>
      <c r="G3689" t="s">
        <v>204</v>
      </c>
      <c r="H3689" t="s">
        <v>212</v>
      </c>
      <c r="I3689" s="4">
        <v>62946.040799999995</v>
      </c>
      <c r="J3689" s="4">
        <v>62946.040799999995</v>
      </c>
      <c r="K3689" s="4">
        <v>-1884.6119999999999</v>
      </c>
      <c r="L3689" s="4">
        <v>1</v>
      </c>
    </row>
    <row r="3690" spans="1:12">
      <c r="A3690" t="s">
        <v>264</v>
      </c>
      <c r="B3690" s="10">
        <v>45421</v>
      </c>
      <c r="C3690" s="18">
        <f t="shared" si="57"/>
        <v>5</v>
      </c>
      <c r="D3690" t="s">
        <v>196</v>
      </c>
      <c r="E3690">
        <v>4877306</v>
      </c>
      <c r="F3690" t="s">
        <v>8</v>
      </c>
      <c r="G3690" t="s">
        <v>203</v>
      </c>
      <c r="H3690" t="s">
        <v>234</v>
      </c>
      <c r="I3690" s="4">
        <v>100638.28079999999</v>
      </c>
      <c r="J3690" s="4">
        <v>201276.56159999999</v>
      </c>
      <c r="K3690" s="4">
        <v>-8669.2151999999987</v>
      </c>
      <c r="L3690" s="4">
        <v>2</v>
      </c>
    </row>
    <row r="3691" spans="1:12">
      <c r="A3691" t="s">
        <v>264</v>
      </c>
      <c r="B3691" s="10">
        <v>45421</v>
      </c>
      <c r="C3691" s="18">
        <f t="shared" si="57"/>
        <v>5</v>
      </c>
      <c r="D3691" t="s">
        <v>196</v>
      </c>
      <c r="E3691">
        <v>4877306</v>
      </c>
      <c r="F3691" t="s">
        <v>8</v>
      </c>
      <c r="G3691" t="s">
        <v>203</v>
      </c>
      <c r="H3691" t="s">
        <v>228</v>
      </c>
      <c r="I3691" s="4">
        <v>100638.28079999999</v>
      </c>
      <c r="J3691" s="4">
        <v>201276.56159999999</v>
      </c>
      <c r="K3691" s="4">
        <v>-8669.2151999999987</v>
      </c>
      <c r="L3691" s="4">
        <v>2</v>
      </c>
    </row>
    <row r="3692" spans="1:12">
      <c r="A3692" t="s">
        <v>264</v>
      </c>
      <c r="B3692" s="10">
        <v>45422</v>
      </c>
      <c r="C3692" s="18">
        <f t="shared" si="57"/>
        <v>5</v>
      </c>
      <c r="D3692" t="s">
        <v>196</v>
      </c>
      <c r="E3692">
        <v>4871661</v>
      </c>
      <c r="F3692" t="s">
        <v>8</v>
      </c>
      <c r="G3692" t="s">
        <v>204</v>
      </c>
      <c r="H3692" t="s">
        <v>217</v>
      </c>
      <c r="I3692" s="4">
        <v>78022.936799999996</v>
      </c>
      <c r="J3692" s="4">
        <v>-234068.81039999999</v>
      </c>
      <c r="K3692" s="4">
        <v>10742.288399999999</v>
      </c>
      <c r="L3692" s="4">
        <v>-3</v>
      </c>
    </row>
    <row r="3693" spans="1:12">
      <c r="A3693" t="s">
        <v>264</v>
      </c>
      <c r="B3693" s="10">
        <v>45422</v>
      </c>
      <c r="C3693" s="18">
        <f t="shared" si="57"/>
        <v>5</v>
      </c>
      <c r="D3693" t="s">
        <v>196</v>
      </c>
      <c r="E3693">
        <v>4872571</v>
      </c>
      <c r="F3693" t="s">
        <v>8</v>
      </c>
      <c r="G3693" t="s">
        <v>203</v>
      </c>
      <c r="H3693" t="s">
        <v>242</v>
      </c>
      <c r="I3693" s="4">
        <v>100638.28079999999</v>
      </c>
      <c r="J3693" s="4">
        <v>1006382.808</v>
      </c>
      <c r="K3693" s="4">
        <v>-43346.076000000001</v>
      </c>
      <c r="L3693" s="4">
        <v>10</v>
      </c>
    </row>
    <row r="3694" spans="1:12">
      <c r="A3694" t="s">
        <v>264</v>
      </c>
      <c r="B3694" s="10">
        <v>45422</v>
      </c>
      <c r="C3694" s="18">
        <f t="shared" si="57"/>
        <v>5</v>
      </c>
      <c r="D3694" t="s">
        <v>196</v>
      </c>
      <c r="E3694">
        <v>4872571</v>
      </c>
      <c r="F3694" t="s">
        <v>8</v>
      </c>
      <c r="G3694" t="s">
        <v>203</v>
      </c>
      <c r="H3694" t="s">
        <v>222</v>
      </c>
      <c r="I3694" s="4">
        <v>100638.28079999999</v>
      </c>
      <c r="J3694" s="4">
        <v>1006382.808</v>
      </c>
      <c r="K3694" s="4">
        <v>-43346.076000000001</v>
      </c>
      <c r="L3694" s="4">
        <v>10</v>
      </c>
    </row>
    <row r="3695" spans="1:12">
      <c r="A3695" t="s">
        <v>264</v>
      </c>
      <c r="B3695" s="10">
        <v>45422</v>
      </c>
      <c r="C3695" s="18">
        <f t="shared" si="57"/>
        <v>5</v>
      </c>
      <c r="D3695" t="s">
        <v>196</v>
      </c>
      <c r="E3695">
        <v>4871657</v>
      </c>
      <c r="F3695" t="s">
        <v>8</v>
      </c>
      <c r="G3695" t="s">
        <v>203</v>
      </c>
      <c r="H3695" t="s">
        <v>245</v>
      </c>
      <c r="I3695" s="4">
        <v>100638.28079999999</v>
      </c>
      <c r="J3695" s="4">
        <v>402553.12319999997</v>
      </c>
      <c r="K3695" s="4">
        <v>-17338.430399999997</v>
      </c>
      <c r="L3695" s="4">
        <v>4</v>
      </c>
    </row>
    <row r="3696" spans="1:12">
      <c r="A3696" t="s">
        <v>264</v>
      </c>
      <c r="B3696" s="10">
        <v>45422</v>
      </c>
      <c r="C3696" s="18">
        <f t="shared" si="57"/>
        <v>5</v>
      </c>
      <c r="D3696" t="s">
        <v>196</v>
      </c>
      <c r="E3696">
        <v>4871657</v>
      </c>
      <c r="F3696" t="s">
        <v>8</v>
      </c>
      <c r="G3696" t="s">
        <v>203</v>
      </c>
      <c r="H3696" t="s">
        <v>242</v>
      </c>
      <c r="I3696" s="4">
        <v>100638.28079999999</v>
      </c>
      <c r="J3696" s="4">
        <v>402553.12319999997</v>
      </c>
      <c r="K3696" s="4">
        <v>-17338.430399999997</v>
      </c>
      <c r="L3696" s="4">
        <v>4</v>
      </c>
    </row>
    <row r="3697" spans="1:12">
      <c r="A3697" t="s">
        <v>264</v>
      </c>
      <c r="B3697" s="10">
        <v>45422</v>
      </c>
      <c r="C3697" s="18">
        <f t="shared" si="57"/>
        <v>5</v>
      </c>
      <c r="D3697" t="s">
        <v>196</v>
      </c>
      <c r="E3697">
        <v>4871657</v>
      </c>
      <c r="F3697" t="s">
        <v>8</v>
      </c>
      <c r="G3697" t="s">
        <v>203</v>
      </c>
      <c r="H3697" t="s">
        <v>234</v>
      </c>
      <c r="I3697" s="4">
        <v>100638.28079999999</v>
      </c>
      <c r="J3697" s="4">
        <v>402553.12319999997</v>
      </c>
      <c r="K3697" s="4">
        <v>-17338.430399999997</v>
      </c>
      <c r="L3697" s="4">
        <v>4</v>
      </c>
    </row>
    <row r="3698" spans="1:12">
      <c r="A3698" t="s">
        <v>264</v>
      </c>
      <c r="B3698" s="10">
        <v>45422</v>
      </c>
      <c r="C3698" s="18">
        <f t="shared" si="57"/>
        <v>5</v>
      </c>
      <c r="D3698" t="s">
        <v>196</v>
      </c>
      <c r="E3698">
        <v>4871657</v>
      </c>
      <c r="F3698" t="s">
        <v>8</v>
      </c>
      <c r="G3698" t="s">
        <v>203</v>
      </c>
      <c r="H3698" t="s">
        <v>232</v>
      </c>
      <c r="I3698" s="4">
        <v>100638.28079999999</v>
      </c>
      <c r="J3698" s="4">
        <v>402553.12319999997</v>
      </c>
      <c r="K3698" s="4">
        <v>-17338.430399999997</v>
      </c>
      <c r="L3698" s="4">
        <v>4</v>
      </c>
    </row>
    <row r="3699" spans="1:12">
      <c r="A3699" t="s">
        <v>264</v>
      </c>
      <c r="B3699" s="10">
        <v>45422</v>
      </c>
      <c r="C3699" s="18">
        <f t="shared" si="57"/>
        <v>5</v>
      </c>
      <c r="D3699" t="s">
        <v>196</v>
      </c>
      <c r="E3699">
        <v>4875440</v>
      </c>
      <c r="F3699" t="s">
        <v>8</v>
      </c>
      <c r="G3699" t="s">
        <v>204</v>
      </c>
      <c r="H3699" t="s">
        <v>219</v>
      </c>
      <c r="I3699" s="4">
        <v>44099.9208</v>
      </c>
      <c r="J3699" s="4">
        <v>-88199.8416</v>
      </c>
      <c r="K3699" s="4">
        <v>3769.2239999999997</v>
      </c>
      <c r="L3699" s="4">
        <v>-2</v>
      </c>
    </row>
    <row r="3700" spans="1:12">
      <c r="A3700" t="s">
        <v>264</v>
      </c>
      <c r="B3700" s="10">
        <v>45422</v>
      </c>
      <c r="C3700" s="18">
        <f t="shared" si="57"/>
        <v>5</v>
      </c>
      <c r="D3700" t="s">
        <v>196</v>
      </c>
      <c r="E3700">
        <v>4875440</v>
      </c>
      <c r="F3700" t="s">
        <v>8</v>
      </c>
      <c r="G3700" t="s">
        <v>204</v>
      </c>
      <c r="H3700" t="s">
        <v>221</v>
      </c>
      <c r="I3700" s="4">
        <v>25253.800799999997</v>
      </c>
      <c r="J3700" s="4">
        <v>252538.00799999997</v>
      </c>
      <c r="K3700" s="4">
        <v>-12564.08</v>
      </c>
      <c r="L3700" s="4">
        <v>10</v>
      </c>
    </row>
    <row r="3701" spans="1:12">
      <c r="A3701" t="s">
        <v>264</v>
      </c>
      <c r="B3701" s="10">
        <v>45422</v>
      </c>
      <c r="C3701" s="18">
        <f t="shared" si="57"/>
        <v>5</v>
      </c>
      <c r="D3701" t="s">
        <v>196</v>
      </c>
      <c r="E3701">
        <v>4875440</v>
      </c>
      <c r="F3701" t="s">
        <v>8</v>
      </c>
      <c r="G3701" t="s">
        <v>202</v>
      </c>
      <c r="H3701" t="s">
        <v>256</v>
      </c>
      <c r="I3701" s="4">
        <v>64202.448800000006</v>
      </c>
      <c r="J3701" s="4">
        <v>1284048.976</v>
      </c>
      <c r="K3701" s="4">
        <v>-64076.807999999997</v>
      </c>
      <c r="L3701" s="4">
        <v>20</v>
      </c>
    </row>
    <row r="3702" spans="1:12">
      <c r="A3702" t="s">
        <v>264</v>
      </c>
      <c r="B3702" s="10">
        <v>45422</v>
      </c>
      <c r="C3702" s="18">
        <f t="shared" si="57"/>
        <v>5</v>
      </c>
      <c r="D3702" t="s">
        <v>196</v>
      </c>
      <c r="E3702">
        <v>4872203</v>
      </c>
      <c r="F3702" t="s">
        <v>8</v>
      </c>
      <c r="G3702" t="s">
        <v>203</v>
      </c>
      <c r="H3702" t="s">
        <v>230</v>
      </c>
      <c r="I3702" s="4">
        <v>100638.28079999999</v>
      </c>
      <c r="J3702" s="4">
        <v>201276.56159999999</v>
      </c>
      <c r="K3702" s="4">
        <v>-8669.2151999999987</v>
      </c>
      <c r="L3702" s="4">
        <v>2</v>
      </c>
    </row>
    <row r="3703" spans="1:12">
      <c r="A3703" t="s">
        <v>264</v>
      </c>
      <c r="B3703" s="10">
        <v>45422</v>
      </c>
      <c r="C3703" s="18">
        <f t="shared" si="57"/>
        <v>5</v>
      </c>
      <c r="D3703" t="s">
        <v>196</v>
      </c>
      <c r="E3703">
        <v>4872203</v>
      </c>
      <c r="F3703" t="s">
        <v>8</v>
      </c>
      <c r="G3703" t="s">
        <v>203</v>
      </c>
      <c r="H3703" t="s">
        <v>228</v>
      </c>
      <c r="I3703" s="4">
        <v>100638.28079999999</v>
      </c>
      <c r="J3703" s="4">
        <v>3421701.5471999999</v>
      </c>
      <c r="K3703" s="4">
        <v>-147376.65840000001</v>
      </c>
      <c r="L3703" s="4">
        <v>34</v>
      </c>
    </row>
    <row r="3704" spans="1:12">
      <c r="A3704" t="s">
        <v>264</v>
      </c>
      <c r="B3704" s="10">
        <v>45422</v>
      </c>
      <c r="C3704" s="18">
        <f t="shared" si="57"/>
        <v>5</v>
      </c>
      <c r="D3704" t="s">
        <v>196</v>
      </c>
      <c r="E3704">
        <v>4872203</v>
      </c>
      <c r="F3704" t="s">
        <v>8</v>
      </c>
      <c r="G3704" t="s">
        <v>203</v>
      </c>
      <c r="H3704" t="s">
        <v>224</v>
      </c>
      <c r="I3704" s="4">
        <v>100638.28079999999</v>
      </c>
      <c r="J3704" s="4">
        <v>2012765.6159999999</v>
      </c>
      <c r="K3704" s="4">
        <v>-86692.152000000002</v>
      </c>
      <c r="L3704" s="4">
        <v>20</v>
      </c>
    </row>
    <row r="3705" spans="1:12">
      <c r="A3705" t="s">
        <v>264</v>
      </c>
      <c r="B3705" s="10">
        <v>45422</v>
      </c>
      <c r="C3705" s="18">
        <f t="shared" si="57"/>
        <v>5</v>
      </c>
      <c r="D3705" t="s">
        <v>196</v>
      </c>
      <c r="E3705">
        <v>4872203</v>
      </c>
      <c r="F3705" t="s">
        <v>8</v>
      </c>
      <c r="G3705" t="s">
        <v>203</v>
      </c>
      <c r="H3705" t="s">
        <v>222</v>
      </c>
      <c r="I3705" s="4">
        <v>100638.28079999999</v>
      </c>
      <c r="J3705" s="4">
        <v>5031914.04</v>
      </c>
      <c r="K3705" s="4">
        <v>-216730.38</v>
      </c>
      <c r="L3705" s="4">
        <v>50</v>
      </c>
    </row>
    <row r="3706" spans="1:12">
      <c r="A3706" t="s">
        <v>264</v>
      </c>
      <c r="B3706" s="10">
        <v>45422</v>
      </c>
      <c r="C3706" s="18">
        <f t="shared" si="57"/>
        <v>5</v>
      </c>
      <c r="D3706" t="s">
        <v>196</v>
      </c>
      <c r="E3706">
        <v>4872203</v>
      </c>
      <c r="F3706" t="s">
        <v>8</v>
      </c>
      <c r="G3706" t="s">
        <v>203</v>
      </c>
      <c r="H3706" t="s">
        <v>235</v>
      </c>
      <c r="I3706" s="4">
        <v>125766.4408</v>
      </c>
      <c r="J3706" s="4">
        <v>251532.88159999999</v>
      </c>
      <c r="K3706" s="4">
        <v>-11307.672</v>
      </c>
      <c r="L3706" s="4">
        <v>2</v>
      </c>
    </row>
    <row r="3707" spans="1:12">
      <c r="A3707" t="s">
        <v>264</v>
      </c>
      <c r="B3707" s="10">
        <v>45422</v>
      </c>
      <c r="C3707" s="18">
        <f t="shared" si="57"/>
        <v>5</v>
      </c>
      <c r="D3707" t="s">
        <v>196</v>
      </c>
      <c r="E3707">
        <v>4872203</v>
      </c>
      <c r="F3707" t="s">
        <v>8</v>
      </c>
      <c r="G3707" t="s">
        <v>203</v>
      </c>
      <c r="H3707" t="s">
        <v>231</v>
      </c>
      <c r="I3707" s="4">
        <v>125766.4408</v>
      </c>
      <c r="J3707" s="4">
        <v>880365.08559999999</v>
      </c>
      <c r="K3707" s="4">
        <v>-39576.851999999999</v>
      </c>
      <c r="L3707" s="4">
        <v>7</v>
      </c>
    </row>
    <row r="3708" spans="1:12">
      <c r="A3708" t="s">
        <v>264</v>
      </c>
      <c r="B3708" s="10">
        <v>45422</v>
      </c>
      <c r="C3708" s="18">
        <f t="shared" si="57"/>
        <v>5</v>
      </c>
      <c r="D3708" t="s">
        <v>196</v>
      </c>
      <c r="E3708">
        <v>4872200</v>
      </c>
      <c r="F3708" t="s">
        <v>8</v>
      </c>
      <c r="G3708" t="s">
        <v>204</v>
      </c>
      <c r="H3708" t="s">
        <v>219</v>
      </c>
      <c r="I3708" s="4">
        <v>44099.9208</v>
      </c>
      <c r="J3708" s="4">
        <v>-44099.9208</v>
      </c>
      <c r="K3708" s="4">
        <v>1884.6119999999999</v>
      </c>
      <c r="L3708" s="4">
        <v>-1</v>
      </c>
    </row>
    <row r="3709" spans="1:12">
      <c r="A3709" t="s">
        <v>264</v>
      </c>
      <c r="B3709" s="10">
        <v>45423</v>
      </c>
      <c r="C3709" s="18">
        <f t="shared" si="57"/>
        <v>5</v>
      </c>
      <c r="D3709" t="s">
        <v>196</v>
      </c>
      <c r="E3709">
        <v>4871657</v>
      </c>
      <c r="F3709" t="s">
        <v>8</v>
      </c>
      <c r="G3709" t="s">
        <v>203</v>
      </c>
      <c r="H3709" t="s">
        <v>234</v>
      </c>
      <c r="I3709" s="4">
        <v>100638.28079999999</v>
      </c>
      <c r="J3709" s="4">
        <v>201276.56159999999</v>
      </c>
      <c r="K3709" s="4">
        <v>-8669.2151999999987</v>
      </c>
      <c r="L3709" s="4">
        <v>2</v>
      </c>
    </row>
    <row r="3710" spans="1:12">
      <c r="A3710" t="s">
        <v>264</v>
      </c>
      <c r="B3710" s="10">
        <v>45423</v>
      </c>
      <c r="C3710" s="18">
        <f t="shared" si="57"/>
        <v>5</v>
      </c>
      <c r="D3710" t="s">
        <v>196</v>
      </c>
      <c r="E3710">
        <v>4872163</v>
      </c>
      <c r="F3710" t="s">
        <v>8</v>
      </c>
      <c r="G3710" t="s">
        <v>203</v>
      </c>
      <c r="H3710" t="s">
        <v>245</v>
      </c>
      <c r="I3710" s="4">
        <v>100638.28079999999</v>
      </c>
      <c r="J3710" s="4">
        <v>402553.12319999997</v>
      </c>
      <c r="K3710" s="4">
        <v>-17338.430399999997</v>
      </c>
      <c r="L3710" s="4">
        <v>4</v>
      </c>
    </row>
    <row r="3711" spans="1:12">
      <c r="A3711" t="s">
        <v>264</v>
      </c>
      <c r="B3711" s="10">
        <v>45423</v>
      </c>
      <c r="C3711" s="18">
        <f t="shared" si="57"/>
        <v>5</v>
      </c>
      <c r="D3711" t="s">
        <v>196</v>
      </c>
      <c r="E3711">
        <v>4872163</v>
      </c>
      <c r="F3711" t="s">
        <v>8</v>
      </c>
      <c r="G3711" t="s">
        <v>203</v>
      </c>
      <c r="H3711" t="s">
        <v>242</v>
      </c>
      <c r="I3711" s="4">
        <v>100638.28079999999</v>
      </c>
      <c r="J3711" s="4">
        <v>3019148.4239999996</v>
      </c>
      <c r="K3711" s="4">
        <v>-130038.22799999999</v>
      </c>
      <c r="L3711" s="4">
        <v>30</v>
      </c>
    </row>
    <row r="3712" spans="1:12">
      <c r="A3712" t="s">
        <v>264</v>
      </c>
      <c r="B3712" s="10">
        <v>45423</v>
      </c>
      <c r="C3712" s="18">
        <f t="shared" si="57"/>
        <v>5</v>
      </c>
      <c r="D3712" t="s">
        <v>196</v>
      </c>
      <c r="E3712">
        <v>4872163</v>
      </c>
      <c r="F3712" t="s">
        <v>8</v>
      </c>
      <c r="G3712" t="s">
        <v>203</v>
      </c>
      <c r="H3712" t="s">
        <v>234</v>
      </c>
      <c r="I3712" s="4">
        <v>100638.28079999999</v>
      </c>
      <c r="J3712" s="4">
        <v>5031914.04</v>
      </c>
      <c r="K3712" s="4">
        <v>-216730.38</v>
      </c>
      <c r="L3712" s="4">
        <v>50</v>
      </c>
    </row>
    <row r="3713" spans="1:12">
      <c r="A3713" t="s">
        <v>264</v>
      </c>
      <c r="B3713" s="10">
        <v>45423</v>
      </c>
      <c r="C3713" s="18">
        <f t="shared" si="57"/>
        <v>5</v>
      </c>
      <c r="D3713" t="s">
        <v>196</v>
      </c>
      <c r="E3713">
        <v>4872163</v>
      </c>
      <c r="F3713" t="s">
        <v>8</v>
      </c>
      <c r="G3713" t="s">
        <v>203</v>
      </c>
      <c r="H3713" t="s">
        <v>232</v>
      </c>
      <c r="I3713" s="4">
        <v>100638.28079999999</v>
      </c>
      <c r="J3713" s="4">
        <v>7648509.3407999994</v>
      </c>
      <c r="K3713" s="4">
        <v>-329430.1776</v>
      </c>
      <c r="L3713" s="4">
        <v>76</v>
      </c>
    </row>
    <row r="3714" spans="1:12">
      <c r="A3714" t="s">
        <v>264</v>
      </c>
      <c r="B3714" s="10">
        <v>45423</v>
      </c>
      <c r="C3714" s="18">
        <f t="shared" ref="C3714:C3777" si="58">MONTH(B3714)</f>
        <v>5</v>
      </c>
      <c r="D3714" t="s">
        <v>196</v>
      </c>
      <c r="E3714">
        <v>4872163</v>
      </c>
      <c r="F3714" t="s">
        <v>8</v>
      </c>
      <c r="G3714" t="s">
        <v>203</v>
      </c>
      <c r="H3714" t="s">
        <v>224</v>
      </c>
      <c r="I3714" s="4">
        <v>100638.28079999999</v>
      </c>
      <c r="J3714" s="4">
        <v>1006382.808</v>
      </c>
      <c r="K3714" s="4">
        <v>-43346.076000000001</v>
      </c>
      <c r="L3714" s="4">
        <v>10</v>
      </c>
    </row>
    <row r="3715" spans="1:12">
      <c r="A3715" t="s">
        <v>264</v>
      </c>
      <c r="B3715" s="10">
        <v>45423</v>
      </c>
      <c r="C3715" s="18">
        <f t="shared" si="58"/>
        <v>5</v>
      </c>
      <c r="D3715" t="s">
        <v>196</v>
      </c>
      <c r="E3715">
        <v>4872163</v>
      </c>
      <c r="F3715" t="s">
        <v>8</v>
      </c>
      <c r="G3715" t="s">
        <v>203</v>
      </c>
      <c r="H3715" t="s">
        <v>222</v>
      </c>
      <c r="I3715" s="4">
        <v>100638.28079999999</v>
      </c>
      <c r="J3715" s="4">
        <v>6038296.8479999993</v>
      </c>
      <c r="K3715" s="4">
        <v>-260076.45599999998</v>
      </c>
      <c r="L3715" s="4">
        <v>60</v>
      </c>
    </row>
    <row r="3716" spans="1:12">
      <c r="A3716" t="s">
        <v>264</v>
      </c>
      <c r="B3716" s="10">
        <v>45423</v>
      </c>
      <c r="C3716" s="18">
        <f t="shared" si="58"/>
        <v>5</v>
      </c>
      <c r="D3716" t="s">
        <v>196</v>
      </c>
      <c r="E3716">
        <v>4876991</v>
      </c>
      <c r="F3716" t="s">
        <v>8</v>
      </c>
      <c r="G3716" t="s">
        <v>204</v>
      </c>
      <c r="H3716" t="s">
        <v>216</v>
      </c>
      <c r="I3716" s="4">
        <v>113202.36079999999</v>
      </c>
      <c r="J3716" s="4">
        <v>1132023.608</v>
      </c>
      <c r="K3716" s="4">
        <v>-56538.36</v>
      </c>
      <c r="L3716" s="4">
        <v>10</v>
      </c>
    </row>
    <row r="3717" spans="1:12">
      <c r="A3717" t="s">
        <v>264</v>
      </c>
      <c r="B3717" s="10">
        <v>45423</v>
      </c>
      <c r="C3717" s="18">
        <f t="shared" si="58"/>
        <v>5</v>
      </c>
      <c r="D3717" t="s">
        <v>196</v>
      </c>
      <c r="E3717">
        <v>4872592</v>
      </c>
      <c r="F3717" t="s">
        <v>8</v>
      </c>
      <c r="G3717" t="s">
        <v>204</v>
      </c>
      <c r="H3717" t="s">
        <v>212</v>
      </c>
      <c r="I3717" s="4">
        <v>62946.040799999995</v>
      </c>
      <c r="J3717" s="4">
        <v>1762489.1423999998</v>
      </c>
      <c r="K3717" s="4">
        <v>-52769.135999999999</v>
      </c>
      <c r="L3717" s="4">
        <v>28</v>
      </c>
    </row>
    <row r="3718" spans="1:12">
      <c r="A3718" t="s">
        <v>264</v>
      </c>
      <c r="B3718" s="10">
        <v>45424</v>
      </c>
      <c r="C3718" s="18">
        <f t="shared" si="58"/>
        <v>5</v>
      </c>
      <c r="D3718" t="s">
        <v>196</v>
      </c>
      <c r="E3718">
        <v>4878874</v>
      </c>
      <c r="F3718" t="s">
        <v>8</v>
      </c>
      <c r="G3718" t="s">
        <v>206</v>
      </c>
      <c r="H3718" t="s">
        <v>209</v>
      </c>
      <c r="I3718" s="4">
        <v>17715.352800000001</v>
      </c>
      <c r="J3718" s="4">
        <v>3543070.56</v>
      </c>
      <c r="K3718" s="4">
        <v>-351794.24</v>
      </c>
      <c r="L3718" s="4">
        <v>200</v>
      </c>
    </row>
    <row r="3719" spans="1:12">
      <c r="A3719" t="s">
        <v>264</v>
      </c>
      <c r="B3719" s="10">
        <v>45424</v>
      </c>
      <c r="C3719" s="18">
        <f t="shared" si="58"/>
        <v>5</v>
      </c>
      <c r="D3719" t="s">
        <v>196</v>
      </c>
      <c r="E3719">
        <v>4873570</v>
      </c>
      <c r="F3719" t="s">
        <v>8</v>
      </c>
      <c r="G3719" t="s">
        <v>203</v>
      </c>
      <c r="H3719" t="s">
        <v>242</v>
      </c>
      <c r="I3719" s="4">
        <v>100638.28079999999</v>
      </c>
      <c r="J3719" s="4">
        <v>3220424.9855999998</v>
      </c>
      <c r="K3719" s="4">
        <v>-138707.44319999998</v>
      </c>
      <c r="L3719" s="4">
        <v>32</v>
      </c>
    </row>
    <row r="3720" spans="1:12">
      <c r="A3720" t="s">
        <v>264</v>
      </c>
      <c r="B3720" s="10">
        <v>45424</v>
      </c>
      <c r="C3720" s="18">
        <f t="shared" si="58"/>
        <v>5</v>
      </c>
      <c r="D3720" t="s">
        <v>196</v>
      </c>
      <c r="E3720">
        <v>4873570</v>
      </c>
      <c r="F3720" t="s">
        <v>8</v>
      </c>
      <c r="G3720" t="s">
        <v>203</v>
      </c>
      <c r="H3720" t="s">
        <v>236</v>
      </c>
      <c r="I3720" s="4">
        <v>100638.28079999999</v>
      </c>
      <c r="J3720" s="4">
        <v>805106.24639999995</v>
      </c>
      <c r="K3720" s="4">
        <v>-34676.860799999995</v>
      </c>
      <c r="L3720" s="4">
        <v>8</v>
      </c>
    </row>
    <row r="3721" spans="1:12">
      <c r="A3721" t="s">
        <v>264</v>
      </c>
      <c r="B3721" s="10">
        <v>45424</v>
      </c>
      <c r="C3721" s="18">
        <f t="shared" si="58"/>
        <v>5</v>
      </c>
      <c r="D3721" t="s">
        <v>196</v>
      </c>
      <c r="E3721">
        <v>4873570</v>
      </c>
      <c r="F3721" t="s">
        <v>8</v>
      </c>
      <c r="G3721" t="s">
        <v>203</v>
      </c>
      <c r="H3721" t="s">
        <v>234</v>
      </c>
      <c r="I3721" s="4">
        <v>100638.28079999999</v>
      </c>
      <c r="J3721" s="4">
        <v>2012765.6159999999</v>
      </c>
      <c r="K3721" s="4">
        <v>-86692.152000000002</v>
      </c>
      <c r="L3721" s="4">
        <v>20</v>
      </c>
    </row>
    <row r="3722" spans="1:12">
      <c r="A3722" t="s">
        <v>264</v>
      </c>
      <c r="B3722" s="10">
        <v>45424</v>
      </c>
      <c r="C3722" s="18">
        <f t="shared" si="58"/>
        <v>5</v>
      </c>
      <c r="D3722" t="s">
        <v>196</v>
      </c>
      <c r="E3722">
        <v>4873570</v>
      </c>
      <c r="F3722" t="s">
        <v>8</v>
      </c>
      <c r="G3722" t="s">
        <v>203</v>
      </c>
      <c r="H3722" t="s">
        <v>222</v>
      </c>
      <c r="I3722" s="4">
        <v>100638.28079999999</v>
      </c>
      <c r="J3722" s="4">
        <v>603829.68479999993</v>
      </c>
      <c r="K3722" s="4">
        <v>-26007.645599999996</v>
      </c>
      <c r="L3722" s="4">
        <v>6</v>
      </c>
    </row>
    <row r="3723" spans="1:12">
      <c r="A3723" t="s">
        <v>264</v>
      </c>
      <c r="B3723" s="10">
        <v>45424</v>
      </c>
      <c r="C3723" s="18">
        <f t="shared" si="58"/>
        <v>5</v>
      </c>
      <c r="D3723" t="s">
        <v>196</v>
      </c>
      <c r="E3723">
        <v>4873570</v>
      </c>
      <c r="F3723" t="s">
        <v>8</v>
      </c>
      <c r="G3723" t="s">
        <v>203</v>
      </c>
      <c r="H3723" t="s">
        <v>229</v>
      </c>
      <c r="I3723" s="4">
        <v>125766.4408</v>
      </c>
      <c r="J3723" s="4">
        <v>628832.20400000003</v>
      </c>
      <c r="K3723" s="4">
        <v>-28269.18</v>
      </c>
      <c r="L3723" s="4">
        <v>5</v>
      </c>
    </row>
    <row r="3724" spans="1:12">
      <c r="A3724" t="s">
        <v>264</v>
      </c>
      <c r="B3724" s="10">
        <v>45424</v>
      </c>
      <c r="C3724" s="18">
        <f t="shared" si="58"/>
        <v>5</v>
      </c>
      <c r="D3724" t="s">
        <v>196</v>
      </c>
      <c r="E3724">
        <v>6080599</v>
      </c>
      <c r="F3724" t="s">
        <v>8</v>
      </c>
      <c r="G3724" t="s">
        <v>202</v>
      </c>
      <c r="H3724" t="s">
        <v>255</v>
      </c>
      <c r="I3724" s="4">
        <v>72489.71596799999</v>
      </c>
      <c r="J3724" s="4">
        <v>7973868.7564799991</v>
      </c>
      <c r="K3724" s="4">
        <v>-414614.64</v>
      </c>
      <c r="L3724" s="4">
        <v>110</v>
      </c>
    </row>
    <row r="3725" spans="1:12">
      <c r="A3725" t="s">
        <v>264</v>
      </c>
      <c r="B3725" s="10">
        <v>45424</v>
      </c>
      <c r="C3725" s="18">
        <f t="shared" si="58"/>
        <v>5</v>
      </c>
      <c r="D3725" t="s">
        <v>196</v>
      </c>
      <c r="E3725">
        <v>4875779</v>
      </c>
      <c r="F3725" t="s">
        <v>8</v>
      </c>
      <c r="G3725" t="s">
        <v>204</v>
      </c>
      <c r="H3725" t="s">
        <v>216</v>
      </c>
      <c r="I3725" s="4">
        <v>113202.36079999999</v>
      </c>
      <c r="J3725" s="4">
        <v>4301689.7104000002</v>
      </c>
      <c r="K3725" s="4">
        <v>-214845.76800000001</v>
      </c>
      <c r="L3725" s="4">
        <v>38</v>
      </c>
    </row>
    <row r="3726" spans="1:12">
      <c r="A3726" t="s">
        <v>264</v>
      </c>
      <c r="B3726" s="10">
        <v>45424</v>
      </c>
      <c r="C3726" s="18">
        <f t="shared" si="58"/>
        <v>5</v>
      </c>
      <c r="D3726" t="s">
        <v>196</v>
      </c>
      <c r="E3726">
        <v>4875779</v>
      </c>
      <c r="F3726" t="s">
        <v>8</v>
      </c>
      <c r="G3726" t="s">
        <v>204</v>
      </c>
      <c r="H3726" t="s">
        <v>221</v>
      </c>
      <c r="I3726" s="4">
        <v>25253.800799999997</v>
      </c>
      <c r="J3726" s="4">
        <v>707106.42239999992</v>
      </c>
      <c r="K3726" s="4">
        <v>-35179.423999999999</v>
      </c>
      <c r="L3726" s="4">
        <v>28</v>
      </c>
    </row>
    <row r="3727" spans="1:12">
      <c r="A3727" t="s">
        <v>264</v>
      </c>
      <c r="B3727" s="10">
        <v>45424</v>
      </c>
      <c r="C3727" s="18">
        <f t="shared" si="58"/>
        <v>5</v>
      </c>
      <c r="D3727" t="s">
        <v>196</v>
      </c>
      <c r="E3727">
        <v>4875779</v>
      </c>
      <c r="F3727" t="s">
        <v>8</v>
      </c>
      <c r="G3727" t="s">
        <v>204</v>
      </c>
      <c r="H3727" t="s">
        <v>220</v>
      </c>
      <c r="I3727" s="4">
        <v>37817.880799999999</v>
      </c>
      <c r="J3727" s="4">
        <v>302543.04639999999</v>
      </c>
      <c r="K3727" s="4">
        <v>-15076.895999999999</v>
      </c>
      <c r="L3727" s="4">
        <v>8</v>
      </c>
    </row>
    <row r="3728" spans="1:12">
      <c r="A3728" t="s">
        <v>264</v>
      </c>
      <c r="B3728" s="10">
        <v>45425</v>
      </c>
      <c r="C3728" s="18">
        <f t="shared" si="58"/>
        <v>5</v>
      </c>
      <c r="D3728" t="s">
        <v>196</v>
      </c>
      <c r="E3728">
        <v>4872254</v>
      </c>
      <c r="F3728" t="s">
        <v>8</v>
      </c>
      <c r="G3728" t="s">
        <v>203</v>
      </c>
      <c r="H3728" t="s">
        <v>242</v>
      </c>
      <c r="I3728" s="4">
        <v>100638.28079999999</v>
      </c>
      <c r="J3728" s="4">
        <v>1006382.808</v>
      </c>
      <c r="K3728" s="4">
        <v>-43346.076000000001</v>
      </c>
      <c r="L3728" s="4">
        <v>10</v>
      </c>
    </row>
    <row r="3729" spans="1:12">
      <c r="A3729" t="s">
        <v>264</v>
      </c>
      <c r="B3729" s="10">
        <v>45425</v>
      </c>
      <c r="C3729" s="18">
        <f t="shared" si="58"/>
        <v>5</v>
      </c>
      <c r="D3729" t="s">
        <v>196</v>
      </c>
      <c r="E3729">
        <v>4872254</v>
      </c>
      <c r="F3729" t="s">
        <v>8</v>
      </c>
      <c r="G3729" t="s">
        <v>203</v>
      </c>
      <c r="H3729" t="s">
        <v>234</v>
      </c>
      <c r="I3729" s="4">
        <v>100638.28079999999</v>
      </c>
      <c r="J3729" s="4">
        <v>1006382.808</v>
      </c>
      <c r="K3729" s="4">
        <v>-43346.076000000001</v>
      </c>
      <c r="L3729" s="4">
        <v>10</v>
      </c>
    </row>
    <row r="3730" spans="1:12">
      <c r="A3730" t="s">
        <v>264</v>
      </c>
      <c r="B3730" s="10">
        <v>45425</v>
      </c>
      <c r="C3730" s="18">
        <f t="shared" si="58"/>
        <v>5</v>
      </c>
      <c r="D3730" t="s">
        <v>196</v>
      </c>
      <c r="E3730">
        <v>4872254</v>
      </c>
      <c r="F3730" t="s">
        <v>8</v>
      </c>
      <c r="G3730" t="s">
        <v>203</v>
      </c>
      <c r="H3730" t="s">
        <v>241</v>
      </c>
      <c r="I3730" s="4">
        <v>125766.4408</v>
      </c>
      <c r="J3730" s="4">
        <v>754598.64480000001</v>
      </c>
      <c r="K3730" s="4">
        <v>-33923.016000000003</v>
      </c>
      <c r="L3730" s="4">
        <v>6</v>
      </c>
    </row>
    <row r="3731" spans="1:12">
      <c r="A3731" t="s">
        <v>264</v>
      </c>
      <c r="B3731" s="10">
        <v>45425</v>
      </c>
      <c r="C3731" s="18">
        <f t="shared" si="58"/>
        <v>5</v>
      </c>
      <c r="D3731" t="s">
        <v>196</v>
      </c>
      <c r="E3731">
        <v>4872233</v>
      </c>
      <c r="F3731" t="s">
        <v>8</v>
      </c>
      <c r="G3731" t="s">
        <v>204</v>
      </c>
      <c r="H3731" t="s">
        <v>221</v>
      </c>
      <c r="I3731" s="4">
        <v>25253.800799999997</v>
      </c>
      <c r="J3731" s="4">
        <v>-50507.601599999995</v>
      </c>
      <c r="K3731" s="4">
        <v>2512.8160000000003</v>
      </c>
      <c r="L3731" s="4">
        <v>-2</v>
      </c>
    </row>
    <row r="3732" spans="1:12">
      <c r="A3732" t="s">
        <v>264</v>
      </c>
      <c r="B3732" s="10">
        <v>45425</v>
      </c>
      <c r="C3732" s="18">
        <f t="shared" si="58"/>
        <v>5</v>
      </c>
      <c r="D3732" t="s">
        <v>196</v>
      </c>
      <c r="E3732">
        <v>4872233</v>
      </c>
      <c r="F3732" t="s">
        <v>8</v>
      </c>
      <c r="G3732" t="s">
        <v>204</v>
      </c>
      <c r="H3732" t="s">
        <v>220</v>
      </c>
      <c r="I3732" s="4">
        <v>37817.880799999999</v>
      </c>
      <c r="J3732" s="4">
        <v>-151271.5232</v>
      </c>
      <c r="K3732" s="4">
        <v>7538.4479999999994</v>
      </c>
      <c r="L3732" s="4">
        <v>-4</v>
      </c>
    </row>
    <row r="3733" spans="1:12">
      <c r="A3733" t="s">
        <v>264</v>
      </c>
      <c r="B3733" s="10">
        <v>45425</v>
      </c>
      <c r="C3733" s="18">
        <f t="shared" si="58"/>
        <v>5</v>
      </c>
      <c r="D3733" t="s">
        <v>196</v>
      </c>
      <c r="E3733">
        <v>4872233</v>
      </c>
      <c r="F3733" t="s">
        <v>8</v>
      </c>
      <c r="G3733" t="s">
        <v>204</v>
      </c>
      <c r="H3733" t="s">
        <v>212</v>
      </c>
      <c r="I3733" s="4">
        <v>62946.040799999995</v>
      </c>
      <c r="J3733" s="4">
        <v>-251784.16319999998</v>
      </c>
      <c r="K3733" s="4">
        <v>7538.4479999999994</v>
      </c>
      <c r="L3733" s="4">
        <v>-4</v>
      </c>
    </row>
    <row r="3734" spans="1:12">
      <c r="A3734" t="s">
        <v>264</v>
      </c>
      <c r="B3734" s="10">
        <v>45425</v>
      </c>
      <c r="C3734" s="18">
        <f t="shared" si="58"/>
        <v>5</v>
      </c>
      <c r="D3734" t="s">
        <v>196</v>
      </c>
      <c r="E3734">
        <v>4877306</v>
      </c>
      <c r="F3734" t="s">
        <v>8</v>
      </c>
      <c r="G3734" t="s">
        <v>203</v>
      </c>
      <c r="H3734" t="s">
        <v>234</v>
      </c>
      <c r="I3734" s="4">
        <v>100638.28079999999</v>
      </c>
      <c r="J3734" s="4">
        <v>402553.12319999997</v>
      </c>
      <c r="K3734" s="4">
        <v>-17338.430399999997</v>
      </c>
      <c r="L3734" s="4">
        <v>4</v>
      </c>
    </row>
    <row r="3735" spans="1:12">
      <c r="A3735" t="s">
        <v>264</v>
      </c>
      <c r="B3735" s="10">
        <v>45426</v>
      </c>
      <c r="C3735" s="18">
        <f t="shared" si="58"/>
        <v>5</v>
      </c>
      <c r="D3735" t="s">
        <v>196</v>
      </c>
      <c r="E3735">
        <v>4871600</v>
      </c>
      <c r="F3735" t="s">
        <v>8</v>
      </c>
      <c r="G3735" t="s">
        <v>204</v>
      </c>
      <c r="H3735" t="s">
        <v>220</v>
      </c>
      <c r="I3735" s="4">
        <v>37817.880799999999</v>
      </c>
      <c r="J3735" s="4">
        <v>113453.6424</v>
      </c>
      <c r="K3735" s="4">
        <v>-5653.8360000000002</v>
      </c>
      <c r="L3735" s="4">
        <v>3</v>
      </c>
    </row>
    <row r="3736" spans="1:12">
      <c r="A3736" t="s">
        <v>264</v>
      </c>
      <c r="B3736" s="10">
        <v>45427</v>
      </c>
      <c r="C3736" s="18">
        <f t="shared" si="58"/>
        <v>5</v>
      </c>
      <c r="D3736" t="s">
        <v>196</v>
      </c>
      <c r="E3736">
        <v>4871600</v>
      </c>
      <c r="F3736" t="s">
        <v>8</v>
      </c>
      <c r="G3736" t="s">
        <v>202</v>
      </c>
      <c r="H3736" t="s">
        <v>256</v>
      </c>
      <c r="I3736" s="4">
        <v>64202.448800000006</v>
      </c>
      <c r="J3736" s="4">
        <v>128404.89760000001</v>
      </c>
      <c r="K3736" s="4">
        <v>-6407.6808000000001</v>
      </c>
      <c r="L3736" s="4">
        <v>2</v>
      </c>
    </row>
    <row r="3737" spans="1:12">
      <c r="A3737" t="s">
        <v>264</v>
      </c>
      <c r="B3737" s="10">
        <v>45427</v>
      </c>
      <c r="C3737" s="18">
        <f t="shared" si="58"/>
        <v>5</v>
      </c>
      <c r="D3737" t="s">
        <v>196</v>
      </c>
      <c r="E3737">
        <v>4874006</v>
      </c>
      <c r="F3737" t="s">
        <v>8</v>
      </c>
      <c r="G3737" t="s">
        <v>203</v>
      </c>
      <c r="H3737" t="s">
        <v>242</v>
      </c>
      <c r="I3737" s="4">
        <v>100638.28079999999</v>
      </c>
      <c r="J3737" s="4">
        <v>603829.68479999993</v>
      </c>
      <c r="K3737" s="4">
        <v>-26007.645599999996</v>
      </c>
      <c r="L3737" s="4">
        <v>6</v>
      </c>
    </row>
    <row r="3738" spans="1:12">
      <c r="A3738" t="s">
        <v>264</v>
      </c>
      <c r="B3738" s="10">
        <v>45427</v>
      </c>
      <c r="C3738" s="18">
        <f t="shared" si="58"/>
        <v>5</v>
      </c>
      <c r="D3738" t="s">
        <v>196</v>
      </c>
      <c r="E3738">
        <v>4874006</v>
      </c>
      <c r="F3738" t="s">
        <v>8</v>
      </c>
      <c r="G3738" t="s">
        <v>203</v>
      </c>
      <c r="H3738" t="s">
        <v>234</v>
      </c>
      <c r="I3738" s="4">
        <v>100638.28079999999</v>
      </c>
      <c r="J3738" s="4">
        <v>603829.68479999993</v>
      </c>
      <c r="K3738" s="4">
        <v>-26007.645599999996</v>
      </c>
      <c r="L3738" s="4">
        <v>6</v>
      </c>
    </row>
    <row r="3739" spans="1:12">
      <c r="A3739" t="s">
        <v>264</v>
      </c>
      <c r="B3739" s="10">
        <v>45427</v>
      </c>
      <c r="C3739" s="18">
        <f t="shared" si="58"/>
        <v>5</v>
      </c>
      <c r="D3739" t="s">
        <v>196</v>
      </c>
      <c r="E3739">
        <v>4872571</v>
      </c>
      <c r="F3739" t="s">
        <v>8</v>
      </c>
      <c r="G3739" t="s">
        <v>204</v>
      </c>
      <c r="H3739" t="s">
        <v>221</v>
      </c>
      <c r="I3739" s="4">
        <v>25253.800799999997</v>
      </c>
      <c r="J3739" s="4">
        <v>1010152.0319999999</v>
      </c>
      <c r="K3739" s="4">
        <v>-50256.32</v>
      </c>
      <c r="L3739" s="4">
        <v>40</v>
      </c>
    </row>
    <row r="3740" spans="1:12">
      <c r="A3740" t="s">
        <v>264</v>
      </c>
      <c r="B3740" s="10">
        <v>45427</v>
      </c>
      <c r="C3740" s="18">
        <f t="shared" si="58"/>
        <v>5</v>
      </c>
      <c r="D3740" t="s">
        <v>196</v>
      </c>
      <c r="E3740">
        <v>4872571</v>
      </c>
      <c r="F3740" t="s">
        <v>8</v>
      </c>
      <c r="G3740" t="s">
        <v>204</v>
      </c>
      <c r="H3740" t="s">
        <v>220</v>
      </c>
      <c r="I3740" s="4">
        <v>37817.880799999999</v>
      </c>
      <c r="J3740" s="4">
        <v>1512715.2319999998</v>
      </c>
      <c r="K3740" s="4">
        <v>-75384.479999999996</v>
      </c>
      <c r="L3740" s="4">
        <v>40</v>
      </c>
    </row>
    <row r="3741" spans="1:12">
      <c r="A3741" t="s">
        <v>264</v>
      </c>
      <c r="B3741" s="10">
        <v>45427</v>
      </c>
      <c r="C3741" s="18">
        <f t="shared" si="58"/>
        <v>5</v>
      </c>
      <c r="D3741" t="s">
        <v>196</v>
      </c>
      <c r="E3741">
        <v>4879214</v>
      </c>
      <c r="F3741" t="s">
        <v>8</v>
      </c>
      <c r="G3741" t="s">
        <v>204</v>
      </c>
      <c r="H3741" t="s">
        <v>221</v>
      </c>
      <c r="I3741" s="4">
        <v>25253.800799999997</v>
      </c>
      <c r="J3741" s="4">
        <v>101015.20319999999</v>
      </c>
      <c r="K3741" s="4">
        <v>-5025.6320000000005</v>
      </c>
      <c r="L3741" s="4">
        <v>4</v>
      </c>
    </row>
    <row r="3742" spans="1:12">
      <c r="A3742" t="s">
        <v>264</v>
      </c>
      <c r="B3742" s="10">
        <v>45427</v>
      </c>
      <c r="C3742" s="18">
        <f t="shared" si="58"/>
        <v>5</v>
      </c>
      <c r="D3742" t="s">
        <v>196</v>
      </c>
      <c r="E3742">
        <v>4878536</v>
      </c>
      <c r="F3742" t="s">
        <v>8</v>
      </c>
      <c r="G3742" t="s">
        <v>205</v>
      </c>
      <c r="H3742" t="s">
        <v>211</v>
      </c>
      <c r="I3742" s="4">
        <v>5151.2727999999997</v>
      </c>
      <c r="J3742" s="4">
        <v>257563.63999999998</v>
      </c>
      <c r="K3742" s="4">
        <v>-12564.08</v>
      </c>
      <c r="L3742" s="4">
        <v>50</v>
      </c>
    </row>
    <row r="3743" spans="1:12">
      <c r="A3743" t="s">
        <v>264</v>
      </c>
      <c r="B3743" s="10">
        <v>45427</v>
      </c>
      <c r="C3743" s="18">
        <f t="shared" si="58"/>
        <v>5</v>
      </c>
      <c r="D3743" t="s">
        <v>196</v>
      </c>
      <c r="E3743">
        <v>4875440</v>
      </c>
      <c r="F3743" t="s">
        <v>8</v>
      </c>
      <c r="G3743" t="s">
        <v>202</v>
      </c>
      <c r="H3743" t="s">
        <v>259</v>
      </c>
      <c r="I3743" s="4">
        <v>30279.432800000002</v>
      </c>
      <c r="J3743" s="4">
        <v>3027943.2800000003</v>
      </c>
      <c r="K3743" s="4">
        <v>-150768.95999999999</v>
      </c>
      <c r="L3743" s="4">
        <v>100</v>
      </c>
    </row>
    <row r="3744" spans="1:12">
      <c r="A3744" t="s">
        <v>264</v>
      </c>
      <c r="B3744" s="10">
        <v>45427</v>
      </c>
      <c r="C3744" s="18">
        <f t="shared" si="58"/>
        <v>5</v>
      </c>
      <c r="D3744" t="s">
        <v>196</v>
      </c>
      <c r="E3744">
        <v>4872193</v>
      </c>
      <c r="F3744" t="s">
        <v>8</v>
      </c>
      <c r="G3744" t="s">
        <v>203</v>
      </c>
      <c r="H3744" t="s">
        <v>244</v>
      </c>
      <c r="I3744" s="4">
        <v>125766.4408</v>
      </c>
      <c r="J3744" s="4">
        <v>1257664.4080000001</v>
      </c>
      <c r="K3744" s="4">
        <v>-56538.36</v>
      </c>
      <c r="L3744" s="4">
        <v>10</v>
      </c>
    </row>
    <row r="3745" spans="1:12">
      <c r="A3745" t="s">
        <v>264</v>
      </c>
      <c r="B3745" s="10">
        <v>45427</v>
      </c>
      <c r="C3745" s="18">
        <f t="shared" si="58"/>
        <v>5</v>
      </c>
      <c r="D3745" t="s">
        <v>196</v>
      </c>
      <c r="E3745">
        <v>4872193</v>
      </c>
      <c r="F3745" t="s">
        <v>8</v>
      </c>
      <c r="G3745" t="s">
        <v>203</v>
      </c>
      <c r="H3745" t="s">
        <v>233</v>
      </c>
      <c r="I3745" s="4">
        <v>120735.78316800001</v>
      </c>
      <c r="J3745" s="4">
        <v>1207357.8316800001</v>
      </c>
      <c r="K3745" s="4">
        <v>-56538.36</v>
      </c>
      <c r="L3745" s="4">
        <v>10</v>
      </c>
    </row>
    <row r="3746" spans="1:12">
      <c r="A3746" t="s">
        <v>264</v>
      </c>
      <c r="B3746" s="10">
        <v>45427</v>
      </c>
      <c r="C3746" s="18">
        <f t="shared" si="58"/>
        <v>5</v>
      </c>
      <c r="D3746" t="s">
        <v>196</v>
      </c>
      <c r="E3746">
        <v>4873723</v>
      </c>
      <c r="F3746" t="s">
        <v>8</v>
      </c>
      <c r="G3746" t="s">
        <v>203</v>
      </c>
      <c r="H3746" t="s">
        <v>242</v>
      </c>
      <c r="I3746" s="4">
        <v>100638.28079999999</v>
      </c>
      <c r="J3746" s="4">
        <v>201276.56159999999</v>
      </c>
      <c r="K3746" s="4">
        <v>-8669.2151999999987</v>
      </c>
      <c r="L3746" s="4">
        <v>2</v>
      </c>
    </row>
    <row r="3747" spans="1:12">
      <c r="A3747" t="s">
        <v>264</v>
      </c>
      <c r="B3747" s="10">
        <v>45427</v>
      </c>
      <c r="C3747" s="18">
        <f t="shared" si="58"/>
        <v>5</v>
      </c>
      <c r="D3747" t="s">
        <v>196</v>
      </c>
      <c r="E3747">
        <v>4873723</v>
      </c>
      <c r="F3747" t="s">
        <v>8</v>
      </c>
      <c r="G3747" t="s">
        <v>203</v>
      </c>
      <c r="H3747" t="s">
        <v>236</v>
      </c>
      <c r="I3747" s="4">
        <v>100638.28079999999</v>
      </c>
      <c r="J3747" s="4">
        <v>402553.12319999997</v>
      </c>
      <c r="K3747" s="4">
        <v>-17338.430399999997</v>
      </c>
      <c r="L3747" s="4">
        <v>4</v>
      </c>
    </row>
    <row r="3748" spans="1:12">
      <c r="A3748" t="s">
        <v>264</v>
      </c>
      <c r="B3748" s="10">
        <v>45427</v>
      </c>
      <c r="C3748" s="18">
        <f t="shared" si="58"/>
        <v>5</v>
      </c>
      <c r="D3748" t="s">
        <v>196</v>
      </c>
      <c r="E3748">
        <v>4873723</v>
      </c>
      <c r="F3748" t="s">
        <v>8</v>
      </c>
      <c r="G3748" t="s">
        <v>203</v>
      </c>
      <c r="H3748" t="s">
        <v>234</v>
      </c>
      <c r="I3748" s="4">
        <v>100638.28079999999</v>
      </c>
      <c r="J3748" s="4">
        <v>402553.12319999997</v>
      </c>
      <c r="K3748" s="4">
        <v>-17338.430399999997</v>
      </c>
      <c r="L3748" s="4">
        <v>4</v>
      </c>
    </row>
    <row r="3749" spans="1:12">
      <c r="A3749" t="s">
        <v>264</v>
      </c>
      <c r="B3749" s="10">
        <v>45427</v>
      </c>
      <c r="C3749" s="18">
        <f t="shared" si="58"/>
        <v>5</v>
      </c>
      <c r="D3749" t="s">
        <v>196</v>
      </c>
      <c r="E3749">
        <v>4873723</v>
      </c>
      <c r="F3749" t="s">
        <v>8</v>
      </c>
      <c r="G3749" t="s">
        <v>203</v>
      </c>
      <c r="H3749" t="s">
        <v>244</v>
      </c>
      <c r="I3749" s="4">
        <v>125766.4408</v>
      </c>
      <c r="J3749" s="4">
        <v>377299.3224</v>
      </c>
      <c r="K3749" s="4">
        <v>-16961.508000000002</v>
      </c>
      <c r="L3749" s="4">
        <v>3</v>
      </c>
    </row>
    <row r="3750" spans="1:12">
      <c r="A3750" t="s">
        <v>264</v>
      </c>
      <c r="B3750" s="10">
        <v>45427</v>
      </c>
      <c r="C3750" s="18">
        <f t="shared" si="58"/>
        <v>5</v>
      </c>
      <c r="D3750" t="s">
        <v>196</v>
      </c>
      <c r="E3750">
        <v>4873723</v>
      </c>
      <c r="F3750" t="s">
        <v>8</v>
      </c>
      <c r="G3750" t="s">
        <v>203</v>
      </c>
      <c r="H3750" t="s">
        <v>233</v>
      </c>
      <c r="I3750" s="4">
        <v>120735.78316800001</v>
      </c>
      <c r="J3750" s="4">
        <v>362207.34950400004</v>
      </c>
      <c r="K3750" s="4">
        <v>-16961.508000000002</v>
      </c>
      <c r="L3750" s="4">
        <v>3</v>
      </c>
    </row>
    <row r="3751" spans="1:12">
      <c r="A3751" t="s">
        <v>264</v>
      </c>
      <c r="B3751" s="10">
        <v>45427</v>
      </c>
      <c r="C3751" s="18">
        <f t="shared" si="58"/>
        <v>5</v>
      </c>
      <c r="D3751" t="s">
        <v>196</v>
      </c>
      <c r="E3751">
        <v>6080599</v>
      </c>
      <c r="F3751" t="s">
        <v>8</v>
      </c>
      <c r="G3751" t="s">
        <v>202</v>
      </c>
      <c r="H3751" t="s">
        <v>255</v>
      </c>
      <c r="I3751" s="4">
        <v>72489.71596799999</v>
      </c>
      <c r="J3751" s="4">
        <v>72489.71596799999</v>
      </c>
      <c r="K3751" s="4">
        <v>-3769.2239999999997</v>
      </c>
      <c r="L3751" s="4">
        <v>1</v>
      </c>
    </row>
    <row r="3752" spans="1:12">
      <c r="A3752" t="s">
        <v>264</v>
      </c>
      <c r="B3752" s="10">
        <v>45428</v>
      </c>
      <c r="C3752" s="18">
        <f t="shared" si="58"/>
        <v>5</v>
      </c>
      <c r="D3752" t="s">
        <v>196</v>
      </c>
      <c r="E3752">
        <v>4872571</v>
      </c>
      <c r="F3752" t="s">
        <v>8</v>
      </c>
      <c r="G3752" t="s">
        <v>203</v>
      </c>
      <c r="H3752" t="s">
        <v>236</v>
      </c>
      <c r="I3752" s="4">
        <v>100638.28079999999</v>
      </c>
      <c r="J3752" s="4">
        <v>402553.12319999997</v>
      </c>
      <c r="K3752" s="4">
        <v>-17338.430399999997</v>
      </c>
      <c r="L3752" s="4">
        <v>4</v>
      </c>
    </row>
    <row r="3753" spans="1:12">
      <c r="A3753" t="s">
        <v>264</v>
      </c>
      <c r="B3753" s="10">
        <v>45428</v>
      </c>
      <c r="C3753" s="18">
        <f t="shared" si="58"/>
        <v>5</v>
      </c>
      <c r="D3753" t="s">
        <v>196</v>
      </c>
      <c r="E3753">
        <v>4872571</v>
      </c>
      <c r="F3753" t="s">
        <v>8</v>
      </c>
      <c r="G3753" t="s">
        <v>203</v>
      </c>
      <c r="H3753" t="s">
        <v>234</v>
      </c>
      <c r="I3753" s="4">
        <v>100638.28079999999</v>
      </c>
      <c r="J3753" s="4">
        <v>402553.12319999997</v>
      </c>
      <c r="K3753" s="4">
        <v>-17338.430399999997</v>
      </c>
      <c r="L3753" s="4">
        <v>4</v>
      </c>
    </row>
    <row r="3754" spans="1:12">
      <c r="A3754" t="s">
        <v>264</v>
      </c>
      <c r="B3754" s="10">
        <v>45428</v>
      </c>
      <c r="C3754" s="18">
        <f t="shared" si="58"/>
        <v>5</v>
      </c>
      <c r="D3754" t="s">
        <v>196</v>
      </c>
      <c r="E3754">
        <v>4872571</v>
      </c>
      <c r="F3754" t="s">
        <v>8</v>
      </c>
      <c r="G3754" t="s">
        <v>203</v>
      </c>
      <c r="H3754" t="s">
        <v>224</v>
      </c>
      <c r="I3754" s="4">
        <v>100638.28079999999</v>
      </c>
      <c r="J3754" s="4">
        <v>402553.12319999997</v>
      </c>
      <c r="K3754" s="4">
        <v>-17338.430399999997</v>
      </c>
      <c r="L3754" s="4">
        <v>4</v>
      </c>
    </row>
    <row r="3755" spans="1:12">
      <c r="A3755" t="s">
        <v>264</v>
      </c>
      <c r="B3755" s="10">
        <v>45428</v>
      </c>
      <c r="C3755" s="18">
        <f t="shared" si="58"/>
        <v>5</v>
      </c>
      <c r="D3755" t="s">
        <v>196</v>
      </c>
      <c r="E3755">
        <v>4872571</v>
      </c>
      <c r="F3755" t="s">
        <v>8</v>
      </c>
      <c r="G3755" t="s">
        <v>203</v>
      </c>
      <c r="H3755" t="s">
        <v>223</v>
      </c>
      <c r="I3755" s="4">
        <v>100638.28079999999</v>
      </c>
      <c r="J3755" s="4">
        <v>402553.12319999997</v>
      </c>
      <c r="K3755" s="4">
        <v>-17338.430399999997</v>
      </c>
      <c r="L3755" s="4">
        <v>4</v>
      </c>
    </row>
    <row r="3756" spans="1:12">
      <c r="A3756" t="s">
        <v>264</v>
      </c>
      <c r="B3756" s="10">
        <v>45428</v>
      </c>
      <c r="C3756" s="18">
        <f t="shared" si="58"/>
        <v>5</v>
      </c>
      <c r="D3756" t="s">
        <v>196</v>
      </c>
      <c r="E3756">
        <v>4872160</v>
      </c>
      <c r="F3756" t="s">
        <v>8</v>
      </c>
      <c r="G3756" t="s">
        <v>203</v>
      </c>
      <c r="H3756" t="s">
        <v>236</v>
      </c>
      <c r="I3756" s="4">
        <v>100638.28079999999</v>
      </c>
      <c r="J3756" s="4">
        <v>2012765.6159999999</v>
      </c>
      <c r="K3756" s="4">
        <v>-86692.152000000002</v>
      </c>
      <c r="L3756" s="4">
        <v>20</v>
      </c>
    </row>
    <row r="3757" spans="1:12">
      <c r="A3757" t="s">
        <v>264</v>
      </c>
      <c r="B3757" s="10">
        <v>45428</v>
      </c>
      <c r="C3757" s="18">
        <f t="shared" si="58"/>
        <v>5</v>
      </c>
      <c r="D3757" t="s">
        <v>196</v>
      </c>
      <c r="E3757">
        <v>4872160</v>
      </c>
      <c r="F3757" t="s">
        <v>8</v>
      </c>
      <c r="G3757" t="s">
        <v>203</v>
      </c>
      <c r="H3757" t="s">
        <v>234</v>
      </c>
      <c r="I3757" s="4">
        <v>100638.28079999999</v>
      </c>
      <c r="J3757" s="4">
        <v>2012765.6159999999</v>
      </c>
      <c r="K3757" s="4">
        <v>-86692.152000000002</v>
      </c>
      <c r="L3757" s="4">
        <v>20</v>
      </c>
    </row>
    <row r="3758" spans="1:12">
      <c r="A3758" t="s">
        <v>264</v>
      </c>
      <c r="B3758" s="10">
        <v>45428</v>
      </c>
      <c r="C3758" s="18">
        <f t="shared" si="58"/>
        <v>5</v>
      </c>
      <c r="D3758" t="s">
        <v>196</v>
      </c>
      <c r="E3758">
        <v>4872160</v>
      </c>
      <c r="F3758" t="s">
        <v>8</v>
      </c>
      <c r="G3758" t="s">
        <v>203</v>
      </c>
      <c r="H3758" t="s">
        <v>224</v>
      </c>
      <c r="I3758" s="4">
        <v>100638.28079999999</v>
      </c>
      <c r="J3758" s="4">
        <v>2012765.6159999999</v>
      </c>
      <c r="K3758" s="4">
        <v>-86692.152000000002</v>
      </c>
      <c r="L3758" s="4">
        <v>20</v>
      </c>
    </row>
    <row r="3759" spans="1:12">
      <c r="A3759" t="s">
        <v>264</v>
      </c>
      <c r="B3759" s="10">
        <v>45428</v>
      </c>
      <c r="C3759" s="18">
        <f t="shared" si="58"/>
        <v>5</v>
      </c>
      <c r="D3759" t="s">
        <v>196</v>
      </c>
      <c r="E3759">
        <v>4872160</v>
      </c>
      <c r="F3759" t="s">
        <v>8</v>
      </c>
      <c r="G3759" t="s">
        <v>203</v>
      </c>
      <c r="H3759" t="s">
        <v>223</v>
      </c>
      <c r="I3759" s="4">
        <v>100638.28079999999</v>
      </c>
      <c r="J3759" s="4">
        <v>2012765.6159999999</v>
      </c>
      <c r="K3759" s="4">
        <v>-86692.152000000002</v>
      </c>
      <c r="L3759" s="4">
        <v>20</v>
      </c>
    </row>
    <row r="3760" spans="1:12">
      <c r="A3760" t="s">
        <v>264</v>
      </c>
      <c r="B3760" s="10">
        <v>45428</v>
      </c>
      <c r="C3760" s="18">
        <f t="shared" si="58"/>
        <v>5</v>
      </c>
      <c r="D3760" t="s">
        <v>196</v>
      </c>
      <c r="E3760">
        <v>4872160</v>
      </c>
      <c r="F3760" t="s">
        <v>8</v>
      </c>
      <c r="G3760" t="s">
        <v>203</v>
      </c>
      <c r="H3760" t="s">
        <v>244</v>
      </c>
      <c r="I3760" s="4">
        <v>125766.4408</v>
      </c>
      <c r="J3760" s="4">
        <v>880365.08559999999</v>
      </c>
      <c r="K3760" s="4">
        <v>-39576.851999999999</v>
      </c>
      <c r="L3760" s="4">
        <v>7</v>
      </c>
    </row>
    <row r="3761" spans="1:12">
      <c r="A3761" t="s">
        <v>264</v>
      </c>
      <c r="B3761" s="10">
        <v>45428</v>
      </c>
      <c r="C3761" s="18">
        <f t="shared" si="58"/>
        <v>5</v>
      </c>
      <c r="D3761" t="s">
        <v>196</v>
      </c>
      <c r="E3761">
        <v>4872160</v>
      </c>
      <c r="F3761" t="s">
        <v>8</v>
      </c>
      <c r="G3761" t="s">
        <v>203</v>
      </c>
      <c r="H3761" t="s">
        <v>233</v>
      </c>
      <c r="I3761" s="4">
        <v>120735.78316800001</v>
      </c>
      <c r="J3761" s="4">
        <v>2414715.6633600001</v>
      </c>
      <c r="K3761" s="4">
        <v>-113076.72</v>
      </c>
      <c r="L3761" s="4">
        <v>20</v>
      </c>
    </row>
    <row r="3762" spans="1:12">
      <c r="A3762" t="s">
        <v>264</v>
      </c>
      <c r="B3762" s="10">
        <v>45428</v>
      </c>
      <c r="C3762" s="18">
        <f t="shared" si="58"/>
        <v>5</v>
      </c>
      <c r="D3762" t="s">
        <v>196</v>
      </c>
      <c r="E3762">
        <v>4879074</v>
      </c>
      <c r="F3762" t="s">
        <v>8</v>
      </c>
      <c r="G3762" t="s">
        <v>203</v>
      </c>
      <c r="H3762" t="s">
        <v>236</v>
      </c>
      <c r="I3762" s="4">
        <v>100638.28079999999</v>
      </c>
      <c r="J3762" s="4">
        <v>805106.24639999995</v>
      </c>
      <c r="K3762" s="4">
        <v>-34676.860799999995</v>
      </c>
      <c r="L3762" s="4">
        <v>8</v>
      </c>
    </row>
    <row r="3763" spans="1:12">
      <c r="A3763" t="s">
        <v>264</v>
      </c>
      <c r="B3763" s="10">
        <v>45428</v>
      </c>
      <c r="C3763" s="18">
        <f t="shared" si="58"/>
        <v>5</v>
      </c>
      <c r="D3763" t="s">
        <v>196</v>
      </c>
      <c r="E3763">
        <v>4879074</v>
      </c>
      <c r="F3763" t="s">
        <v>8</v>
      </c>
      <c r="G3763" t="s">
        <v>203</v>
      </c>
      <c r="H3763" t="s">
        <v>234</v>
      </c>
      <c r="I3763" s="4">
        <v>100638.28079999999</v>
      </c>
      <c r="J3763" s="4">
        <v>805106.24639999995</v>
      </c>
      <c r="K3763" s="4">
        <v>-34676.860799999995</v>
      </c>
      <c r="L3763" s="4">
        <v>8</v>
      </c>
    </row>
    <row r="3764" spans="1:12">
      <c r="A3764" t="s">
        <v>264</v>
      </c>
      <c r="B3764" s="10">
        <v>45428</v>
      </c>
      <c r="C3764" s="18">
        <f t="shared" si="58"/>
        <v>5</v>
      </c>
      <c r="D3764" t="s">
        <v>196</v>
      </c>
      <c r="E3764">
        <v>4879074</v>
      </c>
      <c r="F3764" t="s">
        <v>8</v>
      </c>
      <c r="G3764" t="s">
        <v>203</v>
      </c>
      <c r="H3764" t="s">
        <v>224</v>
      </c>
      <c r="I3764" s="4">
        <v>100638.28079999999</v>
      </c>
      <c r="J3764" s="4">
        <v>805106.24639999995</v>
      </c>
      <c r="K3764" s="4">
        <v>-34676.860799999995</v>
      </c>
      <c r="L3764" s="4">
        <v>8</v>
      </c>
    </row>
    <row r="3765" spans="1:12">
      <c r="A3765" t="s">
        <v>264</v>
      </c>
      <c r="B3765" s="10">
        <v>45428</v>
      </c>
      <c r="C3765" s="18">
        <f t="shared" si="58"/>
        <v>5</v>
      </c>
      <c r="D3765" t="s">
        <v>196</v>
      </c>
      <c r="E3765">
        <v>4879074</v>
      </c>
      <c r="F3765" t="s">
        <v>8</v>
      </c>
      <c r="G3765" t="s">
        <v>203</v>
      </c>
      <c r="H3765" t="s">
        <v>223</v>
      </c>
      <c r="I3765" s="4">
        <v>100638.28079999999</v>
      </c>
      <c r="J3765" s="4">
        <v>603829.68479999993</v>
      </c>
      <c r="K3765" s="4">
        <v>-26007.645599999996</v>
      </c>
      <c r="L3765" s="4">
        <v>6</v>
      </c>
    </row>
    <row r="3766" spans="1:12">
      <c r="A3766" t="s">
        <v>264</v>
      </c>
      <c r="B3766" s="10">
        <v>45428</v>
      </c>
      <c r="C3766" s="18">
        <f t="shared" si="58"/>
        <v>5</v>
      </c>
      <c r="D3766" t="s">
        <v>196</v>
      </c>
      <c r="E3766">
        <v>4879074</v>
      </c>
      <c r="F3766" t="s">
        <v>8</v>
      </c>
      <c r="G3766" t="s">
        <v>203</v>
      </c>
      <c r="H3766" t="s">
        <v>233</v>
      </c>
      <c r="I3766" s="4">
        <v>120735.78316800001</v>
      </c>
      <c r="J3766" s="4">
        <v>2414715.6633600001</v>
      </c>
      <c r="K3766" s="4">
        <v>-113076.72</v>
      </c>
      <c r="L3766" s="4">
        <v>20</v>
      </c>
    </row>
    <row r="3767" spans="1:12">
      <c r="A3767" t="s">
        <v>264</v>
      </c>
      <c r="B3767" s="10">
        <v>45428</v>
      </c>
      <c r="C3767" s="18">
        <f t="shared" si="58"/>
        <v>5</v>
      </c>
      <c r="D3767" t="s">
        <v>196</v>
      </c>
      <c r="E3767">
        <v>4879074</v>
      </c>
      <c r="F3767" t="s">
        <v>8</v>
      </c>
      <c r="G3767" t="s">
        <v>202</v>
      </c>
      <c r="H3767" t="s">
        <v>261</v>
      </c>
      <c r="I3767" s="4">
        <v>41587.104800000001</v>
      </c>
      <c r="J3767" s="4">
        <v>207935.524</v>
      </c>
      <c r="K3767" s="4">
        <v>-10365.366</v>
      </c>
      <c r="L3767" s="4">
        <v>5</v>
      </c>
    </row>
    <row r="3768" spans="1:12">
      <c r="A3768" t="s">
        <v>264</v>
      </c>
      <c r="B3768" s="10">
        <v>45428</v>
      </c>
      <c r="C3768" s="18">
        <f t="shared" si="58"/>
        <v>5</v>
      </c>
      <c r="D3768" t="s">
        <v>196</v>
      </c>
      <c r="E3768">
        <v>4879074</v>
      </c>
      <c r="F3768" t="s">
        <v>8</v>
      </c>
      <c r="G3768" t="s">
        <v>202</v>
      </c>
      <c r="H3768" t="s">
        <v>257</v>
      </c>
      <c r="I3768" s="4">
        <v>56664.000799999994</v>
      </c>
      <c r="J3768" s="4">
        <v>283320.00399999996</v>
      </c>
      <c r="K3768" s="4">
        <v>-14134.59</v>
      </c>
      <c r="L3768" s="4">
        <v>5</v>
      </c>
    </row>
    <row r="3769" spans="1:12">
      <c r="A3769" t="s">
        <v>264</v>
      </c>
      <c r="B3769" s="10">
        <v>45428</v>
      </c>
      <c r="C3769" s="18">
        <f t="shared" si="58"/>
        <v>5</v>
      </c>
      <c r="D3769" t="s">
        <v>196</v>
      </c>
      <c r="E3769">
        <v>4879074</v>
      </c>
      <c r="F3769" t="s">
        <v>8</v>
      </c>
      <c r="G3769" t="s">
        <v>202</v>
      </c>
      <c r="H3769" t="s">
        <v>256</v>
      </c>
      <c r="I3769" s="4">
        <v>64202.448800000006</v>
      </c>
      <c r="J3769" s="4">
        <v>321012.24400000001</v>
      </c>
      <c r="K3769" s="4">
        <v>-16019.201999999999</v>
      </c>
      <c r="L3769" s="4">
        <v>5</v>
      </c>
    </row>
    <row r="3770" spans="1:12">
      <c r="A3770" t="s">
        <v>264</v>
      </c>
      <c r="B3770" s="10">
        <v>45429</v>
      </c>
      <c r="C3770" s="18">
        <f t="shared" si="58"/>
        <v>5</v>
      </c>
      <c r="D3770" t="s">
        <v>196</v>
      </c>
      <c r="E3770">
        <v>4871600</v>
      </c>
      <c r="F3770" t="s">
        <v>8</v>
      </c>
      <c r="G3770" t="s">
        <v>202</v>
      </c>
      <c r="H3770" t="s">
        <v>260</v>
      </c>
      <c r="I3770" s="4">
        <v>41587.104800000001</v>
      </c>
      <c r="J3770" s="4">
        <v>124761.3144</v>
      </c>
      <c r="K3770" s="4">
        <v>-6219.2196000000004</v>
      </c>
      <c r="L3770" s="4">
        <v>3</v>
      </c>
    </row>
    <row r="3771" spans="1:12">
      <c r="A3771" t="s">
        <v>264</v>
      </c>
      <c r="B3771" s="10">
        <v>45429</v>
      </c>
      <c r="C3771" s="18">
        <f t="shared" si="58"/>
        <v>5</v>
      </c>
      <c r="D3771" t="s">
        <v>196</v>
      </c>
      <c r="E3771">
        <v>4873921</v>
      </c>
      <c r="F3771" t="s">
        <v>8</v>
      </c>
      <c r="G3771" t="s">
        <v>202</v>
      </c>
      <c r="H3771" t="s">
        <v>261</v>
      </c>
      <c r="I3771" s="4">
        <v>41587.104800000001</v>
      </c>
      <c r="J3771" s="4">
        <v>332696.83840000001</v>
      </c>
      <c r="K3771" s="4">
        <v>-16584.585600000002</v>
      </c>
      <c r="L3771" s="4">
        <v>8</v>
      </c>
    </row>
    <row r="3772" spans="1:12">
      <c r="A3772" t="s">
        <v>264</v>
      </c>
      <c r="B3772" s="10">
        <v>45429</v>
      </c>
      <c r="C3772" s="18">
        <f t="shared" si="58"/>
        <v>5</v>
      </c>
      <c r="D3772" t="s">
        <v>196</v>
      </c>
      <c r="E3772">
        <v>4872141</v>
      </c>
      <c r="F3772" t="s">
        <v>8</v>
      </c>
      <c r="G3772" t="s">
        <v>203</v>
      </c>
      <c r="H3772" t="s">
        <v>224</v>
      </c>
      <c r="I3772" s="4">
        <v>100638.28079999999</v>
      </c>
      <c r="J3772" s="4">
        <v>1006382.808</v>
      </c>
      <c r="K3772" s="4">
        <v>-43346.076000000001</v>
      </c>
      <c r="L3772" s="4">
        <v>10</v>
      </c>
    </row>
    <row r="3773" spans="1:12">
      <c r="A3773" t="s">
        <v>264</v>
      </c>
      <c r="B3773" s="10">
        <v>45429</v>
      </c>
      <c r="C3773" s="18">
        <f t="shared" si="58"/>
        <v>5</v>
      </c>
      <c r="D3773" t="s">
        <v>196</v>
      </c>
      <c r="E3773">
        <v>4872141</v>
      </c>
      <c r="F3773" t="s">
        <v>8</v>
      </c>
      <c r="G3773" t="s">
        <v>203</v>
      </c>
      <c r="H3773" t="s">
        <v>223</v>
      </c>
      <c r="I3773" s="4">
        <v>100638.28079999999</v>
      </c>
      <c r="J3773" s="4">
        <v>1006382.808</v>
      </c>
      <c r="K3773" s="4">
        <v>-43346.076000000001</v>
      </c>
      <c r="L3773" s="4">
        <v>10</v>
      </c>
    </row>
    <row r="3774" spans="1:12">
      <c r="A3774" t="s">
        <v>264</v>
      </c>
      <c r="B3774" s="10">
        <v>45429</v>
      </c>
      <c r="C3774" s="18">
        <f t="shared" si="58"/>
        <v>5</v>
      </c>
      <c r="D3774" t="s">
        <v>196</v>
      </c>
      <c r="E3774">
        <v>4872141</v>
      </c>
      <c r="F3774" t="s">
        <v>8</v>
      </c>
      <c r="G3774" t="s">
        <v>203</v>
      </c>
      <c r="H3774" t="s">
        <v>244</v>
      </c>
      <c r="I3774" s="4">
        <v>125766.4408</v>
      </c>
      <c r="J3774" s="4">
        <v>1257664.4080000001</v>
      </c>
      <c r="K3774" s="4">
        <v>-56538.36</v>
      </c>
      <c r="L3774" s="4">
        <v>10</v>
      </c>
    </row>
    <row r="3775" spans="1:12">
      <c r="A3775" t="s">
        <v>264</v>
      </c>
      <c r="B3775" s="10">
        <v>45430</v>
      </c>
      <c r="C3775" s="18">
        <f t="shared" si="58"/>
        <v>5</v>
      </c>
      <c r="D3775" t="s">
        <v>196</v>
      </c>
      <c r="E3775">
        <v>4872158</v>
      </c>
      <c r="F3775" t="s">
        <v>8</v>
      </c>
      <c r="G3775" t="s">
        <v>202</v>
      </c>
      <c r="H3775" t="s">
        <v>254</v>
      </c>
      <c r="I3775" s="4">
        <v>37817.880799999999</v>
      </c>
      <c r="J3775" s="4">
        <v>1890894.04</v>
      </c>
      <c r="K3775" s="4">
        <v>-94230.6</v>
      </c>
      <c r="L3775" s="4">
        <v>50</v>
      </c>
    </row>
    <row r="3776" spans="1:12">
      <c r="A3776" t="s">
        <v>264</v>
      </c>
      <c r="B3776" s="10">
        <v>45430</v>
      </c>
      <c r="C3776" s="18">
        <f t="shared" si="58"/>
        <v>5</v>
      </c>
      <c r="D3776" t="s">
        <v>196</v>
      </c>
      <c r="E3776">
        <v>4877269</v>
      </c>
      <c r="F3776" t="s">
        <v>8</v>
      </c>
      <c r="G3776" t="s">
        <v>202</v>
      </c>
      <c r="H3776" t="s">
        <v>261</v>
      </c>
      <c r="I3776" s="4">
        <v>41587.104800000001</v>
      </c>
      <c r="J3776" s="4">
        <v>249522.62880000001</v>
      </c>
      <c r="K3776" s="4">
        <v>-12438.439200000001</v>
      </c>
      <c r="L3776" s="4">
        <v>6</v>
      </c>
    </row>
    <row r="3777" spans="1:12">
      <c r="A3777" t="s">
        <v>264</v>
      </c>
      <c r="B3777" s="10">
        <v>45430</v>
      </c>
      <c r="C3777" s="18">
        <f t="shared" si="58"/>
        <v>5</v>
      </c>
      <c r="D3777" t="s">
        <v>196</v>
      </c>
      <c r="E3777">
        <v>4877269</v>
      </c>
      <c r="F3777" t="s">
        <v>8</v>
      </c>
      <c r="G3777" t="s">
        <v>202</v>
      </c>
      <c r="H3777" t="s">
        <v>260</v>
      </c>
      <c r="I3777" s="4">
        <v>41587.104800000001</v>
      </c>
      <c r="J3777" s="4">
        <v>83174.209600000002</v>
      </c>
      <c r="K3777" s="4">
        <v>-4146.1464000000005</v>
      </c>
      <c r="L3777" s="4">
        <v>2</v>
      </c>
    </row>
    <row r="3778" spans="1:12">
      <c r="A3778" t="s">
        <v>264</v>
      </c>
      <c r="B3778" s="10">
        <v>45430</v>
      </c>
      <c r="C3778" s="18">
        <f t="shared" ref="C3778:C3841" si="59">MONTH(B3778)</f>
        <v>5</v>
      </c>
      <c r="D3778" t="s">
        <v>196</v>
      </c>
      <c r="E3778">
        <v>4871657</v>
      </c>
      <c r="F3778" t="s">
        <v>8</v>
      </c>
      <c r="G3778" t="s">
        <v>203</v>
      </c>
      <c r="H3778" t="s">
        <v>234</v>
      </c>
      <c r="I3778" s="4">
        <v>100638.28079999999</v>
      </c>
      <c r="J3778" s="4">
        <v>-201276.56159999999</v>
      </c>
      <c r="K3778" s="4">
        <v>8669.2151999999987</v>
      </c>
      <c r="L3778" s="4">
        <v>-2</v>
      </c>
    </row>
    <row r="3779" spans="1:12">
      <c r="A3779" t="s">
        <v>264</v>
      </c>
      <c r="B3779" s="10">
        <v>45430</v>
      </c>
      <c r="C3779" s="18">
        <f t="shared" si="59"/>
        <v>5</v>
      </c>
      <c r="D3779" t="s">
        <v>196</v>
      </c>
      <c r="E3779">
        <v>4871657</v>
      </c>
      <c r="F3779" t="s">
        <v>8</v>
      </c>
      <c r="G3779" t="s">
        <v>202</v>
      </c>
      <c r="H3779" t="s">
        <v>260</v>
      </c>
      <c r="I3779" s="4">
        <v>41587.104800000001</v>
      </c>
      <c r="J3779" s="4">
        <v>0</v>
      </c>
    </row>
    <row r="3780" spans="1:12">
      <c r="A3780" t="s">
        <v>264</v>
      </c>
      <c r="B3780" s="10">
        <v>45430</v>
      </c>
      <c r="C3780" s="18">
        <f t="shared" si="59"/>
        <v>5</v>
      </c>
      <c r="D3780" t="s">
        <v>196</v>
      </c>
      <c r="E3780">
        <v>4876759</v>
      </c>
      <c r="F3780" t="s">
        <v>8</v>
      </c>
      <c r="G3780" t="s">
        <v>203</v>
      </c>
      <c r="H3780" t="s">
        <v>236</v>
      </c>
      <c r="I3780" s="4">
        <v>100638.28079999999</v>
      </c>
      <c r="J3780" s="4">
        <v>805106.24639999995</v>
      </c>
      <c r="K3780" s="4">
        <v>-34676.860799999995</v>
      </c>
      <c r="L3780" s="4">
        <v>8</v>
      </c>
    </row>
    <row r="3781" spans="1:12">
      <c r="A3781" t="s">
        <v>264</v>
      </c>
      <c r="B3781" s="10">
        <v>45430</v>
      </c>
      <c r="C3781" s="18">
        <f t="shared" si="59"/>
        <v>5</v>
      </c>
      <c r="D3781" t="s">
        <v>196</v>
      </c>
      <c r="E3781">
        <v>4876759</v>
      </c>
      <c r="F3781" t="s">
        <v>8</v>
      </c>
      <c r="G3781" t="s">
        <v>203</v>
      </c>
      <c r="H3781" t="s">
        <v>234</v>
      </c>
      <c r="I3781" s="4">
        <v>100638.28079999999</v>
      </c>
      <c r="J3781" s="4">
        <v>805106.24639999995</v>
      </c>
      <c r="K3781" s="4">
        <v>-34676.860799999995</v>
      </c>
      <c r="L3781" s="4">
        <v>8</v>
      </c>
    </row>
    <row r="3782" spans="1:12">
      <c r="A3782" t="s">
        <v>264</v>
      </c>
      <c r="B3782" s="10">
        <v>45430</v>
      </c>
      <c r="C3782" s="18">
        <f t="shared" si="59"/>
        <v>5</v>
      </c>
      <c r="D3782" t="s">
        <v>196</v>
      </c>
      <c r="E3782">
        <v>4876759</v>
      </c>
      <c r="F3782" t="s">
        <v>8</v>
      </c>
      <c r="G3782" t="s">
        <v>203</v>
      </c>
      <c r="H3782" t="s">
        <v>224</v>
      </c>
      <c r="I3782" s="4">
        <v>100638.28079999999</v>
      </c>
      <c r="J3782" s="4">
        <v>805106.24639999995</v>
      </c>
      <c r="K3782" s="4">
        <v>-34676.860799999995</v>
      </c>
      <c r="L3782" s="4">
        <v>8</v>
      </c>
    </row>
    <row r="3783" spans="1:12">
      <c r="A3783" t="s">
        <v>264</v>
      </c>
      <c r="B3783" s="10">
        <v>45430</v>
      </c>
      <c r="C3783" s="18">
        <f t="shared" si="59"/>
        <v>5</v>
      </c>
      <c r="D3783" t="s">
        <v>196</v>
      </c>
      <c r="E3783">
        <v>4876759</v>
      </c>
      <c r="F3783" t="s">
        <v>8</v>
      </c>
      <c r="G3783" t="s">
        <v>203</v>
      </c>
      <c r="H3783" t="s">
        <v>223</v>
      </c>
      <c r="I3783" s="4">
        <v>100638.28079999999</v>
      </c>
      <c r="J3783" s="4">
        <v>805106.24639999995</v>
      </c>
      <c r="K3783" s="4">
        <v>-34676.860799999995</v>
      </c>
      <c r="L3783" s="4">
        <v>8</v>
      </c>
    </row>
    <row r="3784" spans="1:12">
      <c r="A3784" t="s">
        <v>264</v>
      </c>
      <c r="B3784" s="10">
        <v>45430</v>
      </c>
      <c r="C3784" s="18">
        <f t="shared" si="59"/>
        <v>5</v>
      </c>
      <c r="D3784" t="s">
        <v>196</v>
      </c>
      <c r="E3784">
        <v>4876759</v>
      </c>
      <c r="F3784" t="s">
        <v>8</v>
      </c>
      <c r="G3784" t="s">
        <v>203</v>
      </c>
      <c r="H3784" t="s">
        <v>244</v>
      </c>
      <c r="I3784" s="4">
        <v>125766.4408</v>
      </c>
      <c r="J3784" s="4">
        <v>1257664.4080000001</v>
      </c>
      <c r="K3784" s="4">
        <v>-56538.36</v>
      </c>
      <c r="L3784" s="4">
        <v>10</v>
      </c>
    </row>
    <row r="3785" spans="1:12">
      <c r="A3785" t="s">
        <v>264</v>
      </c>
      <c r="B3785" s="10">
        <v>45430</v>
      </c>
      <c r="C3785" s="18">
        <f t="shared" si="59"/>
        <v>5</v>
      </c>
      <c r="D3785" t="s">
        <v>196</v>
      </c>
      <c r="E3785">
        <v>4876759</v>
      </c>
      <c r="F3785" t="s">
        <v>8</v>
      </c>
      <c r="G3785" t="s">
        <v>203</v>
      </c>
      <c r="H3785" t="s">
        <v>233</v>
      </c>
      <c r="I3785" s="4">
        <v>120735.78316800001</v>
      </c>
      <c r="J3785" s="4">
        <v>1207357.8316800001</v>
      </c>
      <c r="K3785" s="4">
        <v>-56538.36</v>
      </c>
      <c r="L3785" s="4">
        <v>10</v>
      </c>
    </row>
    <row r="3786" spans="1:12">
      <c r="A3786" t="s">
        <v>264</v>
      </c>
      <c r="B3786" s="10">
        <v>45430</v>
      </c>
      <c r="C3786" s="18">
        <f t="shared" si="59"/>
        <v>5</v>
      </c>
      <c r="D3786" t="s">
        <v>196</v>
      </c>
      <c r="E3786">
        <v>4877306</v>
      </c>
      <c r="F3786" t="s">
        <v>8</v>
      </c>
      <c r="G3786" t="s">
        <v>203</v>
      </c>
      <c r="H3786" t="s">
        <v>234</v>
      </c>
      <c r="I3786" s="4">
        <v>100638.28079999999</v>
      </c>
      <c r="J3786" s="4">
        <v>201276.56159999999</v>
      </c>
      <c r="K3786" s="4">
        <v>-8669.2151999999987</v>
      </c>
      <c r="L3786" s="4">
        <v>2</v>
      </c>
    </row>
    <row r="3787" spans="1:12">
      <c r="A3787" t="s">
        <v>264</v>
      </c>
      <c r="B3787" s="10">
        <v>45430</v>
      </c>
      <c r="C3787" s="18">
        <f t="shared" si="59"/>
        <v>5</v>
      </c>
      <c r="D3787" t="s">
        <v>196</v>
      </c>
      <c r="E3787">
        <v>4877306</v>
      </c>
      <c r="F3787" t="s">
        <v>8</v>
      </c>
      <c r="G3787" t="s">
        <v>202</v>
      </c>
      <c r="H3787" t="s">
        <v>260</v>
      </c>
      <c r="I3787" s="4">
        <v>41587.104800000001</v>
      </c>
      <c r="J3787" s="4">
        <v>291109.73360000004</v>
      </c>
      <c r="K3787" s="4">
        <v>-14511.5124</v>
      </c>
      <c r="L3787" s="4">
        <v>7</v>
      </c>
    </row>
    <row r="3788" spans="1:12">
      <c r="A3788" t="s">
        <v>264</v>
      </c>
      <c r="B3788" s="10">
        <v>45431</v>
      </c>
      <c r="C3788" s="18">
        <f t="shared" si="59"/>
        <v>5</v>
      </c>
      <c r="D3788" t="s">
        <v>196</v>
      </c>
      <c r="E3788">
        <v>4871600</v>
      </c>
      <c r="F3788" t="s">
        <v>8</v>
      </c>
      <c r="G3788" t="s">
        <v>204</v>
      </c>
      <c r="H3788" t="s">
        <v>218</v>
      </c>
      <c r="I3788" s="4">
        <v>71740.896800000002</v>
      </c>
      <c r="J3788" s="4">
        <v>-143481.7936</v>
      </c>
      <c r="K3788" s="4">
        <v>7161.525599999999</v>
      </c>
      <c r="L3788" s="4">
        <v>-2</v>
      </c>
    </row>
    <row r="3789" spans="1:12">
      <c r="A3789" t="s">
        <v>264</v>
      </c>
      <c r="B3789" s="10">
        <v>45431</v>
      </c>
      <c r="C3789" s="18">
        <f t="shared" si="59"/>
        <v>5</v>
      </c>
      <c r="D3789" t="s">
        <v>196</v>
      </c>
      <c r="E3789">
        <v>4871600</v>
      </c>
      <c r="F3789" t="s">
        <v>8</v>
      </c>
      <c r="G3789" t="s">
        <v>204</v>
      </c>
      <c r="H3789" t="s">
        <v>215</v>
      </c>
      <c r="I3789" s="4">
        <v>75510.12079999999</v>
      </c>
      <c r="J3789" s="4">
        <v>-226530.36239999998</v>
      </c>
      <c r="K3789" s="4">
        <v>11307.672</v>
      </c>
      <c r="L3789" s="4">
        <v>-3</v>
      </c>
    </row>
    <row r="3790" spans="1:12">
      <c r="A3790" t="s">
        <v>264</v>
      </c>
      <c r="B3790" s="10">
        <v>45431</v>
      </c>
      <c r="C3790" s="18">
        <f t="shared" si="59"/>
        <v>5</v>
      </c>
      <c r="D3790" t="s">
        <v>196</v>
      </c>
      <c r="E3790">
        <v>4871600</v>
      </c>
      <c r="F3790" t="s">
        <v>8</v>
      </c>
      <c r="G3790" t="s">
        <v>204</v>
      </c>
      <c r="H3790" t="s">
        <v>214</v>
      </c>
      <c r="I3790" s="4">
        <v>119484.4008</v>
      </c>
      <c r="J3790" s="4">
        <v>-477937.60320000001</v>
      </c>
      <c r="K3790" s="4">
        <v>23871.752</v>
      </c>
      <c r="L3790" s="4">
        <v>-4</v>
      </c>
    </row>
    <row r="3791" spans="1:12">
      <c r="A3791" t="s">
        <v>264</v>
      </c>
      <c r="B3791" s="10">
        <v>45431</v>
      </c>
      <c r="C3791" s="18">
        <f t="shared" si="59"/>
        <v>5</v>
      </c>
      <c r="D3791" t="s">
        <v>196</v>
      </c>
      <c r="E3791">
        <v>4871600</v>
      </c>
      <c r="F3791" t="s">
        <v>8</v>
      </c>
      <c r="G3791" t="s">
        <v>204</v>
      </c>
      <c r="H3791" t="s">
        <v>213</v>
      </c>
      <c r="I3791" s="4">
        <v>119484.4008</v>
      </c>
      <c r="J3791" s="4">
        <v>-358453.20240000001</v>
      </c>
      <c r="K3791" s="4">
        <v>17903.814000000002</v>
      </c>
      <c r="L3791" s="4">
        <v>-3</v>
      </c>
    </row>
    <row r="3792" spans="1:12">
      <c r="A3792" t="s">
        <v>264</v>
      </c>
      <c r="B3792" s="10">
        <v>45431</v>
      </c>
      <c r="C3792" s="18">
        <f t="shared" si="59"/>
        <v>5</v>
      </c>
      <c r="D3792" t="s">
        <v>196</v>
      </c>
      <c r="E3792">
        <v>4872706</v>
      </c>
      <c r="F3792" t="s">
        <v>8</v>
      </c>
      <c r="G3792" t="s">
        <v>204</v>
      </c>
      <c r="H3792" t="s">
        <v>216</v>
      </c>
      <c r="I3792" s="4">
        <v>113202.36079999999</v>
      </c>
      <c r="J3792" s="4">
        <v>113202.36079999999</v>
      </c>
      <c r="K3792" s="4">
        <v>-5653.8360000000002</v>
      </c>
      <c r="L3792" s="4">
        <v>1</v>
      </c>
    </row>
    <row r="3793" spans="1:12">
      <c r="A3793" t="s">
        <v>264</v>
      </c>
      <c r="B3793" s="10">
        <v>45431</v>
      </c>
      <c r="C3793" s="18">
        <f t="shared" si="59"/>
        <v>5</v>
      </c>
      <c r="D3793" t="s">
        <v>196</v>
      </c>
      <c r="E3793">
        <v>4872058</v>
      </c>
      <c r="F3793" t="s">
        <v>8</v>
      </c>
      <c r="G3793" t="s">
        <v>203</v>
      </c>
      <c r="H3793" t="s">
        <v>244</v>
      </c>
      <c r="I3793" s="4">
        <v>125766.4408</v>
      </c>
      <c r="J3793" s="4">
        <v>1257664.4080000001</v>
      </c>
      <c r="K3793" s="4">
        <v>-56538.36</v>
      </c>
      <c r="L3793" s="4">
        <v>10</v>
      </c>
    </row>
    <row r="3794" spans="1:12">
      <c r="A3794" t="s">
        <v>264</v>
      </c>
      <c r="B3794" s="10">
        <v>45431</v>
      </c>
      <c r="C3794" s="18">
        <f t="shared" si="59"/>
        <v>5</v>
      </c>
      <c r="D3794" t="s">
        <v>196</v>
      </c>
      <c r="E3794">
        <v>4872058</v>
      </c>
      <c r="F3794" t="s">
        <v>8</v>
      </c>
      <c r="G3794" t="s">
        <v>203</v>
      </c>
      <c r="H3794" t="s">
        <v>233</v>
      </c>
      <c r="I3794" s="4">
        <v>120735.78316800001</v>
      </c>
      <c r="J3794" s="4">
        <v>1207357.8316800001</v>
      </c>
      <c r="K3794" s="4">
        <v>-56538.36</v>
      </c>
      <c r="L3794" s="4">
        <v>10</v>
      </c>
    </row>
    <row r="3795" spans="1:12">
      <c r="A3795" t="s">
        <v>264</v>
      </c>
      <c r="B3795" s="10">
        <v>45431</v>
      </c>
      <c r="C3795" s="18">
        <f t="shared" si="59"/>
        <v>5</v>
      </c>
      <c r="D3795" t="s">
        <v>196</v>
      </c>
      <c r="E3795">
        <v>4872068</v>
      </c>
      <c r="F3795" t="s">
        <v>8</v>
      </c>
      <c r="G3795" t="s">
        <v>203</v>
      </c>
      <c r="H3795" t="s">
        <v>234</v>
      </c>
      <c r="I3795" s="4">
        <v>100638.28079999999</v>
      </c>
      <c r="J3795" s="4">
        <v>603829.68479999993</v>
      </c>
      <c r="K3795" s="4">
        <v>-26007.645599999996</v>
      </c>
      <c r="L3795" s="4">
        <v>6</v>
      </c>
    </row>
    <row r="3796" spans="1:12">
      <c r="A3796" t="s">
        <v>264</v>
      </c>
      <c r="B3796" s="10">
        <v>45431</v>
      </c>
      <c r="C3796" s="18">
        <f t="shared" si="59"/>
        <v>5</v>
      </c>
      <c r="D3796" t="s">
        <v>196</v>
      </c>
      <c r="E3796">
        <v>4872158</v>
      </c>
      <c r="F3796" t="s">
        <v>8</v>
      </c>
      <c r="G3796" t="s">
        <v>203</v>
      </c>
      <c r="H3796" t="s">
        <v>236</v>
      </c>
      <c r="I3796" s="4">
        <v>100638.28079999999</v>
      </c>
      <c r="J3796" s="4">
        <v>6642126.5327999992</v>
      </c>
      <c r="K3796" s="4">
        <v>-286084.10159999999</v>
      </c>
      <c r="L3796" s="4">
        <v>66</v>
      </c>
    </row>
    <row r="3797" spans="1:12">
      <c r="A3797" t="s">
        <v>264</v>
      </c>
      <c r="B3797" s="10">
        <v>45431</v>
      </c>
      <c r="C3797" s="18">
        <f t="shared" si="59"/>
        <v>5</v>
      </c>
      <c r="D3797" t="s">
        <v>196</v>
      </c>
      <c r="E3797">
        <v>4872158</v>
      </c>
      <c r="F3797" t="s">
        <v>8</v>
      </c>
      <c r="G3797" t="s">
        <v>203</v>
      </c>
      <c r="H3797" t="s">
        <v>234</v>
      </c>
      <c r="I3797" s="4">
        <v>100638.28079999999</v>
      </c>
      <c r="J3797" s="4">
        <v>4025531.2319999998</v>
      </c>
      <c r="K3797" s="4">
        <v>-173384.304</v>
      </c>
      <c r="L3797" s="4">
        <v>40</v>
      </c>
    </row>
    <row r="3798" spans="1:12">
      <c r="A3798" t="s">
        <v>264</v>
      </c>
      <c r="B3798" s="10">
        <v>45431</v>
      </c>
      <c r="C3798" s="18">
        <f t="shared" si="59"/>
        <v>5</v>
      </c>
      <c r="D3798" t="s">
        <v>196</v>
      </c>
      <c r="E3798">
        <v>4872158</v>
      </c>
      <c r="F3798" t="s">
        <v>8</v>
      </c>
      <c r="G3798" t="s">
        <v>203</v>
      </c>
      <c r="H3798" t="s">
        <v>224</v>
      </c>
      <c r="I3798" s="4">
        <v>100638.28079999999</v>
      </c>
      <c r="J3798" s="4">
        <v>8051062.4639999997</v>
      </c>
      <c r="K3798" s="4">
        <v>-346768.60800000001</v>
      </c>
      <c r="L3798" s="4">
        <v>80</v>
      </c>
    </row>
    <row r="3799" spans="1:12">
      <c r="A3799" t="s">
        <v>264</v>
      </c>
      <c r="B3799" s="10">
        <v>45431</v>
      </c>
      <c r="C3799" s="18">
        <f t="shared" si="59"/>
        <v>5</v>
      </c>
      <c r="D3799" t="s">
        <v>196</v>
      </c>
      <c r="E3799">
        <v>4872158</v>
      </c>
      <c r="F3799" t="s">
        <v>8</v>
      </c>
      <c r="G3799" t="s">
        <v>203</v>
      </c>
      <c r="H3799" t="s">
        <v>223</v>
      </c>
      <c r="I3799" s="4">
        <v>100638.28079999999</v>
      </c>
      <c r="J3799" s="4">
        <v>8051062.4639999997</v>
      </c>
      <c r="K3799" s="4">
        <v>-346768.60800000001</v>
      </c>
      <c r="L3799" s="4">
        <v>80</v>
      </c>
    </row>
    <row r="3800" spans="1:12">
      <c r="A3800" t="s">
        <v>264</v>
      </c>
      <c r="B3800" s="10">
        <v>45431</v>
      </c>
      <c r="C3800" s="18">
        <f t="shared" si="59"/>
        <v>5</v>
      </c>
      <c r="D3800" t="s">
        <v>196</v>
      </c>
      <c r="E3800">
        <v>4872158</v>
      </c>
      <c r="F3800" t="s">
        <v>8</v>
      </c>
      <c r="G3800" t="s">
        <v>203</v>
      </c>
      <c r="H3800" t="s">
        <v>244</v>
      </c>
      <c r="I3800" s="4">
        <v>125766.4408</v>
      </c>
      <c r="J3800" s="4">
        <v>2515328.8160000001</v>
      </c>
      <c r="K3800" s="4">
        <v>-113076.72</v>
      </c>
      <c r="L3800" s="4">
        <v>20</v>
      </c>
    </row>
    <row r="3801" spans="1:12">
      <c r="A3801" t="s">
        <v>264</v>
      </c>
      <c r="B3801" s="10">
        <v>45431</v>
      </c>
      <c r="C3801" s="18">
        <f t="shared" si="59"/>
        <v>5</v>
      </c>
      <c r="D3801" t="s">
        <v>196</v>
      </c>
      <c r="E3801">
        <v>4872158</v>
      </c>
      <c r="F3801" t="s">
        <v>8</v>
      </c>
      <c r="G3801" t="s">
        <v>203</v>
      </c>
      <c r="H3801" t="s">
        <v>233</v>
      </c>
      <c r="I3801" s="4">
        <v>120735.78316800001</v>
      </c>
      <c r="J3801" s="4">
        <v>1207357.8316800001</v>
      </c>
      <c r="K3801" s="4">
        <v>-56538.36</v>
      </c>
      <c r="L3801" s="4">
        <v>10</v>
      </c>
    </row>
    <row r="3802" spans="1:12">
      <c r="A3802" t="s">
        <v>264</v>
      </c>
      <c r="B3802" s="10">
        <v>45431</v>
      </c>
      <c r="C3802" s="18">
        <f t="shared" si="59"/>
        <v>5</v>
      </c>
      <c r="D3802" t="s">
        <v>196</v>
      </c>
      <c r="E3802">
        <v>4877269</v>
      </c>
      <c r="F3802" t="s">
        <v>8</v>
      </c>
      <c r="G3802" t="s">
        <v>204</v>
      </c>
      <c r="H3802" t="s">
        <v>212</v>
      </c>
      <c r="I3802" s="4">
        <v>62946.040799999995</v>
      </c>
      <c r="J3802" s="4">
        <v>629460.40799999994</v>
      </c>
      <c r="K3802" s="4">
        <v>-18846.12</v>
      </c>
      <c r="L3802" s="4">
        <v>10</v>
      </c>
    </row>
    <row r="3803" spans="1:12">
      <c r="A3803" t="s">
        <v>264</v>
      </c>
      <c r="B3803" s="10">
        <v>45431</v>
      </c>
      <c r="C3803" s="18">
        <f t="shared" si="59"/>
        <v>5</v>
      </c>
      <c r="D3803" t="s">
        <v>196</v>
      </c>
      <c r="E3803">
        <v>4871657</v>
      </c>
      <c r="F3803" t="s">
        <v>8</v>
      </c>
      <c r="G3803" t="s">
        <v>204</v>
      </c>
      <c r="H3803" t="s">
        <v>216</v>
      </c>
      <c r="I3803" s="4">
        <v>113202.36079999999</v>
      </c>
      <c r="J3803" s="4">
        <v>113202.36079999999</v>
      </c>
      <c r="K3803" s="4">
        <v>-5653.8360000000002</v>
      </c>
      <c r="L3803" s="4">
        <v>1</v>
      </c>
    </row>
    <row r="3804" spans="1:12">
      <c r="A3804" t="s">
        <v>264</v>
      </c>
      <c r="B3804" s="10">
        <v>45431</v>
      </c>
      <c r="C3804" s="18">
        <f t="shared" si="59"/>
        <v>5</v>
      </c>
      <c r="D3804" t="s">
        <v>196</v>
      </c>
      <c r="E3804">
        <v>4871657</v>
      </c>
      <c r="F3804" t="s">
        <v>8</v>
      </c>
      <c r="G3804" t="s">
        <v>204</v>
      </c>
      <c r="H3804" t="s">
        <v>215</v>
      </c>
      <c r="I3804" s="4">
        <v>75510.12079999999</v>
      </c>
      <c r="J3804" s="4">
        <v>75510.12079999999</v>
      </c>
      <c r="K3804" s="4">
        <v>-3769.2239999999997</v>
      </c>
      <c r="L3804" s="4">
        <v>1</v>
      </c>
    </row>
    <row r="3805" spans="1:12">
      <c r="A3805" t="s">
        <v>264</v>
      </c>
      <c r="B3805" s="10">
        <v>45431</v>
      </c>
      <c r="C3805" s="18">
        <f t="shared" si="59"/>
        <v>5</v>
      </c>
      <c r="D3805" t="s">
        <v>196</v>
      </c>
      <c r="E3805">
        <v>4871657</v>
      </c>
      <c r="F3805" t="s">
        <v>8</v>
      </c>
      <c r="G3805" t="s">
        <v>204</v>
      </c>
      <c r="H3805" t="s">
        <v>214</v>
      </c>
      <c r="I3805" s="4">
        <v>119484.4008</v>
      </c>
      <c r="J3805" s="4">
        <v>119484.4008</v>
      </c>
      <c r="K3805" s="4">
        <v>-5967.9380000000001</v>
      </c>
      <c r="L3805" s="4">
        <v>1</v>
      </c>
    </row>
    <row r="3806" spans="1:12">
      <c r="A3806" t="s">
        <v>264</v>
      </c>
      <c r="B3806" s="10">
        <v>45431</v>
      </c>
      <c r="C3806" s="18">
        <f t="shared" si="59"/>
        <v>5</v>
      </c>
      <c r="D3806" t="s">
        <v>196</v>
      </c>
      <c r="E3806">
        <v>4871657</v>
      </c>
      <c r="F3806" t="s">
        <v>8</v>
      </c>
      <c r="G3806" t="s">
        <v>204</v>
      </c>
      <c r="H3806" t="s">
        <v>220</v>
      </c>
      <c r="I3806" s="4">
        <v>37817.880799999999</v>
      </c>
      <c r="J3806" s="4">
        <v>151271.5232</v>
      </c>
      <c r="K3806" s="4">
        <v>-7538.4479999999994</v>
      </c>
      <c r="L3806" s="4">
        <v>4</v>
      </c>
    </row>
    <row r="3807" spans="1:12">
      <c r="A3807" t="s">
        <v>264</v>
      </c>
      <c r="B3807" s="10">
        <v>45431</v>
      </c>
      <c r="C3807" s="18">
        <f t="shared" si="59"/>
        <v>5</v>
      </c>
      <c r="D3807" t="s">
        <v>196</v>
      </c>
      <c r="E3807">
        <v>4871657</v>
      </c>
      <c r="F3807" t="s">
        <v>8</v>
      </c>
      <c r="G3807" t="s">
        <v>204</v>
      </c>
      <c r="H3807" t="s">
        <v>212</v>
      </c>
      <c r="I3807" s="4">
        <v>62946.040799999995</v>
      </c>
      <c r="J3807" s="4">
        <v>251784.16319999998</v>
      </c>
      <c r="K3807" s="4">
        <v>-7538.4479999999994</v>
      </c>
      <c r="L3807" s="4">
        <v>4</v>
      </c>
    </row>
    <row r="3808" spans="1:12">
      <c r="A3808" t="s">
        <v>264</v>
      </c>
      <c r="B3808" s="10">
        <v>45431</v>
      </c>
      <c r="C3808" s="18">
        <f t="shared" si="59"/>
        <v>5</v>
      </c>
      <c r="D3808" t="s">
        <v>196</v>
      </c>
      <c r="E3808">
        <v>4872592</v>
      </c>
      <c r="F3808" t="s">
        <v>8</v>
      </c>
      <c r="G3808" t="s">
        <v>204</v>
      </c>
      <c r="H3808" t="s">
        <v>212</v>
      </c>
      <c r="I3808" s="4">
        <v>62946.040799999995</v>
      </c>
      <c r="J3808" s="4">
        <v>2266057.4687999999</v>
      </c>
      <c r="K3808" s="4">
        <v>-67846.032000000007</v>
      </c>
      <c r="L3808" s="4">
        <v>36</v>
      </c>
    </row>
    <row r="3809" spans="1:12">
      <c r="A3809" t="s">
        <v>264</v>
      </c>
      <c r="B3809" s="10">
        <v>45432</v>
      </c>
      <c r="C3809" s="18">
        <f t="shared" si="59"/>
        <v>5</v>
      </c>
      <c r="D3809" t="s">
        <v>196</v>
      </c>
      <c r="E3809">
        <v>4878874</v>
      </c>
      <c r="F3809" t="s">
        <v>8</v>
      </c>
      <c r="G3809" t="s">
        <v>206</v>
      </c>
      <c r="H3809" t="s">
        <v>249</v>
      </c>
      <c r="I3809" s="4">
        <v>17715.352800000001</v>
      </c>
      <c r="J3809" s="4">
        <v>1771535.28</v>
      </c>
      <c r="K3809" s="4">
        <v>-175897.12</v>
      </c>
      <c r="L3809" s="4">
        <v>100</v>
      </c>
    </row>
    <row r="3810" spans="1:12">
      <c r="A3810" t="s">
        <v>264</v>
      </c>
      <c r="B3810" s="10">
        <v>45432</v>
      </c>
      <c r="C3810" s="18">
        <f t="shared" si="59"/>
        <v>5</v>
      </c>
      <c r="D3810" t="s">
        <v>196</v>
      </c>
      <c r="E3810">
        <v>4874006</v>
      </c>
      <c r="F3810" t="s">
        <v>8</v>
      </c>
      <c r="G3810" t="s">
        <v>203</v>
      </c>
      <c r="H3810" t="s">
        <v>234</v>
      </c>
      <c r="I3810" s="4">
        <v>100638.28079999999</v>
      </c>
      <c r="J3810" s="4">
        <v>1610212.4927999999</v>
      </c>
      <c r="K3810" s="4">
        <v>-69353.72159999999</v>
      </c>
      <c r="L3810" s="4">
        <v>16</v>
      </c>
    </row>
    <row r="3811" spans="1:12">
      <c r="A3811" t="s">
        <v>264</v>
      </c>
      <c r="B3811" s="10">
        <v>45432</v>
      </c>
      <c r="C3811" s="18">
        <f t="shared" si="59"/>
        <v>5</v>
      </c>
      <c r="D3811" t="s">
        <v>196</v>
      </c>
      <c r="E3811">
        <v>4874006</v>
      </c>
      <c r="F3811" t="s">
        <v>8</v>
      </c>
      <c r="G3811" t="s">
        <v>203</v>
      </c>
      <c r="H3811" t="s">
        <v>244</v>
      </c>
      <c r="I3811" s="4">
        <v>125766.4408</v>
      </c>
      <c r="J3811" s="4">
        <v>1886496.612</v>
      </c>
      <c r="K3811" s="4">
        <v>-84807.54</v>
      </c>
      <c r="L3811" s="4">
        <v>15</v>
      </c>
    </row>
    <row r="3812" spans="1:12">
      <c r="A3812" t="s">
        <v>264</v>
      </c>
      <c r="B3812" s="10">
        <v>45432</v>
      </c>
      <c r="C3812" s="18">
        <f t="shared" si="59"/>
        <v>5</v>
      </c>
      <c r="D3812" t="s">
        <v>196</v>
      </c>
      <c r="E3812">
        <v>4872158</v>
      </c>
      <c r="F3812" t="s">
        <v>8</v>
      </c>
      <c r="G3812" t="s">
        <v>203</v>
      </c>
      <c r="H3812" t="s">
        <v>244</v>
      </c>
      <c r="I3812" s="4">
        <v>125766.4408</v>
      </c>
      <c r="J3812" s="4">
        <v>-125766.4408</v>
      </c>
      <c r="K3812" s="4">
        <v>5653.8360000000002</v>
      </c>
      <c r="L3812" s="4">
        <v>-1</v>
      </c>
    </row>
    <row r="3813" spans="1:12">
      <c r="A3813" t="s">
        <v>264</v>
      </c>
      <c r="B3813" s="10">
        <v>45432</v>
      </c>
      <c r="C3813" s="18">
        <f t="shared" si="59"/>
        <v>5</v>
      </c>
      <c r="D3813" t="s">
        <v>196</v>
      </c>
      <c r="E3813">
        <v>4872158</v>
      </c>
      <c r="F3813" t="s">
        <v>8</v>
      </c>
      <c r="G3813" t="s">
        <v>203</v>
      </c>
      <c r="H3813" t="s">
        <v>231</v>
      </c>
      <c r="I3813" s="4">
        <v>125766.4408</v>
      </c>
      <c r="J3813" s="4">
        <v>-125766.4408</v>
      </c>
      <c r="K3813" s="4">
        <v>5653.8360000000002</v>
      </c>
      <c r="L3813" s="4">
        <v>-1</v>
      </c>
    </row>
    <row r="3814" spans="1:12">
      <c r="A3814" t="s">
        <v>264</v>
      </c>
      <c r="B3814" s="10">
        <v>45432</v>
      </c>
      <c r="C3814" s="18">
        <f t="shared" si="59"/>
        <v>5</v>
      </c>
      <c r="D3814" t="s">
        <v>196</v>
      </c>
      <c r="E3814">
        <v>4872158</v>
      </c>
      <c r="F3814" t="s">
        <v>8</v>
      </c>
      <c r="G3814" t="s">
        <v>204</v>
      </c>
      <c r="H3814" t="s">
        <v>217</v>
      </c>
      <c r="I3814" s="4">
        <v>78022.936799999996</v>
      </c>
      <c r="J3814" s="4">
        <v>-78022.936799999996</v>
      </c>
      <c r="K3814" s="4">
        <v>3580.7627999999995</v>
      </c>
      <c r="L3814" s="4">
        <v>-1</v>
      </c>
    </row>
    <row r="3815" spans="1:12">
      <c r="A3815" t="s">
        <v>264</v>
      </c>
      <c r="B3815" s="10">
        <v>45432</v>
      </c>
      <c r="C3815" s="18">
        <f t="shared" si="59"/>
        <v>5</v>
      </c>
      <c r="D3815" t="s">
        <v>196</v>
      </c>
      <c r="E3815">
        <v>4873128</v>
      </c>
      <c r="F3815" t="s">
        <v>8</v>
      </c>
      <c r="G3815" t="s">
        <v>204</v>
      </c>
      <c r="H3815" t="s">
        <v>221</v>
      </c>
      <c r="I3815" s="4">
        <v>25253.800799999997</v>
      </c>
      <c r="J3815" s="4">
        <v>1262690.0399999998</v>
      </c>
      <c r="K3815" s="4">
        <v>-62820.4</v>
      </c>
      <c r="L3815" s="4">
        <v>50</v>
      </c>
    </row>
    <row r="3816" spans="1:12">
      <c r="A3816" t="s">
        <v>264</v>
      </c>
      <c r="B3816" s="10">
        <v>45432</v>
      </c>
      <c r="C3816" s="18">
        <f t="shared" si="59"/>
        <v>5</v>
      </c>
      <c r="D3816" t="s">
        <v>196</v>
      </c>
      <c r="E3816">
        <v>4873128</v>
      </c>
      <c r="F3816" t="s">
        <v>8</v>
      </c>
      <c r="G3816" t="s">
        <v>204</v>
      </c>
      <c r="H3816" t="s">
        <v>220</v>
      </c>
      <c r="I3816" s="4">
        <v>37817.880799999999</v>
      </c>
      <c r="J3816" s="4">
        <v>1890894.04</v>
      </c>
      <c r="K3816" s="4">
        <v>-94230.6</v>
      </c>
      <c r="L3816" s="4">
        <v>50</v>
      </c>
    </row>
    <row r="3817" spans="1:12">
      <c r="A3817" t="s">
        <v>264</v>
      </c>
      <c r="B3817" s="10">
        <v>45433</v>
      </c>
      <c r="C3817" s="18">
        <f t="shared" si="59"/>
        <v>5</v>
      </c>
      <c r="D3817" t="s">
        <v>196</v>
      </c>
      <c r="E3817">
        <v>4872571</v>
      </c>
      <c r="F3817" t="s">
        <v>8</v>
      </c>
      <c r="G3817" t="s">
        <v>203</v>
      </c>
      <c r="H3817" t="s">
        <v>234</v>
      </c>
      <c r="I3817" s="4">
        <v>100638.28079999999</v>
      </c>
      <c r="J3817" s="4">
        <v>603829.68479999993</v>
      </c>
      <c r="K3817" s="4">
        <v>-26007.645599999996</v>
      </c>
      <c r="L3817" s="4">
        <v>6</v>
      </c>
    </row>
    <row r="3818" spans="1:12">
      <c r="A3818" t="s">
        <v>264</v>
      </c>
      <c r="B3818" s="10">
        <v>45433</v>
      </c>
      <c r="C3818" s="18">
        <f t="shared" si="59"/>
        <v>5</v>
      </c>
      <c r="D3818" t="s">
        <v>196</v>
      </c>
      <c r="E3818">
        <v>4872571</v>
      </c>
      <c r="F3818" t="s">
        <v>8</v>
      </c>
      <c r="G3818" t="s">
        <v>203</v>
      </c>
      <c r="H3818" t="s">
        <v>232</v>
      </c>
      <c r="I3818" s="4">
        <v>100638.28079999999</v>
      </c>
      <c r="J3818" s="4">
        <v>603829.68479999993</v>
      </c>
      <c r="K3818" s="4">
        <v>-26007.645599999996</v>
      </c>
      <c r="L3818" s="4">
        <v>6</v>
      </c>
    </row>
    <row r="3819" spans="1:12">
      <c r="A3819" t="s">
        <v>264</v>
      </c>
      <c r="B3819" s="10">
        <v>45433</v>
      </c>
      <c r="C3819" s="18">
        <f t="shared" si="59"/>
        <v>5</v>
      </c>
      <c r="D3819" t="s">
        <v>196</v>
      </c>
      <c r="E3819">
        <v>4872571</v>
      </c>
      <c r="F3819" t="s">
        <v>8</v>
      </c>
      <c r="G3819" t="s">
        <v>203</v>
      </c>
      <c r="H3819" t="s">
        <v>224</v>
      </c>
      <c r="I3819" s="4">
        <v>100638.28079999999</v>
      </c>
      <c r="J3819" s="4">
        <v>201276.56159999999</v>
      </c>
      <c r="K3819" s="4">
        <v>-8669.2151999999987</v>
      </c>
      <c r="L3819" s="4">
        <v>2</v>
      </c>
    </row>
    <row r="3820" spans="1:12">
      <c r="A3820" t="s">
        <v>264</v>
      </c>
      <c r="B3820" s="10">
        <v>45433</v>
      </c>
      <c r="C3820" s="18">
        <f t="shared" si="59"/>
        <v>5</v>
      </c>
      <c r="D3820" t="s">
        <v>196</v>
      </c>
      <c r="E3820">
        <v>4872571</v>
      </c>
      <c r="F3820" t="s">
        <v>8</v>
      </c>
      <c r="G3820" t="s">
        <v>203</v>
      </c>
      <c r="H3820" t="s">
        <v>223</v>
      </c>
      <c r="I3820" s="4">
        <v>100638.28079999999</v>
      </c>
      <c r="J3820" s="4">
        <v>603829.68479999993</v>
      </c>
      <c r="K3820" s="4">
        <v>-26007.645599999996</v>
      </c>
      <c r="L3820" s="4">
        <v>6</v>
      </c>
    </row>
    <row r="3821" spans="1:12">
      <c r="A3821" t="s">
        <v>264</v>
      </c>
      <c r="B3821" s="10">
        <v>45433</v>
      </c>
      <c r="C3821" s="18">
        <f t="shared" si="59"/>
        <v>5</v>
      </c>
      <c r="D3821" t="s">
        <v>196</v>
      </c>
      <c r="E3821">
        <v>4872571</v>
      </c>
      <c r="F3821" t="s">
        <v>8</v>
      </c>
      <c r="G3821" t="s">
        <v>203</v>
      </c>
      <c r="H3821" t="s">
        <v>244</v>
      </c>
      <c r="I3821" s="4">
        <v>125766.4408</v>
      </c>
      <c r="J3821" s="4">
        <v>251532.88159999999</v>
      </c>
      <c r="K3821" s="4">
        <v>-11307.672</v>
      </c>
      <c r="L3821" s="4">
        <v>2</v>
      </c>
    </row>
    <row r="3822" spans="1:12">
      <c r="A3822" t="s">
        <v>264</v>
      </c>
      <c r="B3822" s="10">
        <v>45433</v>
      </c>
      <c r="C3822" s="18">
        <f t="shared" si="59"/>
        <v>5</v>
      </c>
      <c r="D3822" t="s">
        <v>196</v>
      </c>
      <c r="E3822">
        <v>4872571</v>
      </c>
      <c r="F3822" t="s">
        <v>8</v>
      </c>
      <c r="G3822" t="s">
        <v>203</v>
      </c>
      <c r="H3822" t="s">
        <v>239</v>
      </c>
      <c r="I3822" s="4">
        <v>125766.4408</v>
      </c>
      <c r="J3822" s="4">
        <v>251532.88159999999</v>
      </c>
      <c r="K3822" s="4">
        <v>-11307.672</v>
      </c>
      <c r="L3822" s="4">
        <v>2</v>
      </c>
    </row>
    <row r="3823" spans="1:12">
      <c r="A3823" t="s">
        <v>264</v>
      </c>
      <c r="B3823" s="10">
        <v>45433</v>
      </c>
      <c r="C3823" s="18">
        <f t="shared" si="59"/>
        <v>5</v>
      </c>
      <c r="D3823" t="s">
        <v>196</v>
      </c>
      <c r="E3823">
        <v>4872571</v>
      </c>
      <c r="F3823" t="s">
        <v>8</v>
      </c>
      <c r="G3823" t="s">
        <v>203</v>
      </c>
      <c r="H3823" t="s">
        <v>233</v>
      </c>
      <c r="I3823" s="4">
        <v>120735.78316800001</v>
      </c>
      <c r="J3823" s="4">
        <v>241471.56633600002</v>
      </c>
      <c r="K3823" s="4">
        <v>-11307.672</v>
      </c>
      <c r="L3823" s="4">
        <v>2</v>
      </c>
    </row>
    <row r="3824" spans="1:12">
      <c r="A3824" t="s">
        <v>264</v>
      </c>
      <c r="B3824" s="10">
        <v>45433</v>
      </c>
      <c r="C3824" s="18">
        <f t="shared" si="59"/>
        <v>5</v>
      </c>
      <c r="D3824" t="s">
        <v>196</v>
      </c>
      <c r="E3824">
        <v>4876950</v>
      </c>
      <c r="F3824" t="s">
        <v>8</v>
      </c>
      <c r="G3824" t="s">
        <v>202</v>
      </c>
      <c r="H3824" t="s">
        <v>254</v>
      </c>
      <c r="I3824" s="4">
        <v>37817.880799999999</v>
      </c>
      <c r="J3824" s="4">
        <v>10097374.173599999</v>
      </c>
      <c r="K3824" s="4">
        <v>-503191.40399999998</v>
      </c>
      <c r="L3824" s="4">
        <v>267</v>
      </c>
    </row>
    <row r="3825" spans="1:12">
      <c r="A3825" t="s">
        <v>264</v>
      </c>
      <c r="B3825" s="10">
        <v>45433</v>
      </c>
      <c r="C3825" s="18">
        <f t="shared" si="59"/>
        <v>5</v>
      </c>
      <c r="D3825" t="s">
        <v>196</v>
      </c>
      <c r="E3825">
        <v>4877269</v>
      </c>
      <c r="F3825" t="s">
        <v>8</v>
      </c>
      <c r="G3825" t="s">
        <v>204</v>
      </c>
      <c r="H3825" t="s">
        <v>221</v>
      </c>
      <c r="I3825" s="4">
        <v>25253.800799999997</v>
      </c>
      <c r="J3825" s="4">
        <v>757614.02399999998</v>
      </c>
      <c r="K3825" s="4">
        <v>-37692.239999999998</v>
      </c>
      <c r="L3825" s="4">
        <v>30</v>
      </c>
    </row>
    <row r="3826" spans="1:12">
      <c r="A3826" t="s">
        <v>264</v>
      </c>
      <c r="B3826" s="10">
        <v>45433</v>
      </c>
      <c r="C3826" s="18">
        <f t="shared" si="59"/>
        <v>5</v>
      </c>
      <c r="D3826" t="s">
        <v>196</v>
      </c>
      <c r="E3826">
        <v>4877269</v>
      </c>
      <c r="F3826" t="s">
        <v>8</v>
      </c>
      <c r="G3826" t="s">
        <v>204</v>
      </c>
      <c r="H3826" t="s">
        <v>220</v>
      </c>
      <c r="I3826" s="4">
        <v>37817.880799999999</v>
      </c>
      <c r="J3826" s="4">
        <v>756357.61599999992</v>
      </c>
      <c r="K3826" s="4">
        <v>-37692.239999999998</v>
      </c>
      <c r="L3826" s="4">
        <v>20</v>
      </c>
    </row>
    <row r="3827" spans="1:12">
      <c r="A3827" t="s">
        <v>264</v>
      </c>
      <c r="B3827" s="10">
        <v>45433</v>
      </c>
      <c r="C3827" s="18">
        <f t="shared" si="59"/>
        <v>5</v>
      </c>
      <c r="D3827" t="s">
        <v>196</v>
      </c>
      <c r="E3827">
        <v>4878536</v>
      </c>
      <c r="F3827" t="s">
        <v>8</v>
      </c>
      <c r="G3827" t="s">
        <v>202</v>
      </c>
      <c r="H3827" t="s">
        <v>259</v>
      </c>
      <c r="I3827" s="4">
        <v>30279.432800000002</v>
      </c>
      <c r="J3827" s="4">
        <v>302794.32800000004</v>
      </c>
      <c r="K3827" s="4">
        <v>-15076.895999999999</v>
      </c>
      <c r="L3827" s="4">
        <v>10</v>
      </c>
    </row>
    <row r="3828" spans="1:12">
      <c r="A3828" t="s">
        <v>264</v>
      </c>
      <c r="B3828" s="10">
        <v>45433</v>
      </c>
      <c r="C3828" s="18">
        <f t="shared" si="59"/>
        <v>5</v>
      </c>
      <c r="D3828" t="s">
        <v>196</v>
      </c>
      <c r="E3828">
        <v>4871657</v>
      </c>
      <c r="F3828" t="s">
        <v>8</v>
      </c>
      <c r="G3828" t="s">
        <v>203</v>
      </c>
      <c r="H3828" t="s">
        <v>239</v>
      </c>
      <c r="I3828" s="4">
        <v>125766.4408</v>
      </c>
      <c r="J3828" s="4">
        <v>1257664.4080000001</v>
      </c>
      <c r="K3828" s="4">
        <v>-56538.36</v>
      </c>
      <c r="L3828" s="4">
        <v>10</v>
      </c>
    </row>
    <row r="3829" spans="1:12">
      <c r="A3829" t="s">
        <v>264</v>
      </c>
      <c r="B3829" s="10">
        <v>45433</v>
      </c>
      <c r="C3829" s="18">
        <f t="shared" si="59"/>
        <v>5</v>
      </c>
      <c r="D3829" t="s">
        <v>196</v>
      </c>
      <c r="E3829">
        <v>4871657</v>
      </c>
      <c r="F3829" t="s">
        <v>8</v>
      </c>
      <c r="G3829" t="s">
        <v>203</v>
      </c>
      <c r="H3829" t="s">
        <v>233</v>
      </c>
      <c r="I3829" s="4">
        <v>120735.78316800001</v>
      </c>
      <c r="J3829" s="4">
        <v>1207357.8316800001</v>
      </c>
      <c r="K3829" s="4">
        <v>-56538.36</v>
      </c>
      <c r="L3829" s="4">
        <v>10</v>
      </c>
    </row>
    <row r="3830" spans="1:12">
      <c r="A3830" t="s">
        <v>264</v>
      </c>
      <c r="B3830" s="10">
        <v>45433</v>
      </c>
      <c r="C3830" s="18">
        <f t="shared" si="59"/>
        <v>5</v>
      </c>
      <c r="D3830" t="s">
        <v>196</v>
      </c>
      <c r="E3830">
        <v>4871657</v>
      </c>
      <c r="F3830" t="s">
        <v>8</v>
      </c>
      <c r="G3830" t="s">
        <v>202</v>
      </c>
      <c r="H3830" t="s">
        <v>255</v>
      </c>
      <c r="I3830" s="4">
        <v>72489.71596799999</v>
      </c>
      <c r="J3830" s="4">
        <v>144979.43193599998</v>
      </c>
      <c r="K3830" s="4">
        <v>-7538.4479999999994</v>
      </c>
      <c r="L3830" s="4">
        <v>2</v>
      </c>
    </row>
    <row r="3831" spans="1:12">
      <c r="A3831" t="s">
        <v>264</v>
      </c>
      <c r="B3831" s="10">
        <v>45433</v>
      </c>
      <c r="C3831" s="18">
        <f t="shared" si="59"/>
        <v>5</v>
      </c>
      <c r="D3831" t="s">
        <v>196</v>
      </c>
      <c r="E3831">
        <v>4875440</v>
      </c>
      <c r="F3831" t="s">
        <v>8</v>
      </c>
      <c r="G3831" t="s">
        <v>205</v>
      </c>
      <c r="H3831" t="s">
        <v>211</v>
      </c>
      <c r="I3831" s="4">
        <v>5151.2727999999997</v>
      </c>
      <c r="J3831" s="4">
        <v>257563.63999999998</v>
      </c>
      <c r="K3831" s="4">
        <v>-12564.08</v>
      </c>
      <c r="L3831" s="4">
        <v>50</v>
      </c>
    </row>
    <row r="3832" spans="1:12">
      <c r="A3832" t="s">
        <v>264</v>
      </c>
      <c r="B3832" s="10">
        <v>45433</v>
      </c>
      <c r="C3832" s="18">
        <f t="shared" si="59"/>
        <v>5</v>
      </c>
      <c r="D3832" t="s">
        <v>196</v>
      </c>
      <c r="E3832">
        <v>4876991</v>
      </c>
      <c r="F3832" t="s">
        <v>8</v>
      </c>
      <c r="G3832" t="s">
        <v>203</v>
      </c>
      <c r="H3832" t="s">
        <v>234</v>
      </c>
      <c r="I3832" s="4">
        <v>100638.28079999999</v>
      </c>
      <c r="J3832" s="4">
        <v>1610212.4927999999</v>
      </c>
      <c r="K3832" s="4">
        <v>-69353.72159999999</v>
      </c>
      <c r="L3832" s="4">
        <v>16</v>
      </c>
    </row>
    <row r="3833" spans="1:12">
      <c r="A3833" t="s">
        <v>264</v>
      </c>
      <c r="B3833" s="10">
        <v>45433</v>
      </c>
      <c r="C3833" s="18">
        <f t="shared" si="59"/>
        <v>5</v>
      </c>
      <c r="D3833" t="s">
        <v>196</v>
      </c>
      <c r="E3833">
        <v>4876991</v>
      </c>
      <c r="F3833" t="s">
        <v>8</v>
      </c>
      <c r="G3833" t="s">
        <v>203</v>
      </c>
      <c r="H3833" t="s">
        <v>232</v>
      </c>
      <c r="I3833" s="4">
        <v>100638.28079999999</v>
      </c>
      <c r="J3833" s="4">
        <v>1610212.4927999999</v>
      </c>
      <c r="K3833" s="4">
        <v>-69353.72159999999</v>
      </c>
      <c r="L3833" s="4">
        <v>16</v>
      </c>
    </row>
    <row r="3834" spans="1:12">
      <c r="A3834" t="s">
        <v>264</v>
      </c>
      <c r="B3834" s="10">
        <v>45433</v>
      </c>
      <c r="C3834" s="18">
        <f t="shared" si="59"/>
        <v>5</v>
      </c>
      <c r="D3834" t="s">
        <v>196</v>
      </c>
      <c r="E3834">
        <v>4876991</v>
      </c>
      <c r="F3834" t="s">
        <v>8</v>
      </c>
      <c r="G3834" t="s">
        <v>203</v>
      </c>
      <c r="H3834" t="s">
        <v>224</v>
      </c>
      <c r="I3834" s="4">
        <v>100638.28079999999</v>
      </c>
      <c r="J3834" s="4">
        <v>1610212.4927999999</v>
      </c>
      <c r="K3834" s="4">
        <v>-69353.72159999999</v>
      </c>
      <c r="L3834" s="4">
        <v>16</v>
      </c>
    </row>
    <row r="3835" spans="1:12">
      <c r="A3835" t="s">
        <v>264</v>
      </c>
      <c r="B3835" s="10">
        <v>45433</v>
      </c>
      <c r="C3835" s="18">
        <f t="shared" si="59"/>
        <v>5</v>
      </c>
      <c r="D3835" t="s">
        <v>196</v>
      </c>
      <c r="E3835">
        <v>4876991</v>
      </c>
      <c r="F3835" t="s">
        <v>8</v>
      </c>
      <c r="G3835" t="s">
        <v>203</v>
      </c>
      <c r="H3835" t="s">
        <v>223</v>
      </c>
      <c r="I3835" s="4">
        <v>100638.28079999999</v>
      </c>
      <c r="J3835" s="4">
        <v>402553.12319999997</v>
      </c>
      <c r="K3835" s="4">
        <v>-17338.430399999997</v>
      </c>
      <c r="L3835" s="4">
        <v>4</v>
      </c>
    </row>
    <row r="3836" spans="1:12">
      <c r="A3836" t="s">
        <v>264</v>
      </c>
      <c r="B3836" s="10">
        <v>45433</v>
      </c>
      <c r="C3836" s="18">
        <f t="shared" si="59"/>
        <v>5</v>
      </c>
      <c r="D3836" t="s">
        <v>196</v>
      </c>
      <c r="E3836">
        <v>4876991</v>
      </c>
      <c r="F3836" t="s">
        <v>8</v>
      </c>
      <c r="G3836" t="s">
        <v>203</v>
      </c>
      <c r="H3836" t="s">
        <v>244</v>
      </c>
      <c r="I3836" s="4">
        <v>125766.4408</v>
      </c>
      <c r="J3836" s="4">
        <v>1006131.5264</v>
      </c>
      <c r="K3836" s="4">
        <v>-45230.688000000002</v>
      </c>
      <c r="L3836" s="4">
        <v>8</v>
      </c>
    </row>
    <row r="3837" spans="1:12">
      <c r="A3837" t="s">
        <v>264</v>
      </c>
      <c r="B3837" s="10">
        <v>45433</v>
      </c>
      <c r="C3837" s="18">
        <f t="shared" si="59"/>
        <v>5</v>
      </c>
      <c r="D3837" t="s">
        <v>196</v>
      </c>
      <c r="E3837">
        <v>4876991</v>
      </c>
      <c r="F3837" t="s">
        <v>8</v>
      </c>
      <c r="G3837" t="s">
        <v>203</v>
      </c>
      <c r="H3837" t="s">
        <v>239</v>
      </c>
      <c r="I3837" s="4">
        <v>125766.4408</v>
      </c>
      <c r="J3837" s="4">
        <v>1886496.612</v>
      </c>
      <c r="K3837" s="4">
        <v>-84807.54</v>
      </c>
      <c r="L3837" s="4">
        <v>15</v>
      </c>
    </row>
    <row r="3838" spans="1:12">
      <c r="A3838" t="s">
        <v>264</v>
      </c>
      <c r="B3838" s="10">
        <v>45434</v>
      </c>
      <c r="C3838" s="18">
        <f t="shared" si="59"/>
        <v>5</v>
      </c>
      <c r="D3838" t="s">
        <v>196</v>
      </c>
      <c r="E3838">
        <v>4871600</v>
      </c>
      <c r="F3838" t="s">
        <v>8</v>
      </c>
      <c r="G3838" t="s">
        <v>204</v>
      </c>
      <c r="H3838" t="s">
        <v>212</v>
      </c>
      <c r="I3838" s="4">
        <v>62946.040799999995</v>
      </c>
      <c r="J3838" s="4">
        <v>755352.48959999997</v>
      </c>
      <c r="K3838" s="4">
        <v>-22615.344000000001</v>
      </c>
      <c r="L3838" s="4">
        <v>12</v>
      </c>
    </row>
    <row r="3839" spans="1:12">
      <c r="A3839" t="s">
        <v>264</v>
      </c>
      <c r="B3839" s="10">
        <v>45434</v>
      </c>
      <c r="C3839" s="18">
        <f t="shared" si="59"/>
        <v>5</v>
      </c>
      <c r="D3839" t="s">
        <v>196</v>
      </c>
      <c r="E3839">
        <v>4871600</v>
      </c>
      <c r="F3839" t="s">
        <v>8</v>
      </c>
      <c r="G3839" t="s">
        <v>202</v>
      </c>
      <c r="H3839" t="s">
        <v>256</v>
      </c>
      <c r="I3839" s="4">
        <v>64202.448800000006</v>
      </c>
      <c r="J3839" s="4">
        <v>128404.89760000001</v>
      </c>
      <c r="K3839" s="4">
        <v>-6407.6808000000001</v>
      </c>
      <c r="L3839" s="4">
        <v>2</v>
      </c>
    </row>
    <row r="3840" spans="1:12">
      <c r="A3840" t="s">
        <v>264</v>
      </c>
      <c r="B3840" s="10">
        <v>45434</v>
      </c>
      <c r="C3840" s="18">
        <f t="shared" si="59"/>
        <v>5</v>
      </c>
      <c r="D3840" t="s">
        <v>196</v>
      </c>
      <c r="E3840">
        <v>4873921</v>
      </c>
      <c r="F3840" t="s">
        <v>8</v>
      </c>
      <c r="G3840" t="s">
        <v>202</v>
      </c>
      <c r="H3840" t="s">
        <v>259</v>
      </c>
      <c r="I3840" s="4">
        <v>30279.432800000002</v>
      </c>
      <c r="J3840" s="4">
        <v>1725927.6696000001</v>
      </c>
      <c r="K3840" s="4">
        <v>-85938.307199999996</v>
      </c>
      <c r="L3840" s="4">
        <v>57</v>
      </c>
    </row>
    <row r="3841" spans="1:12">
      <c r="A3841" t="s">
        <v>264</v>
      </c>
      <c r="B3841" s="10">
        <v>45434</v>
      </c>
      <c r="C3841" s="18">
        <f t="shared" si="59"/>
        <v>5</v>
      </c>
      <c r="D3841" t="s">
        <v>196</v>
      </c>
      <c r="E3841">
        <v>4878658</v>
      </c>
      <c r="F3841" t="s">
        <v>8</v>
      </c>
      <c r="G3841" t="s">
        <v>203</v>
      </c>
      <c r="H3841" t="s">
        <v>243</v>
      </c>
      <c r="I3841" s="4">
        <v>100638.28079999999</v>
      </c>
      <c r="J3841" s="4">
        <v>603829.68479999993</v>
      </c>
      <c r="K3841" s="4">
        <v>-26007.645599999996</v>
      </c>
      <c r="L3841" s="4">
        <v>6</v>
      </c>
    </row>
    <row r="3842" spans="1:12">
      <c r="A3842" t="s">
        <v>264</v>
      </c>
      <c r="B3842" s="10">
        <v>45434</v>
      </c>
      <c r="C3842" s="18">
        <f t="shared" ref="C3842:C3905" si="60">MONTH(B3842)</f>
        <v>5</v>
      </c>
      <c r="D3842" t="s">
        <v>196</v>
      </c>
      <c r="E3842">
        <v>4878658</v>
      </c>
      <c r="F3842" t="s">
        <v>8</v>
      </c>
      <c r="G3842" t="s">
        <v>203</v>
      </c>
      <c r="H3842" t="s">
        <v>240</v>
      </c>
      <c r="I3842" s="4">
        <v>100638.28079999999</v>
      </c>
      <c r="J3842" s="4">
        <v>603829.68479999993</v>
      </c>
      <c r="K3842" s="4">
        <v>-26007.645599999996</v>
      </c>
      <c r="L3842" s="4">
        <v>6</v>
      </c>
    </row>
    <row r="3843" spans="1:12">
      <c r="A3843" t="s">
        <v>264</v>
      </c>
      <c r="B3843" s="10">
        <v>45434</v>
      </c>
      <c r="C3843" s="18">
        <f t="shared" si="60"/>
        <v>5</v>
      </c>
      <c r="D3843" t="s">
        <v>196</v>
      </c>
      <c r="E3843">
        <v>4878658</v>
      </c>
      <c r="F3843" t="s">
        <v>8</v>
      </c>
      <c r="G3843" t="s">
        <v>203</v>
      </c>
      <c r="H3843" t="s">
        <v>234</v>
      </c>
      <c r="I3843" s="4">
        <v>100638.28079999999</v>
      </c>
      <c r="J3843" s="4">
        <v>603829.68479999993</v>
      </c>
      <c r="K3843" s="4">
        <v>-26007.645599999996</v>
      </c>
      <c r="L3843" s="4">
        <v>6</v>
      </c>
    </row>
    <row r="3844" spans="1:12">
      <c r="A3844" t="s">
        <v>264</v>
      </c>
      <c r="B3844" s="10">
        <v>45434</v>
      </c>
      <c r="C3844" s="18">
        <f t="shared" si="60"/>
        <v>5</v>
      </c>
      <c r="D3844" t="s">
        <v>196</v>
      </c>
      <c r="E3844">
        <v>4878658</v>
      </c>
      <c r="F3844" t="s">
        <v>8</v>
      </c>
      <c r="G3844" t="s">
        <v>203</v>
      </c>
      <c r="H3844" t="s">
        <v>232</v>
      </c>
      <c r="I3844" s="4">
        <v>100638.28079999999</v>
      </c>
      <c r="J3844" s="4">
        <v>603829.68479999993</v>
      </c>
      <c r="K3844" s="4">
        <v>-26007.645599999996</v>
      </c>
      <c r="L3844" s="4">
        <v>6</v>
      </c>
    </row>
    <row r="3845" spans="1:12">
      <c r="A3845" t="s">
        <v>264</v>
      </c>
      <c r="B3845" s="10">
        <v>45434</v>
      </c>
      <c r="C3845" s="18">
        <f t="shared" si="60"/>
        <v>5</v>
      </c>
      <c r="D3845" t="s">
        <v>196</v>
      </c>
      <c r="E3845">
        <v>4878658</v>
      </c>
      <c r="F3845" t="s">
        <v>8</v>
      </c>
      <c r="G3845" t="s">
        <v>203</v>
      </c>
      <c r="H3845" t="s">
        <v>227</v>
      </c>
      <c r="I3845" s="4">
        <v>100638.28079999999</v>
      </c>
      <c r="J3845" s="4">
        <v>603829.68479999993</v>
      </c>
      <c r="K3845" s="4">
        <v>-26007.645599999996</v>
      </c>
      <c r="L3845" s="4">
        <v>6</v>
      </c>
    </row>
    <row r="3846" spans="1:12">
      <c r="A3846" t="s">
        <v>264</v>
      </c>
      <c r="B3846" s="10">
        <v>45434</v>
      </c>
      <c r="C3846" s="18">
        <f t="shared" si="60"/>
        <v>5</v>
      </c>
      <c r="D3846" t="s">
        <v>196</v>
      </c>
      <c r="E3846">
        <v>4878658</v>
      </c>
      <c r="F3846" t="s">
        <v>8</v>
      </c>
      <c r="G3846" t="s">
        <v>203</v>
      </c>
      <c r="H3846" t="s">
        <v>241</v>
      </c>
      <c r="I3846" s="4">
        <v>125766.4408</v>
      </c>
      <c r="J3846" s="4">
        <v>1886496.612</v>
      </c>
      <c r="K3846" s="4">
        <v>-84807.54</v>
      </c>
      <c r="L3846" s="4">
        <v>15</v>
      </c>
    </row>
    <row r="3847" spans="1:12">
      <c r="A3847" t="s">
        <v>264</v>
      </c>
      <c r="B3847" s="10">
        <v>45434</v>
      </c>
      <c r="C3847" s="18">
        <f t="shared" si="60"/>
        <v>5</v>
      </c>
      <c r="D3847" t="s">
        <v>196</v>
      </c>
      <c r="E3847">
        <v>4872203</v>
      </c>
      <c r="F3847" t="s">
        <v>8</v>
      </c>
      <c r="G3847" t="s">
        <v>204</v>
      </c>
      <c r="H3847" t="s">
        <v>216</v>
      </c>
      <c r="I3847" s="4">
        <v>113202.36079999999</v>
      </c>
      <c r="J3847" s="4">
        <v>6792141.648</v>
      </c>
      <c r="K3847" s="4">
        <v>-339230.16</v>
      </c>
      <c r="L3847" s="4">
        <v>60</v>
      </c>
    </row>
    <row r="3848" spans="1:12">
      <c r="A3848" t="s">
        <v>264</v>
      </c>
      <c r="B3848" s="10">
        <v>45434</v>
      </c>
      <c r="C3848" s="18">
        <f t="shared" si="60"/>
        <v>5</v>
      </c>
      <c r="D3848" t="s">
        <v>196</v>
      </c>
      <c r="E3848">
        <v>6080599</v>
      </c>
      <c r="F3848" t="s">
        <v>8</v>
      </c>
      <c r="G3848" t="s">
        <v>202</v>
      </c>
      <c r="H3848" t="s">
        <v>260</v>
      </c>
      <c r="I3848" s="4">
        <v>41587.104800000001</v>
      </c>
      <c r="J3848" s="4">
        <v>415871.04800000001</v>
      </c>
      <c r="K3848" s="4">
        <v>-20730.732</v>
      </c>
      <c r="L3848" s="4">
        <v>10</v>
      </c>
    </row>
    <row r="3849" spans="1:12">
      <c r="A3849" t="s">
        <v>264</v>
      </c>
      <c r="B3849" s="10">
        <v>45434</v>
      </c>
      <c r="C3849" s="18">
        <f t="shared" si="60"/>
        <v>5</v>
      </c>
      <c r="D3849" t="s">
        <v>196</v>
      </c>
      <c r="E3849">
        <v>4872163</v>
      </c>
      <c r="F3849" t="s">
        <v>8</v>
      </c>
      <c r="G3849" t="s">
        <v>203</v>
      </c>
      <c r="H3849" t="s">
        <v>243</v>
      </c>
      <c r="I3849" s="4">
        <v>100638.28079999999</v>
      </c>
      <c r="J3849" s="4">
        <v>1006382.808</v>
      </c>
      <c r="K3849" s="4">
        <v>-43346.076000000001</v>
      </c>
      <c r="L3849" s="4">
        <v>10</v>
      </c>
    </row>
    <row r="3850" spans="1:12">
      <c r="A3850" t="s">
        <v>264</v>
      </c>
      <c r="B3850" s="10">
        <v>45434</v>
      </c>
      <c r="C3850" s="18">
        <f t="shared" si="60"/>
        <v>5</v>
      </c>
      <c r="D3850" t="s">
        <v>196</v>
      </c>
      <c r="E3850">
        <v>4872163</v>
      </c>
      <c r="F3850" t="s">
        <v>8</v>
      </c>
      <c r="G3850" t="s">
        <v>203</v>
      </c>
      <c r="H3850" t="s">
        <v>240</v>
      </c>
      <c r="I3850" s="4">
        <v>100638.28079999999</v>
      </c>
      <c r="J3850" s="4">
        <v>4025531.2319999998</v>
      </c>
      <c r="K3850" s="4">
        <v>-173384.304</v>
      </c>
      <c r="L3850" s="4">
        <v>40</v>
      </c>
    </row>
    <row r="3851" spans="1:12">
      <c r="A3851" t="s">
        <v>264</v>
      </c>
      <c r="B3851" s="10">
        <v>45434</v>
      </c>
      <c r="C3851" s="18">
        <f t="shared" si="60"/>
        <v>5</v>
      </c>
      <c r="D3851" t="s">
        <v>196</v>
      </c>
      <c r="E3851">
        <v>4872163</v>
      </c>
      <c r="F3851" t="s">
        <v>8</v>
      </c>
      <c r="G3851" t="s">
        <v>203</v>
      </c>
      <c r="H3851" t="s">
        <v>234</v>
      </c>
      <c r="I3851" s="4">
        <v>100638.28079999999</v>
      </c>
      <c r="J3851" s="4">
        <v>3019148.4239999996</v>
      </c>
      <c r="K3851" s="4">
        <v>-130038.22799999999</v>
      </c>
      <c r="L3851" s="4">
        <v>30</v>
      </c>
    </row>
    <row r="3852" spans="1:12">
      <c r="A3852" t="s">
        <v>264</v>
      </c>
      <c r="B3852" s="10">
        <v>45434</v>
      </c>
      <c r="C3852" s="18">
        <f t="shared" si="60"/>
        <v>5</v>
      </c>
      <c r="D3852" t="s">
        <v>196</v>
      </c>
      <c r="E3852">
        <v>4872163</v>
      </c>
      <c r="F3852" t="s">
        <v>8</v>
      </c>
      <c r="G3852" t="s">
        <v>203</v>
      </c>
      <c r="H3852" t="s">
        <v>232</v>
      </c>
      <c r="I3852" s="4">
        <v>100638.28079999999</v>
      </c>
      <c r="J3852" s="4">
        <v>1006382.808</v>
      </c>
      <c r="K3852" s="4">
        <v>-43346.076000000001</v>
      </c>
      <c r="L3852" s="4">
        <v>10</v>
      </c>
    </row>
    <row r="3853" spans="1:12">
      <c r="A3853" t="s">
        <v>264</v>
      </c>
      <c r="B3853" s="10">
        <v>45434</v>
      </c>
      <c r="C3853" s="18">
        <f t="shared" si="60"/>
        <v>5</v>
      </c>
      <c r="D3853" t="s">
        <v>196</v>
      </c>
      <c r="E3853">
        <v>4872163</v>
      </c>
      <c r="F3853" t="s">
        <v>8</v>
      </c>
      <c r="G3853" t="s">
        <v>203</v>
      </c>
      <c r="H3853" t="s">
        <v>227</v>
      </c>
      <c r="I3853" s="4">
        <v>100638.28079999999</v>
      </c>
      <c r="J3853" s="4">
        <v>4025531.2319999998</v>
      </c>
      <c r="K3853" s="4">
        <v>-173384.304</v>
      </c>
      <c r="L3853" s="4">
        <v>40</v>
      </c>
    </row>
    <row r="3854" spans="1:12">
      <c r="A3854" t="s">
        <v>264</v>
      </c>
      <c r="B3854" s="10">
        <v>45434</v>
      </c>
      <c r="C3854" s="18">
        <f t="shared" si="60"/>
        <v>5</v>
      </c>
      <c r="D3854" t="s">
        <v>196</v>
      </c>
      <c r="E3854">
        <v>4872163</v>
      </c>
      <c r="F3854" t="s">
        <v>8</v>
      </c>
      <c r="G3854" t="s">
        <v>203</v>
      </c>
      <c r="H3854" t="s">
        <v>222</v>
      </c>
      <c r="I3854" s="4">
        <v>100638.28079999999</v>
      </c>
      <c r="J3854" s="4">
        <v>5434467.1631999994</v>
      </c>
      <c r="K3854" s="4">
        <v>-234068.81039999999</v>
      </c>
      <c r="L3854" s="4">
        <v>54</v>
      </c>
    </row>
    <row r="3855" spans="1:12">
      <c r="A3855" t="s">
        <v>264</v>
      </c>
      <c r="B3855" s="10">
        <v>45434</v>
      </c>
      <c r="C3855" s="18">
        <f t="shared" si="60"/>
        <v>5</v>
      </c>
      <c r="D3855" t="s">
        <v>196</v>
      </c>
      <c r="E3855">
        <v>4872163</v>
      </c>
      <c r="F3855" t="s">
        <v>8</v>
      </c>
      <c r="G3855" t="s">
        <v>203</v>
      </c>
      <c r="H3855" t="s">
        <v>241</v>
      </c>
      <c r="I3855" s="4">
        <v>125766.4408</v>
      </c>
      <c r="J3855" s="4">
        <v>5030657.6320000002</v>
      </c>
      <c r="K3855" s="4">
        <v>-226153.44</v>
      </c>
      <c r="L3855" s="4">
        <v>40</v>
      </c>
    </row>
    <row r="3856" spans="1:12">
      <c r="A3856" t="s">
        <v>264</v>
      </c>
      <c r="B3856" s="10">
        <v>45434</v>
      </c>
      <c r="C3856" s="18">
        <f t="shared" si="60"/>
        <v>5</v>
      </c>
      <c r="D3856" t="s">
        <v>196</v>
      </c>
      <c r="E3856">
        <v>4872163</v>
      </c>
      <c r="F3856" t="s">
        <v>8</v>
      </c>
      <c r="G3856" t="s">
        <v>203</v>
      </c>
      <c r="H3856" t="s">
        <v>239</v>
      </c>
      <c r="I3856" s="4">
        <v>125766.4408</v>
      </c>
      <c r="J3856" s="4">
        <v>6036789.1584000001</v>
      </c>
      <c r="K3856" s="4">
        <v>-271384.12800000003</v>
      </c>
      <c r="L3856" s="4">
        <v>48</v>
      </c>
    </row>
    <row r="3857" spans="1:12">
      <c r="A3857" t="s">
        <v>264</v>
      </c>
      <c r="B3857" s="10">
        <v>45434</v>
      </c>
      <c r="C3857" s="18">
        <f t="shared" si="60"/>
        <v>5</v>
      </c>
      <c r="D3857" t="s">
        <v>196</v>
      </c>
      <c r="E3857">
        <v>4872103</v>
      </c>
      <c r="F3857" t="s">
        <v>8</v>
      </c>
      <c r="G3857" t="s">
        <v>202</v>
      </c>
      <c r="H3857" t="s">
        <v>261</v>
      </c>
      <c r="I3857" s="4">
        <v>41587.104800000001</v>
      </c>
      <c r="J3857" s="4">
        <v>2079355.24</v>
      </c>
      <c r="K3857" s="4">
        <v>-103653.66</v>
      </c>
      <c r="L3857" s="4">
        <v>50</v>
      </c>
    </row>
    <row r="3858" spans="1:12">
      <c r="A3858" t="s">
        <v>264</v>
      </c>
      <c r="B3858" s="10">
        <v>45434</v>
      </c>
      <c r="C3858" s="18">
        <f t="shared" si="60"/>
        <v>5</v>
      </c>
      <c r="D3858" t="s">
        <v>196</v>
      </c>
      <c r="E3858">
        <v>4874664</v>
      </c>
      <c r="F3858" t="s">
        <v>8</v>
      </c>
      <c r="G3858" t="s">
        <v>202</v>
      </c>
      <c r="H3858" t="s">
        <v>261</v>
      </c>
      <c r="I3858" s="4">
        <v>41587.104800000001</v>
      </c>
      <c r="J3858" s="4">
        <v>831742.09600000002</v>
      </c>
      <c r="K3858" s="4">
        <v>-41461.464</v>
      </c>
      <c r="L3858" s="4">
        <v>20</v>
      </c>
    </row>
    <row r="3859" spans="1:12">
      <c r="A3859" t="s">
        <v>264</v>
      </c>
      <c r="B3859" s="10">
        <v>45434</v>
      </c>
      <c r="C3859" s="18">
        <f t="shared" si="60"/>
        <v>5</v>
      </c>
      <c r="D3859" t="s">
        <v>196</v>
      </c>
      <c r="E3859">
        <v>4872141</v>
      </c>
      <c r="F3859" t="s">
        <v>8</v>
      </c>
      <c r="G3859" t="s">
        <v>203</v>
      </c>
      <c r="H3859" t="s">
        <v>243</v>
      </c>
      <c r="I3859" s="4">
        <v>100638.28079999999</v>
      </c>
      <c r="J3859" s="4">
        <v>1610212.4927999999</v>
      </c>
      <c r="K3859" s="4">
        <v>-69353.72159999999</v>
      </c>
      <c r="L3859" s="4">
        <v>16</v>
      </c>
    </row>
    <row r="3860" spans="1:12">
      <c r="A3860" t="s">
        <v>264</v>
      </c>
      <c r="B3860" s="10">
        <v>45434</v>
      </c>
      <c r="C3860" s="18">
        <f t="shared" si="60"/>
        <v>5</v>
      </c>
      <c r="D3860" t="s">
        <v>196</v>
      </c>
      <c r="E3860">
        <v>4872141</v>
      </c>
      <c r="F3860" t="s">
        <v>8</v>
      </c>
      <c r="G3860" t="s">
        <v>203</v>
      </c>
      <c r="H3860" t="s">
        <v>240</v>
      </c>
      <c r="I3860" s="4">
        <v>100638.28079999999</v>
      </c>
      <c r="J3860" s="4">
        <v>4025531.2319999998</v>
      </c>
      <c r="K3860" s="4">
        <v>-173384.304</v>
      </c>
      <c r="L3860" s="4">
        <v>40</v>
      </c>
    </row>
    <row r="3861" spans="1:12">
      <c r="A3861" t="s">
        <v>264</v>
      </c>
      <c r="B3861" s="10">
        <v>45434</v>
      </c>
      <c r="C3861" s="18">
        <f t="shared" si="60"/>
        <v>5</v>
      </c>
      <c r="D3861" t="s">
        <v>196</v>
      </c>
      <c r="E3861">
        <v>4872141</v>
      </c>
      <c r="F3861" t="s">
        <v>8</v>
      </c>
      <c r="G3861" t="s">
        <v>203</v>
      </c>
      <c r="H3861" t="s">
        <v>232</v>
      </c>
      <c r="I3861" s="4">
        <v>100638.28079999999</v>
      </c>
      <c r="J3861" s="4">
        <v>1610212.4927999999</v>
      </c>
      <c r="K3861" s="4">
        <v>-69353.72159999999</v>
      </c>
      <c r="L3861" s="4">
        <v>16</v>
      </c>
    </row>
    <row r="3862" spans="1:12">
      <c r="A3862" t="s">
        <v>264</v>
      </c>
      <c r="B3862" s="10">
        <v>45434</v>
      </c>
      <c r="C3862" s="18">
        <f t="shared" si="60"/>
        <v>5</v>
      </c>
      <c r="D3862" t="s">
        <v>196</v>
      </c>
      <c r="E3862">
        <v>4872141</v>
      </c>
      <c r="F3862" t="s">
        <v>8</v>
      </c>
      <c r="G3862" t="s">
        <v>203</v>
      </c>
      <c r="H3862" t="s">
        <v>241</v>
      </c>
      <c r="I3862" s="4">
        <v>125766.4408</v>
      </c>
      <c r="J3862" s="4">
        <v>2389562.3752000001</v>
      </c>
      <c r="K3862" s="4">
        <v>-107422.88400000001</v>
      </c>
      <c r="L3862" s="4">
        <v>19</v>
      </c>
    </row>
    <row r="3863" spans="1:12">
      <c r="A3863" t="s">
        <v>264</v>
      </c>
      <c r="B3863" s="10">
        <v>45434</v>
      </c>
      <c r="C3863" s="18">
        <f t="shared" si="60"/>
        <v>5</v>
      </c>
      <c r="D3863" t="s">
        <v>196</v>
      </c>
      <c r="E3863">
        <v>4872592</v>
      </c>
      <c r="F3863" t="s">
        <v>8</v>
      </c>
      <c r="G3863" t="s">
        <v>204</v>
      </c>
      <c r="H3863" t="s">
        <v>216</v>
      </c>
      <c r="I3863" s="4">
        <v>113202.36079999999</v>
      </c>
      <c r="J3863" s="4">
        <v>452809.44319999998</v>
      </c>
      <c r="K3863" s="4">
        <v>-22615.344000000001</v>
      </c>
      <c r="L3863" s="4">
        <v>4</v>
      </c>
    </row>
    <row r="3864" spans="1:12">
      <c r="A3864" t="s">
        <v>264</v>
      </c>
      <c r="B3864" s="10">
        <v>45434</v>
      </c>
      <c r="C3864" s="18">
        <f t="shared" si="60"/>
        <v>5</v>
      </c>
      <c r="D3864" t="s">
        <v>196</v>
      </c>
      <c r="E3864">
        <v>4872592</v>
      </c>
      <c r="F3864" t="s">
        <v>8</v>
      </c>
      <c r="G3864" t="s">
        <v>204</v>
      </c>
      <c r="H3864" t="s">
        <v>221</v>
      </c>
      <c r="I3864" s="4">
        <v>25253.800799999997</v>
      </c>
      <c r="J3864" s="4">
        <v>252538.00799999997</v>
      </c>
      <c r="K3864" s="4">
        <v>-12564.08</v>
      </c>
      <c r="L3864" s="4">
        <v>10</v>
      </c>
    </row>
    <row r="3865" spans="1:12">
      <c r="A3865" t="s">
        <v>264</v>
      </c>
      <c r="B3865" s="10">
        <v>45434</v>
      </c>
      <c r="C3865" s="18">
        <f t="shared" si="60"/>
        <v>5</v>
      </c>
      <c r="D3865" t="s">
        <v>196</v>
      </c>
      <c r="E3865">
        <v>4872592</v>
      </c>
      <c r="F3865" t="s">
        <v>8</v>
      </c>
      <c r="G3865" t="s">
        <v>204</v>
      </c>
      <c r="H3865" t="s">
        <v>220</v>
      </c>
      <c r="I3865" s="4">
        <v>37817.880799999999</v>
      </c>
      <c r="J3865" s="4">
        <v>378178.80799999996</v>
      </c>
      <c r="K3865" s="4">
        <v>-18846.12</v>
      </c>
      <c r="L3865" s="4">
        <v>10</v>
      </c>
    </row>
    <row r="3866" spans="1:12">
      <c r="A3866" t="s">
        <v>264</v>
      </c>
      <c r="B3866" s="10">
        <v>45434</v>
      </c>
      <c r="C3866" s="18">
        <f t="shared" si="60"/>
        <v>5</v>
      </c>
      <c r="D3866" t="s">
        <v>196</v>
      </c>
      <c r="E3866">
        <v>4872592</v>
      </c>
      <c r="F3866" t="s">
        <v>8</v>
      </c>
      <c r="G3866" t="s">
        <v>204</v>
      </c>
      <c r="H3866" t="s">
        <v>212</v>
      </c>
      <c r="I3866" s="4">
        <v>62946.040799999995</v>
      </c>
      <c r="J3866" s="4">
        <v>629460.40799999994</v>
      </c>
      <c r="K3866" s="4">
        <v>-18846.12</v>
      </c>
      <c r="L3866" s="4">
        <v>10</v>
      </c>
    </row>
    <row r="3867" spans="1:12">
      <c r="A3867" t="s">
        <v>264</v>
      </c>
      <c r="B3867" s="10">
        <v>45434</v>
      </c>
      <c r="C3867" s="18">
        <f t="shared" si="60"/>
        <v>5</v>
      </c>
      <c r="D3867" t="s">
        <v>196</v>
      </c>
      <c r="E3867">
        <v>4872205</v>
      </c>
      <c r="F3867" t="s">
        <v>8</v>
      </c>
      <c r="G3867" t="s">
        <v>203</v>
      </c>
      <c r="H3867" t="s">
        <v>240</v>
      </c>
      <c r="I3867" s="4">
        <v>100638.28079999999</v>
      </c>
      <c r="J3867" s="4">
        <v>4025531.2319999998</v>
      </c>
      <c r="K3867" s="4">
        <v>-173384.304</v>
      </c>
      <c r="L3867" s="4">
        <v>40</v>
      </c>
    </row>
    <row r="3868" spans="1:12">
      <c r="A3868" t="s">
        <v>264</v>
      </c>
      <c r="B3868" s="10">
        <v>45434</v>
      </c>
      <c r="C3868" s="18">
        <f t="shared" si="60"/>
        <v>5</v>
      </c>
      <c r="D3868" t="s">
        <v>196</v>
      </c>
      <c r="E3868">
        <v>4872205</v>
      </c>
      <c r="F3868" t="s">
        <v>8</v>
      </c>
      <c r="G3868" t="s">
        <v>203</v>
      </c>
      <c r="H3868" t="s">
        <v>234</v>
      </c>
      <c r="I3868" s="4">
        <v>100638.28079999999</v>
      </c>
      <c r="J3868" s="4">
        <v>4025531.2319999998</v>
      </c>
      <c r="K3868" s="4">
        <v>-173384.304</v>
      </c>
      <c r="L3868" s="4">
        <v>40</v>
      </c>
    </row>
    <row r="3869" spans="1:12">
      <c r="A3869" t="s">
        <v>264</v>
      </c>
      <c r="B3869" s="10">
        <v>45434</v>
      </c>
      <c r="C3869" s="18">
        <f t="shared" si="60"/>
        <v>5</v>
      </c>
      <c r="D3869" t="s">
        <v>196</v>
      </c>
      <c r="E3869">
        <v>4872205</v>
      </c>
      <c r="F3869" t="s">
        <v>8</v>
      </c>
      <c r="G3869" t="s">
        <v>203</v>
      </c>
      <c r="H3869" t="s">
        <v>232</v>
      </c>
      <c r="I3869" s="4">
        <v>100638.28079999999</v>
      </c>
      <c r="J3869" s="4">
        <v>2012765.6159999999</v>
      </c>
      <c r="K3869" s="4">
        <v>-86692.152000000002</v>
      </c>
      <c r="L3869" s="4">
        <v>20</v>
      </c>
    </row>
    <row r="3870" spans="1:12">
      <c r="A3870" t="s">
        <v>264</v>
      </c>
      <c r="B3870" s="10">
        <v>45434</v>
      </c>
      <c r="C3870" s="18">
        <f t="shared" si="60"/>
        <v>5</v>
      </c>
      <c r="D3870" t="s">
        <v>196</v>
      </c>
      <c r="E3870">
        <v>4872205</v>
      </c>
      <c r="F3870" t="s">
        <v>8</v>
      </c>
      <c r="G3870" t="s">
        <v>203</v>
      </c>
      <c r="H3870" t="s">
        <v>241</v>
      </c>
      <c r="I3870" s="4">
        <v>125766.4408</v>
      </c>
      <c r="J3870" s="4">
        <v>3144161.02</v>
      </c>
      <c r="K3870" s="4">
        <v>-141345.9</v>
      </c>
      <c r="L3870" s="4">
        <v>25</v>
      </c>
    </row>
    <row r="3871" spans="1:12">
      <c r="A3871" t="s">
        <v>264</v>
      </c>
      <c r="B3871" s="10">
        <v>45434</v>
      </c>
      <c r="C3871" s="18">
        <f t="shared" si="60"/>
        <v>5</v>
      </c>
      <c r="D3871" t="s">
        <v>196</v>
      </c>
      <c r="E3871">
        <v>4872205</v>
      </c>
      <c r="F3871" t="s">
        <v>8</v>
      </c>
      <c r="G3871" t="s">
        <v>203</v>
      </c>
      <c r="H3871" t="s">
        <v>239</v>
      </c>
      <c r="I3871" s="4">
        <v>125766.4408</v>
      </c>
      <c r="J3871" s="4">
        <v>1509197.2896</v>
      </c>
      <c r="K3871" s="4">
        <v>-67846.032000000007</v>
      </c>
      <c r="L3871" s="4">
        <v>12</v>
      </c>
    </row>
    <row r="3872" spans="1:12">
      <c r="A3872" t="s">
        <v>264</v>
      </c>
      <c r="B3872" s="10">
        <v>45435</v>
      </c>
      <c r="C3872" s="18">
        <f t="shared" si="60"/>
        <v>5</v>
      </c>
      <c r="D3872" t="s">
        <v>196</v>
      </c>
      <c r="E3872">
        <v>4874006</v>
      </c>
      <c r="F3872" t="s">
        <v>8</v>
      </c>
      <c r="G3872" t="s">
        <v>203</v>
      </c>
      <c r="H3872" t="s">
        <v>240</v>
      </c>
      <c r="I3872" s="4">
        <v>100638.28079999999</v>
      </c>
      <c r="J3872" s="4">
        <v>603829.68479999993</v>
      </c>
      <c r="K3872" s="4">
        <v>-26007.645599999996</v>
      </c>
      <c r="L3872" s="4">
        <v>6</v>
      </c>
    </row>
    <row r="3873" spans="1:12">
      <c r="A3873" t="s">
        <v>264</v>
      </c>
      <c r="B3873" s="10">
        <v>45435</v>
      </c>
      <c r="C3873" s="18">
        <f t="shared" si="60"/>
        <v>5</v>
      </c>
      <c r="D3873" t="s">
        <v>196</v>
      </c>
      <c r="E3873">
        <v>4874006</v>
      </c>
      <c r="F3873" t="s">
        <v>8</v>
      </c>
      <c r="G3873" t="s">
        <v>203</v>
      </c>
      <c r="H3873" t="s">
        <v>222</v>
      </c>
      <c r="I3873" s="4">
        <v>100638.28079999999</v>
      </c>
      <c r="J3873" s="4">
        <v>603829.68479999993</v>
      </c>
      <c r="K3873" s="4">
        <v>-26007.645599999996</v>
      </c>
      <c r="L3873" s="4">
        <v>6</v>
      </c>
    </row>
    <row r="3874" spans="1:12">
      <c r="A3874" t="s">
        <v>264</v>
      </c>
      <c r="B3874" s="10">
        <v>45435</v>
      </c>
      <c r="C3874" s="18">
        <f t="shared" si="60"/>
        <v>5</v>
      </c>
      <c r="D3874" t="s">
        <v>196</v>
      </c>
      <c r="E3874">
        <v>4873921</v>
      </c>
      <c r="F3874" t="s">
        <v>8</v>
      </c>
      <c r="G3874" t="s">
        <v>202</v>
      </c>
      <c r="H3874" t="s">
        <v>260</v>
      </c>
      <c r="I3874" s="4">
        <v>41587.104800000001</v>
      </c>
      <c r="J3874" s="4">
        <v>415871.04800000001</v>
      </c>
      <c r="K3874" s="4">
        <v>-20730.732</v>
      </c>
      <c r="L3874" s="4">
        <v>10</v>
      </c>
    </row>
    <row r="3875" spans="1:12">
      <c r="A3875" t="s">
        <v>264</v>
      </c>
      <c r="B3875" s="10">
        <v>45435</v>
      </c>
      <c r="C3875" s="18">
        <f t="shared" si="60"/>
        <v>5</v>
      </c>
      <c r="D3875" t="s">
        <v>196</v>
      </c>
      <c r="E3875">
        <v>4873921</v>
      </c>
      <c r="F3875" t="s">
        <v>8</v>
      </c>
      <c r="G3875" t="s">
        <v>202</v>
      </c>
      <c r="H3875" t="s">
        <v>259</v>
      </c>
      <c r="I3875" s="4">
        <v>30279.432800000002</v>
      </c>
      <c r="J3875" s="4">
        <v>121117.73120000001</v>
      </c>
      <c r="K3875" s="4">
        <v>-6030.7583999999997</v>
      </c>
      <c r="L3875" s="4">
        <v>4</v>
      </c>
    </row>
    <row r="3876" spans="1:12">
      <c r="A3876" t="s">
        <v>264</v>
      </c>
      <c r="B3876" s="10">
        <v>45435</v>
      </c>
      <c r="C3876" s="18">
        <f t="shared" si="60"/>
        <v>5</v>
      </c>
      <c r="D3876" t="s">
        <v>196</v>
      </c>
      <c r="E3876">
        <v>4879214</v>
      </c>
      <c r="F3876" t="s">
        <v>8</v>
      </c>
      <c r="G3876" t="s">
        <v>202</v>
      </c>
      <c r="H3876" t="s">
        <v>259</v>
      </c>
      <c r="I3876" s="4">
        <v>30279.432800000002</v>
      </c>
      <c r="J3876" s="4">
        <v>121117.73120000001</v>
      </c>
      <c r="K3876" s="4">
        <v>-6030.7583999999997</v>
      </c>
      <c r="L3876" s="4">
        <v>4</v>
      </c>
    </row>
    <row r="3877" spans="1:12">
      <c r="A3877" t="s">
        <v>264</v>
      </c>
      <c r="B3877" s="10">
        <v>45435</v>
      </c>
      <c r="C3877" s="18">
        <f t="shared" si="60"/>
        <v>5</v>
      </c>
      <c r="D3877" t="s">
        <v>196</v>
      </c>
      <c r="E3877">
        <v>4872200</v>
      </c>
      <c r="F3877" t="s">
        <v>8</v>
      </c>
      <c r="G3877" t="s">
        <v>203</v>
      </c>
      <c r="H3877" t="s">
        <v>240</v>
      </c>
      <c r="I3877" s="4">
        <v>100638.28079999999</v>
      </c>
      <c r="J3877" s="4">
        <v>1006382.808</v>
      </c>
      <c r="K3877" s="4">
        <v>-43346.076000000001</v>
      </c>
      <c r="L3877" s="4">
        <v>10</v>
      </c>
    </row>
    <row r="3878" spans="1:12">
      <c r="A3878" t="s">
        <v>264</v>
      </c>
      <c r="B3878" s="10">
        <v>45435</v>
      </c>
      <c r="C3878" s="18">
        <f t="shared" si="60"/>
        <v>5</v>
      </c>
      <c r="D3878" t="s">
        <v>196</v>
      </c>
      <c r="E3878">
        <v>4872200</v>
      </c>
      <c r="F3878" t="s">
        <v>8</v>
      </c>
      <c r="G3878" t="s">
        <v>203</v>
      </c>
      <c r="H3878" t="s">
        <v>234</v>
      </c>
      <c r="I3878" s="4">
        <v>100638.28079999999</v>
      </c>
      <c r="J3878" s="4">
        <v>1006382.808</v>
      </c>
      <c r="K3878" s="4">
        <v>-43346.076000000001</v>
      </c>
      <c r="L3878" s="4">
        <v>10</v>
      </c>
    </row>
    <row r="3879" spans="1:12">
      <c r="A3879" t="s">
        <v>264</v>
      </c>
      <c r="B3879" s="10">
        <v>45435</v>
      </c>
      <c r="C3879" s="18">
        <f t="shared" si="60"/>
        <v>5</v>
      </c>
      <c r="D3879" t="s">
        <v>196</v>
      </c>
      <c r="E3879">
        <v>4872200</v>
      </c>
      <c r="F3879" t="s">
        <v>8</v>
      </c>
      <c r="G3879" t="s">
        <v>203</v>
      </c>
      <c r="H3879" t="s">
        <v>227</v>
      </c>
      <c r="I3879" s="4">
        <v>100638.28079999999</v>
      </c>
      <c r="J3879" s="4">
        <v>1006382.808</v>
      </c>
      <c r="K3879" s="4">
        <v>-43346.076000000001</v>
      </c>
      <c r="L3879" s="4">
        <v>10</v>
      </c>
    </row>
    <row r="3880" spans="1:12">
      <c r="A3880" t="s">
        <v>264</v>
      </c>
      <c r="B3880" s="10">
        <v>45436</v>
      </c>
      <c r="C3880" s="18">
        <f t="shared" si="60"/>
        <v>5</v>
      </c>
      <c r="D3880" t="s">
        <v>196</v>
      </c>
      <c r="E3880">
        <v>4871600</v>
      </c>
      <c r="F3880" t="s">
        <v>8</v>
      </c>
      <c r="G3880" t="s">
        <v>204</v>
      </c>
      <c r="H3880" t="s">
        <v>215</v>
      </c>
      <c r="I3880" s="4">
        <v>75510.12079999999</v>
      </c>
      <c r="J3880" s="4">
        <v>453060.72479999997</v>
      </c>
      <c r="K3880" s="4">
        <v>-22615.344000000001</v>
      </c>
      <c r="L3880" s="4">
        <v>6</v>
      </c>
    </row>
    <row r="3881" spans="1:12">
      <c r="A3881" t="s">
        <v>264</v>
      </c>
      <c r="B3881" s="10">
        <v>45436</v>
      </c>
      <c r="C3881" s="18">
        <f t="shared" si="60"/>
        <v>5</v>
      </c>
      <c r="D3881" t="s">
        <v>196</v>
      </c>
      <c r="E3881">
        <v>4875980</v>
      </c>
      <c r="F3881" t="s">
        <v>8</v>
      </c>
      <c r="G3881" t="s">
        <v>203</v>
      </c>
      <c r="H3881" t="s">
        <v>240</v>
      </c>
      <c r="I3881" s="4">
        <v>100638.28079999999</v>
      </c>
      <c r="J3881" s="4">
        <v>402553.12319999997</v>
      </c>
      <c r="K3881" s="4">
        <v>-17338.430399999997</v>
      </c>
      <c r="L3881" s="4">
        <v>4</v>
      </c>
    </row>
    <row r="3882" spans="1:12">
      <c r="A3882" t="s">
        <v>264</v>
      </c>
      <c r="B3882" s="10">
        <v>45436</v>
      </c>
      <c r="C3882" s="18">
        <f t="shared" si="60"/>
        <v>5</v>
      </c>
      <c r="D3882" t="s">
        <v>196</v>
      </c>
      <c r="E3882">
        <v>4875980</v>
      </c>
      <c r="F3882" t="s">
        <v>8</v>
      </c>
      <c r="G3882" t="s">
        <v>203</v>
      </c>
      <c r="H3882" t="s">
        <v>230</v>
      </c>
      <c r="I3882" s="4">
        <v>100638.28079999999</v>
      </c>
      <c r="J3882" s="4">
        <v>603829.68479999993</v>
      </c>
      <c r="K3882" s="4">
        <v>-26007.645599999996</v>
      </c>
      <c r="L3882" s="4">
        <v>6</v>
      </c>
    </row>
    <row r="3883" spans="1:12">
      <c r="A3883" t="s">
        <v>264</v>
      </c>
      <c r="B3883" s="10">
        <v>45436</v>
      </c>
      <c r="C3883" s="18">
        <f t="shared" si="60"/>
        <v>5</v>
      </c>
      <c r="D3883" t="s">
        <v>196</v>
      </c>
      <c r="E3883">
        <v>4871657</v>
      </c>
      <c r="F3883" t="s">
        <v>8</v>
      </c>
      <c r="G3883" t="s">
        <v>203</v>
      </c>
      <c r="H3883" t="s">
        <v>243</v>
      </c>
      <c r="I3883" s="4">
        <v>100638.28079999999</v>
      </c>
      <c r="J3883" s="4">
        <v>201276.56159999999</v>
      </c>
      <c r="K3883" s="4">
        <v>-8669.2151999999987</v>
      </c>
      <c r="L3883" s="4">
        <v>2</v>
      </c>
    </row>
    <row r="3884" spans="1:12">
      <c r="A3884" t="s">
        <v>264</v>
      </c>
      <c r="B3884" s="10">
        <v>45436</v>
      </c>
      <c r="C3884" s="18">
        <f t="shared" si="60"/>
        <v>5</v>
      </c>
      <c r="D3884" t="s">
        <v>196</v>
      </c>
      <c r="E3884">
        <v>4871657</v>
      </c>
      <c r="F3884" t="s">
        <v>8</v>
      </c>
      <c r="G3884" t="s">
        <v>203</v>
      </c>
      <c r="H3884" t="s">
        <v>240</v>
      </c>
      <c r="I3884" s="4">
        <v>100638.28079999999</v>
      </c>
      <c r="J3884" s="4">
        <v>201276.56159999999</v>
      </c>
      <c r="K3884" s="4">
        <v>-8669.2151999999987</v>
      </c>
      <c r="L3884" s="4">
        <v>2</v>
      </c>
    </row>
    <row r="3885" spans="1:12">
      <c r="A3885" t="s">
        <v>264</v>
      </c>
      <c r="B3885" s="10">
        <v>45436</v>
      </c>
      <c r="C3885" s="18">
        <f t="shared" si="60"/>
        <v>5</v>
      </c>
      <c r="D3885" t="s">
        <v>196</v>
      </c>
      <c r="E3885">
        <v>4871657</v>
      </c>
      <c r="F3885" t="s">
        <v>8</v>
      </c>
      <c r="G3885" t="s">
        <v>203</v>
      </c>
      <c r="H3885" t="s">
        <v>234</v>
      </c>
      <c r="I3885" s="4">
        <v>100638.28079999999</v>
      </c>
      <c r="J3885" s="4">
        <v>201276.56159999999</v>
      </c>
      <c r="K3885" s="4">
        <v>-8669.2151999999987</v>
      </c>
      <c r="L3885" s="4">
        <v>2</v>
      </c>
    </row>
    <row r="3886" spans="1:12">
      <c r="A3886" t="s">
        <v>264</v>
      </c>
      <c r="B3886" s="10">
        <v>45436</v>
      </c>
      <c r="C3886" s="18">
        <f t="shared" si="60"/>
        <v>5</v>
      </c>
      <c r="D3886" t="s">
        <v>196</v>
      </c>
      <c r="E3886">
        <v>4871657</v>
      </c>
      <c r="F3886" t="s">
        <v>8</v>
      </c>
      <c r="G3886" t="s">
        <v>203</v>
      </c>
      <c r="H3886" t="s">
        <v>232</v>
      </c>
      <c r="I3886" s="4">
        <v>100638.28079999999</v>
      </c>
      <c r="J3886" s="4">
        <v>201276.56159999999</v>
      </c>
      <c r="K3886" s="4">
        <v>-8669.2151999999987</v>
      </c>
      <c r="L3886" s="4">
        <v>2</v>
      </c>
    </row>
    <row r="3887" spans="1:12">
      <c r="A3887" t="s">
        <v>264</v>
      </c>
      <c r="B3887" s="10">
        <v>45436</v>
      </c>
      <c r="C3887" s="18">
        <f t="shared" si="60"/>
        <v>5</v>
      </c>
      <c r="D3887" t="s">
        <v>196</v>
      </c>
      <c r="E3887">
        <v>4871657</v>
      </c>
      <c r="F3887" t="s">
        <v>8</v>
      </c>
      <c r="G3887" t="s">
        <v>203</v>
      </c>
      <c r="H3887" t="s">
        <v>230</v>
      </c>
      <c r="I3887" s="4">
        <v>100638.28079999999</v>
      </c>
      <c r="J3887" s="4">
        <v>201276.56159999999</v>
      </c>
      <c r="K3887" s="4">
        <v>-8669.2151999999987</v>
      </c>
      <c r="L3887" s="4">
        <v>2</v>
      </c>
    </row>
    <row r="3888" spans="1:12">
      <c r="A3888" t="s">
        <v>264</v>
      </c>
      <c r="B3888" s="10">
        <v>45436</v>
      </c>
      <c r="C3888" s="18">
        <f t="shared" si="60"/>
        <v>5</v>
      </c>
      <c r="D3888" t="s">
        <v>196</v>
      </c>
      <c r="E3888">
        <v>4872203</v>
      </c>
      <c r="F3888" t="s">
        <v>8</v>
      </c>
      <c r="G3888" t="s">
        <v>203</v>
      </c>
      <c r="H3888" t="s">
        <v>243</v>
      </c>
      <c r="I3888" s="4">
        <v>100638.28079999999</v>
      </c>
      <c r="J3888" s="4">
        <v>1006382.808</v>
      </c>
      <c r="K3888" s="4">
        <v>-43346.076000000001</v>
      </c>
      <c r="L3888" s="4">
        <v>10</v>
      </c>
    </row>
    <row r="3889" spans="1:12">
      <c r="A3889" t="s">
        <v>264</v>
      </c>
      <c r="B3889" s="10">
        <v>45436</v>
      </c>
      <c r="C3889" s="18">
        <f t="shared" si="60"/>
        <v>5</v>
      </c>
      <c r="D3889" t="s">
        <v>196</v>
      </c>
      <c r="E3889">
        <v>4872203</v>
      </c>
      <c r="F3889" t="s">
        <v>8</v>
      </c>
      <c r="G3889" t="s">
        <v>203</v>
      </c>
      <c r="H3889" t="s">
        <v>240</v>
      </c>
      <c r="I3889" s="4">
        <v>100638.28079999999</v>
      </c>
      <c r="J3889" s="4">
        <v>2817871.8624</v>
      </c>
      <c r="K3889" s="4">
        <v>-121369.0128</v>
      </c>
      <c r="L3889" s="4">
        <v>28</v>
      </c>
    </row>
    <row r="3890" spans="1:12">
      <c r="A3890" t="s">
        <v>264</v>
      </c>
      <c r="B3890" s="10">
        <v>45436</v>
      </c>
      <c r="C3890" s="18">
        <f t="shared" si="60"/>
        <v>5</v>
      </c>
      <c r="D3890" t="s">
        <v>196</v>
      </c>
      <c r="E3890">
        <v>4872203</v>
      </c>
      <c r="F3890" t="s">
        <v>8</v>
      </c>
      <c r="G3890" t="s">
        <v>203</v>
      </c>
      <c r="H3890" t="s">
        <v>232</v>
      </c>
      <c r="I3890" s="4">
        <v>100638.28079999999</v>
      </c>
      <c r="J3890" s="4">
        <v>1006382.808</v>
      </c>
      <c r="K3890" s="4">
        <v>-43346.076000000001</v>
      </c>
      <c r="L3890" s="4">
        <v>10</v>
      </c>
    </row>
    <row r="3891" spans="1:12">
      <c r="A3891" t="s">
        <v>264</v>
      </c>
      <c r="B3891" s="10">
        <v>45436</v>
      </c>
      <c r="C3891" s="18">
        <f t="shared" si="60"/>
        <v>5</v>
      </c>
      <c r="D3891" t="s">
        <v>196</v>
      </c>
      <c r="E3891">
        <v>4872141</v>
      </c>
      <c r="F3891" t="s">
        <v>8</v>
      </c>
      <c r="G3891" t="s">
        <v>203</v>
      </c>
      <c r="H3891" t="s">
        <v>243</v>
      </c>
      <c r="I3891" s="4">
        <v>100638.28079999999</v>
      </c>
      <c r="J3891" s="4">
        <v>1006382.808</v>
      </c>
      <c r="K3891" s="4">
        <v>-43346.076000000001</v>
      </c>
      <c r="L3891" s="4">
        <v>10</v>
      </c>
    </row>
    <row r="3892" spans="1:12">
      <c r="A3892" t="s">
        <v>264</v>
      </c>
      <c r="B3892" s="10">
        <v>45436</v>
      </c>
      <c r="C3892" s="18">
        <f t="shared" si="60"/>
        <v>5</v>
      </c>
      <c r="D3892" t="s">
        <v>196</v>
      </c>
      <c r="E3892">
        <v>4872141</v>
      </c>
      <c r="F3892" t="s">
        <v>8</v>
      </c>
      <c r="G3892" t="s">
        <v>203</v>
      </c>
      <c r="H3892" t="s">
        <v>238</v>
      </c>
      <c r="I3892" s="4">
        <v>95606.36675999999</v>
      </c>
      <c r="J3892" s="4">
        <v>1912127.3351999999</v>
      </c>
      <c r="K3892" s="4">
        <v>-86692.152000000002</v>
      </c>
      <c r="L3892" s="4">
        <v>20</v>
      </c>
    </row>
    <row r="3893" spans="1:12">
      <c r="A3893" t="s">
        <v>264</v>
      </c>
      <c r="B3893" s="10">
        <v>45436</v>
      </c>
      <c r="C3893" s="18">
        <f t="shared" si="60"/>
        <v>5</v>
      </c>
      <c r="D3893" t="s">
        <v>196</v>
      </c>
      <c r="E3893">
        <v>4872141</v>
      </c>
      <c r="F3893" t="s">
        <v>8</v>
      </c>
      <c r="G3893" t="s">
        <v>203</v>
      </c>
      <c r="H3893" t="s">
        <v>230</v>
      </c>
      <c r="I3893" s="4">
        <v>100638.28079999999</v>
      </c>
      <c r="J3893" s="4">
        <v>1006382.808</v>
      </c>
      <c r="K3893" s="4">
        <v>-43346.076000000001</v>
      </c>
      <c r="L3893" s="4">
        <v>10</v>
      </c>
    </row>
    <row r="3894" spans="1:12">
      <c r="A3894" t="s">
        <v>264</v>
      </c>
      <c r="B3894" s="10">
        <v>45436</v>
      </c>
      <c r="C3894" s="18">
        <f t="shared" si="60"/>
        <v>5</v>
      </c>
      <c r="D3894" t="s">
        <v>196</v>
      </c>
      <c r="E3894">
        <v>4872141</v>
      </c>
      <c r="F3894" t="s">
        <v>8</v>
      </c>
      <c r="G3894" t="s">
        <v>203</v>
      </c>
      <c r="H3894" t="s">
        <v>225</v>
      </c>
      <c r="I3894" s="4">
        <v>100638.28079999999</v>
      </c>
      <c r="J3894" s="4">
        <v>1006382.808</v>
      </c>
      <c r="K3894" s="4">
        <v>-43346.076000000001</v>
      </c>
      <c r="L3894" s="4">
        <v>10</v>
      </c>
    </row>
    <row r="3895" spans="1:12">
      <c r="A3895" t="s">
        <v>264</v>
      </c>
      <c r="B3895" s="10">
        <v>45436</v>
      </c>
      <c r="C3895" s="18">
        <f t="shared" si="60"/>
        <v>5</v>
      </c>
      <c r="D3895" t="s">
        <v>196</v>
      </c>
      <c r="E3895">
        <v>4872141</v>
      </c>
      <c r="F3895" t="s">
        <v>8</v>
      </c>
      <c r="G3895" t="s">
        <v>203</v>
      </c>
      <c r="H3895" t="s">
        <v>222</v>
      </c>
      <c r="I3895" s="4">
        <v>100638.28079999999</v>
      </c>
      <c r="J3895" s="4">
        <v>1006382.808</v>
      </c>
      <c r="K3895" s="4">
        <v>-43346.076000000001</v>
      </c>
      <c r="L3895" s="4">
        <v>10</v>
      </c>
    </row>
    <row r="3896" spans="1:12">
      <c r="A3896" t="s">
        <v>264</v>
      </c>
      <c r="B3896" s="10">
        <v>45436</v>
      </c>
      <c r="C3896" s="18">
        <f t="shared" si="60"/>
        <v>5</v>
      </c>
      <c r="D3896" t="s">
        <v>196</v>
      </c>
      <c r="E3896">
        <v>4872141</v>
      </c>
      <c r="F3896" t="s">
        <v>8</v>
      </c>
      <c r="G3896" t="s">
        <v>203</v>
      </c>
      <c r="H3896" t="s">
        <v>241</v>
      </c>
      <c r="I3896" s="4">
        <v>125766.4408</v>
      </c>
      <c r="J3896" s="4">
        <v>-251532.88159999999</v>
      </c>
      <c r="K3896" s="4">
        <v>11307.672</v>
      </c>
      <c r="L3896" s="4">
        <v>-2</v>
      </c>
    </row>
    <row r="3897" spans="1:12">
      <c r="A3897" t="s">
        <v>264</v>
      </c>
      <c r="B3897" s="10">
        <v>45437</v>
      </c>
      <c r="C3897" s="18">
        <f t="shared" si="60"/>
        <v>5</v>
      </c>
      <c r="D3897" t="s">
        <v>196</v>
      </c>
      <c r="E3897">
        <v>4871600</v>
      </c>
      <c r="F3897" t="s">
        <v>8</v>
      </c>
      <c r="G3897" t="s">
        <v>205</v>
      </c>
      <c r="H3897" t="s">
        <v>246</v>
      </c>
      <c r="I3897" s="4">
        <v>5967.9380000000001</v>
      </c>
      <c r="J3897" s="4">
        <v>-11935.876</v>
      </c>
      <c r="K3897" s="4">
        <v>628.20400000000006</v>
      </c>
      <c r="L3897" s="4">
        <v>-2</v>
      </c>
    </row>
    <row r="3898" spans="1:12">
      <c r="A3898" t="s">
        <v>264</v>
      </c>
      <c r="B3898" s="10">
        <v>45437</v>
      </c>
      <c r="C3898" s="18">
        <f t="shared" si="60"/>
        <v>5</v>
      </c>
      <c r="D3898" t="s">
        <v>196</v>
      </c>
      <c r="E3898">
        <v>4872058</v>
      </c>
      <c r="F3898" t="s">
        <v>8</v>
      </c>
      <c r="G3898" t="s">
        <v>203</v>
      </c>
      <c r="H3898" t="s">
        <v>242</v>
      </c>
      <c r="I3898" s="4">
        <v>100638.28079999999</v>
      </c>
      <c r="J3898" s="4">
        <v>1006382.808</v>
      </c>
      <c r="K3898" s="4">
        <v>-43346.076000000001</v>
      </c>
      <c r="L3898" s="4">
        <v>10</v>
      </c>
    </row>
    <row r="3899" spans="1:12">
      <c r="A3899" t="s">
        <v>264</v>
      </c>
      <c r="B3899" s="10">
        <v>45437</v>
      </c>
      <c r="C3899" s="18">
        <f t="shared" si="60"/>
        <v>5</v>
      </c>
      <c r="D3899" t="s">
        <v>196</v>
      </c>
      <c r="E3899">
        <v>4872058</v>
      </c>
      <c r="F3899" t="s">
        <v>8</v>
      </c>
      <c r="G3899" t="s">
        <v>203</v>
      </c>
      <c r="H3899" t="s">
        <v>234</v>
      </c>
      <c r="I3899" s="4">
        <v>100638.28079999999</v>
      </c>
      <c r="J3899" s="4">
        <v>1006382.808</v>
      </c>
      <c r="K3899" s="4">
        <v>-43346.076000000001</v>
      </c>
      <c r="L3899" s="4">
        <v>10</v>
      </c>
    </row>
    <row r="3900" spans="1:12">
      <c r="A3900" t="s">
        <v>264</v>
      </c>
      <c r="B3900" s="10">
        <v>45437</v>
      </c>
      <c r="C3900" s="18">
        <f t="shared" si="60"/>
        <v>5</v>
      </c>
      <c r="D3900" t="s">
        <v>196</v>
      </c>
      <c r="E3900">
        <v>4872058</v>
      </c>
      <c r="F3900" t="s">
        <v>8</v>
      </c>
      <c r="G3900" t="s">
        <v>203</v>
      </c>
      <c r="H3900" t="s">
        <v>230</v>
      </c>
      <c r="I3900" s="4">
        <v>100638.28079999999</v>
      </c>
      <c r="J3900" s="4">
        <v>1006382.808</v>
      </c>
      <c r="K3900" s="4">
        <v>-43346.076000000001</v>
      </c>
      <c r="L3900" s="4">
        <v>10</v>
      </c>
    </row>
    <row r="3901" spans="1:12">
      <c r="A3901" t="s">
        <v>264</v>
      </c>
      <c r="B3901" s="10">
        <v>45437</v>
      </c>
      <c r="C3901" s="18">
        <f t="shared" si="60"/>
        <v>5</v>
      </c>
      <c r="D3901" t="s">
        <v>196</v>
      </c>
      <c r="E3901">
        <v>4872189</v>
      </c>
      <c r="F3901" t="s">
        <v>8</v>
      </c>
      <c r="G3901" t="s">
        <v>203</v>
      </c>
      <c r="H3901" t="s">
        <v>243</v>
      </c>
      <c r="I3901" s="4">
        <v>100638.28079999999</v>
      </c>
      <c r="J3901" s="4">
        <v>1006382.808</v>
      </c>
      <c r="K3901" s="4">
        <v>-43346.076000000001</v>
      </c>
      <c r="L3901" s="4">
        <v>10</v>
      </c>
    </row>
    <row r="3902" spans="1:12">
      <c r="A3902" t="s">
        <v>264</v>
      </c>
      <c r="B3902" s="10">
        <v>45437</v>
      </c>
      <c r="C3902" s="18">
        <f t="shared" si="60"/>
        <v>5</v>
      </c>
      <c r="D3902" t="s">
        <v>196</v>
      </c>
      <c r="E3902">
        <v>4872189</v>
      </c>
      <c r="F3902" t="s">
        <v>8</v>
      </c>
      <c r="G3902" t="s">
        <v>203</v>
      </c>
      <c r="H3902" t="s">
        <v>242</v>
      </c>
      <c r="I3902" s="4">
        <v>100638.28079999999</v>
      </c>
      <c r="J3902" s="4">
        <v>2012765.6159999999</v>
      </c>
      <c r="K3902" s="4">
        <v>-86692.152000000002</v>
      </c>
      <c r="L3902" s="4">
        <v>20</v>
      </c>
    </row>
    <row r="3903" spans="1:12">
      <c r="A3903" t="s">
        <v>264</v>
      </c>
      <c r="B3903" s="10">
        <v>45437</v>
      </c>
      <c r="C3903" s="18">
        <f t="shared" si="60"/>
        <v>5</v>
      </c>
      <c r="D3903" t="s">
        <v>196</v>
      </c>
      <c r="E3903">
        <v>4872189</v>
      </c>
      <c r="F3903" t="s">
        <v>8</v>
      </c>
      <c r="G3903" t="s">
        <v>203</v>
      </c>
      <c r="H3903" t="s">
        <v>238</v>
      </c>
      <c r="I3903" s="4">
        <v>95606.36675999999</v>
      </c>
      <c r="J3903" s="4">
        <v>1912127.3351999999</v>
      </c>
      <c r="K3903" s="4">
        <v>-86692.152000000002</v>
      </c>
      <c r="L3903" s="4">
        <v>20</v>
      </c>
    </row>
    <row r="3904" spans="1:12">
      <c r="A3904" t="s">
        <v>264</v>
      </c>
      <c r="B3904" s="10">
        <v>45437</v>
      </c>
      <c r="C3904" s="18">
        <f t="shared" si="60"/>
        <v>5</v>
      </c>
      <c r="D3904" t="s">
        <v>196</v>
      </c>
      <c r="E3904">
        <v>4872189</v>
      </c>
      <c r="F3904" t="s">
        <v>8</v>
      </c>
      <c r="G3904" t="s">
        <v>203</v>
      </c>
      <c r="H3904" t="s">
        <v>234</v>
      </c>
      <c r="I3904" s="4">
        <v>100638.28079999999</v>
      </c>
      <c r="J3904" s="4">
        <v>1006382.808</v>
      </c>
      <c r="K3904" s="4">
        <v>-43346.076000000001</v>
      </c>
      <c r="L3904" s="4">
        <v>10</v>
      </c>
    </row>
    <row r="3905" spans="1:12">
      <c r="A3905" t="s">
        <v>264</v>
      </c>
      <c r="B3905" s="10">
        <v>45437</v>
      </c>
      <c r="C3905" s="18">
        <f t="shared" si="60"/>
        <v>5</v>
      </c>
      <c r="D3905" t="s">
        <v>196</v>
      </c>
      <c r="E3905">
        <v>4872189</v>
      </c>
      <c r="F3905" t="s">
        <v>8</v>
      </c>
      <c r="G3905" t="s">
        <v>203</v>
      </c>
      <c r="H3905" t="s">
        <v>232</v>
      </c>
      <c r="I3905" s="4">
        <v>100638.28079999999</v>
      </c>
      <c r="J3905" s="4">
        <v>1006382.808</v>
      </c>
      <c r="K3905" s="4">
        <v>-43346.076000000001</v>
      </c>
      <c r="L3905" s="4">
        <v>10</v>
      </c>
    </row>
    <row r="3906" spans="1:12">
      <c r="A3906" t="s">
        <v>264</v>
      </c>
      <c r="B3906" s="10">
        <v>45437</v>
      </c>
      <c r="C3906" s="18">
        <f t="shared" ref="C3906:C3969" si="61">MONTH(B3906)</f>
        <v>5</v>
      </c>
      <c r="D3906" t="s">
        <v>196</v>
      </c>
      <c r="E3906">
        <v>4872189</v>
      </c>
      <c r="F3906" t="s">
        <v>8</v>
      </c>
      <c r="G3906" t="s">
        <v>203</v>
      </c>
      <c r="H3906" t="s">
        <v>230</v>
      </c>
      <c r="I3906" s="4">
        <v>100638.28079999999</v>
      </c>
      <c r="J3906" s="4">
        <v>1006382.808</v>
      </c>
      <c r="K3906" s="4">
        <v>-43346.076000000001</v>
      </c>
      <c r="L3906" s="4">
        <v>10</v>
      </c>
    </row>
    <row r="3907" spans="1:12">
      <c r="A3907" t="s">
        <v>264</v>
      </c>
      <c r="B3907" s="10">
        <v>45437</v>
      </c>
      <c r="C3907" s="18">
        <f t="shared" si="61"/>
        <v>5</v>
      </c>
      <c r="D3907" t="s">
        <v>196</v>
      </c>
      <c r="E3907">
        <v>4872189</v>
      </c>
      <c r="F3907" t="s">
        <v>8</v>
      </c>
      <c r="G3907" t="s">
        <v>203</v>
      </c>
      <c r="H3907" t="s">
        <v>227</v>
      </c>
      <c r="I3907" s="4">
        <v>100638.28079999999</v>
      </c>
      <c r="J3907" s="4">
        <v>1006382.808</v>
      </c>
      <c r="K3907" s="4">
        <v>-43346.076000000001</v>
      </c>
      <c r="L3907" s="4">
        <v>10</v>
      </c>
    </row>
    <row r="3908" spans="1:12">
      <c r="A3908" t="s">
        <v>264</v>
      </c>
      <c r="B3908" s="10">
        <v>45437</v>
      </c>
      <c r="C3908" s="18">
        <f t="shared" si="61"/>
        <v>5</v>
      </c>
      <c r="D3908" t="s">
        <v>196</v>
      </c>
      <c r="E3908">
        <v>4872189</v>
      </c>
      <c r="F3908" t="s">
        <v>8</v>
      </c>
      <c r="G3908" t="s">
        <v>203</v>
      </c>
      <c r="H3908" t="s">
        <v>225</v>
      </c>
      <c r="I3908" s="4">
        <v>100638.28079999999</v>
      </c>
      <c r="J3908" s="4">
        <v>1006382.808</v>
      </c>
      <c r="K3908" s="4">
        <v>-43346.076000000001</v>
      </c>
      <c r="L3908" s="4">
        <v>10</v>
      </c>
    </row>
    <row r="3909" spans="1:12">
      <c r="A3909" t="s">
        <v>264</v>
      </c>
      <c r="B3909" s="10">
        <v>45437</v>
      </c>
      <c r="C3909" s="18">
        <f t="shared" si="61"/>
        <v>5</v>
      </c>
      <c r="D3909" t="s">
        <v>196</v>
      </c>
      <c r="E3909">
        <v>4876950</v>
      </c>
      <c r="F3909" t="s">
        <v>8</v>
      </c>
      <c r="G3909" t="s">
        <v>202</v>
      </c>
      <c r="H3909" t="s">
        <v>254</v>
      </c>
      <c r="I3909" s="4">
        <v>37817.880799999999</v>
      </c>
      <c r="J3909" s="4">
        <v>2722887.4175999998</v>
      </c>
      <c r="K3909" s="4">
        <v>-135692.06400000001</v>
      </c>
      <c r="L3909" s="4">
        <v>72</v>
      </c>
    </row>
    <row r="3910" spans="1:12">
      <c r="A3910" t="s">
        <v>264</v>
      </c>
      <c r="B3910" s="10">
        <v>45437</v>
      </c>
      <c r="C3910" s="18">
        <f t="shared" si="61"/>
        <v>5</v>
      </c>
      <c r="D3910" t="s">
        <v>196</v>
      </c>
      <c r="E3910">
        <v>4873128</v>
      </c>
      <c r="F3910" t="s">
        <v>8</v>
      </c>
      <c r="G3910" t="s">
        <v>204</v>
      </c>
      <c r="H3910" t="s">
        <v>219</v>
      </c>
      <c r="I3910" s="4">
        <v>44099.9208</v>
      </c>
      <c r="J3910" s="4">
        <v>-1763996.8319999999</v>
      </c>
      <c r="K3910" s="4">
        <v>75384.479999999996</v>
      </c>
      <c r="L3910" s="4">
        <v>-40</v>
      </c>
    </row>
    <row r="3911" spans="1:12">
      <c r="A3911" t="s">
        <v>264</v>
      </c>
      <c r="B3911" s="10">
        <v>45437</v>
      </c>
      <c r="C3911" s="18">
        <f t="shared" si="61"/>
        <v>5</v>
      </c>
      <c r="D3911" t="s">
        <v>196</v>
      </c>
      <c r="E3911">
        <v>4873128</v>
      </c>
      <c r="F3911" t="s">
        <v>8</v>
      </c>
      <c r="G3911" t="s">
        <v>204</v>
      </c>
      <c r="H3911" t="s">
        <v>216</v>
      </c>
      <c r="I3911" s="4">
        <v>113202.36079999999</v>
      </c>
      <c r="J3911" s="4">
        <v>-5320510.9575999994</v>
      </c>
      <c r="K3911" s="4">
        <v>265730.29199999996</v>
      </c>
      <c r="L3911" s="4">
        <v>-47</v>
      </c>
    </row>
    <row r="3912" spans="1:12">
      <c r="A3912" t="s">
        <v>264</v>
      </c>
      <c r="B3912" s="10">
        <v>45437</v>
      </c>
      <c r="C3912" s="18">
        <f t="shared" si="61"/>
        <v>5</v>
      </c>
      <c r="D3912" t="s">
        <v>196</v>
      </c>
      <c r="E3912">
        <v>4873128</v>
      </c>
      <c r="F3912" t="s">
        <v>8</v>
      </c>
      <c r="G3912" t="s">
        <v>204</v>
      </c>
      <c r="H3912" t="s">
        <v>214</v>
      </c>
      <c r="I3912" s="4">
        <v>119484.4008</v>
      </c>
      <c r="J3912" s="4">
        <v>-2389688.0159999998</v>
      </c>
      <c r="K3912" s="4">
        <v>119358.76</v>
      </c>
      <c r="L3912" s="4">
        <v>-20</v>
      </c>
    </row>
    <row r="3913" spans="1:12">
      <c r="A3913" t="s">
        <v>264</v>
      </c>
      <c r="B3913" s="10">
        <v>45437</v>
      </c>
      <c r="C3913" s="18">
        <f t="shared" si="61"/>
        <v>5</v>
      </c>
      <c r="D3913" t="s">
        <v>196</v>
      </c>
      <c r="E3913">
        <v>4873128</v>
      </c>
      <c r="F3913" t="s">
        <v>8</v>
      </c>
      <c r="G3913" t="s">
        <v>204</v>
      </c>
      <c r="H3913" t="s">
        <v>213</v>
      </c>
      <c r="I3913" s="4">
        <v>119484.4008</v>
      </c>
      <c r="J3913" s="4">
        <v>-3584532.0240000002</v>
      </c>
      <c r="K3913" s="4">
        <v>179038.13999999998</v>
      </c>
      <c r="L3913" s="4">
        <v>-30</v>
      </c>
    </row>
    <row r="3914" spans="1:12">
      <c r="A3914" t="s">
        <v>264</v>
      </c>
      <c r="B3914" s="10">
        <v>45437</v>
      </c>
      <c r="C3914" s="18">
        <f t="shared" si="61"/>
        <v>5</v>
      </c>
      <c r="D3914" t="s">
        <v>196</v>
      </c>
      <c r="E3914">
        <v>4873128</v>
      </c>
      <c r="F3914" t="s">
        <v>8</v>
      </c>
      <c r="G3914" t="s">
        <v>204</v>
      </c>
      <c r="H3914" t="s">
        <v>212</v>
      </c>
      <c r="I3914" s="4">
        <v>62946.040799999995</v>
      </c>
      <c r="J3914" s="4">
        <v>-5791035.7535999995</v>
      </c>
      <c r="K3914" s="4">
        <v>173384.304</v>
      </c>
      <c r="L3914" s="4">
        <v>-92</v>
      </c>
    </row>
    <row r="3915" spans="1:12">
      <c r="A3915" t="s">
        <v>264</v>
      </c>
      <c r="B3915" s="10">
        <v>45437</v>
      </c>
      <c r="C3915" s="18">
        <f t="shared" si="61"/>
        <v>5</v>
      </c>
      <c r="D3915" t="s">
        <v>196</v>
      </c>
      <c r="E3915">
        <v>4876991</v>
      </c>
      <c r="F3915" t="s">
        <v>8</v>
      </c>
      <c r="G3915" t="s">
        <v>204</v>
      </c>
      <c r="H3915" t="s">
        <v>217</v>
      </c>
      <c r="I3915" s="4">
        <v>78022.936799999996</v>
      </c>
      <c r="J3915" s="4">
        <v>780229.36800000002</v>
      </c>
      <c r="K3915" s="4">
        <v>-35807.628000000004</v>
      </c>
      <c r="L3915" s="4">
        <v>10</v>
      </c>
    </row>
    <row r="3916" spans="1:12">
      <c r="A3916" t="s">
        <v>264</v>
      </c>
      <c r="B3916" s="10">
        <v>45437</v>
      </c>
      <c r="C3916" s="18">
        <f t="shared" si="61"/>
        <v>5</v>
      </c>
      <c r="D3916" t="s">
        <v>196</v>
      </c>
      <c r="E3916">
        <v>4876991</v>
      </c>
      <c r="F3916" t="s">
        <v>8</v>
      </c>
      <c r="G3916" t="s">
        <v>204</v>
      </c>
      <c r="H3916" t="s">
        <v>215</v>
      </c>
      <c r="I3916" s="4">
        <v>75510.12079999999</v>
      </c>
      <c r="J3916" s="4">
        <v>755101.20799999987</v>
      </c>
      <c r="K3916" s="4">
        <v>-37692.239999999998</v>
      </c>
      <c r="L3916" s="4">
        <v>10</v>
      </c>
    </row>
    <row r="3917" spans="1:12">
      <c r="A3917" t="s">
        <v>264</v>
      </c>
      <c r="B3917" s="10">
        <v>45437</v>
      </c>
      <c r="C3917" s="18">
        <f t="shared" si="61"/>
        <v>5</v>
      </c>
      <c r="D3917" t="s">
        <v>196</v>
      </c>
      <c r="E3917">
        <v>4876991</v>
      </c>
      <c r="F3917" t="s">
        <v>8</v>
      </c>
      <c r="G3917" t="s">
        <v>204</v>
      </c>
      <c r="H3917" t="s">
        <v>221</v>
      </c>
      <c r="I3917" s="4">
        <v>25253.800799999997</v>
      </c>
      <c r="J3917" s="4">
        <v>126269.00399999999</v>
      </c>
      <c r="K3917" s="4">
        <v>-6282.04</v>
      </c>
      <c r="L3917" s="4">
        <v>5</v>
      </c>
    </row>
    <row r="3918" spans="1:12">
      <c r="A3918" t="s">
        <v>264</v>
      </c>
      <c r="B3918" s="10">
        <v>45437</v>
      </c>
      <c r="C3918" s="18">
        <f t="shared" si="61"/>
        <v>5</v>
      </c>
      <c r="D3918" t="s">
        <v>196</v>
      </c>
      <c r="E3918">
        <v>4876991</v>
      </c>
      <c r="F3918" t="s">
        <v>8</v>
      </c>
      <c r="G3918" t="s">
        <v>204</v>
      </c>
      <c r="H3918" t="s">
        <v>220</v>
      </c>
      <c r="I3918" s="4">
        <v>37817.880799999999</v>
      </c>
      <c r="J3918" s="4">
        <v>189089.40399999998</v>
      </c>
      <c r="K3918" s="4">
        <v>-9423.06</v>
      </c>
      <c r="L3918" s="4">
        <v>5</v>
      </c>
    </row>
    <row r="3919" spans="1:12">
      <c r="A3919" t="s">
        <v>264</v>
      </c>
      <c r="B3919" s="10">
        <v>45437</v>
      </c>
      <c r="C3919" s="18">
        <f t="shared" si="61"/>
        <v>5</v>
      </c>
      <c r="D3919" t="s">
        <v>196</v>
      </c>
      <c r="E3919">
        <v>4876991</v>
      </c>
      <c r="F3919" t="s">
        <v>8</v>
      </c>
      <c r="G3919" t="s">
        <v>205</v>
      </c>
      <c r="H3919" t="s">
        <v>211</v>
      </c>
      <c r="I3919" s="4">
        <v>5151.2727999999997</v>
      </c>
      <c r="J3919" s="4">
        <v>51512.727999999996</v>
      </c>
      <c r="K3919" s="4">
        <v>-2512.8160000000003</v>
      </c>
      <c r="L3919" s="4">
        <v>10</v>
      </c>
    </row>
    <row r="3920" spans="1:12">
      <c r="A3920" t="s">
        <v>264</v>
      </c>
      <c r="B3920" s="10">
        <v>45438</v>
      </c>
      <c r="C3920" s="18">
        <f t="shared" si="61"/>
        <v>5</v>
      </c>
      <c r="D3920" t="s">
        <v>196</v>
      </c>
      <c r="E3920">
        <v>4878874</v>
      </c>
      <c r="F3920" t="s">
        <v>8</v>
      </c>
      <c r="G3920" t="s">
        <v>206</v>
      </c>
      <c r="H3920" t="s">
        <v>249</v>
      </c>
      <c r="I3920" s="4">
        <v>17715.352800000001</v>
      </c>
      <c r="J3920" s="4">
        <v>389737.76160000003</v>
      </c>
      <c r="K3920" s="4">
        <v>-38697.366399999999</v>
      </c>
      <c r="L3920" s="4">
        <v>22</v>
      </c>
    </row>
    <row r="3921" spans="1:12">
      <c r="A3921" t="s">
        <v>264</v>
      </c>
      <c r="B3921" s="10">
        <v>45438</v>
      </c>
      <c r="C3921" s="18">
        <f t="shared" si="61"/>
        <v>5</v>
      </c>
      <c r="D3921" t="s">
        <v>196</v>
      </c>
      <c r="E3921">
        <v>4873570</v>
      </c>
      <c r="F3921" t="s">
        <v>8</v>
      </c>
      <c r="G3921" t="s">
        <v>203</v>
      </c>
      <c r="H3921" t="s">
        <v>243</v>
      </c>
      <c r="I3921" s="4">
        <v>100638.28079999999</v>
      </c>
      <c r="J3921" s="4">
        <v>1006382.808</v>
      </c>
      <c r="K3921" s="4">
        <v>-43346.076000000001</v>
      </c>
      <c r="L3921" s="4">
        <v>10</v>
      </c>
    </row>
    <row r="3922" spans="1:12">
      <c r="A3922" t="s">
        <v>264</v>
      </c>
      <c r="B3922" s="10">
        <v>45438</v>
      </c>
      <c r="C3922" s="18">
        <f t="shared" si="61"/>
        <v>5</v>
      </c>
      <c r="D3922" t="s">
        <v>196</v>
      </c>
      <c r="E3922">
        <v>4873570</v>
      </c>
      <c r="F3922" t="s">
        <v>8</v>
      </c>
      <c r="G3922" t="s">
        <v>203</v>
      </c>
      <c r="H3922" t="s">
        <v>242</v>
      </c>
      <c r="I3922" s="4">
        <v>100638.28079999999</v>
      </c>
      <c r="J3922" s="4">
        <v>2012765.6159999999</v>
      </c>
      <c r="K3922" s="4">
        <v>-86692.152000000002</v>
      </c>
      <c r="L3922" s="4">
        <v>20</v>
      </c>
    </row>
    <row r="3923" spans="1:12">
      <c r="A3923" t="s">
        <v>264</v>
      </c>
      <c r="B3923" s="10">
        <v>45438</v>
      </c>
      <c r="C3923" s="18">
        <f t="shared" si="61"/>
        <v>5</v>
      </c>
      <c r="D3923" t="s">
        <v>196</v>
      </c>
      <c r="E3923">
        <v>4873570</v>
      </c>
      <c r="F3923" t="s">
        <v>8</v>
      </c>
      <c r="G3923" t="s">
        <v>203</v>
      </c>
      <c r="H3923" t="s">
        <v>238</v>
      </c>
      <c r="I3923" s="4">
        <v>95606.36675999999</v>
      </c>
      <c r="J3923" s="4">
        <v>1912127.3351999999</v>
      </c>
      <c r="K3923" s="4">
        <v>-86692.152000000002</v>
      </c>
      <c r="L3923" s="4">
        <v>20</v>
      </c>
    </row>
    <row r="3924" spans="1:12">
      <c r="A3924" t="s">
        <v>264</v>
      </c>
      <c r="B3924" s="10">
        <v>45438</v>
      </c>
      <c r="C3924" s="18">
        <f t="shared" si="61"/>
        <v>5</v>
      </c>
      <c r="D3924" t="s">
        <v>196</v>
      </c>
      <c r="E3924">
        <v>4873570</v>
      </c>
      <c r="F3924" t="s">
        <v>8</v>
      </c>
      <c r="G3924" t="s">
        <v>203</v>
      </c>
      <c r="H3924" t="s">
        <v>232</v>
      </c>
      <c r="I3924" s="4">
        <v>100638.28079999999</v>
      </c>
      <c r="J3924" s="4">
        <v>1006382.808</v>
      </c>
      <c r="K3924" s="4">
        <v>-43346.076000000001</v>
      </c>
      <c r="L3924" s="4">
        <v>10</v>
      </c>
    </row>
    <row r="3925" spans="1:12">
      <c r="A3925" t="s">
        <v>264</v>
      </c>
      <c r="B3925" s="10">
        <v>45438</v>
      </c>
      <c r="C3925" s="18">
        <f t="shared" si="61"/>
        <v>5</v>
      </c>
      <c r="D3925" t="s">
        <v>196</v>
      </c>
      <c r="E3925">
        <v>4873570</v>
      </c>
      <c r="F3925" t="s">
        <v>8</v>
      </c>
      <c r="G3925" t="s">
        <v>203</v>
      </c>
      <c r="H3925" t="s">
        <v>230</v>
      </c>
      <c r="I3925" s="4">
        <v>100638.28079999999</v>
      </c>
      <c r="J3925" s="4">
        <v>1006382.808</v>
      </c>
      <c r="K3925" s="4">
        <v>-43346.076000000001</v>
      </c>
      <c r="L3925" s="4">
        <v>10</v>
      </c>
    </row>
    <row r="3926" spans="1:12">
      <c r="A3926" t="s">
        <v>264</v>
      </c>
      <c r="B3926" s="10">
        <v>45438</v>
      </c>
      <c r="C3926" s="18">
        <f t="shared" si="61"/>
        <v>5</v>
      </c>
      <c r="D3926" t="s">
        <v>196</v>
      </c>
      <c r="E3926">
        <v>4873570</v>
      </c>
      <c r="F3926" t="s">
        <v>8</v>
      </c>
      <c r="G3926" t="s">
        <v>203</v>
      </c>
      <c r="H3926" t="s">
        <v>222</v>
      </c>
      <c r="I3926" s="4">
        <v>100638.28079999999</v>
      </c>
      <c r="J3926" s="4">
        <v>1006382.808</v>
      </c>
      <c r="K3926" s="4">
        <v>-43346.076000000001</v>
      </c>
      <c r="L3926" s="4">
        <v>10</v>
      </c>
    </row>
    <row r="3927" spans="1:12">
      <c r="A3927" t="s">
        <v>264</v>
      </c>
      <c r="B3927" s="10">
        <v>45438</v>
      </c>
      <c r="C3927" s="18">
        <f t="shared" si="61"/>
        <v>5</v>
      </c>
      <c r="D3927" t="s">
        <v>196</v>
      </c>
      <c r="E3927">
        <v>4873570</v>
      </c>
      <c r="F3927" t="s">
        <v>8</v>
      </c>
      <c r="G3927" t="s">
        <v>203</v>
      </c>
      <c r="H3927" t="s">
        <v>229</v>
      </c>
      <c r="I3927" s="4">
        <v>125766.4408</v>
      </c>
      <c r="J3927" s="4">
        <v>6288322.04</v>
      </c>
      <c r="K3927" s="4">
        <v>-282691.8</v>
      </c>
      <c r="L3927" s="4">
        <v>50</v>
      </c>
    </row>
    <row r="3928" spans="1:12">
      <c r="A3928" t="s">
        <v>264</v>
      </c>
      <c r="B3928" s="10">
        <v>45438</v>
      </c>
      <c r="C3928" s="18">
        <f t="shared" si="61"/>
        <v>5</v>
      </c>
      <c r="D3928" t="s">
        <v>196</v>
      </c>
      <c r="E3928">
        <v>4872156</v>
      </c>
      <c r="F3928" t="s">
        <v>8</v>
      </c>
      <c r="G3928" t="s">
        <v>204</v>
      </c>
      <c r="H3928" t="s">
        <v>216</v>
      </c>
      <c r="I3928" s="4">
        <v>113202.36079999999</v>
      </c>
      <c r="J3928" s="4">
        <v>3396070.824</v>
      </c>
      <c r="K3928" s="4">
        <v>-169615.08</v>
      </c>
      <c r="L3928" s="4">
        <v>30</v>
      </c>
    </row>
    <row r="3929" spans="1:12">
      <c r="A3929" t="s">
        <v>264</v>
      </c>
      <c r="B3929" s="10">
        <v>45438</v>
      </c>
      <c r="C3929" s="18">
        <f t="shared" si="61"/>
        <v>5</v>
      </c>
      <c r="D3929" t="s">
        <v>196</v>
      </c>
      <c r="E3929">
        <v>4875440</v>
      </c>
      <c r="F3929" t="s">
        <v>8</v>
      </c>
      <c r="G3929" t="s">
        <v>204</v>
      </c>
      <c r="H3929" t="s">
        <v>220</v>
      </c>
      <c r="I3929" s="4">
        <v>37817.880799999999</v>
      </c>
      <c r="J3929" s="4">
        <v>378178.80799999996</v>
      </c>
      <c r="K3929" s="4">
        <v>-18846.12</v>
      </c>
      <c r="L3929" s="4">
        <v>10</v>
      </c>
    </row>
    <row r="3930" spans="1:12">
      <c r="A3930" t="s">
        <v>264</v>
      </c>
      <c r="B3930" s="10">
        <v>45438</v>
      </c>
      <c r="C3930" s="18">
        <f t="shared" si="61"/>
        <v>5</v>
      </c>
      <c r="D3930" t="s">
        <v>196</v>
      </c>
      <c r="E3930">
        <v>4875440</v>
      </c>
      <c r="F3930" t="s">
        <v>8</v>
      </c>
      <c r="G3930" t="s">
        <v>204</v>
      </c>
      <c r="H3930" t="s">
        <v>212</v>
      </c>
      <c r="I3930" s="4">
        <v>62946.040799999995</v>
      </c>
      <c r="J3930" s="4">
        <v>629460.40799999994</v>
      </c>
      <c r="K3930" s="4">
        <v>-18846.12</v>
      </c>
      <c r="L3930" s="4">
        <v>10</v>
      </c>
    </row>
    <row r="3931" spans="1:12">
      <c r="A3931" t="s">
        <v>264</v>
      </c>
      <c r="B3931" s="10">
        <v>45441</v>
      </c>
      <c r="C3931" s="18">
        <f t="shared" si="61"/>
        <v>5</v>
      </c>
      <c r="D3931" t="s">
        <v>196</v>
      </c>
      <c r="E3931">
        <v>4871600</v>
      </c>
      <c r="F3931" t="s">
        <v>8</v>
      </c>
      <c r="G3931" t="s">
        <v>204</v>
      </c>
      <c r="H3931" t="s">
        <v>221</v>
      </c>
      <c r="I3931" s="4">
        <v>25253.800799999997</v>
      </c>
      <c r="J3931" s="4">
        <v>50507.601599999995</v>
      </c>
      <c r="K3931" s="4">
        <v>-2512.8160000000003</v>
      </c>
      <c r="L3931" s="4">
        <v>2</v>
      </c>
    </row>
    <row r="3932" spans="1:12">
      <c r="A3932" t="s">
        <v>264</v>
      </c>
      <c r="B3932" s="10">
        <v>45441</v>
      </c>
      <c r="C3932" s="18">
        <f t="shared" si="61"/>
        <v>5</v>
      </c>
      <c r="D3932" t="s">
        <v>196</v>
      </c>
      <c r="E3932">
        <v>4871600</v>
      </c>
      <c r="F3932" t="s">
        <v>8</v>
      </c>
      <c r="G3932" t="s">
        <v>202</v>
      </c>
      <c r="H3932" t="s">
        <v>260</v>
      </c>
      <c r="I3932" s="4">
        <v>41587.104800000001</v>
      </c>
      <c r="J3932" s="4">
        <v>831742.09600000002</v>
      </c>
      <c r="K3932" s="4">
        <v>-41461.464</v>
      </c>
      <c r="L3932" s="4">
        <v>20</v>
      </c>
    </row>
    <row r="3933" spans="1:12">
      <c r="A3933" t="s">
        <v>264</v>
      </c>
      <c r="B3933" s="10">
        <v>45441</v>
      </c>
      <c r="C3933" s="18">
        <f t="shared" si="61"/>
        <v>5</v>
      </c>
      <c r="D3933" t="s">
        <v>196</v>
      </c>
      <c r="E3933">
        <v>4871600</v>
      </c>
      <c r="F3933" t="s">
        <v>8</v>
      </c>
      <c r="G3933" t="s">
        <v>205</v>
      </c>
      <c r="H3933" t="s">
        <v>211</v>
      </c>
      <c r="I3933" s="4">
        <v>5151.2727999999997</v>
      </c>
      <c r="J3933" s="4">
        <v>515127.27999999997</v>
      </c>
      <c r="K3933" s="4">
        <v>-25128.16</v>
      </c>
      <c r="L3933" s="4">
        <v>100</v>
      </c>
    </row>
    <row r="3934" spans="1:12">
      <c r="A3934" t="s">
        <v>264</v>
      </c>
      <c r="B3934" s="10">
        <v>45441</v>
      </c>
      <c r="C3934" s="18">
        <f t="shared" si="61"/>
        <v>5</v>
      </c>
      <c r="D3934" t="s">
        <v>196</v>
      </c>
      <c r="E3934">
        <v>4878874</v>
      </c>
      <c r="F3934" t="s">
        <v>8</v>
      </c>
      <c r="G3934" t="s">
        <v>206</v>
      </c>
      <c r="H3934" t="s">
        <v>249</v>
      </c>
      <c r="I3934" s="4">
        <v>17715.352800000001</v>
      </c>
      <c r="J3934" s="4">
        <v>3543070.56</v>
      </c>
      <c r="K3934" s="4">
        <v>-175897.12</v>
      </c>
      <c r="L3934" s="4">
        <v>200</v>
      </c>
    </row>
    <row r="3935" spans="1:12">
      <c r="A3935" t="s">
        <v>264</v>
      </c>
      <c r="B3935" s="10">
        <v>45441</v>
      </c>
      <c r="C3935" s="18">
        <f t="shared" si="61"/>
        <v>5</v>
      </c>
      <c r="D3935" t="s">
        <v>196</v>
      </c>
      <c r="E3935">
        <v>4876950</v>
      </c>
      <c r="F3935" t="s">
        <v>8</v>
      </c>
      <c r="G3935" t="s">
        <v>202</v>
      </c>
      <c r="H3935" t="s">
        <v>256</v>
      </c>
      <c r="I3935" s="4">
        <v>64202.448800000006</v>
      </c>
      <c r="J3935" s="4">
        <v>1926073.4640000002</v>
      </c>
      <c r="K3935" s="4">
        <v>-96115.212</v>
      </c>
      <c r="L3935" s="4">
        <v>30</v>
      </c>
    </row>
    <row r="3936" spans="1:12">
      <c r="A3936" t="s">
        <v>264</v>
      </c>
      <c r="B3936" s="10">
        <v>45441</v>
      </c>
      <c r="C3936" s="18">
        <f t="shared" si="61"/>
        <v>5</v>
      </c>
      <c r="D3936" t="s">
        <v>196</v>
      </c>
      <c r="E3936">
        <v>6080085</v>
      </c>
      <c r="F3936" t="s">
        <v>8</v>
      </c>
      <c r="G3936" t="s">
        <v>204</v>
      </c>
      <c r="H3936" t="s">
        <v>219</v>
      </c>
      <c r="I3936" s="4">
        <v>44099.9208</v>
      </c>
      <c r="J3936" s="4">
        <v>132299.76240000001</v>
      </c>
      <c r="K3936" s="4">
        <v>-5653.8360000000002</v>
      </c>
      <c r="L3936" s="4">
        <v>3</v>
      </c>
    </row>
    <row r="3937" spans="1:12">
      <c r="A3937" t="s">
        <v>264</v>
      </c>
      <c r="B3937" s="10">
        <v>45441</v>
      </c>
      <c r="C3937" s="18">
        <f t="shared" si="61"/>
        <v>5</v>
      </c>
      <c r="D3937" t="s">
        <v>196</v>
      </c>
      <c r="E3937">
        <v>6080085</v>
      </c>
      <c r="F3937" t="s">
        <v>8</v>
      </c>
      <c r="G3937" t="s">
        <v>204</v>
      </c>
      <c r="H3937" t="s">
        <v>218</v>
      </c>
      <c r="I3937" s="4">
        <v>71740.896800000002</v>
      </c>
      <c r="J3937" s="4">
        <v>215222.69040000002</v>
      </c>
      <c r="K3937" s="4">
        <v>-10742.288399999999</v>
      </c>
      <c r="L3937" s="4">
        <v>3</v>
      </c>
    </row>
    <row r="3938" spans="1:12">
      <c r="A3938" t="s">
        <v>264</v>
      </c>
      <c r="B3938" s="10">
        <v>45441</v>
      </c>
      <c r="C3938" s="18">
        <f t="shared" si="61"/>
        <v>5</v>
      </c>
      <c r="D3938" t="s">
        <v>196</v>
      </c>
      <c r="E3938">
        <v>6080085</v>
      </c>
      <c r="F3938" t="s">
        <v>8</v>
      </c>
      <c r="G3938" t="s">
        <v>204</v>
      </c>
      <c r="H3938" t="s">
        <v>217</v>
      </c>
      <c r="I3938" s="4">
        <v>78022.936799999996</v>
      </c>
      <c r="J3938" s="4">
        <v>234068.81039999999</v>
      </c>
      <c r="K3938" s="4">
        <v>-10742.288399999999</v>
      </c>
      <c r="L3938" s="4">
        <v>3</v>
      </c>
    </row>
    <row r="3939" spans="1:12">
      <c r="A3939" t="s">
        <v>264</v>
      </c>
      <c r="B3939" s="10">
        <v>45441</v>
      </c>
      <c r="C3939" s="18">
        <f t="shared" si="61"/>
        <v>5</v>
      </c>
      <c r="D3939" t="s">
        <v>196</v>
      </c>
      <c r="E3939">
        <v>6080085</v>
      </c>
      <c r="F3939" t="s">
        <v>8</v>
      </c>
      <c r="G3939" t="s">
        <v>204</v>
      </c>
      <c r="H3939" t="s">
        <v>216</v>
      </c>
      <c r="I3939" s="4">
        <v>113202.36079999999</v>
      </c>
      <c r="J3939" s="4">
        <v>339607.08239999996</v>
      </c>
      <c r="K3939" s="4">
        <v>-16961.508000000002</v>
      </c>
      <c r="L3939" s="4">
        <v>3</v>
      </c>
    </row>
    <row r="3940" spans="1:12">
      <c r="A3940" t="s">
        <v>264</v>
      </c>
      <c r="B3940" s="10">
        <v>45441</v>
      </c>
      <c r="C3940" s="18">
        <f t="shared" si="61"/>
        <v>5</v>
      </c>
      <c r="D3940" t="s">
        <v>196</v>
      </c>
      <c r="E3940">
        <v>6080085</v>
      </c>
      <c r="F3940" t="s">
        <v>8</v>
      </c>
      <c r="G3940" t="s">
        <v>204</v>
      </c>
      <c r="H3940" t="s">
        <v>215</v>
      </c>
      <c r="I3940" s="4">
        <v>75510.12079999999</v>
      </c>
      <c r="J3940" s="4">
        <v>226530.36239999998</v>
      </c>
      <c r="K3940" s="4">
        <v>-11307.672</v>
      </c>
      <c r="L3940" s="4">
        <v>3</v>
      </c>
    </row>
    <row r="3941" spans="1:12">
      <c r="A3941" t="s">
        <v>264</v>
      </c>
      <c r="B3941" s="10">
        <v>45441</v>
      </c>
      <c r="C3941" s="18">
        <f t="shared" si="61"/>
        <v>5</v>
      </c>
      <c r="D3941" t="s">
        <v>196</v>
      </c>
      <c r="E3941">
        <v>6080085</v>
      </c>
      <c r="F3941" t="s">
        <v>8</v>
      </c>
      <c r="G3941" t="s">
        <v>204</v>
      </c>
      <c r="H3941" t="s">
        <v>214</v>
      </c>
      <c r="I3941" s="4">
        <v>119484.4008</v>
      </c>
      <c r="J3941" s="4">
        <v>358453.20240000001</v>
      </c>
      <c r="K3941" s="4">
        <v>-17903.814000000002</v>
      </c>
      <c r="L3941" s="4">
        <v>3</v>
      </c>
    </row>
    <row r="3942" spans="1:12">
      <c r="A3942" t="s">
        <v>264</v>
      </c>
      <c r="B3942" s="10">
        <v>45441</v>
      </c>
      <c r="C3942" s="18">
        <f t="shared" si="61"/>
        <v>5</v>
      </c>
      <c r="D3942" t="s">
        <v>196</v>
      </c>
      <c r="E3942">
        <v>6080085</v>
      </c>
      <c r="F3942" t="s">
        <v>8</v>
      </c>
      <c r="G3942" t="s">
        <v>204</v>
      </c>
      <c r="H3942" t="s">
        <v>213</v>
      </c>
      <c r="I3942" s="4">
        <v>119484.4008</v>
      </c>
      <c r="J3942" s="4">
        <v>358453.20240000001</v>
      </c>
      <c r="K3942" s="4">
        <v>-17903.814000000002</v>
      </c>
      <c r="L3942" s="4">
        <v>3</v>
      </c>
    </row>
    <row r="3943" spans="1:12">
      <c r="A3943" t="s">
        <v>264</v>
      </c>
      <c r="B3943" s="10">
        <v>45441</v>
      </c>
      <c r="C3943" s="18">
        <f t="shared" si="61"/>
        <v>5</v>
      </c>
      <c r="D3943" t="s">
        <v>196</v>
      </c>
      <c r="E3943">
        <v>4877269</v>
      </c>
      <c r="F3943" t="s">
        <v>8</v>
      </c>
      <c r="G3943" t="s">
        <v>204</v>
      </c>
      <c r="H3943" t="s">
        <v>219</v>
      </c>
      <c r="I3943" s="4">
        <v>44099.9208</v>
      </c>
      <c r="J3943" s="4">
        <v>88199.8416</v>
      </c>
      <c r="K3943" s="4">
        <v>-3769.2239999999997</v>
      </c>
      <c r="L3943" s="4">
        <v>2</v>
      </c>
    </row>
    <row r="3944" spans="1:12">
      <c r="A3944" t="s">
        <v>264</v>
      </c>
      <c r="B3944" s="10">
        <v>45441</v>
      </c>
      <c r="C3944" s="18">
        <f t="shared" si="61"/>
        <v>5</v>
      </c>
      <c r="D3944" t="s">
        <v>196</v>
      </c>
      <c r="E3944">
        <v>4872070</v>
      </c>
      <c r="F3944" t="s">
        <v>8</v>
      </c>
      <c r="G3944" t="s">
        <v>203</v>
      </c>
      <c r="H3944" t="s">
        <v>241</v>
      </c>
      <c r="I3944" s="4">
        <v>125766.4408</v>
      </c>
      <c r="J3944" s="4">
        <v>251532.88159999999</v>
      </c>
      <c r="K3944" s="4">
        <v>-11307.672</v>
      </c>
      <c r="L3944" s="4">
        <v>2</v>
      </c>
    </row>
    <row r="3945" spans="1:12">
      <c r="A3945" t="s">
        <v>264</v>
      </c>
      <c r="B3945" s="10">
        <v>45441</v>
      </c>
      <c r="C3945" s="18">
        <f t="shared" si="61"/>
        <v>5</v>
      </c>
      <c r="D3945" t="s">
        <v>196</v>
      </c>
      <c r="E3945">
        <v>4875440</v>
      </c>
      <c r="F3945" t="s">
        <v>8</v>
      </c>
      <c r="G3945" t="s">
        <v>202</v>
      </c>
      <c r="H3945" t="s">
        <v>257</v>
      </c>
      <c r="I3945" s="4">
        <v>56664.000799999994</v>
      </c>
      <c r="J3945" s="4">
        <v>5666400.0799999991</v>
      </c>
      <c r="K3945" s="4">
        <v>-282691.8</v>
      </c>
      <c r="L3945" s="4">
        <v>100</v>
      </c>
    </row>
    <row r="3946" spans="1:12">
      <c r="A3946" t="s">
        <v>264</v>
      </c>
      <c r="B3946" s="10">
        <v>45441</v>
      </c>
      <c r="C3946" s="18">
        <f t="shared" si="61"/>
        <v>5</v>
      </c>
      <c r="D3946" t="s">
        <v>196</v>
      </c>
      <c r="E3946">
        <v>4872345</v>
      </c>
      <c r="F3946" t="s">
        <v>8</v>
      </c>
      <c r="G3946" t="s">
        <v>203</v>
      </c>
      <c r="H3946" t="s">
        <v>242</v>
      </c>
      <c r="I3946" s="4">
        <v>100638.28079999999</v>
      </c>
      <c r="J3946" s="4">
        <v>1006382.808</v>
      </c>
      <c r="K3946" s="4">
        <v>-43346.076000000001</v>
      </c>
      <c r="L3946" s="4">
        <v>10</v>
      </c>
    </row>
    <row r="3947" spans="1:12">
      <c r="A3947" t="s">
        <v>264</v>
      </c>
      <c r="B3947" s="10">
        <v>45441</v>
      </c>
      <c r="C3947" s="18">
        <f t="shared" si="61"/>
        <v>5</v>
      </c>
      <c r="D3947" t="s">
        <v>196</v>
      </c>
      <c r="E3947">
        <v>4872345</v>
      </c>
      <c r="F3947" t="s">
        <v>8</v>
      </c>
      <c r="G3947" t="s">
        <v>203</v>
      </c>
      <c r="H3947" t="s">
        <v>238</v>
      </c>
      <c r="I3947" s="4">
        <v>95606.36675999999</v>
      </c>
      <c r="J3947" s="4">
        <v>956063.66759999993</v>
      </c>
      <c r="K3947" s="4">
        <v>-43346.076000000001</v>
      </c>
      <c r="L3947" s="4">
        <v>10</v>
      </c>
    </row>
    <row r="3948" spans="1:12">
      <c r="A3948" t="s">
        <v>264</v>
      </c>
      <c r="B3948" s="10">
        <v>45441</v>
      </c>
      <c r="C3948" s="18">
        <f t="shared" si="61"/>
        <v>5</v>
      </c>
      <c r="D3948" t="s">
        <v>196</v>
      </c>
      <c r="E3948">
        <v>4872345</v>
      </c>
      <c r="F3948" t="s">
        <v>8</v>
      </c>
      <c r="G3948" t="s">
        <v>203</v>
      </c>
      <c r="H3948" t="s">
        <v>230</v>
      </c>
      <c r="I3948" s="4">
        <v>100638.28079999999</v>
      </c>
      <c r="J3948" s="4">
        <v>1006382.808</v>
      </c>
      <c r="K3948" s="4">
        <v>-43346.076000000001</v>
      </c>
      <c r="L3948" s="4">
        <v>10</v>
      </c>
    </row>
    <row r="3949" spans="1:12">
      <c r="A3949" t="s">
        <v>264</v>
      </c>
      <c r="B3949" s="10">
        <v>45441</v>
      </c>
      <c r="C3949" s="18">
        <f t="shared" si="61"/>
        <v>5</v>
      </c>
      <c r="D3949" t="s">
        <v>196</v>
      </c>
      <c r="E3949">
        <v>4872345</v>
      </c>
      <c r="F3949" t="s">
        <v>8</v>
      </c>
      <c r="G3949" t="s">
        <v>203</v>
      </c>
      <c r="H3949" t="s">
        <v>227</v>
      </c>
      <c r="I3949" s="4">
        <v>100638.28079999999</v>
      </c>
      <c r="J3949" s="4">
        <v>1006382.808</v>
      </c>
      <c r="K3949" s="4">
        <v>-43346.076000000001</v>
      </c>
      <c r="L3949" s="4">
        <v>10</v>
      </c>
    </row>
    <row r="3950" spans="1:12">
      <c r="A3950" t="s">
        <v>264</v>
      </c>
      <c r="B3950" s="10">
        <v>45441</v>
      </c>
      <c r="C3950" s="18">
        <f t="shared" si="61"/>
        <v>5</v>
      </c>
      <c r="D3950" t="s">
        <v>196</v>
      </c>
      <c r="E3950">
        <v>4872345</v>
      </c>
      <c r="F3950" t="s">
        <v>8</v>
      </c>
      <c r="G3950" t="s">
        <v>203</v>
      </c>
      <c r="H3950" t="s">
        <v>226</v>
      </c>
      <c r="I3950" s="4">
        <v>100638.28079999999</v>
      </c>
      <c r="J3950" s="4">
        <v>2012765.6159999999</v>
      </c>
      <c r="K3950" s="4">
        <v>-86692.152000000002</v>
      </c>
      <c r="L3950" s="4">
        <v>20</v>
      </c>
    </row>
    <row r="3951" spans="1:12">
      <c r="A3951" t="s">
        <v>264</v>
      </c>
      <c r="B3951" s="10">
        <v>45441</v>
      </c>
      <c r="C3951" s="18">
        <f t="shared" si="61"/>
        <v>5</v>
      </c>
      <c r="D3951" t="s">
        <v>196</v>
      </c>
      <c r="E3951">
        <v>4872163</v>
      </c>
      <c r="F3951" t="s">
        <v>8</v>
      </c>
      <c r="G3951" t="s">
        <v>203</v>
      </c>
      <c r="H3951" t="s">
        <v>242</v>
      </c>
      <c r="I3951" s="4">
        <v>100638.28079999999</v>
      </c>
      <c r="J3951" s="4">
        <v>2012765.6159999999</v>
      </c>
      <c r="K3951" s="4">
        <v>-86692.152000000002</v>
      </c>
      <c r="L3951" s="4">
        <v>20</v>
      </c>
    </row>
    <row r="3952" spans="1:12">
      <c r="A3952" t="s">
        <v>264</v>
      </c>
      <c r="B3952" s="10">
        <v>45441</v>
      </c>
      <c r="C3952" s="18">
        <f t="shared" si="61"/>
        <v>5</v>
      </c>
      <c r="D3952" t="s">
        <v>196</v>
      </c>
      <c r="E3952">
        <v>4872163</v>
      </c>
      <c r="F3952" t="s">
        <v>8</v>
      </c>
      <c r="G3952" t="s">
        <v>203</v>
      </c>
      <c r="H3952" t="s">
        <v>238</v>
      </c>
      <c r="I3952" s="4">
        <v>95606.36675999999</v>
      </c>
      <c r="J3952" s="4">
        <v>1912127.3351999999</v>
      </c>
      <c r="K3952" s="4">
        <v>-86692.152000000002</v>
      </c>
      <c r="L3952" s="4">
        <v>20</v>
      </c>
    </row>
    <row r="3953" spans="1:12">
      <c r="A3953" t="s">
        <v>264</v>
      </c>
      <c r="B3953" s="10">
        <v>45441</v>
      </c>
      <c r="C3953" s="18">
        <f t="shared" si="61"/>
        <v>5</v>
      </c>
      <c r="D3953" t="s">
        <v>196</v>
      </c>
      <c r="E3953">
        <v>4872163</v>
      </c>
      <c r="F3953" t="s">
        <v>8</v>
      </c>
      <c r="G3953" t="s">
        <v>203</v>
      </c>
      <c r="H3953" t="s">
        <v>230</v>
      </c>
      <c r="I3953" s="4">
        <v>100638.28079999999</v>
      </c>
      <c r="J3953" s="4">
        <v>2012765.6159999999</v>
      </c>
      <c r="K3953" s="4">
        <v>-86692.152000000002</v>
      </c>
      <c r="L3953" s="4">
        <v>20</v>
      </c>
    </row>
    <row r="3954" spans="1:12">
      <c r="A3954" t="s">
        <v>264</v>
      </c>
      <c r="B3954" s="10">
        <v>45441</v>
      </c>
      <c r="C3954" s="18">
        <f t="shared" si="61"/>
        <v>5</v>
      </c>
      <c r="D3954" t="s">
        <v>196</v>
      </c>
      <c r="E3954">
        <v>4872163</v>
      </c>
      <c r="F3954" t="s">
        <v>8</v>
      </c>
      <c r="G3954" t="s">
        <v>203</v>
      </c>
      <c r="H3954" t="s">
        <v>233</v>
      </c>
      <c r="I3954" s="4">
        <v>120735.78316800001</v>
      </c>
      <c r="J3954" s="4">
        <v>1931772.5306880001</v>
      </c>
      <c r="K3954" s="4">
        <v>-90461.376000000004</v>
      </c>
      <c r="L3954" s="4">
        <v>16</v>
      </c>
    </row>
    <row r="3955" spans="1:12">
      <c r="A3955" t="s">
        <v>264</v>
      </c>
      <c r="B3955" s="10">
        <v>45441</v>
      </c>
      <c r="C3955" s="18">
        <f t="shared" si="61"/>
        <v>5</v>
      </c>
      <c r="D3955" t="s">
        <v>196</v>
      </c>
      <c r="E3955">
        <v>4872163</v>
      </c>
      <c r="F3955" t="s">
        <v>8</v>
      </c>
      <c r="G3955" t="s">
        <v>203</v>
      </c>
      <c r="H3955" t="s">
        <v>229</v>
      </c>
      <c r="I3955" s="4">
        <v>125766.4408</v>
      </c>
      <c r="J3955" s="4">
        <v>2515328.8160000001</v>
      </c>
      <c r="K3955" s="4">
        <v>-113076.72</v>
      </c>
      <c r="L3955" s="4">
        <v>20</v>
      </c>
    </row>
    <row r="3956" spans="1:12">
      <c r="A3956" t="s">
        <v>264</v>
      </c>
      <c r="B3956" s="10">
        <v>45441</v>
      </c>
      <c r="C3956" s="18">
        <f t="shared" si="61"/>
        <v>5</v>
      </c>
      <c r="D3956" t="s">
        <v>196</v>
      </c>
      <c r="E3956">
        <v>4872141</v>
      </c>
      <c r="F3956" t="s">
        <v>8</v>
      </c>
      <c r="G3956" t="s">
        <v>203</v>
      </c>
      <c r="H3956" t="s">
        <v>235</v>
      </c>
      <c r="I3956" s="4">
        <v>125766.4408</v>
      </c>
      <c r="J3956" s="4">
        <v>2515328.8160000001</v>
      </c>
      <c r="K3956" s="4">
        <v>-113076.72</v>
      </c>
      <c r="L3956" s="4">
        <v>20</v>
      </c>
    </row>
    <row r="3957" spans="1:12">
      <c r="A3957" t="s">
        <v>264</v>
      </c>
      <c r="B3957" s="10">
        <v>45441</v>
      </c>
      <c r="C3957" s="18">
        <f t="shared" si="61"/>
        <v>5</v>
      </c>
      <c r="D3957" t="s">
        <v>196</v>
      </c>
      <c r="E3957">
        <v>4872141</v>
      </c>
      <c r="F3957" t="s">
        <v>8</v>
      </c>
      <c r="G3957" t="s">
        <v>203</v>
      </c>
      <c r="H3957" t="s">
        <v>229</v>
      </c>
      <c r="I3957" s="4">
        <v>125766.4408</v>
      </c>
      <c r="J3957" s="4">
        <v>2012263.0527999999</v>
      </c>
      <c r="K3957" s="4">
        <v>-90461.376000000004</v>
      </c>
      <c r="L3957" s="4">
        <v>16</v>
      </c>
    </row>
    <row r="3958" spans="1:12">
      <c r="A3958" t="s">
        <v>264</v>
      </c>
      <c r="B3958" s="10">
        <v>45441</v>
      </c>
      <c r="C3958" s="18">
        <f t="shared" si="61"/>
        <v>5</v>
      </c>
      <c r="D3958" t="s">
        <v>196</v>
      </c>
      <c r="E3958">
        <v>4875779</v>
      </c>
      <c r="F3958" t="s">
        <v>8</v>
      </c>
      <c r="G3958" t="s">
        <v>202</v>
      </c>
      <c r="H3958" t="s">
        <v>261</v>
      </c>
      <c r="I3958" s="4">
        <v>41587.104800000001</v>
      </c>
      <c r="J3958" s="4">
        <v>540632.36239999998</v>
      </c>
      <c r="K3958" s="4">
        <v>-26949.9516</v>
      </c>
      <c r="L3958" s="4">
        <v>13</v>
      </c>
    </row>
    <row r="3959" spans="1:12">
      <c r="A3959" t="s">
        <v>264</v>
      </c>
      <c r="B3959" s="10">
        <v>45441</v>
      </c>
      <c r="C3959" s="18">
        <f t="shared" si="61"/>
        <v>5</v>
      </c>
      <c r="D3959" t="s">
        <v>196</v>
      </c>
      <c r="E3959">
        <v>4875779</v>
      </c>
      <c r="F3959" t="s">
        <v>8</v>
      </c>
      <c r="G3959" t="s">
        <v>202</v>
      </c>
      <c r="H3959" t="s">
        <v>259</v>
      </c>
      <c r="I3959" s="4">
        <v>30279.432800000002</v>
      </c>
      <c r="J3959" s="4">
        <v>1029500.7152000001</v>
      </c>
      <c r="K3959" s="4">
        <v>-51261.446400000001</v>
      </c>
      <c r="L3959" s="4">
        <v>34</v>
      </c>
    </row>
    <row r="3960" spans="1:12">
      <c r="A3960" t="s">
        <v>264</v>
      </c>
      <c r="B3960" s="10">
        <v>45441</v>
      </c>
      <c r="C3960" s="18">
        <f t="shared" si="61"/>
        <v>5</v>
      </c>
      <c r="D3960" t="s">
        <v>196</v>
      </c>
      <c r="E3960">
        <v>4875779</v>
      </c>
      <c r="F3960" t="s">
        <v>8</v>
      </c>
      <c r="G3960" t="s">
        <v>202</v>
      </c>
      <c r="H3960" t="s">
        <v>255</v>
      </c>
      <c r="I3960" s="4">
        <v>72489.71596799999</v>
      </c>
      <c r="J3960" s="4">
        <v>869876.59161599982</v>
      </c>
      <c r="K3960" s="4">
        <v>-45230.688000000002</v>
      </c>
      <c r="L3960" s="4">
        <v>12</v>
      </c>
    </row>
    <row r="3961" spans="1:12">
      <c r="A3961" t="s">
        <v>264</v>
      </c>
      <c r="B3961" s="10">
        <v>45441</v>
      </c>
      <c r="C3961" s="18">
        <f t="shared" si="61"/>
        <v>5</v>
      </c>
      <c r="D3961" t="s">
        <v>196</v>
      </c>
      <c r="E3961">
        <v>4877306</v>
      </c>
      <c r="F3961" t="s">
        <v>8</v>
      </c>
      <c r="G3961" t="s">
        <v>203</v>
      </c>
      <c r="H3961" t="s">
        <v>243</v>
      </c>
      <c r="I3961" s="4">
        <v>100638.28079999999</v>
      </c>
      <c r="J3961" s="4">
        <v>201276.56159999999</v>
      </c>
      <c r="K3961" s="4">
        <v>-8669.2151999999987</v>
      </c>
      <c r="L3961" s="4">
        <v>2</v>
      </c>
    </row>
    <row r="3962" spans="1:12">
      <c r="A3962" t="s">
        <v>264</v>
      </c>
      <c r="B3962" s="10">
        <v>45441</v>
      </c>
      <c r="C3962" s="18">
        <f t="shared" si="61"/>
        <v>5</v>
      </c>
      <c r="D3962" t="s">
        <v>196</v>
      </c>
      <c r="E3962">
        <v>4877306</v>
      </c>
      <c r="F3962" t="s">
        <v>8</v>
      </c>
      <c r="G3962" t="s">
        <v>203</v>
      </c>
      <c r="H3962" t="s">
        <v>242</v>
      </c>
      <c r="I3962" s="4">
        <v>100638.28079999999</v>
      </c>
      <c r="J3962" s="4">
        <v>201276.56159999999</v>
      </c>
      <c r="K3962" s="4">
        <v>-8669.2151999999987</v>
      </c>
      <c r="L3962" s="4">
        <v>2</v>
      </c>
    </row>
    <row r="3963" spans="1:12">
      <c r="A3963" t="s">
        <v>264</v>
      </c>
      <c r="B3963" s="10">
        <v>45441</v>
      </c>
      <c r="C3963" s="18">
        <f t="shared" si="61"/>
        <v>5</v>
      </c>
      <c r="D3963" t="s">
        <v>196</v>
      </c>
      <c r="E3963">
        <v>4877306</v>
      </c>
      <c r="F3963" t="s">
        <v>8</v>
      </c>
      <c r="G3963" t="s">
        <v>203</v>
      </c>
      <c r="H3963" t="s">
        <v>238</v>
      </c>
      <c r="I3963" s="4">
        <v>95606.36675999999</v>
      </c>
      <c r="J3963" s="4">
        <v>191212.73351999998</v>
      </c>
      <c r="K3963" s="4">
        <v>-8669.2151999999987</v>
      </c>
      <c r="L3963" s="4">
        <v>2</v>
      </c>
    </row>
    <row r="3964" spans="1:12">
      <c r="A3964" t="s">
        <v>264</v>
      </c>
      <c r="B3964" s="10">
        <v>45441</v>
      </c>
      <c r="C3964" s="18">
        <f t="shared" si="61"/>
        <v>5</v>
      </c>
      <c r="D3964" t="s">
        <v>196</v>
      </c>
      <c r="E3964">
        <v>4877306</v>
      </c>
      <c r="F3964" t="s">
        <v>8</v>
      </c>
      <c r="G3964" t="s">
        <v>203</v>
      </c>
      <c r="H3964" t="s">
        <v>234</v>
      </c>
      <c r="I3964" s="4">
        <v>100638.28079999999</v>
      </c>
      <c r="J3964" s="4">
        <v>201276.56159999999</v>
      </c>
      <c r="K3964" s="4">
        <v>-8669.2151999999987</v>
      </c>
      <c r="L3964" s="4">
        <v>2</v>
      </c>
    </row>
    <row r="3965" spans="1:12">
      <c r="A3965" t="s">
        <v>264</v>
      </c>
      <c r="B3965" s="10">
        <v>45441</v>
      </c>
      <c r="C3965" s="18">
        <f t="shared" si="61"/>
        <v>5</v>
      </c>
      <c r="D3965" t="s">
        <v>196</v>
      </c>
      <c r="E3965">
        <v>4877306</v>
      </c>
      <c r="F3965" t="s">
        <v>8</v>
      </c>
      <c r="G3965" t="s">
        <v>203</v>
      </c>
      <c r="H3965" t="s">
        <v>232</v>
      </c>
      <c r="I3965" s="4">
        <v>100638.28079999999</v>
      </c>
      <c r="J3965" s="4">
        <v>201276.56159999999</v>
      </c>
      <c r="K3965" s="4">
        <v>-8669.2151999999987</v>
      </c>
      <c r="L3965" s="4">
        <v>2</v>
      </c>
    </row>
    <row r="3966" spans="1:12">
      <c r="A3966" t="s">
        <v>264</v>
      </c>
      <c r="B3966" s="10">
        <v>45441</v>
      </c>
      <c r="C3966" s="18">
        <f t="shared" si="61"/>
        <v>5</v>
      </c>
      <c r="D3966" t="s">
        <v>196</v>
      </c>
      <c r="E3966">
        <v>4877306</v>
      </c>
      <c r="F3966" t="s">
        <v>8</v>
      </c>
      <c r="G3966" t="s">
        <v>203</v>
      </c>
      <c r="H3966" t="s">
        <v>230</v>
      </c>
      <c r="I3966" s="4">
        <v>100638.28079999999</v>
      </c>
      <c r="J3966" s="4">
        <v>201276.56159999999</v>
      </c>
      <c r="K3966" s="4">
        <v>-8669.2151999999987</v>
      </c>
      <c r="L3966" s="4">
        <v>2</v>
      </c>
    </row>
    <row r="3967" spans="1:12">
      <c r="A3967" t="s">
        <v>264</v>
      </c>
      <c r="B3967" s="10">
        <v>45442</v>
      </c>
      <c r="C3967" s="18">
        <f t="shared" si="61"/>
        <v>5</v>
      </c>
      <c r="D3967" t="s">
        <v>196</v>
      </c>
      <c r="E3967">
        <v>4872058</v>
      </c>
      <c r="F3967" t="s">
        <v>8</v>
      </c>
      <c r="G3967" t="s">
        <v>202</v>
      </c>
      <c r="H3967" t="s">
        <v>261</v>
      </c>
      <c r="I3967" s="4">
        <v>41587.104800000001</v>
      </c>
      <c r="J3967" s="4">
        <v>415871.04800000001</v>
      </c>
      <c r="K3967" s="4">
        <v>-20730.732</v>
      </c>
      <c r="L3967" s="4">
        <v>10</v>
      </c>
    </row>
    <row r="3968" spans="1:12">
      <c r="A3968" t="s">
        <v>264</v>
      </c>
      <c r="B3968" s="10">
        <v>45442</v>
      </c>
      <c r="C3968" s="18">
        <f t="shared" si="61"/>
        <v>5</v>
      </c>
      <c r="D3968" t="s">
        <v>196</v>
      </c>
      <c r="E3968">
        <v>4872058</v>
      </c>
      <c r="F3968" t="s">
        <v>8</v>
      </c>
      <c r="G3968" t="s">
        <v>202</v>
      </c>
      <c r="H3968" t="s">
        <v>259</v>
      </c>
      <c r="I3968" s="4">
        <v>30279.432800000002</v>
      </c>
      <c r="J3968" s="4">
        <v>302794.32800000004</v>
      </c>
      <c r="K3968" s="4">
        <v>-15076.895999999999</v>
      </c>
      <c r="L3968" s="4">
        <v>10</v>
      </c>
    </row>
    <row r="3969" spans="1:12">
      <c r="A3969" t="s">
        <v>264</v>
      </c>
      <c r="B3969" s="10">
        <v>45442</v>
      </c>
      <c r="C3969" s="18">
        <f t="shared" si="61"/>
        <v>5</v>
      </c>
      <c r="D3969" t="s">
        <v>196</v>
      </c>
      <c r="E3969">
        <v>4872135</v>
      </c>
      <c r="F3969" t="s">
        <v>8</v>
      </c>
      <c r="G3969" t="s">
        <v>203</v>
      </c>
      <c r="H3969" t="s">
        <v>230</v>
      </c>
      <c r="I3969" s="4">
        <v>100638.28079999999</v>
      </c>
      <c r="J3969" s="4">
        <v>10063828.08</v>
      </c>
      <c r="K3969" s="4">
        <v>-433460.76</v>
      </c>
      <c r="L3969" s="4">
        <v>100</v>
      </c>
    </row>
    <row r="3970" spans="1:12">
      <c r="A3970" t="s">
        <v>264</v>
      </c>
      <c r="B3970" s="10">
        <v>45442</v>
      </c>
      <c r="C3970" s="18">
        <f t="shared" ref="C3970:C4033" si="62">MONTH(B3970)</f>
        <v>5</v>
      </c>
      <c r="D3970" t="s">
        <v>196</v>
      </c>
      <c r="E3970">
        <v>4872135</v>
      </c>
      <c r="F3970" t="s">
        <v>8</v>
      </c>
      <c r="G3970" t="s">
        <v>203</v>
      </c>
      <c r="H3970" t="s">
        <v>225</v>
      </c>
      <c r="I3970" s="4">
        <v>100638.28079999999</v>
      </c>
      <c r="J3970" s="4">
        <v>6038296.8479999993</v>
      </c>
      <c r="K3970" s="4">
        <v>-260076.45599999998</v>
      </c>
      <c r="L3970" s="4">
        <v>60</v>
      </c>
    </row>
    <row r="3971" spans="1:12">
      <c r="A3971" t="s">
        <v>264</v>
      </c>
      <c r="B3971" s="10">
        <v>45442</v>
      </c>
      <c r="C3971" s="18">
        <f t="shared" si="62"/>
        <v>5</v>
      </c>
      <c r="D3971" t="s">
        <v>196</v>
      </c>
      <c r="E3971">
        <v>4872135</v>
      </c>
      <c r="F3971" t="s">
        <v>8</v>
      </c>
      <c r="G3971" t="s">
        <v>203</v>
      </c>
      <c r="H3971" t="s">
        <v>222</v>
      </c>
      <c r="I3971" s="4">
        <v>100638.28079999999</v>
      </c>
      <c r="J3971" s="4">
        <v>4025531.2319999998</v>
      </c>
      <c r="K3971" s="4">
        <v>-173384.304</v>
      </c>
      <c r="L3971" s="4">
        <v>40</v>
      </c>
    </row>
    <row r="3972" spans="1:12">
      <c r="A3972" t="s">
        <v>264</v>
      </c>
      <c r="B3972" s="10">
        <v>45442</v>
      </c>
      <c r="C3972" s="18">
        <f t="shared" si="62"/>
        <v>5</v>
      </c>
      <c r="D3972" t="s">
        <v>196</v>
      </c>
      <c r="E3972">
        <v>4872135</v>
      </c>
      <c r="F3972" t="s">
        <v>8</v>
      </c>
      <c r="G3972" t="s">
        <v>203</v>
      </c>
      <c r="H3972" t="s">
        <v>235</v>
      </c>
      <c r="I3972" s="4">
        <v>125766.4408</v>
      </c>
      <c r="J3972" s="4">
        <v>2515328.8160000001</v>
      </c>
      <c r="K3972" s="4">
        <v>-113076.72</v>
      </c>
      <c r="L3972" s="4">
        <v>20</v>
      </c>
    </row>
    <row r="3973" spans="1:12">
      <c r="A3973" t="s">
        <v>264</v>
      </c>
      <c r="B3973" s="10">
        <v>45442</v>
      </c>
      <c r="C3973" s="18">
        <f t="shared" si="62"/>
        <v>5</v>
      </c>
      <c r="D3973" t="s">
        <v>196</v>
      </c>
      <c r="E3973">
        <v>4872135</v>
      </c>
      <c r="F3973" t="s">
        <v>8</v>
      </c>
      <c r="G3973" t="s">
        <v>203</v>
      </c>
      <c r="H3973" t="s">
        <v>233</v>
      </c>
      <c r="I3973" s="4">
        <v>120735.78316800001</v>
      </c>
      <c r="J3973" s="4">
        <v>1207357.8316800001</v>
      </c>
      <c r="K3973" s="4">
        <v>-56538.36</v>
      </c>
      <c r="L3973" s="4">
        <v>10</v>
      </c>
    </row>
    <row r="3974" spans="1:12">
      <c r="A3974" t="s">
        <v>264</v>
      </c>
      <c r="B3974" s="10">
        <v>45442</v>
      </c>
      <c r="C3974" s="18">
        <f t="shared" si="62"/>
        <v>5</v>
      </c>
      <c r="D3974" t="s">
        <v>196</v>
      </c>
      <c r="E3974">
        <v>4872203</v>
      </c>
      <c r="F3974" t="s">
        <v>8</v>
      </c>
      <c r="G3974" t="s">
        <v>204</v>
      </c>
      <c r="H3974" t="s">
        <v>215</v>
      </c>
      <c r="I3974" s="4">
        <v>75510.12079999999</v>
      </c>
      <c r="J3974" s="4">
        <v>3775506.0399999996</v>
      </c>
      <c r="K3974" s="4">
        <v>-188461.2</v>
      </c>
      <c r="L3974" s="4">
        <v>50</v>
      </c>
    </row>
    <row r="3975" spans="1:12">
      <c r="A3975" t="s">
        <v>264</v>
      </c>
      <c r="B3975" s="10">
        <v>45442</v>
      </c>
      <c r="C3975" s="18">
        <f t="shared" si="62"/>
        <v>5</v>
      </c>
      <c r="D3975" t="s">
        <v>196</v>
      </c>
      <c r="E3975">
        <v>6080599</v>
      </c>
      <c r="F3975" t="s">
        <v>8</v>
      </c>
      <c r="G3975" t="s">
        <v>202</v>
      </c>
      <c r="H3975" t="s">
        <v>261</v>
      </c>
      <c r="I3975" s="4">
        <v>41587.104800000001</v>
      </c>
      <c r="J3975" s="4">
        <v>83174.209600000002</v>
      </c>
      <c r="K3975" s="4">
        <v>-4146.1464000000005</v>
      </c>
      <c r="L3975" s="4">
        <v>2</v>
      </c>
    </row>
    <row r="3976" spans="1:12">
      <c r="A3976" t="s">
        <v>264</v>
      </c>
      <c r="B3976" s="10">
        <v>45442</v>
      </c>
      <c r="C3976" s="18">
        <f t="shared" si="62"/>
        <v>5</v>
      </c>
      <c r="D3976" t="s">
        <v>196</v>
      </c>
      <c r="E3976">
        <v>6080599</v>
      </c>
      <c r="F3976" t="s">
        <v>8</v>
      </c>
      <c r="G3976" t="s">
        <v>202</v>
      </c>
      <c r="H3976" t="s">
        <v>255</v>
      </c>
      <c r="I3976" s="4">
        <v>72489.71596799999</v>
      </c>
      <c r="J3976" s="4">
        <v>72489.71596799999</v>
      </c>
      <c r="K3976" s="4">
        <v>-3769.2239999999997</v>
      </c>
      <c r="L3976" s="4">
        <v>1</v>
      </c>
    </row>
    <row r="3977" spans="1:12">
      <c r="A3977" t="s">
        <v>264</v>
      </c>
      <c r="B3977" s="10">
        <v>45443</v>
      </c>
      <c r="C3977" s="18">
        <f t="shared" si="62"/>
        <v>5</v>
      </c>
      <c r="D3977" t="s">
        <v>196</v>
      </c>
      <c r="E3977">
        <v>4871600</v>
      </c>
      <c r="F3977" t="s">
        <v>8</v>
      </c>
      <c r="G3977" t="s">
        <v>203</v>
      </c>
      <c r="H3977" t="s">
        <v>243</v>
      </c>
      <c r="I3977" s="4">
        <v>100638.28079999999</v>
      </c>
      <c r="J3977" s="4">
        <v>1006382.808</v>
      </c>
      <c r="K3977" s="4">
        <v>-43346.076000000001</v>
      </c>
      <c r="L3977" s="4">
        <v>10</v>
      </c>
    </row>
    <row r="3978" spans="1:12">
      <c r="A3978" t="s">
        <v>264</v>
      </c>
      <c r="B3978" s="10">
        <v>45443</v>
      </c>
      <c r="C3978" s="18">
        <f t="shared" si="62"/>
        <v>5</v>
      </c>
      <c r="D3978" t="s">
        <v>196</v>
      </c>
      <c r="E3978">
        <v>4871600</v>
      </c>
      <c r="F3978" t="s">
        <v>8</v>
      </c>
      <c r="G3978" t="s">
        <v>203</v>
      </c>
      <c r="H3978" t="s">
        <v>242</v>
      </c>
      <c r="I3978" s="4">
        <v>100638.28079999999</v>
      </c>
      <c r="J3978" s="4">
        <v>1006382.808</v>
      </c>
      <c r="K3978" s="4">
        <v>-43346.076000000001</v>
      </c>
      <c r="L3978" s="4">
        <v>10</v>
      </c>
    </row>
    <row r="3979" spans="1:12">
      <c r="A3979" t="s">
        <v>264</v>
      </c>
      <c r="B3979" s="10">
        <v>45443</v>
      </c>
      <c r="C3979" s="18">
        <f t="shared" si="62"/>
        <v>5</v>
      </c>
      <c r="D3979" t="s">
        <v>196</v>
      </c>
      <c r="E3979">
        <v>4871600</v>
      </c>
      <c r="F3979" t="s">
        <v>8</v>
      </c>
      <c r="G3979" t="s">
        <v>203</v>
      </c>
      <c r="H3979" t="s">
        <v>238</v>
      </c>
      <c r="I3979" s="4">
        <v>95606.36675999999</v>
      </c>
      <c r="J3979" s="4">
        <v>956063.66759999993</v>
      </c>
      <c r="K3979" s="4">
        <v>-43346.076000000001</v>
      </c>
      <c r="L3979" s="4">
        <v>10</v>
      </c>
    </row>
    <row r="3980" spans="1:12">
      <c r="A3980" t="s">
        <v>264</v>
      </c>
      <c r="B3980" s="10">
        <v>45443</v>
      </c>
      <c r="C3980" s="18">
        <f t="shared" si="62"/>
        <v>5</v>
      </c>
      <c r="D3980" t="s">
        <v>196</v>
      </c>
      <c r="E3980">
        <v>4871600</v>
      </c>
      <c r="F3980" t="s">
        <v>8</v>
      </c>
      <c r="G3980" t="s">
        <v>203</v>
      </c>
      <c r="H3980" t="s">
        <v>234</v>
      </c>
      <c r="I3980" s="4">
        <v>100638.28079999999</v>
      </c>
      <c r="J3980" s="4">
        <v>1006382.808</v>
      </c>
      <c r="K3980" s="4">
        <v>-43346.076000000001</v>
      </c>
      <c r="L3980" s="4">
        <v>10</v>
      </c>
    </row>
    <row r="3981" spans="1:12">
      <c r="A3981" t="s">
        <v>264</v>
      </c>
      <c r="B3981" s="10">
        <v>45443</v>
      </c>
      <c r="C3981" s="18">
        <f t="shared" si="62"/>
        <v>5</v>
      </c>
      <c r="D3981" t="s">
        <v>196</v>
      </c>
      <c r="E3981">
        <v>4871600</v>
      </c>
      <c r="F3981" t="s">
        <v>8</v>
      </c>
      <c r="G3981" t="s">
        <v>203</v>
      </c>
      <c r="H3981" t="s">
        <v>230</v>
      </c>
      <c r="I3981" s="4">
        <v>100638.28079999999</v>
      </c>
      <c r="J3981" s="4">
        <v>1006382.808</v>
      </c>
      <c r="K3981" s="4">
        <v>-43346.076000000001</v>
      </c>
      <c r="L3981" s="4">
        <v>10</v>
      </c>
    </row>
    <row r="3982" spans="1:12">
      <c r="A3982" t="s">
        <v>264</v>
      </c>
      <c r="B3982" s="10">
        <v>45443</v>
      </c>
      <c r="C3982" s="18">
        <f t="shared" si="62"/>
        <v>5</v>
      </c>
      <c r="D3982" t="s">
        <v>196</v>
      </c>
      <c r="E3982">
        <v>4871600</v>
      </c>
      <c r="F3982" t="s">
        <v>8</v>
      </c>
      <c r="G3982" t="s">
        <v>203</v>
      </c>
      <c r="H3982" t="s">
        <v>226</v>
      </c>
      <c r="I3982" s="4">
        <v>100638.28079999999</v>
      </c>
      <c r="J3982" s="4">
        <v>1006382.808</v>
      </c>
      <c r="K3982" s="4">
        <v>-43346.076000000001</v>
      </c>
      <c r="L3982" s="4">
        <v>10</v>
      </c>
    </row>
    <row r="3983" spans="1:12">
      <c r="A3983" t="s">
        <v>264</v>
      </c>
      <c r="B3983" s="10">
        <v>45443</v>
      </c>
      <c r="C3983" s="18">
        <f t="shared" si="62"/>
        <v>5</v>
      </c>
      <c r="D3983" t="s">
        <v>196</v>
      </c>
      <c r="E3983">
        <v>4871600</v>
      </c>
      <c r="F3983" t="s">
        <v>8</v>
      </c>
      <c r="G3983" t="s">
        <v>203</v>
      </c>
      <c r="H3983" t="s">
        <v>235</v>
      </c>
      <c r="I3983" s="4">
        <v>125766.4408</v>
      </c>
      <c r="J3983" s="4">
        <v>628832.20400000003</v>
      </c>
      <c r="K3983" s="4">
        <v>-28269.18</v>
      </c>
      <c r="L3983" s="4">
        <v>5</v>
      </c>
    </row>
    <row r="3984" spans="1:12">
      <c r="A3984" t="s">
        <v>264</v>
      </c>
      <c r="B3984" s="10">
        <v>45443</v>
      </c>
      <c r="C3984" s="18">
        <f t="shared" si="62"/>
        <v>5</v>
      </c>
      <c r="D3984" t="s">
        <v>196</v>
      </c>
      <c r="E3984">
        <v>4871600</v>
      </c>
      <c r="F3984" t="s">
        <v>8</v>
      </c>
      <c r="G3984" t="s">
        <v>203</v>
      </c>
      <c r="H3984" t="s">
        <v>233</v>
      </c>
      <c r="I3984" s="4">
        <v>120735.78316800001</v>
      </c>
      <c r="J3984" s="4">
        <v>482943.13267200004</v>
      </c>
      <c r="K3984" s="4">
        <v>-22615.344000000001</v>
      </c>
      <c r="L3984" s="4">
        <v>4</v>
      </c>
    </row>
    <row r="3985" spans="1:12">
      <c r="A3985" t="s">
        <v>264</v>
      </c>
      <c r="B3985" s="10">
        <v>45443</v>
      </c>
      <c r="C3985" s="18">
        <f t="shared" si="62"/>
        <v>5</v>
      </c>
      <c r="D3985" t="s">
        <v>196</v>
      </c>
      <c r="E3985">
        <v>4871600</v>
      </c>
      <c r="F3985" t="s">
        <v>8</v>
      </c>
      <c r="G3985" t="s">
        <v>202</v>
      </c>
      <c r="H3985" t="s">
        <v>260</v>
      </c>
      <c r="I3985" s="4">
        <v>41587.104800000001</v>
      </c>
      <c r="J3985" s="4">
        <v>124761.3144</v>
      </c>
      <c r="K3985" s="4">
        <v>-6219.2196000000004</v>
      </c>
      <c r="L3985" s="4">
        <v>3</v>
      </c>
    </row>
    <row r="3986" spans="1:12">
      <c r="A3986" t="s">
        <v>264</v>
      </c>
      <c r="B3986" s="10">
        <v>45443</v>
      </c>
      <c r="C3986" s="18">
        <f t="shared" si="62"/>
        <v>5</v>
      </c>
      <c r="D3986" t="s">
        <v>196</v>
      </c>
      <c r="E3986">
        <v>4873921</v>
      </c>
      <c r="F3986" t="s">
        <v>8</v>
      </c>
      <c r="G3986" t="s">
        <v>202</v>
      </c>
      <c r="H3986" t="s">
        <v>261</v>
      </c>
      <c r="I3986" s="4">
        <v>41587.104800000001</v>
      </c>
      <c r="J3986" s="4">
        <v>415871.04800000001</v>
      </c>
      <c r="K3986" s="4">
        <v>-20730.732</v>
      </c>
      <c r="L3986" s="4">
        <v>10</v>
      </c>
    </row>
    <row r="3987" spans="1:12">
      <c r="A3987" t="s">
        <v>264</v>
      </c>
      <c r="B3987" s="10">
        <v>45443</v>
      </c>
      <c r="C3987" s="18">
        <f t="shared" si="62"/>
        <v>5</v>
      </c>
      <c r="D3987" t="s">
        <v>196</v>
      </c>
      <c r="E3987">
        <v>4878825</v>
      </c>
      <c r="F3987" t="s">
        <v>8</v>
      </c>
      <c r="G3987" t="s">
        <v>204</v>
      </c>
      <c r="H3987" t="s">
        <v>219</v>
      </c>
      <c r="I3987" s="4">
        <v>44099.9208</v>
      </c>
      <c r="J3987" s="4">
        <v>440999.20799999998</v>
      </c>
      <c r="K3987" s="4">
        <v>-18846.12</v>
      </c>
      <c r="L3987" s="4">
        <v>10</v>
      </c>
    </row>
    <row r="3988" spans="1:12">
      <c r="A3988" t="s">
        <v>264</v>
      </c>
      <c r="B3988" s="10">
        <v>45443</v>
      </c>
      <c r="C3988" s="18">
        <f t="shared" si="62"/>
        <v>5</v>
      </c>
      <c r="D3988" t="s">
        <v>196</v>
      </c>
      <c r="E3988">
        <v>4878748</v>
      </c>
      <c r="F3988" t="s">
        <v>8</v>
      </c>
      <c r="G3988" t="s">
        <v>206</v>
      </c>
      <c r="H3988" t="s">
        <v>209</v>
      </c>
      <c r="I3988" s="4">
        <v>17715.352800000001</v>
      </c>
      <c r="J3988" s="4">
        <v>3543070.56</v>
      </c>
      <c r="K3988" s="4">
        <v>-351794.24</v>
      </c>
      <c r="L3988" s="4">
        <v>200</v>
      </c>
    </row>
    <row r="3989" spans="1:12">
      <c r="A3989" t="s">
        <v>105</v>
      </c>
      <c r="B3989" s="10">
        <v>45401</v>
      </c>
      <c r="C3989" s="18">
        <f t="shared" si="62"/>
        <v>4</v>
      </c>
      <c r="D3989" t="s">
        <v>186</v>
      </c>
      <c r="E3989">
        <v>6080604</v>
      </c>
      <c r="F3989" t="s">
        <v>8</v>
      </c>
      <c r="G3989" t="s">
        <v>202</v>
      </c>
      <c r="H3989" t="s">
        <v>261</v>
      </c>
      <c r="I3989" s="4">
        <v>41587.104800000001</v>
      </c>
      <c r="J3989" s="4">
        <v>831742.09600000002</v>
      </c>
      <c r="L3989" s="4">
        <v>20</v>
      </c>
    </row>
    <row r="3990" spans="1:12">
      <c r="A3990" t="s">
        <v>105</v>
      </c>
      <c r="B3990" s="10">
        <v>45383</v>
      </c>
      <c r="C3990" s="18">
        <f t="shared" si="62"/>
        <v>4</v>
      </c>
      <c r="D3990" t="s">
        <v>115</v>
      </c>
      <c r="E3990">
        <v>4878412</v>
      </c>
      <c r="F3990" t="s">
        <v>8</v>
      </c>
      <c r="G3990" t="s">
        <v>203</v>
      </c>
      <c r="H3990" t="s">
        <v>245</v>
      </c>
      <c r="I3990" s="4">
        <v>100638.28079999999</v>
      </c>
      <c r="J3990" s="4">
        <v>201276.56159999999</v>
      </c>
      <c r="L3990" s="4">
        <v>2</v>
      </c>
    </row>
    <row r="3991" spans="1:12">
      <c r="A3991" t="s">
        <v>105</v>
      </c>
      <c r="B3991" s="10">
        <v>45383</v>
      </c>
      <c r="C3991" s="18">
        <f t="shared" si="62"/>
        <v>4</v>
      </c>
      <c r="D3991" t="s">
        <v>115</v>
      </c>
      <c r="E3991">
        <v>4878412</v>
      </c>
      <c r="F3991" t="s">
        <v>8</v>
      </c>
      <c r="G3991" t="s">
        <v>203</v>
      </c>
      <c r="H3991" t="s">
        <v>238</v>
      </c>
      <c r="I3991" s="4">
        <v>95606.36675999999</v>
      </c>
      <c r="J3991" s="4">
        <v>191212.73351999998</v>
      </c>
      <c r="L3991" s="4">
        <v>2</v>
      </c>
    </row>
    <row r="3992" spans="1:12">
      <c r="A3992" t="s">
        <v>105</v>
      </c>
      <c r="B3992" s="10">
        <v>45383</v>
      </c>
      <c r="C3992" s="18">
        <f t="shared" si="62"/>
        <v>4</v>
      </c>
      <c r="D3992" t="s">
        <v>115</v>
      </c>
      <c r="E3992">
        <v>4878412</v>
      </c>
      <c r="F3992" t="s">
        <v>8</v>
      </c>
      <c r="G3992" t="s">
        <v>203</v>
      </c>
      <c r="H3992" t="s">
        <v>232</v>
      </c>
      <c r="I3992" s="4">
        <v>100638.28079999999</v>
      </c>
      <c r="J3992" s="4">
        <v>201276.56159999999</v>
      </c>
      <c r="L3992" s="4">
        <v>2</v>
      </c>
    </row>
    <row r="3993" spans="1:12">
      <c r="A3993" t="s">
        <v>105</v>
      </c>
      <c r="B3993" s="10">
        <v>45384</v>
      </c>
      <c r="C3993" s="18">
        <f t="shared" si="62"/>
        <v>4</v>
      </c>
      <c r="D3993" t="s">
        <v>114</v>
      </c>
      <c r="E3993">
        <v>4878056</v>
      </c>
      <c r="F3993" t="s">
        <v>8</v>
      </c>
      <c r="G3993" t="s">
        <v>203</v>
      </c>
      <c r="H3993" t="s">
        <v>227</v>
      </c>
      <c r="I3993" s="4">
        <v>100638.28079999999</v>
      </c>
      <c r="J3993" s="4">
        <v>603829.68479999993</v>
      </c>
      <c r="L3993" s="4">
        <v>6</v>
      </c>
    </row>
    <row r="3994" spans="1:12">
      <c r="A3994" t="s">
        <v>105</v>
      </c>
      <c r="B3994" s="10">
        <v>45385</v>
      </c>
      <c r="C3994" s="18">
        <f t="shared" si="62"/>
        <v>4</v>
      </c>
      <c r="D3994" t="s">
        <v>111</v>
      </c>
      <c r="E3994">
        <v>4878259</v>
      </c>
      <c r="F3994" t="s">
        <v>8</v>
      </c>
      <c r="G3994" t="s">
        <v>203</v>
      </c>
      <c r="H3994" t="s">
        <v>245</v>
      </c>
      <c r="I3994" s="4">
        <v>100638.28079999999</v>
      </c>
      <c r="J3994" s="4">
        <v>201276.56159999999</v>
      </c>
      <c r="L3994" s="4">
        <v>2</v>
      </c>
    </row>
    <row r="3995" spans="1:12">
      <c r="A3995" t="s">
        <v>105</v>
      </c>
      <c r="B3995" s="10">
        <v>45385</v>
      </c>
      <c r="C3995" s="18">
        <f t="shared" si="62"/>
        <v>4</v>
      </c>
      <c r="D3995" t="s">
        <v>111</v>
      </c>
      <c r="E3995">
        <v>4878259</v>
      </c>
      <c r="F3995" t="s">
        <v>8</v>
      </c>
      <c r="G3995" t="s">
        <v>203</v>
      </c>
      <c r="H3995" t="s">
        <v>242</v>
      </c>
      <c r="I3995" s="4">
        <v>100638.28079999999</v>
      </c>
      <c r="J3995" s="4">
        <v>201276.56159999999</v>
      </c>
      <c r="L3995" s="4">
        <v>2</v>
      </c>
    </row>
    <row r="3996" spans="1:12">
      <c r="A3996" t="s">
        <v>105</v>
      </c>
      <c r="B3996" s="10">
        <v>45385</v>
      </c>
      <c r="C3996" s="18">
        <f t="shared" si="62"/>
        <v>4</v>
      </c>
      <c r="D3996" t="s">
        <v>111</v>
      </c>
      <c r="E3996">
        <v>4878259</v>
      </c>
      <c r="F3996" t="s">
        <v>8</v>
      </c>
      <c r="G3996" t="s">
        <v>203</v>
      </c>
      <c r="H3996" t="s">
        <v>236</v>
      </c>
      <c r="I3996" s="4">
        <v>100638.28079999999</v>
      </c>
      <c r="J3996" s="4">
        <v>201276.56159999999</v>
      </c>
      <c r="L3996" s="4">
        <v>2</v>
      </c>
    </row>
    <row r="3997" spans="1:12">
      <c r="A3997" t="s">
        <v>105</v>
      </c>
      <c r="B3997" s="10">
        <v>45385</v>
      </c>
      <c r="C3997" s="18">
        <f t="shared" si="62"/>
        <v>4</v>
      </c>
      <c r="D3997" t="s">
        <v>111</v>
      </c>
      <c r="E3997">
        <v>4878259</v>
      </c>
      <c r="F3997" t="s">
        <v>8</v>
      </c>
      <c r="G3997" t="s">
        <v>203</v>
      </c>
      <c r="H3997" t="s">
        <v>228</v>
      </c>
      <c r="I3997" s="4">
        <v>100638.28079999999</v>
      </c>
      <c r="J3997" s="4">
        <v>201276.56159999999</v>
      </c>
      <c r="L3997" s="4">
        <v>2</v>
      </c>
    </row>
    <row r="3998" spans="1:12">
      <c r="A3998" t="s">
        <v>105</v>
      </c>
      <c r="B3998" s="10">
        <v>45385</v>
      </c>
      <c r="C3998" s="18">
        <f t="shared" si="62"/>
        <v>4</v>
      </c>
      <c r="D3998" t="s">
        <v>111</v>
      </c>
      <c r="E3998">
        <v>4878259</v>
      </c>
      <c r="F3998" t="s">
        <v>8</v>
      </c>
      <c r="G3998" t="s">
        <v>203</v>
      </c>
      <c r="H3998" t="s">
        <v>224</v>
      </c>
      <c r="I3998" s="4">
        <v>100638.28079999999</v>
      </c>
      <c r="J3998" s="4">
        <v>201276.56159999999</v>
      </c>
      <c r="L3998" s="4">
        <v>2</v>
      </c>
    </row>
    <row r="3999" spans="1:12">
      <c r="A3999" t="s">
        <v>105</v>
      </c>
      <c r="B3999" s="10">
        <v>45385</v>
      </c>
      <c r="C3999" s="18">
        <f t="shared" si="62"/>
        <v>4</v>
      </c>
      <c r="D3999" t="s">
        <v>110</v>
      </c>
      <c r="E3999">
        <v>4878173</v>
      </c>
      <c r="F3999" t="s">
        <v>8</v>
      </c>
      <c r="G3999" t="s">
        <v>203</v>
      </c>
      <c r="H3999" t="s">
        <v>236</v>
      </c>
      <c r="I3999" s="4">
        <v>100638.28079999999</v>
      </c>
      <c r="J3999" s="4">
        <v>201276.56159999999</v>
      </c>
      <c r="L3999" s="4">
        <v>2</v>
      </c>
    </row>
    <row r="4000" spans="1:12">
      <c r="A4000" t="s">
        <v>105</v>
      </c>
      <c r="B4000" s="10">
        <v>45385</v>
      </c>
      <c r="C4000" s="18">
        <f t="shared" si="62"/>
        <v>4</v>
      </c>
      <c r="D4000" t="s">
        <v>110</v>
      </c>
      <c r="E4000">
        <v>4878173</v>
      </c>
      <c r="F4000" t="s">
        <v>8</v>
      </c>
      <c r="G4000" t="s">
        <v>203</v>
      </c>
      <c r="H4000" t="s">
        <v>232</v>
      </c>
      <c r="I4000" s="4">
        <v>100638.28079999999</v>
      </c>
      <c r="J4000" s="4">
        <v>201276.56159999999</v>
      </c>
      <c r="L4000" s="4">
        <v>2</v>
      </c>
    </row>
    <row r="4001" spans="1:12">
      <c r="A4001" t="s">
        <v>105</v>
      </c>
      <c r="B4001" s="10">
        <v>45386</v>
      </c>
      <c r="C4001" s="18">
        <f t="shared" si="62"/>
        <v>4</v>
      </c>
      <c r="D4001" t="s">
        <v>121</v>
      </c>
      <c r="E4001">
        <v>6080203</v>
      </c>
      <c r="F4001" t="s">
        <v>8</v>
      </c>
      <c r="G4001" t="s">
        <v>203</v>
      </c>
      <c r="H4001" t="s">
        <v>242</v>
      </c>
      <c r="I4001" s="4">
        <v>100638.28079999999</v>
      </c>
      <c r="J4001" s="4">
        <v>201276.56159999999</v>
      </c>
      <c r="L4001" s="4">
        <v>2</v>
      </c>
    </row>
    <row r="4002" spans="1:12">
      <c r="A4002" t="s">
        <v>105</v>
      </c>
      <c r="B4002" s="10">
        <v>45387</v>
      </c>
      <c r="C4002" s="18">
        <f t="shared" si="62"/>
        <v>4</v>
      </c>
      <c r="D4002" t="s">
        <v>121</v>
      </c>
      <c r="E4002">
        <v>6080203</v>
      </c>
      <c r="F4002" t="s">
        <v>8</v>
      </c>
      <c r="G4002" t="s">
        <v>203</v>
      </c>
      <c r="H4002" t="s">
        <v>240</v>
      </c>
      <c r="I4002" s="4">
        <v>100638.28079999999</v>
      </c>
      <c r="J4002" s="4">
        <v>201276.56159999999</v>
      </c>
      <c r="L4002" s="4">
        <v>2</v>
      </c>
    </row>
    <row r="4003" spans="1:12">
      <c r="A4003" t="s">
        <v>105</v>
      </c>
      <c r="B4003" s="10">
        <v>45387</v>
      </c>
      <c r="C4003" s="18">
        <f t="shared" si="62"/>
        <v>4</v>
      </c>
      <c r="D4003" t="s">
        <v>121</v>
      </c>
      <c r="E4003">
        <v>6080203</v>
      </c>
      <c r="F4003" t="s">
        <v>8</v>
      </c>
      <c r="G4003" t="s">
        <v>203</v>
      </c>
      <c r="H4003" t="s">
        <v>234</v>
      </c>
      <c r="I4003" s="4">
        <v>100638.28079999999</v>
      </c>
      <c r="J4003" s="4">
        <v>201276.56159999999</v>
      </c>
      <c r="L4003" s="4">
        <v>2</v>
      </c>
    </row>
    <row r="4004" spans="1:12">
      <c r="A4004" t="s">
        <v>105</v>
      </c>
      <c r="B4004" s="10">
        <v>45387</v>
      </c>
      <c r="C4004" s="18">
        <f t="shared" si="62"/>
        <v>4</v>
      </c>
      <c r="D4004" t="s">
        <v>121</v>
      </c>
      <c r="E4004">
        <v>6080203</v>
      </c>
      <c r="F4004" t="s">
        <v>8</v>
      </c>
      <c r="G4004" t="s">
        <v>203</v>
      </c>
      <c r="H4004" t="s">
        <v>226</v>
      </c>
      <c r="I4004" s="4">
        <v>100638.28079999999</v>
      </c>
      <c r="J4004" s="4">
        <v>201276.56159999999</v>
      </c>
      <c r="L4004" s="4">
        <v>2</v>
      </c>
    </row>
    <row r="4005" spans="1:12">
      <c r="A4005" t="s">
        <v>105</v>
      </c>
      <c r="B4005" s="10">
        <v>45387</v>
      </c>
      <c r="C4005" s="18">
        <f t="shared" si="62"/>
        <v>4</v>
      </c>
      <c r="D4005" t="s">
        <v>121</v>
      </c>
      <c r="E4005">
        <v>6080203</v>
      </c>
      <c r="F4005" t="s">
        <v>8</v>
      </c>
      <c r="G4005" t="s">
        <v>203</v>
      </c>
      <c r="H4005" t="s">
        <v>225</v>
      </c>
      <c r="I4005" s="4">
        <v>100638.28079999999</v>
      </c>
      <c r="J4005" s="4">
        <v>201276.56159999999</v>
      </c>
      <c r="L4005" s="4">
        <v>2</v>
      </c>
    </row>
    <row r="4006" spans="1:12">
      <c r="A4006" t="s">
        <v>105</v>
      </c>
      <c r="B4006" s="10">
        <v>45387</v>
      </c>
      <c r="C4006" s="18">
        <f t="shared" si="62"/>
        <v>4</v>
      </c>
      <c r="D4006" t="s">
        <v>121</v>
      </c>
      <c r="E4006">
        <v>6080203</v>
      </c>
      <c r="F4006" t="s">
        <v>8</v>
      </c>
      <c r="G4006" t="s">
        <v>203</v>
      </c>
      <c r="H4006" t="s">
        <v>222</v>
      </c>
      <c r="I4006" s="4">
        <v>100638.28079999999</v>
      </c>
      <c r="J4006" s="4">
        <v>201276.56159999999</v>
      </c>
      <c r="L4006" s="4">
        <v>2</v>
      </c>
    </row>
    <row r="4007" spans="1:12">
      <c r="A4007" t="s">
        <v>105</v>
      </c>
      <c r="B4007" s="10">
        <v>45388</v>
      </c>
      <c r="C4007" s="18">
        <f t="shared" si="62"/>
        <v>4</v>
      </c>
      <c r="D4007" t="s">
        <v>111</v>
      </c>
      <c r="E4007">
        <v>4878259</v>
      </c>
      <c r="F4007" t="s">
        <v>8</v>
      </c>
      <c r="G4007" t="s">
        <v>203</v>
      </c>
      <c r="H4007" t="s">
        <v>239</v>
      </c>
      <c r="I4007" s="4">
        <v>125766.4408</v>
      </c>
      <c r="J4007" s="4">
        <v>125766.4408</v>
      </c>
      <c r="L4007" s="4">
        <v>1</v>
      </c>
    </row>
    <row r="4008" spans="1:12">
      <c r="A4008" t="s">
        <v>105</v>
      </c>
      <c r="B4008" s="10">
        <v>45388</v>
      </c>
      <c r="C4008" s="18">
        <f t="shared" si="62"/>
        <v>4</v>
      </c>
      <c r="D4008" t="s">
        <v>111</v>
      </c>
      <c r="E4008">
        <v>4878259</v>
      </c>
      <c r="F4008" t="s">
        <v>8</v>
      </c>
      <c r="G4008" t="s">
        <v>203</v>
      </c>
      <c r="H4008" t="s">
        <v>237</v>
      </c>
      <c r="I4008" s="4">
        <v>125766.4408</v>
      </c>
      <c r="J4008" s="4">
        <v>125766.4408</v>
      </c>
      <c r="L4008" s="4">
        <v>1</v>
      </c>
    </row>
    <row r="4009" spans="1:12">
      <c r="A4009" t="s">
        <v>105</v>
      </c>
      <c r="B4009" s="10">
        <v>45388</v>
      </c>
      <c r="C4009" s="18">
        <f t="shared" si="62"/>
        <v>4</v>
      </c>
      <c r="D4009" t="s">
        <v>111</v>
      </c>
      <c r="E4009">
        <v>4878259</v>
      </c>
      <c r="F4009" t="s">
        <v>8</v>
      </c>
      <c r="G4009" t="s">
        <v>203</v>
      </c>
      <c r="H4009" t="s">
        <v>235</v>
      </c>
      <c r="I4009" s="4">
        <v>125766.4408</v>
      </c>
      <c r="J4009" s="4">
        <v>125766.4408</v>
      </c>
      <c r="L4009" s="4">
        <v>1</v>
      </c>
    </row>
    <row r="4010" spans="1:12">
      <c r="A4010" t="s">
        <v>105</v>
      </c>
      <c r="B4010" s="10">
        <v>45388</v>
      </c>
      <c r="C4010" s="18">
        <f t="shared" si="62"/>
        <v>4</v>
      </c>
      <c r="D4010" t="s">
        <v>111</v>
      </c>
      <c r="E4010">
        <v>4878259</v>
      </c>
      <c r="F4010" t="s">
        <v>8</v>
      </c>
      <c r="G4010" t="s">
        <v>203</v>
      </c>
      <c r="H4010" t="s">
        <v>231</v>
      </c>
      <c r="I4010" s="4">
        <v>125766.4408</v>
      </c>
      <c r="J4010" s="4">
        <v>125766.4408</v>
      </c>
      <c r="L4010" s="4">
        <v>1</v>
      </c>
    </row>
    <row r="4011" spans="1:12">
      <c r="A4011" t="s">
        <v>105</v>
      </c>
      <c r="B4011" s="10">
        <v>45388</v>
      </c>
      <c r="C4011" s="18">
        <f t="shared" si="62"/>
        <v>4</v>
      </c>
      <c r="D4011" t="s">
        <v>111</v>
      </c>
      <c r="E4011">
        <v>4878259</v>
      </c>
      <c r="F4011" t="s">
        <v>8</v>
      </c>
      <c r="G4011" t="s">
        <v>203</v>
      </c>
      <c r="H4011" t="s">
        <v>229</v>
      </c>
      <c r="I4011" s="4">
        <v>125766.4408</v>
      </c>
      <c r="J4011" s="4">
        <v>125766.4408</v>
      </c>
      <c r="L4011" s="4">
        <v>1</v>
      </c>
    </row>
    <row r="4012" spans="1:12">
      <c r="A4012" t="s">
        <v>105</v>
      </c>
      <c r="B4012" s="10">
        <v>45390</v>
      </c>
      <c r="C4012" s="18">
        <f t="shared" si="62"/>
        <v>4</v>
      </c>
      <c r="D4012" t="s">
        <v>110</v>
      </c>
      <c r="E4012">
        <v>4878153</v>
      </c>
      <c r="F4012" t="s">
        <v>8</v>
      </c>
      <c r="G4012" t="s">
        <v>203</v>
      </c>
      <c r="H4012" t="s">
        <v>236</v>
      </c>
      <c r="I4012" s="4">
        <v>100638.28079999999</v>
      </c>
      <c r="J4012" s="4">
        <v>201276.56159999999</v>
      </c>
      <c r="L4012" s="4">
        <v>2</v>
      </c>
    </row>
    <row r="4013" spans="1:12">
      <c r="A4013" t="s">
        <v>105</v>
      </c>
      <c r="B4013" s="10">
        <v>45391</v>
      </c>
      <c r="C4013" s="18">
        <f t="shared" si="62"/>
        <v>4</v>
      </c>
      <c r="D4013" t="s">
        <v>117</v>
      </c>
      <c r="E4013">
        <v>4877572</v>
      </c>
      <c r="F4013" t="s">
        <v>8</v>
      </c>
      <c r="G4013" t="s">
        <v>203</v>
      </c>
      <c r="H4013" t="s">
        <v>245</v>
      </c>
      <c r="I4013" s="4">
        <v>100638.28079999999</v>
      </c>
      <c r="J4013" s="4">
        <v>201276.56159999999</v>
      </c>
      <c r="L4013" s="4">
        <v>2</v>
      </c>
    </row>
    <row r="4014" spans="1:12">
      <c r="A4014" t="s">
        <v>105</v>
      </c>
      <c r="B4014" s="10">
        <v>45391</v>
      </c>
      <c r="C4014" s="18">
        <f t="shared" si="62"/>
        <v>4</v>
      </c>
      <c r="D4014" t="s">
        <v>117</v>
      </c>
      <c r="E4014">
        <v>4877572</v>
      </c>
      <c r="F4014" t="s">
        <v>8</v>
      </c>
      <c r="G4014" t="s">
        <v>203</v>
      </c>
      <c r="H4014" t="s">
        <v>234</v>
      </c>
      <c r="I4014" s="4">
        <v>100638.28079999999</v>
      </c>
      <c r="J4014" s="4">
        <v>100638.28079999999</v>
      </c>
      <c r="L4014" s="4">
        <v>1</v>
      </c>
    </row>
    <row r="4015" spans="1:12">
      <c r="A4015" t="s">
        <v>105</v>
      </c>
      <c r="B4015" s="10">
        <v>45391</v>
      </c>
      <c r="C4015" s="18">
        <f t="shared" si="62"/>
        <v>4</v>
      </c>
      <c r="D4015" t="s">
        <v>117</v>
      </c>
      <c r="E4015">
        <v>4877572</v>
      </c>
      <c r="F4015" t="s">
        <v>8</v>
      </c>
      <c r="G4015" t="s">
        <v>203</v>
      </c>
      <c r="H4015" t="s">
        <v>230</v>
      </c>
      <c r="I4015" s="4">
        <v>100638.28079999999</v>
      </c>
      <c r="J4015" s="4">
        <v>201276.56159999999</v>
      </c>
      <c r="L4015" s="4">
        <v>2</v>
      </c>
    </row>
    <row r="4016" spans="1:12">
      <c r="A4016" t="s">
        <v>105</v>
      </c>
      <c r="B4016" s="10">
        <v>45397</v>
      </c>
      <c r="C4016" s="18">
        <f t="shared" si="62"/>
        <v>4</v>
      </c>
      <c r="D4016" t="s">
        <v>113</v>
      </c>
      <c r="E4016">
        <v>4878755</v>
      </c>
      <c r="F4016" t="s">
        <v>8</v>
      </c>
      <c r="G4016" t="s">
        <v>206</v>
      </c>
      <c r="H4016" t="s">
        <v>209</v>
      </c>
      <c r="I4016" s="4">
        <v>17715.352800000001</v>
      </c>
      <c r="J4016" s="4">
        <v>106292.1168</v>
      </c>
      <c r="L4016" s="4">
        <v>6</v>
      </c>
    </row>
    <row r="4017" spans="1:12">
      <c r="A4017" t="s">
        <v>105</v>
      </c>
      <c r="B4017" s="10">
        <v>45397</v>
      </c>
      <c r="C4017" s="18">
        <f t="shared" si="62"/>
        <v>4</v>
      </c>
      <c r="D4017" t="s">
        <v>113</v>
      </c>
      <c r="E4017">
        <v>4878755</v>
      </c>
      <c r="F4017" t="s">
        <v>8</v>
      </c>
      <c r="G4017" t="s">
        <v>206</v>
      </c>
      <c r="H4017" t="s">
        <v>251</v>
      </c>
      <c r="I4017" s="4">
        <v>19223.042399999998</v>
      </c>
      <c r="J4017" s="4">
        <v>153784.33919999999</v>
      </c>
      <c r="L4017" s="4">
        <v>8</v>
      </c>
    </row>
    <row r="4018" spans="1:12">
      <c r="A4018" t="s">
        <v>105</v>
      </c>
      <c r="B4018" s="10">
        <v>45397</v>
      </c>
      <c r="C4018" s="18">
        <f t="shared" si="62"/>
        <v>4</v>
      </c>
      <c r="D4018" t="s">
        <v>110</v>
      </c>
      <c r="E4018">
        <v>4878153</v>
      </c>
      <c r="F4018" t="s">
        <v>8</v>
      </c>
      <c r="G4018" t="s">
        <v>203</v>
      </c>
      <c r="H4018" t="s">
        <v>243</v>
      </c>
      <c r="I4018" s="4">
        <v>100638.28079999999</v>
      </c>
      <c r="J4018" s="4">
        <v>201276.56159999999</v>
      </c>
      <c r="L4018" s="4">
        <v>2</v>
      </c>
    </row>
    <row r="4019" spans="1:12">
      <c r="A4019" t="s">
        <v>105</v>
      </c>
      <c r="B4019" s="10">
        <v>45398</v>
      </c>
      <c r="C4019" s="18">
        <f t="shared" si="62"/>
        <v>4</v>
      </c>
      <c r="D4019" t="s">
        <v>119</v>
      </c>
      <c r="E4019">
        <v>4878298</v>
      </c>
      <c r="F4019" t="s">
        <v>8</v>
      </c>
      <c r="G4019" t="s">
        <v>203</v>
      </c>
      <c r="H4019" t="s">
        <v>234</v>
      </c>
      <c r="I4019" s="4">
        <v>100638.28079999999</v>
      </c>
      <c r="J4019" s="4">
        <v>100638.28079999999</v>
      </c>
      <c r="L4019" s="4">
        <v>1</v>
      </c>
    </row>
    <row r="4020" spans="1:12">
      <c r="A4020" t="s">
        <v>105</v>
      </c>
      <c r="B4020" s="10">
        <v>45400</v>
      </c>
      <c r="C4020" s="18">
        <f t="shared" si="62"/>
        <v>4</v>
      </c>
      <c r="D4020" t="s">
        <v>110</v>
      </c>
      <c r="E4020">
        <v>4878163</v>
      </c>
      <c r="F4020" t="s">
        <v>8</v>
      </c>
      <c r="G4020" t="s">
        <v>203</v>
      </c>
      <c r="H4020" t="s">
        <v>242</v>
      </c>
      <c r="I4020" s="4">
        <v>100638.28079999999</v>
      </c>
      <c r="J4020" s="4">
        <v>1006382.808</v>
      </c>
      <c r="L4020" s="4">
        <v>10</v>
      </c>
    </row>
    <row r="4021" spans="1:12">
      <c r="A4021" t="s">
        <v>105</v>
      </c>
      <c r="B4021" s="10">
        <v>45400</v>
      </c>
      <c r="C4021" s="18">
        <f t="shared" si="62"/>
        <v>4</v>
      </c>
      <c r="D4021" t="s">
        <v>110</v>
      </c>
      <c r="E4021">
        <v>4878163</v>
      </c>
      <c r="F4021" t="s">
        <v>8</v>
      </c>
      <c r="G4021" t="s">
        <v>206</v>
      </c>
      <c r="H4021" t="s">
        <v>251</v>
      </c>
      <c r="I4021" s="4">
        <v>19223.042399999998</v>
      </c>
      <c r="J4021" s="4">
        <v>192230.424</v>
      </c>
      <c r="L4021" s="4">
        <v>10</v>
      </c>
    </row>
    <row r="4022" spans="1:12">
      <c r="A4022" t="s">
        <v>105</v>
      </c>
      <c r="B4022" s="10">
        <v>45401</v>
      </c>
      <c r="C4022" s="18">
        <f t="shared" si="62"/>
        <v>4</v>
      </c>
      <c r="D4022" t="s">
        <v>113</v>
      </c>
      <c r="E4022">
        <v>4877637</v>
      </c>
      <c r="F4022" t="s">
        <v>8</v>
      </c>
      <c r="G4022" t="s">
        <v>203</v>
      </c>
      <c r="H4022" t="s">
        <v>228</v>
      </c>
      <c r="I4022" s="4">
        <v>100638.28079999999</v>
      </c>
      <c r="J4022" s="4">
        <v>201276.56159999999</v>
      </c>
      <c r="L4022" s="4">
        <v>2</v>
      </c>
    </row>
    <row r="4023" spans="1:12">
      <c r="A4023" t="s">
        <v>105</v>
      </c>
      <c r="B4023" s="10">
        <v>45401</v>
      </c>
      <c r="C4023" s="18">
        <f t="shared" si="62"/>
        <v>4</v>
      </c>
      <c r="D4023" t="s">
        <v>119</v>
      </c>
      <c r="E4023">
        <v>4878298</v>
      </c>
      <c r="F4023" t="s">
        <v>8</v>
      </c>
      <c r="G4023" t="s">
        <v>203</v>
      </c>
      <c r="H4023" t="s">
        <v>242</v>
      </c>
      <c r="I4023" s="4">
        <v>100638.28079999999</v>
      </c>
      <c r="J4023" s="4">
        <v>201276.56159999999</v>
      </c>
      <c r="L4023" s="4">
        <v>2</v>
      </c>
    </row>
    <row r="4024" spans="1:12">
      <c r="A4024" t="s">
        <v>105</v>
      </c>
      <c r="B4024" s="10">
        <v>45401</v>
      </c>
      <c r="C4024" s="18">
        <f t="shared" si="62"/>
        <v>4</v>
      </c>
      <c r="D4024" t="s">
        <v>119</v>
      </c>
      <c r="E4024">
        <v>4878298</v>
      </c>
      <c r="F4024" t="s">
        <v>8</v>
      </c>
      <c r="G4024" t="s">
        <v>203</v>
      </c>
      <c r="H4024" t="s">
        <v>240</v>
      </c>
      <c r="I4024" s="4">
        <v>100638.28079999999</v>
      </c>
      <c r="J4024" s="4">
        <v>201276.56159999999</v>
      </c>
      <c r="L4024" s="4">
        <v>2</v>
      </c>
    </row>
    <row r="4025" spans="1:12">
      <c r="A4025" t="s">
        <v>105</v>
      </c>
      <c r="B4025" s="10">
        <v>45401</v>
      </c>
      <c r="C4025" s="18">
        <f t="shared" si="62"/>
        <v>4</v>
      </c>
      <c r="D4025" t="s">
        <v>119</v>
      </c>
      <c r="E4025">
        <v>4878298</v>
      </c>
      <c r="F4025" t="s">
        <v>8</v>
      </c>
      <c r="G4025" t="s">
        <v>203</v>
      </c>
      <c r="H4025" t="s">
        <v>227</v>
      </c>
      <c r="I4025" s="4">
        <v>100638.28079999999</v>
      </c>
      <c r="J4025" s="4">
        <v>201276.56159999999</v>
      </c>
      <c r="L4025" s="4">
        <v>2</v>
      </c>
    </row>
    <row r="4026" spans="1:12">
      <c r="A4026" t="s">
        <v>105</v>
      </c>
      <c r="B4026" s="10">
        <v>45401</v>
      </c>
      <c r="C4026" s="18">
        <f t="shared" si="62"/>
        <v>4</v>
      </c>
      <c r="D4026" t="s">
        <v>119</v>
      </c>
      <c r="E4026">
        <v>4878298</v>
      </c>
      <c r="F4026" t="s">
        <v>8</v>
      </c>
      <c r="G4026" t="s">
        <v>203</v>
      </c>
      <c r="H4026" t="s">
        <v>224</v>
      </c>
      <c r="I4026" s="4">
        <v>100638.28079999999</v>
      </c>
      <c r="J4026" s="4">
        <v>201276.56159999999</v>
      </c>
      <c r="L4026" s="4">
        <v>2</v>
      </c>
    </row>
    <row r="4027" spans="1:12">
      <c r="A4027" t="s">
        <v>105</v>
      </c>
      <c r="B4027" s="10">
        <v>45401</v>
      </c>
      <c r="C4027" s="18">
        <f t="shared" si="62"/>
        <v>4</v>
      </c>
      <c r="D4027" t="s">
        <v>119</v>
      </c>
      <c r="E4027">
        <v>4878298</v>
      </c>
      <c r="F4027" t="s">
        <v>8</v>
      </c>
      <c r="G4027" t="s">
        <v>203</v>
      </c>
      <c r="H4027" t="s">
        <v>223</v>
      </c>
      <c r="I4027" s="4">
        <v>100638.28079999999</v>
      </c>
      <c r="J4027" s="4">
        <v>201276.56159999999</v>
      </c>
      <c r="L4027" s="4">
        <v>2</v>
      </c>
    </row>
    <row r="4028" spans="1:12">
      <c r="A4028" t="s">
        <v>105</v>
      </c>
      <c r="B4028" s="10">
        <v>45404</v>
      </c>
      <c r="C4028" s="18">
        <f t="shared" si="62"/>
        <v>4</v>
      </c>
      <c r="D4028" t="s">
        <v>111</v>
      </c>
      <c r="E4028">
        <v>4878254</v>
      </c>
      <c r="F4028" t="s">
        <v>8</v>
      </c>
      <c r="G4028" t="s">
        <v>203</v>
      </c>
      <c r="H4028" t="s">
        <v>237</v>
      </c>
      <c r="I4028" s="4">
        <v>125766.4408</v>
      </c>
      <c r="J4028" s="4">
        <v>251532.88159999999</v>
      </c>
      <c r="L4028" s="4">
        <v>2</v>
      </c>
    </row>
    <row r="4029" spans="1:12">
      <c r="A4029" t="s">
        <v>105</v>
      </c>
      <c r="B4029" s="10">
        <v>45405</v>
      </c>
      <c r="C4029" s="18">
        <f t="shared" si="62"/>
        <v>4</v>
      </c>
      <c r="D4029" t="s">
        <v>111</v>
      </c>
      <c r="E4029">
        <v>4878254</v>
      </c>
      <c r="F4029" t="s">
        <v>8</v>
      </c>
      <c r="G4029" t="s">
        <v>203</v>
      </c>
      <c r="H4029" t="s">
        <v>238</v>
      </c>
      <c r="I4029" s="4">
        <v>95606.36675999999</v>
      </c>
      <c r="J4029" s="4">
        <v>382425.46703999996</v>
      </c>
      <c r="L4029" s="4">
        <v>4</v>
      </c>
    </row>
    <row r="4030" spans="1:12">
      <c r="A4030" t="s">
        <v>105</v>
      </c>
      <c r="B4030" s="10">
        <v>45406</v>
      </c>
      <c r="C4030" s="18">
        <f t="shared" si="62"/>
        <v>4</v>
      </c>
      <c r="D4030" t="s">
        <v>110</v>
      </c>
      <c r="E4030">
        <v>4878173</v>
      </c>
      <c r="F4030" t="s">
        <v>8</v>
      </c>
      <c r="G4030" t="s">
        <v>203</v>
      </c>
      <c r="H4030" t="s">
        <v>238</v>
      </c>
      <c r="I4030" s="4">
        <v>95606.36675999999</v>
      </c>
      <c r="J4030" s="4">
        <v>191212.73351999998</v>
      </c>
      <c r="L4030" s="4">
        <v>2</v>
      </c>
    </row>
    <row r="4031" spans="1:12">
      <c r="A4031" t="s">
        <v>107</v>
      </c>
      <c r="B4031" s="10">
        <v>45384</v>
      </c>
      <c r="C4031" s="18">
        <f t="shared" si="62"/>
        <v>4</v>
      </c>
      <c r="D4031" t="s">
        <v>151</v>
      </c>
      <c r="E4031">
        <v>4876098</v>
      </c>
      <c r="F4031" t="s">
        <v>8</v>
      </c>
      <c r="G4031" t="s">
        <v>204</v>
      </c>
      <c r="H4031" t="s">
        <v>219</v>
      </c>
      <c r="I4031" s="4">
        <v>44099.9208</v>
      </c>
      <c r="J4031" s="4">
        <v>352799.3664</v>
      </c>
      <c r="L4031" s="4">
        <v>8</v>
      </c>
    </row>
    <row r="4032" spans="1:12">
      <c r="A4032" t="s">
        <v>107</v>
      </c>
      <c r="B4032" s="10">
        <v>45385</v>
      </c>
      <c r="C4032" s="18">
        <f t="shared" si="62"/>
        <v>4</v>
      </c>
      <c r="D4032" t="s">
        <v>190</v>
      </c>
      <c r="E4032">
        <v>4876760</v>
      </c>
      <c r="F4032" t="s">
        <v>8</v>
      </c>
      <c r="G4032" t="s">
        <v>203</v>
      </c>
      <c r="H4032" t="s">
        <v>224</v>
      </c>
      <c r="I4032" s="4">
        <v>100638.28079999999</v>
      </c>
      <c r="J4032" s="4">
        <v>402553.12319999997</v>
      </c>
      <c r="L4032" s="4">
        <v>4</v>
      </c>
    </row>
    <row r="4033" spans="1:12">
      <c r="A4033" t="s">
        <v>107</v>
      </c>
      <c r="B4033" s="10">
        <v>45385</v>
      </c>
      <c r="C4033" s="18">
        <f t="shared" si="62"/>
        <v>4</v>
      </c>
      <c r="D4033" t="s">
        <v>190</v>
      </c>
      <c r="E4033">
        <v>4876760</v>
      </c>
      <c r="F4033" t="s">
        <v>8</v>
      </c>
      <c r="G4033" t="s">
        <v>203</v>
      </c>
      <c r="H4033" t="s">
        <v>223</v>
      </c>
      <c r="I4033" s="4">
        <v>100638.28079999999</v>
      </c>
      <c r="J4033" s="4">
        <v>402553.12319999997</v>
      </c>
      <c r="L4033" s="4">
        <v>4</v>
      </c>
    </row>
    <row r="4034" spans="1:12">
      <c r="A4034" t="s">
        <v>107</v>
      </c>
      <c r="B4034" s="10">
        <v>45390</v>
      </c>
      <c r="C4034" s="18">
        <f t="shared" ref="C4034:C4097" si="63">MONTH(B4034)</f>
        <v>4</v>
      </c>
      <c r="D4034" t="s">
        <v>140</v>
      </c>
      <c r="E4034">
        <v>4876550</v>
      </c>
      <c r="F4034" t="s">
        <v>8</v>
      </c>
      <c r="G4034" t="s">
        <v>203</v>
      </c>
      <c r="H4034" t="s">
        <v>235</v>
      </c>
      <c r="I4034" s="4">
        <v>125766.4408</v>
      </c>
      <c r="J4034" s="4">
        <v>251532.88159999999</v>
      </c>
      <c r="L4034" s="4">
        <v>2</v>
      </c>
    </row>
    <row r="4035" spans="1:12">
      <c r="A4035" t="s">
        <v>107</v>
      </c>
      <c r="B4035" s="10">
        <v>45390</v>
      </c>
      <c r="C4035" s="18">
        <f t="shared" si="63"/>
        <v>4</v>
      </c>
      <c r="D4035" t="s">
        <v>140</v>
      </c>
      <c r="E4035">
        <v>4876550</v>
      </c>
      <c r="F4035" t="s">
        <v>8</v>
      </c>
      <c r="G4035" t="s">
        <v>203</v>
      </c>
      <c r="H4035" t="s">
        <v>231</v>
      </c>
      <c r="I4035" s="4">
        <v>125766.4408</v>
      </c>
      <c r="J4035" s="4">
        <v>251532.88159999999</v>
      </c>
      <c r="L4035" s="4">
        <v>2</v>
      </c>
    </row>
    <row r="4036" spans="1:12">
      <c r="A4036" t="s">
        <v>107</v>
      </c>
      <c r="B4036" s="10">
        <v>45394</v>
      </c>
      <c r="C4036" s="18">
        <f t="shared" si="63"/>
        <v>4</v>
      </c>
      <c r="D4036" t="s">
        <v>162</v>
      </c>
      <c r="E4036">
        <v>4874459</v>
      </c>
      <c r="F4036" t="s">
        <v>8</v>
      </c>
      <c r="G4036" t="s">
        <v>203</v>
      </c>
      <c r="H4036" t="s">
        <v>235</v>
      </c>
      <c r="I4036" s="4">
        <v>125766.4408</v>
      </c>
      <c r="J4036" s="4">
        <v>251532.88159999999</v>
      </c>
      <c r="L4036" s="4">
        <v>2</v>
      </c>
    </row>
    <row r="4037" spans="1:12">
      <c r="A4037" t="s">
        <v>107</v>
      </c>
      <c r="B4037" s="10">
        <v>45395</v>
      </c>
      <c r="C4037" s="18">
        <f t="shared" si="63"/>
        <v>4</v>
      </c>
      <c r="D4037" t="s">
        <v>151</v>
      </c>
      <c r="E4037">
        <v>6080024</v>
      </c>
      <c r="F4037" t="s">
        <v>8</v>
      </c>
      <c r="G4037" t="s">
        <v>203</v>
      </c>
      <c r="H4037" t="s">
        <v>245</v>
      </c>
      <c r="I4037" s="4">
        <v>100638.28079999999</v>
      </c>
      <c r="J4037" s="4">
        <v>603829.68479999993</v>
      </c>
      <c r="K4037" s="4">
        <v>-27176.105039999999</v>
      </c>
      <c r="L4037" s="4">
        <v>6</v>
      </c>
    </row>
    <row r="4038" spans="1:12">
      <c r="A4038" t="s">
        <v>107</v>
      </c>
      <c r="B4038" s="10">
        <v>45395</v>
      </c>
      <c r="C4038" s="18">
        <f t="shared" si="63"/>
        <v>4</v>
      </c>
      <c r="D4038" t="s">
        <v>151</v>
      </c>
      <c r="E4038">
        <v>6080024</v>
      </c>
      <c r="F4038" t="s">
        <v>8</v>
      </c>
      <c r="G4038" t="s">
        <v>203</v>
      </c>
      <c r="H4038" t="s">
        <v>242</v>
      </c>
      <c r="I4038" s="4">
        <v>100638.28079999999</v>
      </c>
      <c r="J4038" s="4">
        <v>1006382.808</v>
      </c>
      <c r="K4038" s="4">
        <v>-45293.508399999999</v>
      </c>
      <c r="L4038" s="4">
        <v>10</v>
      </c>
    </row>
    <row r="4039" spans="1:12">
      <c r="A4039" t="s">
        <v>107</v>
      </c>
      <c r="B4039" s="10">
        <v>45395</v>
      </c>
      <c r="C4039" s="18">
        <f t="shared" si="63"/>
        <v>4</v>
      </c>
      <c r="D4039" t="s">
        <v>151</v>
      </c>
      <c r="E4039">
        <v>6080024</v>
      </c>
      <c r="F4039" t="s">
        <v>8</v>
      </c>
      <c r="G4039" t="s">
        <v>203</v>
      </c>
      <c r="H4039" t="s">
        <v>236</v>
      </c>
      <c r="I4039" s="4">
        <v>100638.28079999999</v>
      </c>
      <c r="J4039" s="4">
        <v>1006382.808</v>
      </c>
      <c r="K4039" s="4">
        <v>-45293.508399999999</v>
      </c>
      <c r="L4039" s="4">
        <v>10</v>
      </c>
    </row>
    <row r="4040" spans="1:12">
      <c r="A4040" t="s">
        <v>107</v>
      </c>
      <c r="B4040" s="10">
        <v>45395</v>
      </c>
      <c r="C4040" s="18">
        <f t="shared" si="63"/>
        <v>4</v>
      </c>
      <c r="D4040" t="s">
        <v>151</v>
      </c>
      <c r="E4040">
        <v>6080024</v>
      </c>
      <c r="F4040" t="s">
        <v>8</v>
      </c>
      <c r="G4040" t="s">
        <v>203</v>
      </c>
      <c r="H4040" t="s">
        <v>234</v>
      </c>
      <c r="I4040" s="4">
        <v>100638.28079999999</v>
      </c>
      <c r="J4040" s="4">
        <v>201276.56159999999</v>
      </c>
      <c r="K4040" s="4">
        <v>-9058.7016800000001</v>
      </c>
      <c r="L4040" s="4">
        <v>2</v>
      </c>
    </row>
    <row r="4041" spans="1:12">
      <c r="A4041" t="s">
        <v>107</v>
      </c>
      <c r="B4041" s="10">
        <v>45395</v>
      </c>
      <c r="C4041" s="18">
        <f t="shared" si="63"/>
        <v>4</v>
      </c>
      <c r="D4041" t="s">
        <v>151</v>
      </c>
      <c r="E4041">
        <v>6080024</v>
      </c>
      <c r="F4041" t="s">
        <v>8</v>
      </c>
      <c r="G4041" t="s">
        <v>203</v>
      </c>
      <c r="H4041" t="s">
        <v>227</v>
      </c>
      <c r="I4041" s="4">
        <v>100638.28079999999</v>
      </c>
      <c r="J4041" s="4">
        <v>1006382.808</v>
      </c>
      <c r="K4041" s="4">
        <v>-45293.508399999999</v>
      </c>
      <c r="L4041" s="4">
        <v>10</v>
      </c>
    </row>
    <row r="4042" spans="1:12">
      <c r="A4042" t="s">
        <v>107</v>
      </c>
      <c r="B4042" s="10">
        <v>45395</v>
      </c>
      <c r="C4042" s="18">
        <f t="shared" si="63"/>
        <v>4</v>
      </c>
      <c r="D4042" t="s">
        <v>151</v>
      </c>
      <c r="E4042">
        <v>6080024</v>
      </c>
      <c r="F4042" t="s">
        <v>8</v>
      </c>
      <c r="G4042" t="s">
        <v>203</v>
      </c>
      <c r="H4042" t="s">
        <v>244</v>
      </c>
      <c r="I4042" s="4">
        <v>125766.4408</v>
      </c>
      <c r="J4042" s="4">
        <v>1257664.4080000001</v>
      </c>
      <c r="K4042" s="4">
        <v>-58485.792400000006</v>
      </c>
      <c r="L4042" s="4">
        <v>10</v>
      </c>
    </row>
    <row r="4043" spans="1:12">
      <c r="A4043" t="s">
        <v>107</v>
      </c>
      <c r="B4043" s="10">
        <v>45395</v>
      </c>
      <c r="C4043" s="18">
        <f t="shared" si="63"/>
        <v>4</v>
      </c>
      <c r="D4043" t="s">
        <v>151</v>
      </c>
      <c r="E4043">
        <v>6080024</v>
      </c>
      <c r="F4043" t="s">
        <v>8</v>
      </c>
      <c r="G4043" t="s">
        <v>203</v>
      </c>
      <c r="H4043" t="s">
        <v>241</v>
      </c>
      <c r="I4043" s="4">
        <v>125766.4408</v>
      </c>
      <c r="J4043" s="4">
        <v>1257664.4080000001</v>
      </c>
      <c r="K4043" s="4">
        <v>-58485.792400000006</v>
      </c>
      <c r="L4043" s="4">
        <v>10</v>
      </c>
    </row>
    <row r="4044" spans="1:12">
      <c r="A4044" t="s">
        <v>107</v>
      </c>
      <c r="B4044" s="10">
        <v>45395</v>
      </c>
      <c r="C4044" s="18">
        <f t="shared" si="63"/>
        <v>4</v>
      </c>
      <c r="D4044" t="s">
        <v>151</v>
      </c>
      <c r="E4044">
        <v>6080024</v>
      </c>
      <c r="F4044" t="s">
        <v>8</v>
      </c>
      <c r="G4044" t="s">
        <v>203</v>
      </c>
      <c r="H4044" t="s">
        <v>235</v>
      </c>
      <c r="I4044" s="4">
        <v>125766.4408</v>
      </c>
      <c r="J4044" s="4">
        <v>628832.20400000003</v>
      </c>
      <c r="K4044" s="4">
        <v>-29242.896200000003</v>
      </c>
      <c r="L4044" s="4">
        <v>5</v>
      </c>
    </row>
    <row r="4045" spans="1:12">
      <c r="A4045" t="s">
        <v>107</v>
      </c>
      <c r="B4045" s="10">
        <v>45397</v>
      </c>
      <c r="C4045" s="18">
        <f t="shared" si="63"/>
        <v>4</v>
      </c>
      <c r="D4045" t="s">
        <v>140</v>
      </c>
      <c r="E4045">
        <v>4877412</v>
      </c>
      <c r="F4045" t="s">
        <v>8</v>
      </c>
      <c r="G4045" t="s">
        <v>203</v>
      </c>
      <c r="H4045" t="s">
        <v>223</v>
      </c>
      <c r="I4045" s="4">
        <v>100638.28079999999</v>
      </c>
      <c r="J4045" s="4">
        <v>1006382.808</v>
      </c>
      <c r="L4045" s="4">
        <v>10</v>
      </c>
    </row>
    <row r="4046" spans="1:12">
      <c r="A4046" t="s">
        <v>107</v>
      </c>
      <c r="B4046" s="10">
        <v>45399</v>
      </c>
      <c r="C4046" s="18">
        <f t="shared" si="63"/>
        <v>4</v>
      </c>
      <c r="D4046" t="s">
        <v>151</v>
      </c>
      <c r="E4046">
        <v>4876098</v>
      </c>
      <c r="F4046" t="s">
        <v>8</v>
      </c>
      <c r="G4046" t="s">
        <v>204</v>
      </c>
      <c r="H4046" t="s">
        <v>215</v>
      </c>
      <c r="I4046" s="4">
        <v>75510.12079999999</v>
      </c>
      <c r="J4046" s="4">
        <v>1208161.9327999998</v>
      </c>
      <c r="L4046" s="4">
        <v>16</v>
      </c>
    </row>
    <row r="4047" spans="1:12">
      <c r="A4047" t="s">
        <v>107</v>
      </c>
      <c r="B4047" s="10">
        <v>45400</v>
      </c>
      <c r="C4047" s="18">
        <f t="shared" si="63"/>
        <v>4</v>
      </c>
      <c r="D4047" t="s">
        <v>182</v>
      </c>
      <c r="E4047">
        <v>4874538</v>
      </c>
      <c r="F4047" t="s">
        <v>8</v>
      </c>
      <c r="G4047" t="s">
        <v>203</v>
      </c>
      <c r="H4047" t="s">
        <v>235</v>
      </c>
      <c r="I4047" s="4">
        <v>125766.4408</v>
      </c>
      <c r="J4047" s="4">
        <v>628832.20400000003</v>
      </c>
      <c r="L4047" s="4">
        <v>5</v>
      </c>
    </row>
    <row r="4048" spans="1:12">
      <c r="A4048" t="s">
        <v>107</v>
      </c>
      <c r="B4048" s="10">
        <v>45401</v>
      </c>
      <c r="C4048" s="18">
        <f t="shared" si="63"/>
        <v>4</v>
      </c>
      <c r="D4048" t="s">
        <v>162</v>
      </c>
      <c r="E4048">
        <v>4874313</v>
      </c>
      <c r="F4048" t="s">
        <v>8</v>
      </c>
      <c r="G4048" t="s">
        <v>203</v>
      </c>
      <c r="H4048" t="s">
        <v>236</v>
      </c>
      <c r="I4048" s="4">
        <v>100638.28079999999</v>
      </c>
      <c r="J4048" s="4">
        <v>201276.56159999999</v>
      </c>
      <c r="L4048" s="4">
        <v>2</v>
      </c>
    </row>
    <row r="4049" spans="1:12">
      <c r="A4049" t="s">
        <v>107</v>
      </c>
      <c r="B4049" s="10">
        <v>45401</v>
      </c>
      <c r="C4049" s="18">
        <f t="shared" si="63"/>
        <v>4</v>
      </c>
      <c r="D4049" t="s">
        <v>162</v>
      </c>
      <c r="E4049">
        <v>4874313</v>
      </c>
      <c r="F4049" t="s">
        <v>8</v>
      </c>
      <c r="G4049" t="s">
        <v>203</v>
      </c>
      <c r="H4049" t="s">
        <v>227</v>
      </c>
      <c r="I4049" s="4">
        <v>100638.28079999999</v>
      </c>
      <c r="J4049" s="4">
        <v>402553.12319999997</v>
      </c>
      <c r="L4049" s="4">
        <v>4</v>
      </c>
    </row>
    <row r="4050" spans="1:12">
      <c r="A4050" t="s">
        <v>107</v>
      </c>
      <c r="B4050" s="10">
        <v>45401</v>
      </c>
      <c r="C4050" s="18">
        <f t="shared" si="63"/>
        <v>4</v>
      </c>
      <c r="D4050" t="s">
        <v>162</v>
      </c>
      <c r="E4050">
        <v>4874313</v>
      </c>
      <c r="F4050" t="s">
        <v>8</v>
      </c>
      <c r="G4050" t="s">
        <v>203</v>
      </c>
      <c r="H4050" t="s">
        <v>224</v>
      </c>
      <c r="I4050" s="4">
        <v>100638.28079999999</v>
      </c>
      <c r="J4050" s="4">
        <v>201276.56159999999</v>
      </c>
      <c r="L4050" s="4">
        <v>2</v>
      </c>
    </row>
    <row r="4051" spans="1:12">
      <c r="A4051" t="s">
        <v>107</v>
      </c>
      <c r="B4051" s="10">
        <v>45401</v>
      </c>
      <c r="C4051" s="18">
        <f t="shared" si="63"/>
        <v>4</v>
      </c>
      <c r="D4051" t="s">
        <v>162</v>
      </c>
      <c r="E4051">
        <v>4874313</v>
      </c>
      <c r="F4051" t="s">
        <v>8</v>
      </c>
      <c r="G4051" t="s">
        <v>203</v>
      </c>
      <c r="H4051" t="s">
        <v>223</v>
      </c>
      <c r="I4051" s="4">
        <v>100638.28079999999</v>
      </c>
      <c r="J4051" s="4">
        <v>201276.56159999999</v>
      </c>
      <c r="L4051" s="4">
        <v>2</v>
      </c>
    </row>
    <row r="4052" spans="1:12">
      <c r="A4052" t="s">
        <v>107</v>
      </c>
      <c r="B4052" s="10">
        <v>45401</v>
      </c>
      <c r="C4052" s="18">
        <f t="shared" si="63"/>
        <v>4</v>
      </c>
      <c r="D4052" t="s">
        <v>162</v>
      </c>
      <c r="E4052">
        <v>4874313</v>
      </c>
      <c r="F4052" t="s">
        <v>8</v>
      </c>
      <c r="G4052" t="s">
        <v>203</v>
      </c>
      <c r="H4052" t="s">
        <v>241</v>
      </c>
      <c r="I4052" s="4">
        <v>125766.4408</v>
      </c>
      <c r="J4052" s="4">
        <v>503065.76319999999</v>
      </c>
      <c r="L4052" s="4">
        <v>4</v>
      </c>
    </row>
    <row r="4053" spans="1:12">
      <c r="A4053" t="s">
        <v>107</v>
      </c>
      <c r="B4053" s="10">
        <v>45401</v>
      </c>
      <c r="C4053" s="18">
        <f t="shared" si="63"/>
        <v>4</v>
      </c>
      <c r="D4053" t="s">
        <v>162</v>
      </c>
      <c r="E4053">
        <v>4874313</v>
      </c>
      <c r="F4053" t="s">
        <v>8</v>
      </c>
      <c r="G4053" t="s">
        <v>203</v>
      </c>
      <c r="H4053" t="s">
        <v>233</v>
      </c>
      <c r="I4053" s="4">
        <v>120735.78316800001</v>
      </c>
      <c r="J4053" s="4">
        <v>120735.78316800001</v>
      </c>
      <c r="L4053" s="4">
        <v>1</v>
      </c>
    </row>
    <row r="4054" spans="1:12">
      <c r="A4054" t="s">
        <v>107</v>
      </c>
      <c r="B4054" s="10">
        <v>45401</v>
      </c>
      <c r="C4054" s="18">
        <f t="shared" si="63"/>
        <v>4</v>
      </c>
      <c r="D4054" t="s">
        <v>162</v>
      </c>
      <c r="E4054">
        <v>4874459</v>
      </c>
      <c r="F4054" t="s">
        <v>8</v>
      </c>
      <c r="G4054" t="s">
        <v>203</v>
      </c>
      <c r="H4054" t="s">
        <v>245</v>
      </c>
      <c r="I4054" s="4">
        <v>100638.28079999999</v>
      </c>
      <c r="J4054" s="4">
        <v>201276.56159999999</v>
      </c>
      <c r="L4054" s="4">
        <v>2</v>
      </c>
    </row>
    <row r="4055" spans="1:12">
      <c r="A4055" t="s">
        <v>107</v>
      </c>
      <c r="B4055" s="10">
        <v>45401</v>
      </c>
      <c r="C4055" s="18">
        <f t="shared" si="63"/>
        <v>4</v>
      </c>
      <c r="D4055" t="s">
        <v>162</v>
      </c>
      <c r="E4055">
        <v>4874459</v>
      </c>
      <c r="F4055" t="s">
        <v>8</v>
      </c>
      <c r="G4055" t="s">
        <v>203</v>
      </c>
      <c r="H4055" t="s">
        <v>234</v>
      </c>
      <c r="I4055" s="4">
        <v>100638.28079999999</v>
      </c>
      <c r="J4055" s="4">
        <v>201276.56159999999</v>
      </c>
      <c r="L4055" s="4">
        <v>2</v>
      </c>
    </row>
    <row r="4056" spans="1:12">
      <c r="A4056" t="s">
        <v>107</v>
      </c>
      <c r="B4056" s="10">
        <v>45401</v>
      </c>
      <c r="C4056" s="18">
        <f t="shared" si="63"/>
        <v>4</v>
      </c>
      <c r="D4056" t="s">
        <v>162</v>
      </c>
      <c r="E4056">
        <v>4874459</v>
      </c>
      <c r="F4056" t="s">
        <v>8</v>
      </c>
      <c r="G4056" t="s">
        <v>203</v>
      </c>
      <c r="H4056" t="s">
        <v>224</v>
      </c>
      <c r="I4056" s="4">
        <v>100638.28079999999</v>
      </c>
      <c r="J4056" s="4">
        <v>201276.56159999999</v>
      </c>
      <c r="L4056" s="4">
        <v>2</v>
      </c>
    </row>
    <row r="4057" spans="1:12">
      <c r="A4057" t="s">
        <v>107</v>
      </c>
      <c r="B4057" s="10">
        <v>45401</v>
      </c>
      <c r="C4057" s="18">
        <f t="shared" si="63"/>
        <v>4</v>
      </c>
      <c r="D4057" t="s">
        <v>162</v>
      </c>
      <c r="E4057">
        <v>4874459</v>
      </c>
      <c r="F4057" t="s">
        <v>8</v>
      </c>
      <c r="G4057" t="s">
        <v>203</v>
      </c>
      <c r="H4057" t="s">
        <v>223</v>
      </c>
      <c r="I4057" s="4">
        <v>100638.28079999999</v>
      </c>
      <c r="J4057" s="4">
        <v>201276.56159999999</v>
      </c>
      <c r="L4057" s="4">
        <v>2</v>
      </c>
    </row>
    <row r="4058" spans="1:12">
      <c r="A4058" t="s">
        <v>107</v>
      </c>
      <c r="B4058" s="10">
        <v>45401</v>
      </c>
      <c r="C4058" s="18">
        <f t="shared" si="63"/>
        <v>4</v>
      </c>
      <c r="D4058" t="s">
        <v>162</v>
      </c>
      <c r="E4058">
        <v>4874459</v>
      </c>
      <c r="F4058" t="s">
        <v>8</v>
      </c>
      <c r="G4058" t="s">
        <v>203</v>
      </c>
      <c r="H4058" t="s">
        <v>241</v>
      </c>
      <c r="I4058" s="4">
        <v>125766.4408</v>
      </c>
      <c r="J4058" s="4">
        <v>251532.88159999999</v>
      </c>
      <c r="L4058" s="4">
        <v>2</v>
      </c>
    </row>
    <row r="4059" spans="1:12">
      <c r="A4059" t="s">
        <v>107</v>
      </c>
      <c r="B4059" s="10">
        <v>45401</v>
      </c>
      <c r="C4059" s="18">
        <f t="shared" si="63"/>
        <v>4</v>
      </c>
      <c r="D4059" t="s">
        <v>162</v>
      </c>
      <c r="E4059">
        <v>4874459</v>
      </c>
      <c r="F4059" t="s">
        <v>8</v>
      </c>
      <c r="G4059" t="s">
        <v>203</v>
      </c>
      <c r="H4059" t="s">
        <v>235</v>
      </c>
      <c r="I4059" s="4">
        <v>125766.4408</v>
      </c>
      <c r="J4059" s="4">
        <v>251532.88159999999</v>
      </c>
      <c r="L4059" s="4">
        <v>2</v>
      </c>
    </row>
    <row r="4060" spans="1:12">
      <c r="A4060" t="s">
        <v>107</v>
      </c>
      <c r="B4060" s="10">
        <v>45402</v>
      </c>
      <c r="C4060" s="18">
        <f t="shared" si="63"/>
        <v>4</v>
      </c>
      <c r="D4060" t="s">
        <v>167</v>
      </c>
      <c r="E4060">
        <v>4875363</v>
      </c>
      <c r="F4060" t="s">
        <v>8</v>
      </c>
      <c r="G4060" t="s">
        <v>203</v>
      </c>
      <c r="H4060" t="s">
        <v>245</v>
      </c>
      <c r="I4060" s="4">
        <v>100638.28079999999</v>
      </c>
      <c r="J4060" s="4">
        <v>402553.12319999997</v>
      </c>
      <c r="L4060" s="4">
        <v>4</v>
      </c>
    </row>
    <row r="4061" spans="1:12">
      <c r="A4061" t="s">
        <v>107</v>
      </c>
      <c r="B4061" s="10">
        <v>45402</v>
      </c>
      <c r="C4061" s="18">
        <f t="shared" si="63"/>
        <v>4</v>
      </c>
      <c r="D4061" t="s">
        <v>167</v>
      </c>
      <c r="E4061">
        <v>4875363</v>
      </c>
      <c r="F4061" t="s">
        <v>8</v>
      </c>
      <c r="G4061" t="s">
        <v>203</v>
      </c>
      <c r="H4061" t="s">
        <v>242</v>
      </c>
      <c r="I4061" s="4">
        <v>100638.28079999999</v>
      </c>
      <c r="J4061" s="4">
        <v>201276.56159999999</v>
      </c>
      <c r="L4061" s="4">
        <v>2</v>
      </c>
    </row>
    <row r="4062" spans="1:12">
      <c r="A4062" t="s">
        <v>107</v>
      </c>
      <c r="B4062" s="10">
        <v>45402</v>
      </c>
      <c r="C4062" s="18">
        <f t="shared" si="63"/>
        <v>4</v>
      </c>
      <c r="D4062" t="s">
        <v>167</v>
      </c>
      <c r="E4062">
        <v>4875363</v>
      </c>
      <c r="F4062" t="s">
        <v>8</v>
      </c>
      <c r="G4062" t="s">
        <v>203</v>
      </c>
      <c r="H4062" t="s">
        <v>236</v>
      </c>
      <c r="I4062" s="4">
        <v>100638.28079999999</v>
      </c>
      <c r="J4062" s="4">
        <v>402553.12319999997</v>
      </c>
      <c r="L4062" s="4">
        <v>4</v>
      </c>
    </row>
    <row r="4063" spans="1:12">
      <c r="A4063" t="s">
        <v>107</v>
      </c>
      <c r="B4063" s="10">
        <v>45402</v>
      </c>
      <c r="C4063" s="18">
        <f t="shared" si="63"/>
        <v>4</v>
      </c>
      <c r="D4063" t="s">
        <v>167</v>
      </c>
      <c r="E4063">
        <v>4875363</v>
      </c>
      <c r="F4063" t="s">
        <v>8</v>
      </c>
      <c r="G4063" t="s">
        <v>203</v>
      </c>
      <c r="H4063" t="s">
        <v>223</v>
      </c>
      <c r="I4063" s="4">
        <v>100638.28079999999</v>
      </c>
      <c r="J4063" s="4">
        <v>2012765.6159999999</v>
      </c>
      <c r="L4063" s="4">
        <v>20</v>
      </c>
    </row>
    <row r="4064" spans="1:12">
      <c r="A4064" t="s">
        <v>107</v>
      </c>
      <c r="B4064" s="10">
        <v>45402</v>
      </c>
      <c r="C4064" s="18">
        <f t="shared" si="63"/>
        <v>4</v>
      </c>
      <c r="D4064" t="s">
        <v>171</v>
      </c>
      <c r="E4064">
        <v>6079961</v>
      </c>
      <c r="F4064" t="s">
        <v>8</v>
      </c>
      <c r="G4064" t="s">
        <v>203</v>
      </c>
      <c r="H4064" t="s">
        <v>227</v>
      </c>
      <c r="I4064" s="4">
        <v>100638.28079999999</v>
      </c>
      <c r="J4064" s="4">
        <v>201276.56159999999</v>
      </c>
      <c r="L4064" s="4">
        <v>2</v>
      </c>
    </row>
    <row r="4065" spans="1:12">
      <c r="A4065" t="s">
        <v>107</v>
      </c>
      <c r="B4065" s="10">
        <v>45402</v>
      </c>
      <c r="C4065" s="18">
        <f t="shared" si="63"/>
        <v>4</v>
      </c>
      <c r="D4065" t="s">
        <v>171</v>
      </c>
      <c r="E4065">
        <v>6079961</v>
      </c>
      <c r="F4065" t="s">
        <v>8</v>
      </c>
      <c r="G4065" t="s">
        <v>203</v>
      </c>
      <c r="H4065" t="s">
        <v>224</v>
      </c>
      <c r="I4065" s="4">
        <v>100638.28079999999</v>
      </c>
      <c r="J4065" s="4">
        <v>201276.56159999999</v>
      </c>
      <c r="L4065" s="4">
        <v>2</v>
      </c>
    </row>
    <row r="4066" spans="1:12">
      <c r="A4066" t="s">
        <v>107</v>
      </c>
      <c r="B4066" s="10">
        <v>45402</v>
      </c>
      <c r="C4066" s="18">
        <f t="shared" si="63"/>
        <v>4</v>
      </c>
      <c r="D4066" t="s">
        <v>171</v>
      </c>
      <c r="E4066">
        <v>6079961</v>
      </c>
      <c r="F4066" t="s">
        <v>8</v>
      </c>
      <c r="G4066" t="s">
        <v>203</v>
      </c>
      <c r="H4066" t="s">
        <v>223</v>
      </c>
      <c r="I4066" s="4">
        <v>100638.28079999999</v>
      </c>
      <c r="J4066" s="4">
        <v>201276.56159999999</v>
      </c>
      <c r="L4066" s="4">
        <v>2</v>
      </c>
    </row>
    <row r="4067" spans="1:12">
      <c r="A4067" t="s">
        <v>107</v>
      </c>
      <c r="B4067" s="10">
        <v>45402</v>
      </c>
      <c r="C4067" s="18">
        <f t="shared" si="63"/>
        <v>4</v>
      </c>
      <c r="D4067" t="s">
        <v>171</v>
      </c>
      <c r="E4067">
        <v>6079961</v>
      </c>
      <c r="F4067" t="s">
        <v>8</v>
      </c>
      <c r="G4067" t="s">
        <v>203</v>
      </c>
      <c r="H4067" t="s">
        <v>244</v>
      </c>
      <c r="I4067" s="4">
        <v>125766.4408</v>
      </c>
      <c r="J4067" s="4">
        <v>251532.88159999999</v>
      </c>
      <c r="L4067" s="4">
        <v>2</v>
      </c>
    </row>
    <row r="4068" spans="1:12">
      <c r="A4068" t="s">
        <v>107</v>
      </c>
      <c r="B4068" s="10">
        <v>45404</v>
      </c>
      <c r="C4068" s="18">
        <f t="shared" si="63"/>
        <v>4</v>
      </c>
      <c r="D4068" t="s">
        <v>183</v>
      </c>
      <c r="E4068">
        <v>4874152</v>
      </c>
      <c r="F4068" t="s">
        <v>8</v>
      </c>
      <c r="G4068" t="s">
        <v>202</v>
      </c>
      <c r="H4068" t="s">
        <v>261</v>
      </c>
      <c r="I4068" s="4">
        <v>41587.104800000001</v>
      </c>
      <c r="J4068" s="4">
        <v>415871.04800000001</v>
      </c>
      <c r="K4068" s="4">
        <v>-20793.5524</v>
      </c>
      <c r="L4068" s="4">
        <v>10</v>
      </c>
    </row>
    <row r="4069" spans="1:12">
      <c r="A4069" t="s">
        <v>107</v>
      </c>
      <c r="B4069" s="10">
        <v>45405</v>
      </c>
      <c r="C4069" s="18">
        <f t="shared" si="63"/>
        <v>4</v>
      </c>
      <c r="D4069" t="s">
        <v>151</v>
      </c>
      <c r="E4069">
        <v>4876098</v>
      </c>
      <c r="F4069" t="s">
        <v>8</v>
      </c>
      <c r="G4069" t="s">
        <v>203</v>
      </c>
      <c r="H4069" t="s">
        <v>245</v>
      </c>
      <c r="I4069" s="4">
        <v>100638.28079999999</v>
      </c>
      <c r="J4069" s="4">
        <v>402553.12319999997</v>
      </c>
      <c r="L4069" s="4">
        <v>4</v>
      </c>
    </row>
    <row r="4070" spans="1:12">
      <c r="A4070" t="s">
        <v>107</v>
      </c>
      <c r="B4070" s="10">
        <v>45408</v>
      </c>
      <c r="C4070" s="18">
        <f t="shared" si="63"/>
        <v>4</v>
      </c>
      <c r="D4070" t="s">
        <v>162</v>
      </c>
      <c r="E4070">
        <v>4878188</v>
      </c>
      <c r="F4070" t="s">
        <v>8</v>
      </c>
      <c r="G4070" t="s">
        <v>203</v>
      </c>
      <c r="H4070" t="s">
        <v>234</v>
      </c>
      <c r="I4070" s="4">
        <v>100638.28079999999</v>
      </c>
      <c r="J4070" s="4">
        <v>201276.56159999999</v>
      </c>
      <c r="L4070" s="4">
        <v>2</v>
      </c>
    </row>
    <row r="4071" spans="1:12">
      <c r="A4071" t="s">
        <v>107</v>
      </c>
      <c r="B4071" s="10">
        <v>45408</v>
      </c>
      <c r="C4071" s="18">
        <f t="shared" si="63"/>
        <v>4</v>
      </c>
      <c r="D4071" t="s">
        <v>162</v>
      </c>
      <c r="E4071">
        <v>4878188</v>
      </c>
      <c r="F4071" t="s">
        <v>8</v>
      </c>
      <c r="G4071" t="s">
        <v>203</v>
      </c>
      <c r="H4071" t="s">
        <v>227</v>
      </c>
      <c r="I4071" s="4">
        <v>100638.28079999999</v>
      </c>
      <c r="J4071" s="4">
        <v>201276.56159999999</v>
      </c>
      <c r="L4071" s="4">
        <v>2</v>
      </c>
    </row>
    <row r="4072" spans="1:12">
      <c r="A4072" t="s">
        <v>107</v>
      </c>
      <c r="B4072" s="10">
        <v>45408</v>
      </c>
      <c r="C4072" s="18">
        <f t="shared" si="63"/>
        <v>4</v>
      </c>
      <c r="D4072" t="s">
        <v>162</v>
      </c>
      <c r="E4072">
        <v>4878188</v>
      </c>
      <c r="F4072" t="s">
        <v>8</v>
      </c>
      <c r="G4072" t="s">
        <v>203</v>
      </c>
      <c r="H4072" t="s">
        <v>224</v>
      </c>
      <c r="I4072" s="4">
        <v>100638.28079999999</v>
      </c>
      <c r="J4072" s="4">
        <v>201276.56159999999</v>
      </c>
      <c r="L4072" s="4">
        <v>2</v>
      </c>
    </row>
    <row r="4073" spans="1:12">
      <c r="A4073" t="s">
        <v>107</v>
      </c>
      <c r="B4073" s="10">
        <v>45408</v>
      </c>
      <c r="C4073" s="18">
        <f t="shared" si="63"/>
        <v>4</v>
      </c>
      <c r="D4073" t="s">
        <v>162</v>
      </c>
      <c r="E4073">
        <v>4878188</v>
      </c>
      <c r="F4073" t="s">
        <v>8</v>
      </c>
      <c r="G4073" t="s">
        <v>203</v>
      </c>
      <c r="H4073" t="s">
        <v>223</v>
      </c>
      <c r="I4073" s="4">
        <v>100638.28079999999</v>
      </c>
      <c r="J4073" s="4">
        <v>201276.56159999999</v>
      </c>
      <c r="L4073" s="4">
        <v>2</v>
      </c>
    </row>
    <row r="4074" spans="1:12">
      <c r="A4074" t="s">
        <v>107</v>
      </c>
      <c r="B4074" s="10">
        <v>45408</v>
      </c>
      <c r="C4074" s="18">
        <f t="shared" si="63"/>
        <v>4</v>
      </c>
      <c r="D4074" t="s">
        <v>162</v>
      </c>
      <c r="E4074">
        <v>4874391</v>
      </c>
      <c r="F4074" t="s">
        <v>8</v>
      </c>
      <c r="G4074" t="s">
        <v>203</v>
      </c>
      <c r="H4074" t="s">
        <v>244</v>
      </c>
      <c r="I4074" s="4">
        <v>125766.4408</v>
      </c>
      <c r="J4074" s="4">
        <v>125766.4408</v>
      </c>
      <c r="L4074" s="4">
        <v>1</v>
      </c>
    </row>
    <row r="4075" spans="1:12">
      <c r="A4075" t="s">
        <v>107</v>
      </c>
      <c r="B4075" s="10">
        <v>45408</v>
      </c>
      <c r="C4075" s="18">
        <f t="shared" si="63"/>
        <v>4</v>
      </c>
      <c r="D4075" t="s">
        <v>162</v>
      </c>
      <c r="E4075">
        <v>4874391</v>
      </c>
      <c r="F4075" t="s">
        <v>8</v>
      </c>
      <c r="G4075" t="s">
        <v>203</v>
      </c>
      <c r="H4075" t="s">
        <v>235</v>
      </c>
      <c r="I4075" s="4">
        <v>125766.4408</v>
      </c>
      <c r="J4075" s="4">
        <v>377299.3224</v>
      </c>
      <c r="L4075" s="4">
        <v>3</v>
      </c>
    </row>
    <row r="4076" spans="1:12">
      <c r="A4076" t="s">
        <v>107</v>
      </c>
      <c r="B4076" s="10">
        <v>45408</v>
      </c>
      <c r="C4076" s="18">
        <f t="shared" si="63"/>
        <v>4</v>
      </c>
      <c r="D4076" t="s">
        <v>162</v>
      </c>
      <c r="E4076">
        <v>4878665</v>
      </c>
      <c r="F4076" t="s">
        <v>8</v>
      </c>
      <c r="G4076" t="s">
        <v>203</v>
      </c>
      <c r="H4076" t="s">
        <v>245</v>
      </c>
      <c r="I4076" s="4">
        <v>100638.28079999999</v>
      </c>
      <c r="J4076" s="4">
        <v>201276.56159999999</v>
      </c>
      <c r="L4076" s="4">
        <v>2</v>
      </c>
    </row>
    <row r="4077" spans="1:12">
      <c r="A4077" t="s">
        <v>107</v>
      </c>
      <c r="B4077" s="10">
        <v>45408</v>
      </c>
      <c r="C4077" s="18">
        <f t="shared" si="63"/>
        <v>4</v>
      </c>
      <c r="D4077" t="s">
        <v>162</v>
      </c>
      <c r="E4077">
        <v>4878665</v>
      </c>
      <c r="F4077" t="s">
        <v>8</v>
      </c>
      <c r="G4077" t="s">
        <v>203</v>
      </c>
      <c r="H4077" t="s">
        <v>227</v>
      </c>
      <c r="I4077" s="4">
        <v>100638.28079999999</v>
      </c>
      <c r="J4077" s="4">
        <v>201276.56159999999</v>
      </c>
      <c r="L4077" s="4">
        <v>2</v>
      </c>
    </row>
    <row r="4078" spans="1:12">
      <c r="A4078" t="s">
        <v>107</v>
      </c>
      <c r="B4078" s="10">
        <v>45408</v>
      </c>
      <c r="C4078" s="18">
        <f t="shared" si="63"/>
        <v>4</v>
      </c>
      <c r="D4078" t="s">
        <v>162</v>
      </c>
      <c r="E4078">
        <v>4878665</v>
      </c>
      <c r="F4078" t="s">
        <v>8</v>
      </c>
      <c r="G4078" t="s">
        <v>203</v>
      </c>
      <c r="H4078" t="s">
        <v>224</v>
      </c>
      <c r="I4078" s="4">
        <v>100638.28079999999</v>
      </c>
      <c r="J4078" s="4">
        <v>201276.56159999999</v>
      </c>
      <c r="L4078" s="4">
        <v>2</v>
      </c>
    </row>
    <row r="4079" spans="1:12">
      <c r="A4079" t="s">
        <v>107</v>
      </c>
      <c r="B4079" s="10">
        <v>45408</v>
      </c>
      <c r="C4079" s="18">
        <f t="shared" si="63"/>
        <v>4</v>
      </c>
      <c r="D4079" t="s">
        <v>162</v>
      </c>
      <c r="E4079">
        <v>4878665</v>
      </c>
      <c r="F4079" t="s">
        <v>8</v>
      </c>
      <c r="G4079" t="s">
        <v>203</v>
      </c>
      <c r="H4079" t="s">
        <v>223</v>
      </c>
      <c r="I4079" s="4">
        <v>100638.28079999999</v>
      </c>
      <c r="J4079" s="4">
        <v>201276.56159999999</v>
      </c>
      <c r="L4079" s="4">
        <v>2</v>
      </c>
    </row>
    <row r="4080" spans="1:12">
      <c r="A4080" t="s">
        <v>107</v>
      </c>
      <c r="B4080" s="10">
        <v>45408</v>
      </c>
      <c r="C4080" s="18">
        <f t="shared" si="63"/>
        <v>4</v>
      </c>
      <c r="D4080" t="s">
        <v>162</v>
      </c>
      <c r="E4080">
        <v>4874459</v>
      </c>
      <c r="F4080" t="s">
        <v>8</v>
      </c>
      <c r="G4080" t="s">
        <v>203</v>
      </c>
      <c r="H4080" t="s">
        <v>245</v>
      </c>
      <c r="I4080" s="4">
        <v>100638.28079999999</v>
      </c>
      <c r="J4080" s="4">
        <v>201276.56159999999</v>
      </c>
      <c r="L4080" s="4">
        <v>2</v>
      </c>
    </row>
    <row r="4081" spans="1:12">
      <c r="A4081" t="s">
        <v>107</v>
      </c>
      <c r="B4081" s="10">
        <v>45408</v>
      </c>
      <c r="C4081" s="18">
        <f t="shared" si="63"/>
        <v>4</v>
      </c>
      <c r="D4081" t="s">
        <v>162</v>
      </c>
      <c r="E4081">
        <v>4874459</v>
      </c>
      <c r="F4081" t="s">
        <v>8</v>
      </c>
      <c r="G4081" t="s">
        <v>203</v>
      </c>
      <c r="H4081" t="s">
        <v>227</v>
      </c>
      <c r="I4081" s="4">
        <v>100638.28079999999</v>
      </c>
      <c r="J4081" s="4">
        <v>402553.12319999997</v>
      </c>
      <c r="L4081" s="4">
        <v>4</v>
      </c>
    </row>
    <row r="4082" spans="1:12">
      <c r="A4082" t="s">
        <v>107</v>
      </c>
      <c r="B4082" s="10">
        <v>45408</v>
      </c>
      <c r="C4082" s="18">
        <f t="shared" si="63"/>
        <v>4</v>
      </c>
      <c r="D4082" t="s">
        <v>162</v>
      </c>
      <c r="E4082">
        <v>4874459</v>
      </c>
      <c r="F4082" t="s">
        <v>8</v>
      </c>
      <c r="G4082" t="s">
        <v>203</v>
      </c>
      <c r="H4082" t="s">
        <v>224</v>
      </c>
      <c r="I4082" s="4">
        <v>100638.28079999999</v>
      </c>
      <c r="J4082" s="4">
        <v>402553.12319999997</v>
      </c>
      <c r="L4082" s="4">
        <v>4</v>
      </c>
    </row>
    <row r="4083" spans="1:12">
      <c r="A4083" t="s">
        <v>107</v>
      </c>
      <c r="B4083" s="10">
        <v>45408</v>
      </c>
      <c r="C4083" s="18">
        <f t="shared" si="63"/>
        <v>4</v>
      </c>
      <c r="D4083" t="s">
        <v>162</v>
      </c>
      <c r="E4083">
        <v>4874459</v>
      </c>
      <c r="F4083" t="s">
        <v>8</v>
      </c>
      <c r="G4083" t="s">
        <v>203</v>
      </c>
      <c r="H4083" t="s">
        <v>241</v>
      </c>
      <c r="I4083" s="4">
        <v>125766.4408</v>
      </c>
      <c r="J4083" s="4">
        <v>125766.4408</v>
      </c>
      <c r="L4083" s="4">
        <v>1</v>
      </c>
    </row>
    <row r="4084" spans="1:12">
      <c r="A4084" t="s">
        <v>107</v>
      </c>
      <c r="B4084" s="10">
        <v>45411</v>
      </c>
      <c r="C4084" s="18">
        <f t="shared" si="63"/>
        <v>4</v>
      </c>
      <c r="D4084" t="s">
        <v>151</v>
      </c>
      <c r="E4084">
        <v>4876098</v>
      </c>
      <c r="F4084" t="s">
        <v>8</v>
      </c>
      <c r="G4084" t="s">
        <v>202</v>
      </c>
      <c r="H4084" t="s">
        <v>261</v>
      </c>
      <c r="I4084" s="4">
        <v>41587.104800000001</v>
      </c>
      <c r="J4084" s="4">
        <v>4158710.48</v>
      </c>
      <c r="L4084" s="4">
        <v>100</v>
      </c>
    </row>
    <row r="4085" spans="1:12">
      <c r="A4085" t="s">
        <v>93</v>
      </c>
      <c r="B4085" s="10">
        <v>45384</v>
      </c>
      <c r="C4085" s="18">
        <f t="shared" si="63"/>
        <v>4</v>
      </c>
      <c r="D4085" t="s">
        <v>155</v>
      </c>
      <c r="E4085">
        <v>4873785</v>
      </c>
      <c r="F4085" t="s">
        <v>87</v>
      </c>
      <c r="G4085" t="s">
        <v>203</v>
      </c>
      <c r="H4085" t="s">
        <v>242</v>
      </c>
      <c r="I4085" s="4">
        <v>100638.28079999999</v>
      </c>
      <c r="J4085" s="4">
        <v>603829.68479999993</v>
      </c>
      <c r="L4085" s="4">
        <v>6</v>
      </c>
    </row>
    <row r="4086" spans="1:12">
      <c r="A4086" t="s">
        <v>93</v>
      </c>
      <c r="B4086" s="10">
        <v>45384</v>
      </c>
      <c r="C4086" s="18">
        <f t="shared" si="63"/>
        <v>4</v>
      </c>
      <c r="D4086" t="s">
        <v>155</v>
      </c>
      <c r="E4086">
        <v>4873785</v>
      </c>
      <c r="F4086" t="s">
        <v>87</v>
      </c>
      <c r="G4086" t="s">
        <v>203</v>
      </c>
      <c r="H4086" t="s">
        <v>240</v>
      </c>
      <c r="I4086" s="4">
        <v>100638.28079999999</v>
      </c>
      <c r="J4086" s="4">
        <v>603829.68479999993</v>
      </c>
      <c r="L4086" s="4">
        <v>6</v>
      </c>
    </row>
    <row r="4087" spans="1:12">
      <c r="A4087" t="s">
        <v>93</v>
      </c>
      <c r="B4087" s="10">
        <v>45384</v>
      </c>
      <c r="C4087" s="18">
        <f t="shared" si="63"/>
        <v>4</v>
      </c>
      <c r="D4087" t="s">
        <v>155</v>
      </c>
      <c r="E4087">
        <v>4873785</v>
      </c>
      <c r="F4087" t="s">
        <v>87</v>
      </c>
      <c r="G4087" t="s">
        <v>203</v>
      </c>
      <c r="H4087" t="s">
        <v>238</v>
      </c>
      <c r="I4087" s="4">
        <v>95606.36675999999</v>
      </c>
      <c r="J4087" s="4">
        <v>573638.20055999991</v>
      </c>
      <c r="L4087" s="4">
        <v>6</v>
      </c>
    </row>
    <row r="4088" spans="1:12">
      <c r="A4088" t="s">
        <v>93</v>
      </c>
      <c r="B4088" s="10">
        <v>45385</v>
      </c>
      <c r="C4088" s="18">
        <f t="shared" si="63"/>
        <v>4</v>
      </c>
      <c r="D4088" t="s">
        <v>194</v>
      </c>
      <c r="E4088">
        <v>4877273</v>
      </c>
      <c r="F4088" t="s">
        <v>87</v>
      </c>
      <c r="G4088" t="s">
        <v>203</v>
      </c>
      <c r="H4088" t="s">
        <v>237</v>
      </c>
      <c r="I4088" s="4">
        <v>125766.4408</v>
      </c>
      <c r="J4088" s="4">
        <v>251532.88159999999</v>
      </c>
      <c r="L4088" s="4">
        <v>2</v>
      </c>
    </row>
    <row r="4089" spans="1:12">
      <c r="A4089" t="s">
        <v>93</v>
      </c>
      <c r="B4089" s="10">
        <v>45386</v>
      </c>
      <c r="C4089" s="18">
        <f t="shared" si="63"/>
        <v>4</v>
      </c>
      <c r="D4089" t="s">
        <v>194</v>
      </c>
      <c r="E4089">
        <v>4873457</v>
      </c>
      <c r="F4089" t="s">
        <v>90</v>
      </c>
      <c r="G4089" t="s">
        <v>203</v>
      </c>
      <c r="H4089" t="s">
        <v>236</v>
      </c>
      <c r="I4089" s="4">
        <v>100638.28079999999</v>
      </c>
      <c r="J4089" s="4">
        <v>201276.56159999999</v>
      </c>
      <c r="L4089" s="4">
        <v>2</v>
      </c>
    </row>
    <row r="4090" spans="1:12">
      <c r="A4090" t="s">
        <v>93</v>
      </c>
      <c r="B4090" s="10">
        <v>45386</v>
      </c>
      <c r="C4090" s="18">
        <f t="shared" si="63"/>
        <v>4</v>
      </c>
      <c r="D4090" t="s">
        <v>194</v>
      </c>
      <c r="E4090">
        <v>4873457</v>
      </c>
      <c r="F4090" t="s">
        <v>90</v>
      </c>
      <c r="G4090" t="s">
        <v>203</v>
      </c>
      <c r="H4090" t="s">
        <v>224</v>
      </c>
      <c r="I4090" s="4">
        <v>100638.28079999999</v>
      </c>
      <c r="J4090" s="4">
        <v>201276.56159999999</v>
      </c>
      <c r="L4090" s="4">
        <v>2</v>
      </c>
    </row>
    <row r="4091" spans="1:12">
      <c r="A4091" t="s">
        <v>93</v>
      </c>
      <c r="B4091" s="10">
        <v>45386</v>
      </c>
      <c r="C4091" s="18">
        <f t="shared" si="63"/>
        <v>4</v>
      </c>
      <c r="D4091" t="s">
        <v>194</v>
      </c>
      <c r="E4091">
        <v>4873457</v>
      </c>
      <c r="F4091" t="s">
        <v>90</v>
      </c>
      <c r="G4091" t="s">
        <v>203</v>
      </c>
      <c r="H4091" t="s">
        <v>223</v>
      </c>
      <c r="I4091" s="4">
        <v>100638.28079999999</v>
      </c>
      <c r="J4091" s="4">
        <v>201276.56159999999</v>
      </c>
      <c r="L4091" s="4">
        <v>2</v>
      </c>
    </row>
    <row r="4092" spans="1:12">
      <c r="A4092" t="s">
        <v>93</v>
      </c>
      <c r="B4092" s="10">
        <v>45386</v>
      </c>
      <c r="C4092" s="18">
        <f t="shared" si="63"/>
        <v>4</v>
      </c>
      <c r="D4092" t="s">
        <v>194</v>
      </c>
      <c r="E4092">
        <v>4873457</v>
      </c>
      <c r="F4092" t="s">
        <v>90</v>
      </c>
      <c r="G4092" t="s">
        <v>203</v>
      </c>
      <c r="H4092" t="s">
        <v>239</v>
      </c>
      <c r="I4092" s="4">
        <v>125766.4408</v>
      </c>
      <c r="J4092" s="4">
        <v>251532.88159999999</v>
      </c>
      <c r="L4092" s="4">
        <v>2</v>
      </c>
    </row>
    <row r="4093" spans="1:12">
      <c r="A4093" t="s">
        <v>93</v>
      </c>
      <c r="B4093" s="10">
        <v>45388</v>
      </c>
      <c r="C4093" s="18">
        <f t="shared" si="63"/>
        <v>4</v>
      </c>
      <c r="D4093" t="s">
        <v>155</v>
      </c>
      <c r="E4093">
        <v>4873780</v>
      </c>
      <c r="F4093" t="s">
        <v>87</v>
      </c>
      <c r="G4093" t="s">
        <v>203</v>
      </c>
      <c r="H4093" t="s">
        <v>242</v>
      </c>
      <c r="I4093" s="4">
        <v>100638.28079999999</v>
      </c>
      <c r="J4093" s="4">
        <v>201276.56159999999</v>
      </c>
      <c r="L4093" s="4">
        <v>2</v>
      </c>
    </row>
    <row r="4094" spans="1:12">
      <c r="A4094" t="s">
        <v>93</v>
      </c>
      <c r="B4094" s="10">
        <v>45388</v>
      </c>
      <c r="C4094" s="18">
        <f t="shared" si="63"/>
        <v>4</v>
      </c>
      <c r="D4094" t="s">
        <v>155</v>
      </c>
      <c r="E4094">
        <v>4873780</v>
      </c>
      <c r="F4094" t="s">
        <v>87</v>
      </c>
      <c r="G4094" t="s">
        <v>203</v>
      </c>
      <c r="H4094" t="s">
        <v>240</v>
      </c>
      <c r="I4094" s="4">
        <v>100638.28079999999</v>
      </c>
      <c r="J4094" s="4">
        <v>201276.56159999999</v>
      </c>
      <c r="L4094" s="4">
        <v>2</v>
      </c>
    </row>
    <row r="4095" spans="1:12">
      <c r="A4095" t="s">
        <v>93</v>
      </c>
      <c r="B4095" s="10">
        <v>45388</v>
      </c>
      <c r="C4095" s="18">
        <f t="shared" si="63"/>
        <v>4</v>
      </c>
      <c r="D4095" t="s">
        <v>155</v>
      </c>
      <c r="E4095">
        <v>4873780</v>
      </c>
      <c r="F4095" t="s">
        <v>87</v>
      </c>
      <c r="G4095" t="s">
        <v>203</v>
      </c>
      <c r="H4095" t="s">
        <v>238</v>
      </c>
      <c r="I4095" s="4">
        <v>95606.36675999999</v>
      </c>
      <c r="J4095" s="4">
        <v>191212.73351999998</v>
      </c>
      <c r="L4095" s="4">
        <v>2</v>
      </c>
    </row>
    <row r="4096" spans="1:12">
      <c r="A4096" t="s">
        <v>93</v>
      </c>
      <c r="B4096" s="10">
        <v>45388</v>
      </c>
      <c r="C4096" s="18">
        <f t="shared" si="63"/>
        <v>4</v>
      </c>
      <c r="D4096" t="s">
        <v>155</v>
      </c>
      <c r="E4096">
        <v>4873780</v>
      </c>
      <c r="F4096" t="s">
        <v>87</v>
      </c>
      <c r="G4096" t="s">
        <v>203</v>
      </c>
      <c r="H4096" t="s">
        <v>236</v>
      </c>
      <c r="I4096" s="4">
        <v>100638.28079999999</v>
      </c>
      <c r="J4096" s="4">
        <v>201276.56159999999</v>
      </c>
      <c r="L4096" s="4">
        <v>2</v>
      </c>
    </row>
    <row r="4097" spans="1:12">
      <c r="A4097" t="s">
        <v>93</v>
      </c>
      <c r="B4097" s="10">
        <v>45388</v>
      </c>
      <c r="C4097" s="18">
        <f t="shared" si="63"/>
        <v>4</v>
      </c>
      <c r="D4097" t="s">
        <v>155</v>
      </c>
      <c r="E4097">
        <v>4873780</v>
      </c>
      <c r="F4097" t="s">
        <v>87</v>
      </c>
      <c r="G4097" t="s">
        <v>203</v>
      </c>
      <c r="H4097" t="s">
        <v>237</v>
      </c>
      <c r="I4097" s="4">
        <v>125766.4408</v>
      </c>
      <c r="J4097" s="4">
        <v>251532.88159999999</v>
      </c>
      <c r="L4097" s="4">
        <v>2</v>
      </c>
    </row>
    <row r="4098" spans="1:12">
      <c r="A4098" t="s">
        <v>93</v>
      </c>
      <c r="B4098" s="10">
        <v>45388</v>
      </c>
      <c r="C4098" s="18">
        <f t="shared" ref="C4098:C4161" si="64">MONTH(B4098)</f>
        <v>4</v>
      </c>
      <c r="D4098" t="s">
        <v>155</v>
      </c>
      <c r="E4098">
        <v>4873780</v>
      </c>
      <c r="F4098" t="s">
        <v>87</v>
      </c>
      <c r="G4098" t="s">
        <v>203</v>
      </c>
      <c r="H4098" t="s">
        <v>233</v>
      </c>
      <c r="I4098" s="4">
        <v>120735.78316800001</v>
      </c>
      <c r="J4098" s="4">
        <v>241471.56633600002</v>
      </c>
      <c r="L4098" s="4">
        <v>2</v>
      </c>
    </row>
    <row r="4099" spans="1:12">
      <c r="A4099" t="s">
        <v>93</v>
      </c>
      <c r="B4099" s="10">
        <v>45389</v>
      </c>
      <c r="C4099" s="18">
        <f t="shared" si="64"/>
        <v>4</v>
      </c>
      <c r="D4099" t="s">
        <v>184</v>
      </c>
      <c r="E4099">
        <v>4878650</v>
      </c>
      <c r="F4099" t="s">
        <v>87</v>
      </c>
      <c r="G4099" t="s">
        <v>203</v>
      </c>
      <c r="H4099" t="s">
        <v>242</v>
      </c>
      <c r="I4099" s="4">
        <v>100638.28079999999</v>
      </c>
      <c r="J4099" s="4">
        <v>201276.56159999999</v>
      </c>
      <c r="L4099" s="4">
        <v>2</v>
      </c>
    </row>
    <row r="4100" spans="1:12">
      <c r="A4100" t="s">
        <v>93</v>
      </c>
      <c r="B4100" s="10">
        <v>45389</v>
      </c>
      <c r="C4100" s="18">
        <f t="shared" si="64"/>
        <v>4</v>
      </c>
      <c r="D4100" t="s">
        <v>184</v>
      </c>
      <c r="E4100">
        <v>4878650</v>
      </c>
      <c r="F4100" t="s">
        <v>87</v>
      </c>
      <c r="G4100" t="s">
        <v>203</v>
      </c>
      <c r="H4100" t="s">
        <v>238</v>
      </c>
      <c r="I4100" s="4">
        <v>95606.36675999999</v>
      </c>
      <c r="J4100" s="4">
        <v>191212.73351999998</v>
      </c>
      <c r="L4100" s="4">
        <v>2</v>
      </c>
    </row>
    <row r="4101" spans="1:12">
      <c r="A4101" t="s">
        <v>93</v>
      </c>
      <c r="B4101" s="10">
        <v>45395</v>
      </c>
      <c r="C4101" s="18">
        <f t="shared" si="64"/>
        <v>4</v>
      </c>
      <c r="D4101" t="s">
        <v>176</v>
      </c>
      <c r="E4101">
        <v>4878650</v>
      </c>
      <c r="F4101" t="s">
        <v>87</v>
      </c>
      <c r="G4101" t="s">
        <v>203</v>
      </c>
      <c r="H4101" t="s">
        <v>237</v>
      </c>
      <c r="I4101" s="4">
        <v>125766.4408</v>
      </c>
      <c r="J4101" s="4">
        <v>251532.88159999999</v>
      </c>
      <c r="L4101" s="4">
        <v>2</v>
      </c>
    </row>
    <row r="4102" spans="1:12">
      <c r="A4102" t="s">
        <v>93</v>
      </c>
      <c r="B4102" s="10">
        <v>45395</v>
      </c>
      <c r="C4102" s="18">
        <f t="shared" si="64"/>
        <v>4</v>
      </c>
      <c r="D4102" t="s">
        <v>184</v>
      </c>
      <c r="E4102">
        <v>4873793</v>
      </c>
      <c r="F4102" t="s">
        <v>87</v>
      </c>
      <c r="G4102" t="s">
        <v>203</v>
      </c>
      <c r="H4102" t="s">
        <v>242</v>
      </c>
      <c r="I4102" s="4">
        <v>100638.28079999999</v>
      </c>
      <c r="J4102" s="4">
        <v>201276.56159999999</v>
      </c>
      <c r="L4102" s="4">
        <v>2</v>
      </c>
    </row>
    <row r="4103" spans="1:12">
      <c r="A4103" t="s">
        <v>93</v>
      </c>
      <c r="B4103" s="10">
        <v>45395</v>
      </c>
      <c r="C4103" s="18">
        <f t="shared" si="64"/>
        <v>4</v>
      </c>
      <c r="D4103" t="s">
        <v>184</v>
      </c>
      <c r="E4103">
        <v>4873793</v>
      </c>
      <c r="F4103" t="s">
        <v>87</v>
      </c>
      <c r="G4103" t="s">
        <v>203</v>
      </c>
      <c r="H4103" t="s">
        <v>238</v>
      </c>
      <c r="I4103" s="4">
        <v>95606.36675999999</v>
      </c>
      <c r="J4103" s="4">
        <v>191212.73351999998</v>
      </c>
      <c r="L4103" s="4">
        <v>2</v>
      </c>
    </row>
    <row r="4104" spans="1:12">
      <c r="A4104" t="s">
        <v>93</v>
      </c>
      <c r="B4104" s="10">
        <v>45395</v>
      </c>
      <c r="C4104" s="18">
        <f t="shared" si="64"/>
        <v>4</v>
      </c>
      <c r="D4104" t="s">
        <v>184</v>
      </c>
      <c r="E4104">
        <v>4873793</v>
      </c>
      <c r="F4104" t="s">
        <v>87</v>
      </c>
      <c r="G4104" t="s">
        <v>203</v>
      </c>
      <c r="H4104" t="s">
        <v>223</v>
      </c>
      <c r="I4104" s="4">
        <v>100638.28079999999</v>
      </c>
      <c r="J4104" s="4">
        <v>201276.56159999999</v>
      </c>
      <c r="L4104" s="4">
        <v>2</v>
      </c>
    </row>
    <row r="4105" spans="1:12">
      <c r="A4105" t="s">
        <v>93</v>
      </c>
      <c r="B4105" s="10">
        <v>45397</v>
      </c>
      <c r="C4105" s="18">
        <f t="shared" si="64"/>
        <v>4</v>
      </c>
      <c r="D4105" t="s">
        <v>155</v>
      </c>
      <c r="E4105">
        <v>4879013</v>
      </c>
      <c r="F4105" t="s">
        <v>88</v>
      </c>
      <c r="G4105" t="s">
        <v>203</v>
      </c>
      <c r="H4105" t="s">
        <v>238</v>
      </c>
      <c r="I4105" s="4">
        <v>95606.36675999999</v>
      </c>
      <c r="J4105" s="4">
        <v>191212.73351999998</v>
      </c>
      <c r="L4105" s="4">
        <v>2</v>
      </c>
    </row>
    <row r="4106" spans="1:12">
      <c r="A4106" t="s">
        <v>93</v>
      </c>
      <c r="B4106" s="10">
        <v>45397</v>
      </c>
      <c r="C4106" s="18">
        <f t="shared" si="64"/>
        <v>4</v>
      </c>
      <c r="D4106" t="s">
        <v>155</v>
      </c>
      <c r="E4106">
        <v>4879013</v>
      </c>
      <c r="F4106" t="s">
        <v>88</v>
      </c>
      <c r="G4106" t="s">
        <v>203</v>
      </c>
      <c r="H4106" t="s">
        <v>236</v>
      </c>
      <c r="I4106" s="4">
        <v>100638.28079999999</v>
      </c>
      <c r="J4106" s="4">
        <v>201276.56159999999</v>
      </c>
      <c r="L4106" s="4">
        <v>2</v>
      </c>
    </row>
    <row r="4107" spans="1:12">
      <c r="A4107" t="s">
        <v>93</v>
      </c>
      <c r="B4107" s="10">
        <v>45397</v>
      </c>
      <c r="C4107" s="18">
        <f t="shared" si="64"/>
        <v>4</v>
      </c>
      <c r="D4107" t="s">
        <v>155</v>
      </c>
      <c r="E4107">
        <v>4879013</v>
      </c>
      <c r="F4107" t="s">
        <v>88</v>
      </c>
      <c r="G4107" t="s">
        <v>203</v>
      </c>
      <c r="H4107" t="s">
        <v>223</v>
      </c>
      <c r="I4107" s="4">
        <v>100638.28079999999</v>
      </c>
      <c r="J4107" s="4">
        <v>201276.56159999999</v>
      </c>
      <c r="L4107" s="4">
        <v>2</v>
      </c>
    </row>
    <row r="4108" spans="1:12">
      <c r="A4108" t="s">
        <v>93</v>
      </c>
      <c r="B4108" s="10">
        <v>45404</v>
      </c>
      <c r="C4108" s="18">
        <f t="shared" si="64"/>
        <v>4</v>
      </c>
      <c r="D4108" t="s">
        <v>141</v>
      </c>
      <c r="E4108">
        <v>4874206</v>
      </c>
      <c r="F4108" t="s">
        <v>90</v>
      </c>
      <c r="G4108" t="s">
        <v>203</v>
      </c>
      <c r="H4108" t="s">
        <v>242</v>
      </c>
      <c r="I4108" s="4">
        <v>100638.28079999999</v>
      </c>
      <c r="J4108" s="4">
        <v>201276.56159999999</v>
      </c>
      <c r="L4108" s="4">
        <v>2</v>
      </c>
    </row>
    <row r="4109" spans="1:12">
      <c r="A4109" t="s">
        <v>93</v>
      </c>
      <c r="B4109" s="10">
        <v>45404</v>
      </c>
      <c r="C4109" s="18">
        <f t="shared" si="64"/>
        <v>4</v>
      </c>
      <c r="D4109" t="s">
        <v>141</v>
      </c>
      <c r="E4109">
        <v>4874206</v>
      </c>
      <c r="F4109" t="s">
        <v>90</v>
      </c>
      <c r="G4109" t="s">
        <v>203</v>
      </c>
      <c r="H4109" t="s">
        <v>240</v>
      </c>
      <c r="I4109" s="4">
        <v>100638.28079999999</v>
      </c>
      <c r="J4109" s="4">
        <v>201276.56159999999</v>
      </c>
      <c r="L4109" s="4">
        <v>2</v>
      </c>
    </row>
    <row r="4110" spans="1:12">
      <c r="A4110" t="s">
        <v>93</v>
      </c>
      <c r="B4110" s="10">
        <v>45404</v>
      </c>
      <c r="C4110" s="18">
        <f t="shared" si="64"/>
        <v>4</v>
      </c>
      <c r="D4110" t="s">
        <v>141</v>
      </c>
      <c r="E4110">
        <v>4874206</v>
      </c>
      <c r="F4110" t="s">
        <v>90</v>
      </c>
      <c r="G4110" t="s">
        <v>203</v>
      </c>
      <c r="H4110" t="s">
        <v>228</v>
      </c>
      <c r="I4110" s="4">
        <v>100638.28079999999</v>
      </c>
      <c r="J4110" s="4">
        <v>201276.56159999999</v>
      </c>
      <c r="L4110" s="4">
        <v>2</v>
      </c>
    </row>
    <row r="4111" spans="1:12">
      <c r="A4111" t="s">
        <v>93</v>
      </c>
      <c r="B4111" s="10">
        <v>45404</v>
      </c>
      <c r="C4111" s="18">
        <f t="shared" si="64"/>
        <v>4</v>
      </c>
      <c r="D4111" t="s">
        <v>141</v>
      </c>
      <c r="E4111">
        <v>4874206</v>
      </c>
      <c r="F4111" t="s">
        <v>90</v>
      </c>
      <c r="G4111" t="s">
        <v>203</v>
      </c>
      <c r="H4111" t="s">
        <v>233</v>
      </c>
      <c r="I4111" s="4">
        <v>120735.78316800001</v>
      </c>
      <c r="J4111" s="4">
        <v>241471.56633600002</v>
      </c>
      <c r="L4111" s="4">
        <v>2</v>
      </c>
    </row>
    <row r="4112" spans="1:12">
      <c r="A4112" t="s">
        <v>94</v>
      </c>
      <c r="B4112" s="10">
        <v>45391</v>
      </c>
      <c r="C4112" s="18">
        <f t="shared" si="64"/>
        <v>4</v>
      </c>
      <c r="D4112" t="s">
        <v>150</v>
      </c>
      <c r="E4112">
        <v>4875847</v>
      </c>
      <c r="F4112" t="s">
        <v>90</v>
      </c>
      <c r="G4112" t="s">
        <v>203</v>
      </c>
      <c r="H4112" t="s">
        <v>242</v>
      </c>
      <c r="I4112" s="4">
        <v>100638.28079999999</v>
      </c>
      <c r="J4112" s="4">
        <v>603829.68479999993</v>
      </c>
      <c r="L4112" s="4">
        <v>6</v>
      </c>
    </row>
    <row r="4113" spans="1:12">
      <c r="A4113" t="s">
        <v>94</v>
      </c>
      <c r="B4113" s="10">
        <v>45391</v>
      </c>
      <c r="C4113" s="18">
        <f t="shared" si="64"/>
        <v>4</v>
      </c>
      <c r="D4113" t="s">
        <v>150</v>
      </c>
      <c r="E4113">
        <v>4875847</v>
      </c>
      <c r="F4113" t="s">
        <v>90</v>
      </c>
      <c r="G4113" t="s">
        <v>203</v>
      </c>
      <c r="H4113" t="s">
        <v>234</v>
      </c>
      <c r="I4113" s="4">
        <v>100638.28079999999</v>
      </c>
      <c r="J4113" s="4">
        <v>603829.68479999993</v>
      </c>
      <c r="L4113" s="4">
        <v>6</v>
      </c>
    </row>
    <row r="4114" spans="1:12">
      <c r="A4114" t="s">
        <v>94</v>
      </c>
      <c r="B4114" s="10">
        <v>45391</v>
      </c>
      <c r="C4114" s="18">
        <f t="shared" si="64"/>
        <v>4</v>
      </c>
      <c r="D4114" t="s">
        <v>150</v>
      </c>
      <c r="E4114">
        <v>4875847</v>
      </c>
      <c r="F4114" t="s">
        <v>90</v>
      </c>
      <c r="G4114" t="s">
        <v>203</v>
      </c>
      <c r="H4114" t="s">
        <v>230</v>
      </c>
      <c r="I4114" s="4">
        <v>100638.28079999999</v>
      </c>
      <c r="J4114" s="4">
        <v>603829.68479999993</v>
      </c>
      <c r="L4114" s="4">
        <v>6</v>
      </c>
    </row>
    <row r="4115" spans="1:12">
      <c r="A4115" t="s">
        <v>94</v>
      </c>
      <c r="B4115" s="10">
        <v>45391</v>
      </c>
      <c r="C4115" s="18">
        <f t="shared" si="64"/>
        <v>4</v>
      </c>
      <c r="D4115" t="s">
        <v>150</v>
      </c>
      <c r="E4115">
        <v>4875847</v>
      </c>
      <c r="F4115" t="s">
        <v>90</v>
      </c>
      <c r="G4115" t="s">
        <v>203</v>
      </c>
      <c r="H4115" t="s">
        <v>226</v>
      </c>
      <c r="I4115" s="4">
        <v>100638.28079999999</v>
      </c>
      <c r="J4115" s="4">
        <v>603829.68479999993</v>
      </c>
      <c r="L4115" s="4">
        <v>6</v>
      </c>
    </row>
    <row r="4116" spans="1:12">
      <c r="A4116" t="s">
        <v>94</v>
      </c>
      <c r="B4116" s="10">
        <v>45391</v>
      </c>
      <c r="C4116" s="18">
        <f t="shared" si="64"/>
        <v>4</v>
      </c>
      <c r="D4116" t="s">
        <v>150</v>
      </c>
      <c r="E4116">
        <v>4875847</v>
      </c>
      <c r="F4116" t="s">
        <v>90</v>
      </c>
      <c r="G4116" t="s">
        <v>203</v>
      </c>
      <c r="H4116" t="s">
        <v>224</v>
      </c>
      <c r="I4116" s="4">
        <v>100638.28079999999</v>
      </c>
      <c r="J4116" s="4">
        <v>603829.68479999993</v>
      </c>
      <c r="L4116" s="4">
        <v>6</v>
      </c>
    </row>
    <row r="4117" spans="1:12">
      <c r="A4117" t="s">
        <v>94</v>
      </c>
      <c r="B4117" s="10">
        <v>45391</v>
      </c>
      <c r="C4117" s="18">
        <f t="shared" si="64"/>
        <v>4</v>
      </c>
      <c r="D4117" t="s">
        <v>150</v>
      </c>
      <c r="E4117">
        <v>4875847</v>
      </c>
      <c r="F4117" t="s">
        <v>90</v>
      </c>
      <c r="G4117" t="s">
        <v>203</v>
      </c>
      <c r="H4117" t="s">
        <v>235</v>
      </c>
      <c r="I4117" s="4">
        <v>125766.4408</v>
      </c>
      <c r="J4117" s="4">
        <v>628832.20400000003</v>
      </c>
      <c r="L4117" s="4">
        <v>5</v>
      </c>
    </row>
    <row r="4118" spans="1:12">
      <c r="A4118" t="s">
        <v>94</v>
      </c>
      <c r="B4118" s="10">
        <v>45398</v>
      </c>
      <c r="C4118" s="18">
        <f t="shared" si="64"/>
        <v>4</v>
      </c>
      <c r="D4118" t="s">
        <v>150</v>
      </c>
      <c r="E4118">
        <v>4879054</v>
      </c>
      <c r="F4118" t="s">
        <v>87</v>
      </c>
      <c r="G4118" t="s">
        <v>203</v>
      </c>
      <c r="H4118" t="s">
        <v>242</v>
      </c>
      <c r="I4118" s="4">
        <v>100638.28079999999</v>
      </c>
      <c r="J4118" s="4">
        <v>402553.12319999997</v>
      </c>
      <c r="K4118" s="4">
        <v>-18092.2752</v>
      </c>
      <c r="L4118" s="4">
        <v>4</v>
      </c>
    </row>
    <row r="4119" spans="1:12">
      <c r="A4119" t="s">
        <v>94</v>
      </c>
      <c r="B4119" s="10">
        <v>45398</v>
      </c>
      <c r="C4119" s="18">
        <f t="shared" si="64"/>
        <v>4</v>
      </c>
      <c r="D4119" t="s">
        <v>150</v>
      </c>
      <c r="E4119">
        <v>4879054</v>
      </c>
      <c r="F4119" t="s">
        <v>87</v>
      </c>
      <c r="G4119" t="s">
        <v>203</v>
      </c>
      <c r="H4119" t="s">
        <v>234</v>
      </c>
      <c r="I4119" s="4">
        <v>100638.28079999999</v>
      </c>
      <c r="J4119" s="4">
        <v>402553.12319999997</v>
      </c>
      <c r="K4119" s="4">
        <v>-18092.2752</v>
      </c>
      <c r="L4119" s="4">
        <v>4</v>
      </c>
    </row>
    <row r="4120" spans="1:12">
      <c r="A4120" t="s">
        <v>94</v>
      </c>
      <c r="B4120" s="10">
        <v>45398</v>
      </c>
      <c r="C4120" s="18">
        <f t="shared" si="64"/>
        <v>4</v>
      </c>
      <c r="D4120" t="s">
        <v>150</v>
      </c>
      <c r="E4120">
        <v>4879054</v>
      </c>
      <c r="F4120" t="s">
        <v>87</v>
      </c>
      <c r="G4120" t="s">
        <v>203</v>
      </c>
      <c r="H4120" t="s">
        <v>230</v>
      </c>
      <c r="I4120" s="4">
        <v>100638.28079999999</v>
      </c>
      <c r="J4120" s="4">
        <v>402553.12319999997</v>
      </c>
      <c r="K4120" s="4">
        <v>-18092.2752</v>
      </c>
      <c r="L4120" s="4">
        <v>4</v>
      </c>
    </row>
    <row r="4121" spans="1:12">
      <c r="A4121" t="s">
        <v>94</v>
      </c>
      <c r="B4121" s="10">
        <v>45398</v>
      </c>
      <c r="C4121" s="18">
        <f t="shared" si="64"/>
        <v>4</v>
      </c>
      <c r="D4121" t="s">
        <v>150</v>
      </c>
      <c r="E4121">
        <v>4879054</v>
      </c>
      <c r="F4121" t="s">
        <v>87</v>
      </c>
      <c r="G4121" t="s">
        <v>203</v>
      </c>
      <c r="H4121" t="s">
        <v>226</v>
      </c>
      <c r="I4121" s="4">
        <v>100638.28079999999</v>
      </c>
      <c r="J4121" s="4">
        <v>402553.12319999997</v>
      </c>
      <c r="K4121" s="4">
        <v>-18092.2752</v>
      </c>
      <c r="L4121" s="4">
        <v>4</v>
      </c>
    </row>
    <row r="4122" spans="1:12">
      <c r="A4122" t="s">
        <v>94</v>
      </c>
      <c r="B4122" s="10">
        <v>45398</v>
      </c>
      <c r="C4122" s="18">
        <f t="shared" si="64"/>
        <v>4</v>
      </c>
      <c r="D4122" t="s">
        <v>150</v>
      </c>
      <c r="E4122">
        <v>4879054</v>
      </c>
      <c r="F4122" t="s">
        <v>87</v>
      </c>
      <c r="G4122" t="s">
        <v>203</v>
      </c>
      <c r="H4122" t="s">
        <v>224</v>
      </c>
      <c r="I4122" s="4">
        <v>100638.28079999999</v>
      </c>
      <c r="J4122" s="4">
        <v>402553.12319999997</v>
      </c>
      <c r="K4122" s="4">
        <v>-18092.2752</v>
      </c>
      <c r="L4122" s="4">
        <v>4</v>
      </c>
    </row>
    <row r="4123" spans="1:12">
      <c r="A4123" t="s">
        <v>94</v>
      </c>
      <c r="B4123" s="10">
        <v>45398</v>
      </c>
      <c r="C4123" s="18">
        <f t="shared" si="64"/>
        <v>4</v>
      </c>
      <c r="D4123" t="s">
        <v>150</v>
      </c>
      <c r="E4123">
        <v>4879054</v>
      </c>
      <c r="F4123" t="s">
        <v>87</v>
      </c>
      <c r="G4123" t="s">
        <v>203</v>
      </c>
      <c r="H4123" t="s">
        <v>235</v>
      </c>
      <c r="I4123" s="4">
        <v>125766.4408</v>
      </c>
      <c r="J4123" s="4">
        <v>628832.20400000003</v>
      </c>
      <c r="K4123" s="4">
        <v>-29211.486000000001</v>
      </c>
      <c r="L4123" s="4">
        <v>5</v>
      </c>
    </row>
    <row r="4124" spans="1:12">
      <c r="A4124" t="s">
        <v>95</v>
      </c>
      <c r="B4124" s="10">
        <v>45384</v>
      </c>
      <c r="C4124" s="18">
        <f t="shared" si="64"/>
        <v>4</v>
      </c>
      <c r="D4124" t="s">
        <v>188</v>
      </c>
      <c r="E4124">
        <v>4876011</v>
      </c>
      <c r="F4124" t="s">
        <v>87</v>
      </c>
      <c r="G4124" t="s">
        <v>203</v>
      </c>
      <c r="H4124" t="s">
        <v>225</v>
      </c>
      <c r="I4124" s="4">
        <v>100638.28079999999</v>
      </c>
      <c r="J4124" s="4">
        <v>805106.24639999995</v>
      </c>
      <c r="L4124" s="4">
        <v>8</v>
      </c>
    </row>
    <row r="4125" spans="1:12">
      <c r="A4125" t="s">
        <v>95</v>
      </c>
      <c r="B4125" s="10">
        <v>45385</v>
      </c>
      <c r="C4125" s="18">
        <f t="shared" si="64"/>
        <v>4</v>
      </c>
      <c r="D4125" t="s">
        <v>188</v>
      </c>
      <c r="E4125">
        <v>4878040</v>
      </c>
      <c r="F4125" t="s">
        <v>88</v>
      </c>
      <c r="G4125" t="s">
        <v>205</v>
      </c>
      <c r="H4125" t="s">
        <v>211</v>
      </c>
      <c r="I4125" s="4">
        <v>5151.2727999999997</v>
      </c>
      <c r="J4125" s="4">
        <v>51512.727999999996</v>
      </c>
      <c r="L4125" s="4">
        <v>10</v>
      </c>
    </row>
    <row r="4126" spans="1:12">
      <c r="A4126" t="s">
        <v>95</v>
      </c>
      <c r="B4126" s="10">
        <v>45389</v>
      </c>
      <c r="C4126" s="18">
        <f t="shared" si="64"/>
        <v>4</v>
      </c>
      <c r="D4126" t="s">
        <v>188</v>
      </c>
      <c r="E4126">
        <v>4878670</v>
      </c>
      <c r="F4126" t="s">
        <v>90</v>
      </c>
      <c r="G4126" t="s">
        <v>203</v>
      </c>
      <c r="H4126" t="s">
        <v>232</v>
      </c>
      <c r="I4126" s="4">
        <v>100638.28079999999</v>
      </c>
      <c r="J4126" s="4">
        <v>201276.56159999999</v>
      </c>
      <c r="L4126" s="4">
        <v>2</v>
      </c>
    </row>
    <row r="4127" spans="1:12">
      <c r="A4127" t="s">
        <v>95</v>
      </c>
      <c r="B4127" s="10">
        <v>45389</v>
      </c>
      <c r="C4127" s="18">
        <f t="shared" si="64"/>
        <v>4</v>
      </c>
      <c r="D4127" t="s">
        <v>188</v>
      </c>
      <c r="E4127">
        <v>4878670</v>
      </c>
      <c r="F4127" t="s">
        <v>90</v>
      </c>
      <c r="G4127" t="s">
        <v>203</v>
      </c>
      <c r="H4127" t="s">
        <v>237</v>
      </c>
      <c r="I4127" s="4">
        <v>125766.4408</v>
      </c>
      <c r="J4127" s="4">
        <v>125766.4408</v>
      </c>
      <c r="L4127" s="4">
        <v>1</v>
      </c>
    </row>
    <row r="4128" spans="1:12">
      <c r="A4128" t="s">
        <v>95</v>
      </c>
      <c r="B4128" s="10">
        <v>45389</v>
      </c>
      <c r="C4128" s="18">
        <f t="shared" si="64"/>
        <v>4</v>
      </c>
      <c r="D4128" t="s">
        <v>188</v>
      </c>
      <c r="E4128">
        <v>4878670</v>
      </c>
      <c r="F4128" t="s">
        <v>90</v>
      </c>
      <c r="G4128" t="s">
        <v>205</v>
      </c>
      <c r="H4128" t="s">
        <v>211</v>
      </c>
      <c r="I4128" s="4">
        <v>5151.2727999999997</v>
      </c>
      <c r="J4128" s="4">
        <v>51512.727999999996</v>
      </c>
      <c r="L4128" s="4">
        <v>10</v>
      </c>
    </row>
    <row r="4129" spans="1:12">
      <c r="A4129" t="s">
        <v>95</v>
      </c>
      <c r="B4129" s="10">
        <v>45391</v>
      </c>
      <c r="C4129" s="18">
        <f t="shared" si="64"/>
        <v>4</v>
      </c>
      <c r="D4129" t="s">
        <v>188</v>
      </c>
      <c r="E4129">
        <v>4876387</v>
      </c>
      <c r="F4129" t="s">
        <v>89</v>
      </c>
      <c r="G4129" t="s">
        <v>205</v>
      </c>
      <c r="H4129" t="s">
        <v>210</v>
      </c>
      <c r="I4129" s="4">
        <v>7538.4479999999994</v>
      </c>
      <c r="J4129" s="4">
        <v>150768.95999999999</v>
      </c>
      <c r="L4129" s="4">
        <v>20</v>
      </c>
    </row>
    <row r="4130" spans="1:12">
      <c r="A4130" t="s">
        <v>95</v>
      </c>
      <c r="B4130" s="10">
        <v>45391</v>
      </c>
      <c r="C4130" s="18">
        <f t="shared" si="64"/>
        <v>4</v>
      </c>
      <c r="D4130" t="s">
        <v>188</v>
      </c>
      <c r="E4130">
        <v>4876387</v>
      </c>
      <c r="F4130" t="s">
        <v>89</v>
      </c>
      <c r="G4130" t="s">
        <v>205</v>
      </c>
      <c r="H4130" t="s">
        <v>211</v>
      </c>
      <c r="I4130" s="4">
        <v>5151.2727999999997</v>
      </c>
      <c r="J4130" s="4">
        <v>103025.45599999999</v>
      </c>
      <c r="L4130" s="4">
        <v>20</v>
      </c>
    </row>
    <row r="4131" spans="1:12">
      <c r="A4131" t="s">
        <v>95</v>
      </c>
      <c r="B4131" s="10">
        <v>45391</v>
      </c>
      <c r="C4131" s="18">
        <f t="shared" si="64"/>
        <v>4</v>
      </c>
      <c r="D4131" t="s">
        <v>188</v>
      </c>
      <c r="E4131">
        <v>4878777</v>
      </c>
      <c r="F4131" t="s">
        <v>87</v>
      </c>
      <c r="G4131" t="s">
        <v>203</v>
      </c>
      <c r="H4131" t="s">
        <v>223</v>
      </c>
      <c r="I4131" s="4">
        <v>100638.28079999999</v>
      </c>
      <c r="J4131" s="4">
        <v>402553.12319999997</v>
      </c>
      <c r="L4131" s="4">
        <v>4</v>
      </c>
    </row>
    <row r="4132" spans="1:12">
      <c r="A4132" t="s">
        <v>95</v>
      </c>
      <c r="B4132" s="10">
        <v>45391</v>
      </c>
      <c r="C4132" s="18">
        <f t="shared" si="64"/>
        <v>4</v>
      </c>
      <c r="D4132" t="s">
        <v>188</v>
      </c>
      <c r="E4132">
        <v>4876393</v>
      </c>
      <c r="F4132" t="s">
        <v>87</v>
      </c>
      <c r="G4132" t="s">
        <v>203</v>
      </c>
      <c r="H4132" t="s">
        <v>225</v>
      </c>
      <c r="I4132" s="4">
        <v>100638.28079999999</v>
      </c>
      <c r="J4132" s="4">
        <v>603829.68479999993</v>
      </c>
      <c r="L4132" s="4">
        <v>6</v>
      </c>
    </row>
    <row r="4133" spans="1:12">
      <c r="A4133" t="s">
        <v>95</v>
      </c>
      <c r="B4133" s="10">
        <v>45393</v>
      </c>
      <c r="C4133" s="18">
        <f t="shared" si="64"/>
        <v>4</v>
      </c>
      <c r="D4133" t="s">
        <v>188</v>
      </c>
      <c r="E4133">
        <v>4877018</v>
      </c>
      <c r="F4133" t="s">
        <v>89</v>
      </c>
      <c r="G4133" t="s">
        <v>203</v>
      </c>
      <c r="H4133" t="s">
        <v>225</v>
      </c>
      <c r="I4133" s="4">
        <v>100638.28079999999</v>
      </c>
      <c r="J4133" s="4">
        <v>1006382.808</v>
      </c>
      <c r="L4133" s="4">
        <v>10</v>
      </c>
    </row>
    <row r="4134" spans="1:12">
      <c r="A4134" t="s">
        <v>95</v>
      </c>
      <c r="B4134" s="10">
        <v>45393</v>
      </c>
      <c r="C4134" s="18">
        <f t="shared" si="64"/>
        <v>4</v>
      </c>
      <c r="D4134" t="s">
        <v>188</v>
      </c>
      <c r="E4134">
        <v>4877018</v>
      </c>
      <c r="F4134" t="s">
        <v>89</v>
      </c>
      <c r="G4134" t="s">
        <v>203</v>
      </c>
      <c r="H4134" t="s">
        <v>229</v>
      </c>
      <c r="I4134" s="4">
        <v>125766.4408</v>
      </c>
      <c r="J4134" s="4">
        <v>1886496.612</v>
      </c>
      <c r="L4134" s="4">
        <v>15</v>
      </c>
    </row>
    <row r="4135" spans="1:12">
      <c r="A4135" t="s">
        <v>95</v>
      </c>
      <c r="B4135" s="10">
        <v>45393</v>
      </c>
      <c r="C4135" s="18">
        <f t="shared" si="64"/>
        <v>4</v>
      </c>
      <c r="D4135" t="s">
        <v>188</v>
      </c>
      <c r="E4135">
        <v>4877141</v>
      </c>
      <c r="F4135" t="s">
        <v>89</v>
      </c>
      <c r="G4135" t="s">
        <v>203</v>
      </c>
      <c r="H4135" t="s">
        <v>225</v>
      </c>
      <c r="I4135" s="4">
        <v>100638.28079999999</v>
      </c>
      <c r="J4135" s="4">
        <v>402553.12319999997</v>
      </c>
      <c r="K4135" s="4">
        <v>-10855.36512</v>
      </c>
      <c r="L4135" s="4">
        <v>4</v>
      </c>
    </row>
    <row r="4136" spans="1:12">
      <c r="A4136" t="s">
        <v>95</v>
      </c>
      <c r="B4136" s="10">
        <v>45393</v>
      </c>
      <c r="C4136" s="18">
        <f t="shared" si="64"/>
        <v>4</v>
      </c>
      <c r="D4136" t="s">
        <v>188</v>
      </c>
      <c r="E4136">
        <v>4877141</v>
      </c>
      <c r="F4136" t="s">
        <v>89</v>
      </c>
      <c r="G4136" t="s">
        <v>203</v>
      </c>
      <c r="H4136" t="s">
        <v>229</v>
      </c>
      <c r="I4136" s="4">
        <v>125766.4408</v>
      </c>
      <c r="J4136" s="4">
        <v>503065.76319999999</v>
      </c>
      <c r="K4136" s="4">
        <v>-14021.513280000001</v>
      </c>
      <c r="L4136" s="4">
        <v>4</v>
      </c>
    </row>
    <row r="4137" spans="1:12">
      <c r="A4137" t="s">
        <v>95</v>
      </c>
      <c r="B4137" s="10">
        <v>45393</v>
      </c>
      <c r="C4137" s="18">
        <f t="shared" si="64"/>
        <v>4</v>
      </c>
      <c r="D4137" t="s">
        <v>188</v>
      </c>
      <c r="E4137">
        <v>4877141</v>
      </c>
      <c r="F4137" t="s">
        <v>89</v>
      </c>
      <c r="G4137" t="s">
        <v>205</v>
      </c>
      <c r="H4137" t="s">
        <v>211</v>
      </c>
      <c r="I4137" s="4">
        <v>5151.2727999999997</v>
      </c>
      <c r="J4137" s="4">
        <v>51512.727999999996</v>
      </c>
      <c r="K4137" s="4">
        <v>-1507.6895999999999</v>
      </c>
      <c r="L4137" s="4">
        <v>10</v>
      </c>
    </row>
    <row r="4138" spans="1:12">
      <c r="A4138" t="s">
        <v>95</v>
      </c>
      <c r="B4138" s="10">
        <v>45393</v>
      </c>
      <c r="C4138" s="18">
        <f t="shared" si="64"/>
        <v>4</v>
      </c>
      <c r="D4138" t="s">
        <v>188</v>
      </c>
      <c r="E4138">
        <v>4876666</v>
      </c>
      <c r="F4138" t="s">
        <v>87</v>
      </c>
      <c r="G4138" t="s">
        <v>205</v>
      </c>
      <c r="H4138" t="s">
        <v>211</v>
      </c>
      <c r="I4138" s="4">
        <v>5151.2727999999997</v>
      </c>
      <c r="J4138" s="4">
        <v>51512.727999999996</v>
      </c>
      <c r="L4138" s="4">
        <v>10</v>
      </c>
    </row>
    <row r="4139" spans="1:12">
      <c r="A4139" t="s">
        <v>95</v>
      </c>
      <c r="B4139" s="10">
        <v>45393</v>
      </c>
      <c r="C4139" s="18">
        <f t="shared" si="64"/>
        <v>4</v>
      </c>
      <c r="D4139" t="s">
        <v>188</v>
      </c>
      <c r="E4139">
        <v>4876079</v>
      </c>
      <c r="F4139" t="s">
        <v>87</v>
      </c>
      <c r="G4139" t="s">
        <v>203</v>
      </c>
      <c r="H4139" t="s">
        <v>229</v>
      </c>
      <c r="I4139" s="4">
        <v>125766.4408</v>
      </c>
      <c r="J4139" s="4">
        <v>251532.88159999999</v>
      </c>
      <c r="L4139" s="4">
        <v>2</v>
      </c>
    </row>
    <row r="4140" spans="1:12">
      <c r="A4140" t="s">
        <v>95</v>
      </c>
      <c r="B4140" s="10">
        <v>45393</v>
      </c>
      <c r="C4140" s="18">
        <f t="shared" si="64"/>
        <v>4</v>
      </c>
      <c r="D4140" t="s">
        <v>188</v>
      </c>
      <c r="E4140">
        <v>4878040</v>
      </c>
      <c r="F4140" t="s">
        <v>88</v>
      </c>
      <c r="G4140" t="s">
        <v>203</v>
      </c>
      <c r="H4140" t="s">
        <v>230</v>
      </c>
      <c r="I4140" s="4">
        <v>100638.28079999999</v>
      </c>
      <c r="J4140" s="4">
        <v>100638.28079999999</v>
      </c>
      <c r="L4140" s="4">
        <v>1</v>
      </c>
    </row>
    <row r="4141" spans="1:12">
      <c r="A4141" t="s">
        <v>95</v>
      </c>
      <c r="B4141" s="10">
        <v>45395</v>
      </c>
      <c r="C4141" s="18">
        <f t="shared" si="64"/>
        <v>4</v>
      </c>
      <c r="D4141" t="s">
        <v>188</v>
      </c>
      <c r="E4141">
        <v>4878859</v>
      </c>
      <c r="F4141" t="s">
        <v>87</v>
      </c>
      <c r="G4141" t="s">
        <v>203</v>
      </c>
      <c r="H4141" t="s">
        <v>230</v>
      </c>
      <c r="I4141" s="4">
        <v>100638.28079999999</v>
      </c>
      <c r="J4141" s="4">
        <v>1006382.808</v>
      </c>
      <c r="L4141" s="4">
        <v>10</v>
      </c>
    </row>
    <row r="4142" spans="1:12">
      <c r="A4142" t="s">
        <v>95</v>
      </c>
      <c r="B4142" s="10">
        <v>45395</v>
      </c>
      <c r="C4142" s="18">
        <f t="shared" si="64"/>
        <v>4</v>
      </c>
      <c r="D4142" t="s">
        <v>188</v>
      </c>
      <c r="E4142">
        <v>4878040</v>
      </c>
      <c r="F4142" t="s">
        <v>88</v>
      </c>
      <c r="G4142" t="s">
        <v>203</v>
      </c>
      <c r="H4142" t="s">
        <v>225</v>
      </c>
      <c r="I4142" s="4">
        <v>100638.28079999999</v>
      </c>
      <c r="J4142" s="4">
        <v>503191.40399999998</v>
      </c>
      <c r="L4142" s="4">
        <v>5</v>
      </c>
    </row>
    <row r="4143" spans="1:12">
      <c r="A4143" t="s">
        <v>95</v>
      </c>
      <c r="B4143" s="10">
        <v>45395</v>
      </c>
      <c r="C4143" s="18">
        <f t="shared" si="64"/>
        <v>4</v>
      </c>
      <c r="D4143" t="s">
        <v>188</v>
      </c>
      <c r="E4143">
        <v>4878040</v>
      </c>
      <c r="F4143" t="s">
        <v>88</v>
      </c>
      <c r="G4143" t="s">
        <v>203</v>
      </c>
      <c r="H4143" t="s">
        <v>229</v>
      </c>
      <c r="I4143" s="4">
        <v>125766.4408</v>
      </c>
      <c r="J4143" s="4">
        <v>377299.3224</v>
      </c>
      <c r="L4143" s="4">
        <v>3</v>
      </c>
    </row>
    <row r="4144" spans="1:12">
      <c r="A4144" t="s">
        <v>95</v>
      </c>
      <c r="B4144" s="10">
        <v>45395</v>
      </c>
      <c r="C4144" s="18">
        <f t="shared" si="64"/>
        <v>4</v>
      </c>
      <c r="D4144" t="s">
        <v>188</v>
      </c>
      <c r="E4144">
        <v>4878040</v>
      </c>
      <c r="F4144" t="s">
        <v>88</v>
      </c>
      <c r="G4144" t="s">
        <v>205</v>
      </c>
      <c r="H4144" t="s">
        <v>210</v>
      </c>
      <c r="I4144" s="4">
        <v>7538.4479999999994</v>
      </c>
      <c r="J4144" s="4">
        <v>135692.06399999998</v>
      </c>
      <c r="L4144" s="4">
        <v>18</v>
      </c>
    </row>
    <row r="4145" spans="1:12">
      <c r="A4145" t="s">
        <v>95</v>
      </c>
      <c r="B4145" s="10">
        <v>45395</v>
      </c>
      <c r="C4145" s="18">
        <f t="shared" si="64"/>
        <v>4</v>
      </c>
      <c r="D4145" t="s">
        <v>188</v>
      </c>
      <c r="E4145">
        <v>4878040</v>
      </c>
      <c r="F4145" t="s">
        <v>88</v>
      </c>
      <c r="G4145" t="s">
        <v>205</v>
      </c>
      <c r="H4145" t="s">
        <v>211</v>
      </c>
      <c r="I4145" s="4">
        <v>5151.2727999999997</v>
      </c>
      <c r="J4145" s="4">
        <v>92722.910399999993</v>
      </c>
      <c r="L4145" s="4">
        <v>18</v>
      </c>
    </row>
    <row r="4146" spans="1:12">
      <c r="A4146" t="s">
        <v>95</v>
      </c>
      <c r="B4146" s="10">
        <v>45399</v>
      </c>
      <c r="C4146" s="18">
        <f t="shared" si="64"/>
        <v>4</v>
      </c>
      <c r="D4146" t="s">
        <v>188</v>
      </c>
      <c r="E4146">
        <v>4879158</v>
      </c>
      <c r="F4146" t="s">
        <v>87</v>
      </c>
      <c r="G4146" t="s">
        <v>203</v>
      </c>
      <c r="H4146" t="s">
        <v>230</v>
      </c>
      <c r="I4146" s="4">
        <v>100638.28079999999</v>
      </c>
      <c r="J4146" s="4">
        <v>402553.12319999997</v>
      </c>
      <c r="L4146" s="4">
        <v>4</v>
      </c>
    </row>
    <row r="4147" spans="1:12">
      <c r="A4147" t="s">
        <v>95</v>
      </c>
      <c r="B4147" s="10">
        <v>45399</v>
      </c>
      <c r="C4147" s="18">
        <f t="shared" si="64"/>
        <v>4</v>
      </c>
      <c r="D4147" t="s">
        <v>188</v>
      </c>
      <c r="E4147">
        <v>4879158</v>
      </c>
      <c r="F4147" t="s">
        <v>87</v>
      </c>
      <c r="G4147" t="s">
        <v>203</v>
      </c>
      <c r="H4147" t="s">
        <v>237</v>
      </c>
      <c r="I4147" s="4">
        <v>125766.4408</v>
      </c>
      <c r="J4147" s="4">
        <v>503065.76319999999</v>
      </c>
      <c r="L4147" s="4">
        <v>4</v>
      </c>
    </row>
    <row r="4148" spans="1:12">
      <c r="A4148" t="s">
        <v>95</v>
      </c>
      <c r="B4148" s="10">
        <v>45399</v>
      </c>
      <c r="C4148" s="18">
        <f t="shared" si="64"/>
        <v>4</v>
      </c>
      <c r="D4148" t="s">
        <v>188</v>
      </c>
      <c r="E4148">
        <v>4877327</v>
      </c>
      <c r="F4148" t="s">
        <v>90</v>
      </c>
      <c r="G4148" t="s">
        <v>203</v>
      </c>
      <c r="H4148" t="s">
        <v>225</v>
      </c>
      <c r="I4148" s="4">
        <v>100638.28079999999</v>
      </c>
      <c r="J4148" s="4">
        <v>201276.56159999999</v>
      </c>
      <c r="L4148" s="4">
        <v>2</v>
      </c>
    </row>
    <row r="4149" spans="1:12">
      <c r="A4149" t="s">
        <v>95</v>
      </c>
      <c r="B4149" s="10">
        <v>45399</v>
      </c>
      <c r="C4149" s="18">
        <f t="shared" si="64"/>
        <v>4</v>
      </c>
      <c r="D4149" t="s">
        <v>188</v>
      </c>
      <c r="E4149">
        <v>4876236</v>
      </c>
      <c r="F4149" t="s">
        <v>8</v>
      </c>
      <c r="G4149" t="s">
        <v>205</v>
      </c>
      <c r="H4149" t="s">
        <v>210</v>
      </c>
      <c r="I4149" s="4">
        <v>7538.4479999999994</v>
      </c>
      <c r="J4149" s="4">
        <v>15076.895999999999</v>
      </c>
      <c r="L4149" s="4">
        <v>2</v>
      </c>
    </row>
    <row r="4150" spans="1:12">
      <c r="A4150" t="s">
        <v>95</v>
      </c>
      <c r="B4150" s="10">
        <v>45399</v>
      </c>
      <c r="C4150" s="18">
        <f t="shared" si="64"/>
        <v>4</v>
      </c>
      <c r="D4150" t="s">
        <v>188</v>
      </c>
      <c r="E4150">
        <v>4876236</v>
      </c>
      <c r="F4150" t="s">
        <v>8</v>
      </c>
      <c r="G4150" t="s">
        <v>205</v>
      </c>
      <c r="H4150" t="s">
        <v>211</v>
      </c>
      <c r="I4150" s="4">
        <v>5151.2727999999997</v>
      </c>
      <c r="J4150" s="4">
        <v>10302.545599999999</v>
      </c>
      <c r="L4150" s="4">
        <v>2</v>
      </c>
    </row>
    <row r="4151" spans="1:12">
      <c r="A4151" t="s">
        <v>95</v>
      </c>
      <c r="B4151" s="10">
        <v>45399</v>
      </c>
      <c r="C4151" s="18">
        <f t="shared" si="64"/>
        <v>4</v>
      </c>
      <c r="D4151" t="s">
        <v>188</v>
      </c>
      <c r="E4151">
        <v>4878040</v>
      </c>
      <c r="F4151" t="s">
        <v>88</v>
      </c>
      <c r="G4151" t="s">
        <v>203</v>
      </c>
      <c r="H4151" t="s">
        <v>223</v>
      </c>
      <c r="I4151" s="4">
        <v>100638.28079999999</v>
      </c>
      <c r="J4151" s="4">
        <v>100638.28079999999</v>
      </c>
      <c r="L4151" s="4">
        <v>1</v>
      </c>
    </row>
    <row r="4152" spans="1:12">
      <c r="A4152" t="s">
        <v>95</v>
      </c>
      <c r="B4152" s="10">
        <v>45400</v>
      </c>
      <c r="C4152" s="18">
        <f t="shared" si="64"/>
        <v>4</v>
      </c>
      <c r="D4152" t="s">
        <v>188</v>
      </c>
      <c r="E4152">
        <v>4877183</v>
      </c>
      <c r="F4152" t="s">
        <v>90</v>
      </c>
      <c r="G4152" t="s">
        <v>203</v>
      </c>
      <c r="H4152" t="s">
        <v>230</v>
      </c>
      <c r="I4152" s="4">
        <v>100638.28079999999</v>
      </c>
      <c r="J4152" s="4">
        <v>201276.56159999999</v>
      </c>
      <c r="L4152" s="4">
        <v>2</v>
      </c>
    </row>
    <row r="4153" spans="1:12">
      <c r="A4153" t="s">
        <v>95</v>
      </c>
      <c r="B4153" s="10">
        <v>45400</v>
      </c>
      <c r="C4153" s="18">
        <f t="shared" si="64"/>
        <v>4</v>
      </c>
      <c r="D4153" t="s">
        <v>188</v>
      </c>
      <c r="E4153">
        <v>4876241</v>
      </c>
      <c r="F4153" t="s">
        <v>89</v>
      </c>
      <c r="G4153" t="s">
        <v>203</v>
      </c>
      <c r="H4153" t="s">
        <v>225</v>
      </c>
      <c r="I4153" s="4">
        <v>100638.28079999999</v>
      </c>
      <c r="J4153" s="4">
        <v>1006382.808</v>
      </c>
      <c r="L4153" s="4">
        <v>10</v>
      </c>
    </row>
    <row r="4154" spans="1:12">
      <c r="A4154" t="s">
        <v>95</v>
      </c>
      <c r="B4154" s="10">
        <v>45400</v>
      </c>
      <c r="C4154" s="18">
        <f t="shared" si="64"/>
        <v>4</v>
      </c>
      <c r="D4154" t="s">
        <v>188</v>
      </c>
      <c r="E4154">
        <v>4877018</v>
      </c>
      <c r="F4154" t="s">
        <v>89</v>
      </c>
      <c r="G4154" t="s">
        <v>203</v>
      </c>
      <c r="H4154" t="s">
        <v>230</v>
      </c>
      <c r="I4154" s="4">
        <v>100638.28079999999</v>
      </c>
      <c r="J4154" s="4">
        <v>805106.24639999995</v>
      </c>
      <c r="L4154" s="4">
        <v>8</v>
      </c>
    </row>
    <row r="4155" spans="1:12">
      <c r="A4155" t="s">
        <v>95</v>
      </c>
      <c r="B4155" s="10">
        <v>45400</v>
      </c>
      <c r="C4155" s="18">
        <f t="shared" si="64"/>
        <v>4</v>
      </c>
      <c r="D4155" t="s">
        <v>188</v>
      </c>
      <c r="E4155">
        <v>4877018</v>
      </c>
      <c r="F4155" t="s">
        <v>89</v>
      </c>
      <c r="G4155" t="s">
        <v>203</v>
      </c>
      <c r="H4155" t="s">
        <v>229</v>
      </c>
      <c r="I4155" s="4">
        <v>125766.4408</v>
      </c>
      <c r="J4155" s="4">
        <v>754598.64480000001</v>
      </c>
      <c r="L4155" s="4">
        <v>6</v>
      </c>
    </row>
    <row r="4156" spans="1:12">
      <c r="A4156" t="s">
        <v>95</v>
      </c>
      <c r="B4156" s="10">
        <v>45402</v>
      </c>
      <c r="C4156" s="18">
        <f t="shared" si="64"/>
        <v>4</v>
      </c>
      <c r="D4156" t="s">
        <v>188</v>
      </c>
      <c r="E4156">
        <v>4876784</v>
      </c>
      <c r="F4156" t="s">
        <v>87</v>
      </c>
      <c r="G4156" t="s">
        <v>205</v>
      </c>
      <c r="H4156" t="s">
        <v>211</v>
      </c>
      <c r="I4156" s="4">
        <v>5151.2727999999997</v>
      </c>
      <c r="J4156" s="4">
        <v>51512.727999999996</v>
      </c>
      <c r="L4156" s="4">
        <v>10</v>
      </c>
    </row>
    <row r="4157" spans="1:12">
      <c r="A4157" t="s">
        <v>95</v>
      </c>
      <c r="B4157" s="10">
        <v>45403</v>
      </c>
      <c r="C4157" s="18">
        <f t="shared" si="64"/>
        <v>4</v>
      </c>
      <c r="D4157" t="s">
        <v>188</v>
      </c>
      <c r="E4157">
        <v>4878040</v>
      </c>
      <c r="F4157" t="s">
        <v>88</v>
      </c>
      <c r="G4157" t="s">
        <v>203</v>
      </c>
      <c r="H4157" t="s">
        <v>230</v>
      </c>
      <c r="I4157" s="4">
        <v>100638.28079999999</v>
      </c>
      <c r="J4157" s="4">
        <v>301914.84239999996</v>
      </c>
      <c r="L4157" s="4">
        <v>3</v>
      </c>
    </row>
    <row r="4158" spans="1:12">
      <c r="A4158" t="s">
        <v>95</v>
      </c>
      <c r="B4158" s="10">
        <v>45404</v>
      </c>
      <c r="C4158" s="18">
        <f t="shared" si="64"/>
        <v>4</v>
      </c>
      <c r="D4158" t="s">
        <v>188</v>
      </c>
      <c r="E4158">
        <v>4877018</v>
      </c>
      <c r="F4158" t="s">
        <v>89</v>
      </c>
      <c r="G4158" t="s">
        <v>203</v>
      </c>
      <c r="H4158" t="s">
        <v>229</v>
      </c>
      <c r="I4158" s="4">
        <v>125766.4408</v>
      </c>
      <c r="J4158" s="4">
        <v>754598.64480000001</v>
      </c>
      <c r="L4158" s="4">
        <v>6</v>
      </c>
    </row>
    <row r="4159" spans="1:12">
      <c r="A4159" t="s">
        <v>95</v>
      </c>
      <c r="B4159" s="10">
        <v>45404</v>
      </c>
      <c r="C4159" s="18">
        <f t="shared" si="64"/>
        <v>4</v>
      </c>
      <c r="D4159" t="s">
        <v>188</v>
      </c>
      <c r="E4159">
        <v>6080272</v>
      </c>
      <c r="F4159" t="s">
        <v>87</v>
      </c>
      <c r="G4159" t="s">
        <v>203</v>
      </c>
      <c r="H4159" t="s">
        <v>229</v>
      </c>
      <c r="I4159" s="4">
        <v>125766.4408</v>
      </c>
      <c r="J4159" s="4">
        <v>503065.76319999999</v>
      </c>
      <c r="K4159" s="4">
        <v>-9347.6755200000007</v>
      </c>
      <c r="L4159" s="4">
        <v>4</v>
      </c>
    </row>
    <row r="4160" spans="1:12">
      <c r="A4160" t="s">
        <v>95</v>
      </c>
      <c r="B4160" s="10">
        <v>45405</v>
      </c>
      <c r="C4160" s="18">
        <f t="shared" si="64"/>
        <v>4</v>
      </c>
      <c r="D4160" t="s">
        <v>188</v>
      </c>
      <c r="E4160">
        <v>4879158</v>
      </c>
      <c r="F4160" t="s">
        <v>87</v>
      </c>
      <c r="G4160" t="s">
        <v>203</v>
      </c>
      <c r="H4160" t="s">
        <v>229</v>
      </c>
      <c r="I4160" s="4">
        <v>125766.4408</v>
      </c>
      <c r="J4160" s="4">
        <v>377299.3224</v>
      </c>
      <c r="L4160" s="4">
        <v>3</v>
      </c>
    </row>
    <row r="4161" spans="1:12">
      <c r="A4161" t="s">
        <v>106</v>
      </c>
      <c r="B4161" s="10">
        <v>45387</v>
      </c>
      <c r="C4161" s="18">
        <f t="shared" si="64"/>
        <v>4</v>
      </c>
      <c r="D4161" t="s">
        <v>135</v>
      </c>
      <c r="E4161">
        <v>4876670</v>
      </c>
      <c r="F4161" t="s">
        <v>89</v>
      </c>
      <c r="G4161" t="s">
        <v>203</v>
      </c>
      <c r="H4161" t="s">
        <v>240</v>
      </c>
      <c r="I4161" s="4">
        <v>100638.28079999999</v>
      </c>
      <c r="J4161" s="4">
        <v>201276.56159999999</v>
      </c>
      <c r="L4161" s="4">
        <v>2</v>
      </c>
    </row>
    <row r="4162" spans="1:12">
      <c r="A4162" t="s">
        <v>106</v>
      </c>
      <c r="B4162" s="10">
        <v>45387</v>
      </c>
      <c r="C4162" s="18">
        <f t="shared" ref="C4162:C4225" si="65">MONTH(B4162)</f>
        <v>4</v>
      </c>
      <c r="D4162" t="s">
        <v>135</v>
      </c>
      <c r="E4162">
        <v>4876670</v>
      </c>
      <c r="F4162" t="s">
        <v>89</v>
      </c>
      <c r="G4162" t="s">
        <v>203</v>
      </c>
      <c r="H4162" t="s">
        <v>238</v>
      </c>
      <c r="I4162" s="4">
        <v>95606.36675999999</v>
      </c>
      <c r="J4162" s="4">
        <v>191212.73351999998</v>
      </c>
      <c r="L4162" s="4">
        <v>2</v>
      </c>
    </row>
    <row r="4163" spans="1:12">
      <c r="A4163" t="s">
        <v>106</v>
      </c>
      <c r="B4163" s="10">
        <v>45387</v>
      </c>
      <c r="C4163" s="18">
        <f t="shared" si="65"/>
        <v>4</v>
      </c>
      <c r="D4163" t="s">
        <v>135</v>
      </c>
      <c r="E4163">
        <v>4876670</v>
      </c>
      <c r="F4163" t="s">
        <v>89</v>
      </c>
      <c r="G4163" t="s">
        <v>203</v>
      </c>
      <c r="H4163" t="s">
        <v>230</v>
      </c>
      <c r="I4163" s="4">
        <v>100638.28079999999</v>
      </c>
      <c r="J4163" s="4">
        <v>201276.56159999999</v>
      </c>
      <c r="L4163" s="4">
        <v>2</v>
      </c>
    </row>
    <row r="4164" spans="1:12">
      <c r="A4164" t="s">
        <v>106</v>
      </c>
      <c r="B4164" s="10">
        <v>45387</v>
      </c>
      <c r="C4164" s="18">
        <f t="shared" si="65"/>
        <v>4</v>
      </c>
      <c r="D4164" t="s">
        <v>135</v>
      </c>
      <c r="E4164">
        <v>4872836</v>
      </c>
      <c r="F4164" t="s">
        <v>88</v>
      </c>
      <c r="G4164" t="s">
        <v>203</v>
      </c>
      <c r="H4164" t="s">
        <v>245</v>
      </c>
      <c r="I4164" s="4">
        <v>100638.28079999999</v>
      </c>
      <c r="J4164" s="4">
        <v>402553.12319999997</v>
      </c>
      <c r="L4164" s="4">
        <v>4</v>
      </c>
    </row>
    <row r="4165" spans="1:12">
      <c r="A4165" t="s">
        <v>106</v>
      </c>
      <c r="B4165" s="10">
        <v>45387</v>
      </c>
      <c r="C4165" s="18">
        <f t="shared" si="65"/>
        <v>4</v>
      </c>
      <c r="D4165" t="s">
        <v>135</v>
      </c>
      <c r="E4165">
        <v>4872836</v>
      </c>
      <c r="F4165" t="s">
        <v>88</v>
      </c>
      <c r="G4165" t="s">
        <v>203</v>
      </c>
      <c r="H4165" t="s">
        <v>243</v>
      </c>
      <c r="I4165" s="4">
        <v>100638.28079999999</v>
      </c>
      <c r="J4165" s="4">
        <v>402553.12319999997</v>
      </c>
      <c r="L4165" s="4">
        <v>4</v>
      </c>
    </row>
    <row r="4166" spans="1:12">
      <c r="A4166" t="s">
        <v>106</v>
      </c>
      <c r="B4166" s="10">
        <v>45387</v>
      </c>
      <c r="C4166" s="18">
        <f t="shared" si="65"/>
        <v>4</v>
      </c>
      <c r="D4166" t="s">
        <v>135</v>
      </c>
      <c r="E4166">
        <v>4872836</v>
      </c>
      <c r="F4166" t="s">
        <v>88</v>
      </c>
      <c r="G4166" t="s">
        <v>203</v>
      </c>
      <c r="H4166" t="s">
        <v>240</v>
      </c>
      <c r="I4166" s="4">
        <v>100638.28079999999</v>
      </c>
      <c r="J4166" s="4">
        <v>402553.12319999997</v>
      </c>
      <c r="L4166" s="4">
        <v>4</v>
      </c>
    </row>
    <row r="4167" spans="1:12">
      <c r="A4167" t="s">
        <v>106</v>
      </c>
      <c r="B4167" s="10">
        <v>45387</v>
      </c>
      <c r="C4167" s="18">
        <f t="shared" si="65"/>
        <v>4</v>
      </c>
      <c r="D4167" t="s">
        <v>135</v>
      </c>
      <c r="E4167">
        <v>4872836</v>
      </c>
      <c r="F4167" t="s">
        <v>88</v>
      </c>
      <c r="G4167" t="s">
        <v>203</v>
      </c>
      <c r="H4167" t="s">
        <v>238</v>
      </c>
      <c r="I4167" s="4">
        <v>95606.36675999999</v>
      </c>
      <c r="J4167" s="4">
        <v>382425.46703999996</v>
      </c>
      <c r="L4167" s="4">
        <v>4</v>
      </c>
    </row>
    <row r="4168" spans="1:12">
      <c r="A4168" t="s">
        <v>106</v>
      </c>
      <c r="B4168" s="10">
        <v>45387</v>
      </c>
      <c r="C4168" s="18">
        <f t="shared" si="65"/>
        <v>4</v>
      </c>
      <c r="D4168" t="s">
        <v>135</v>
      </c>
      <c r="E4168">
        <v>4872836</v>
      </c>
      <c r="F4168" t="s">
        <v>88</v>
      </c>
      <c r="G4168" t="s">
        <v>203</v>
      </c>
      <c r="H4168" t="s">
        <v>234</v>
      </c>
      <c r="I4168" s="4">
        <v>100638.28079999999</v>
      </c>
      <c r="J4168" s="4">
        <v>402553.12319999997</v>
      </c>
      <c r="L4168" s="4">
        <v>4</v>
      </c>
    </row>
    <row r="4169" spans="1:12">
      <c r="A4169" t="s">
        <v>106</v>
      </c>
      <c r="B4169" s="10">
        <v>45387</v>
      </c>
      <c r="C4169" s="18">
        <f t="shared" si="65"/>
        <v>4</v>
      </c>
      <c r="D4169" t="s">
        <v>135</v>
      </c>
      <c r="E4169">
        <v>4872836</v>
      </c>
      <c r="F4169" t="s">
        <v>88</v>
      </c>
      <c r="G4169" t="s">
        <v>203</v>
      </c>
      <c r="H4169" t="s">
        <v>228</v>
      </c>
      <c r="I4169" s="4">
        <v>100638.28079999999</v>
      </c>
      <c r="J4169" s="4">
        <v>603829.68479999993</v>
      </c>
      <c r="L4169" s="4">
        <v>6</v>
      </c>
    </row>
    <row r="4170" spans="1:12">
      <c r="A4170" t="s">
        <v>106</v>
      </c>
      <c r="B4170" s="10">
        <v>45387</v>
      </c>
      <c r="C4170" s="18">
        <f t="shared" si="65"/>
        <v>4</v>
      </c>
      <c r="D4170" t="s">
        <v>135</v>
      </c>
      <c r="E4170">
        <v>4873291</v>
      </c>
      <c r="F4170" t="s">
        <v>89</v>
      </c>
      <c r="G4170" t="s">
        <v>203</v>
      </c>
      <c r="H4170" t="s">
        <v>245</v>
      </c>
      <c r="I4170" s="4">
        <v>100638.28079999999</v>
      </c>
      <c r="J4170" s="4">
        <v>603829.68479999993</v>
      </c>
      <c r="L4170" s="4">
        <v>6</v>
      </c>
    </row>
    <row r="4171" spans="1:12">
      <c r="A4171" t="s">
        <v>106</v>
      </c>
      <c r="B4171" s="10">
        <v>45387</v>
      </c>
      <c r="C4171" s="18">
        <f t="shared" si="65"/>
        <v>4</v>
      </c>
      <c r="D4171" t="s">
        <v>135</v>
      </c>
      <c r="E4171">
        <v>4873291</v>
      </c>
      <c r="F4171" t="s">
        <v>89</v>
      </c>
      <c r="G4171" t="s">
        <v>203</v>
      </c>
      <c r="H4171" t="s">
        <v>243</v>
      </c>
      <c r="I4171" s="4">
        <v>100638.28079999999</v>
      </c>
      <c r="J4171" s="4">
        <v>603829.68479999993</v>
      </c>
      <c r="L4171" s="4">
        <v>6</v>
      </c>
    </row>
    <row r="4172" spans="1:12">
      <c r="A4172" t="s">
        <v>106</v>
      </c>
      <c r="B4172" s="10">
        <v>45387</v>
      </c>
      <c r="C4172" s="18">
        <f t="shared" si="65"/>
        <v>4</v>
      </c>
      <c r="D4172" t="s">
        <v>135</v>
      </c>
      <c r="E4172">
        <v>4873291</v>
      </c>
      <c r="F4172" t="s">
        <v>89</v>
      </c>
      <c r="G4172" t="s">
        <v>203</v>
      </c>
      <c r="H4172" t="s">
        <v>240</v>
      </c>
      <c r="I4172" s="4">
        <v>100638.28079999999</v>
      </c>
      <c r="J4172" s="4">
        <v>603829.68479999993</v>
      </c>
      <c r="L4172" s="4">
        <v>6</v>
      </c>
    </row>
    <row r="4173" spans="1:12">
      <c r="A4173" t="s">
        <v>106</v>
      </c>
      <c r="B4173" s="10">
        <v>45387</v>
      </c>
      <c r="C4173" s="18">
        <f t="shared" si="65"/>
        <v>4</v>
      </c>
      <c r="D4173" t="s">
        <v>135</v>
      </c>
      <c r="E4173">
        <v>4873291</v>
      </c>
      <c r="F4173" t="s">
        <v>89</v>
      </c>
      <c r="G4173" t="s">
        <v>203</v>
      </c>
      <c r="H4173" t="s">
        <v>238</v>
      </c>
      <c r="I4173" s="4">
        <v>95606.36675999999</v>
      </c>
      <c r="J4173" s="4">
        <v>573638.20055999991</v>
      </c>
      <c r="L4173" s="4">
        <v>6</v>
      </c>
    </row>
    <row r="4174" spans="1:12">
      <c r="A4174" t="s">
        <v>106</v>
      </c>
      <c r="B4174" s="10">
        <v>45387</v>
      </c>
      <c r="C4174" s="18">
        <f t="shared" si="65"/>
        <v>4</v>
      </c>
      <c r="D4174" t="s">
        <v>135</v>
      </c>
      <c r="E4174">
        <v>4873291</v>
      </c>
      <c r="F4174" t="s">
        <v>89</v>
      </c>
      <c r="G4174" t="s">
        <v>203</v>
      </c>
      <c r="H4174" t="s">
        <v>234</v>
      </c>
      <c r="I4174" s="4">
        <v>100638.28079999999</v>
      </c>
      <c r="J4174" s="4">
        <v>603829.68479999993</v>
      </c>
      <c r="L4174" s="4">
        <v>6</v>
      </c>
    </row>
    <row r="4175" spans="1:12">
      <c r="A4175" t="s">
        <v>106</v>
      </c>
      <c r="B4175" s="10">
        <v>45387</v>
      </c>
      <c r="C4175" s="18">
        <f t="shared" si="65"/>
        <v>4</v>
      </c>
      <c r="D4175" t="s">
        <v>135</v>
      </c>
      <c r="E4175">
        <v>4873291</v>
      </c>
      <c r="F4175" t="s">
        <v>89</v>
      </c>
      <c r="G4175" t="s">
        <v>203</v>
      </c>
      <c r="H4175" t="s">
        <v>244</v>
      </c>
      <c r="I4175" s="4">
        <v>125766.4408</v>
      </c>
      <c r="J4175" s="4">
        <v>251532.88159999999</v>
      </c>
      <c r="L4175" s="4">
        <v>2</v>
      </c>
    </row>
    <row r="4176" spans="1:12">
      <c r="A4176" t="s">
        <v>106</v>
      </c>
      <c r="B4176" s="10">
        <v>45387</v>
      </c>
      <c r="C4176" s="18">
        <f t="shared" si="65"/>
        <v>4</v>
      </c>
      <c r="D4176" t="s">
        <v>135</v>
      </c>
      <c r="E4176">
        <v>4873291</v>
      </c>
      <c r="F4176" t="s">
        <v>89</v>
      </c>
      <c r="G4176" t="s">
        <v>203</v>
      </c>
      <c r="H4176" t="s">
        <v>237</v>
      </c>
      <c r="I4176" s="4">
        <v>125766.4408</v>
      </c>
      <c r="J4176" s="4">
        <v>251532.88159999999</v>
      </c>
      <c r="L4176" s="4">
        <v>2</v>
      </c>
    </row>
    <row r="4177" spans="1:12">
      <c r="A4177" t="s">
        <v>106</v>
      </c>
      <c r="B4177" s="10">
        <v>45387</v>
      </c>
      <c r="C4177" s="18">
        <f t="shared" si="65"/>
        <v>4</v>
      </c>
      <c r="D4177" t="s">
        <v>135</v>
      </c>
      <c r="E4177">
        <v>4873291</v>
      </c>
      <c r="F4177" t="s">
        <v>89</v>
      </c>
      <c r="G4177" t="s">
        <v>203</v>
      </c>
      <c r="H4177" t="s">
        <v>229</v>
      </c>
      <c r="I4177" s="4">
        <v>125766.4408</v>
      </c>
      <c r="J4177" s="4">
        <v>251532.88159999999</v>
      </c>
      <c r="L4177" s="4">
        <v>2</v>
      </c>
    </row>
    <row r="4178" spans="1:12">
      <c r="A4178" t="s">
        <v>106</v>
      </c>
      <c r="B4178" s="10">
        <v>45387</v>
      </c>
      <c r="C4178" s="18">
        <f t="shared" si="65"/>
        <v>4</v>
      </c>
      <c r="D4178" t="s">
        <v>135</v>
      </c>
      <c r="E4178">
        <v>4874488</v>
      </c>
      <c r="F4178" t="s">
        <v>88</v>
      </c>
      <c r="G4178" t="s">
        <v>203</v>
      </c>
      <c r="H4178" t="s">
        <v>245</v>
      </c>
      <c r="I4178" s="4">
        <v>100638.28079999999</v>
      </c>
      <c r="J4178" s="4">
        <v>402553.12319999997</v>
      </c>
      <c r="L4178" s="4">
        <v>4</v>
      </c>
    </row>
    <row r="4179" spans="1:12">
      <c r="A4179" t="s">
        <v>106</v>
      </c>
      <c r="B4179" s="10">
        <v>45387</v>
      </c>
      <c r="C4179" s="18">
        <f t="shared" si="65"/>
        <v>4</v>
      </c>
      <c r="D4179" t="s">
        <v>135</v>
      </c>
      <c r="E4179">
        <v>4874488</v>
      </c>
      <c r="F4179" t="s">
        <v>88</v>
      </c>
      <c r="G4179" t="s">
        <v>203</v>
      </c>
      <c r="H4179" t="s">
        <v>240</v>
      </c>
      <c r="I4179" s="4">
        <v>100638.28079999999</v>
      </c>
      <c r="J4179" s="4">
        <v>402553.12319999997</v>
      </c>
      <c r="L4179" s="4">
        <v>4</v>
      </c>
    </row>
    <row r="4180" spans="1:12">
      <c r="A4180" t="s">
        <v>106</v>
      </c>
      <c r="B4180" s="10">
        <v>45387</v>
      </c>
      <c r="C4180" s="18">
        <f t="shared" si="65"/>
        <v>4</v>
      </c>
      <c r="D4180" t="s">
        <v>135</v>
      </c>
      <c r="E4180">
        <v>4874488</v>
      </c>
      <c r="F4180" t="s">
        <v>88</v>
      </c>
      <c r="G4180" t="s">
        <v>203</v>
      </c>
      <c r="H4180" t="s">
        <v>238</v>
      </c>
      <c r="I4180" s="4">
        <v>95606.36675999999</v>
      </c>
      <c r="J4180" s="4">
        <v>382425.46703999996</v>
      </c>
      <c r="L4180" s="4">
        <v>4</v>
      </c>
    </row>
    <row r="4181" spans="1:12">
      <c r="A4181" t="s">
        <v>106</v>
      </c>
      <c r="B4181" s="10">
        <v>45387</v>
      </c>
      <c r="C4181" s="18">
        <f t="shared" si="65"/>
        <v>4</v>
      </c>
      <c r="D4181" t="s">
        <v>135</v>
      </c>
      <c r="E4181">
        <v>4874488</v>
      </c>
      <c r="F4181" t="s">
        <v>88</v>
      </c>
      <c r="G4181" t="s">
        <v>203</v>
      </c>
      <c r="H4181" t="s">
        <v>230</v>
      </c>
      <c r="I4181" s="4">
        <v>100638.28079999999</v>
      </c>
      <c r="J4181" s="4">
        <v>402553.12319999997</v>
      </c>
      <c r="L4181" s="4">
        <v>4</v>
      </c>
    </row>
    <row r="4182" spans="1:12">
      <c r="A4182" t="s">
        <v>106</v>
      </c>
      <c r="B4182" s="10">
        <v>45388</v>
      </c>
      <c r="C4182" s="18">
        <f t="shared" si="65"/>
        <v>4</v>
      </c>
      <c r="D4182" t="s">
        <v>135</v>
      </c>
      <c r="E4182">
        <v>4872395</v>
      </c>
      <c r="F4182" t="s">
        <v>89</v>
      </c>
      <c r="G4182" t="s">
        <v>203</v>
      </c>
      <c r="H4182" t="s">
        <v>245</v>
      </c>
      <c r="I4182" s="4">
        <v>100638.28079999999</v>
      </c>
      <c r="J4182" s="4">
        <v>402553.12319999997</v>
      </c>
      <c r="L4182" s="4">
        <v>4</v>
      </c>
    </row>
    <row r="4183" spans="1:12">
      <c r="A4183" t="s">
        <v>106</v>
      </c>
      <c r="B4183" s="10">
        <v>45388</v>
      </c>
      <c r="C4183" s="18">
        <f t="shared" si="65"/>
        <v>4</v>
      </c>
      <c r="D4183" t="s">
        <v>135</v>
      </c>
      <c r="E4183">
        <v>4872395</v>
      </c>
      <c r="F4183" t="s">
        <v>89</v>
      </c>
      <c r="G4183" t="s">
        <v>203</v>
      </c>
      <c r="H4183" t="s">
        <v>243</v>
      </c>
      <c r="I4183" s="4">
        <v>100638.28079999999</v>
      </c>
      <c r="J4183" s="4">
        <v>402553.12319999997</v>
      </c>
      <c r="L4183" s="4">
        <v>4</v>
      </c>
    </row>
    <row r="4184" spans="1:12">
      <c r="A4184" t="s">
        <v>106</v>
      </c>
      <c r="B4184" s="10">
        <v>45388</v>
      </c>
      <c r="C4184" s="18">
        <f t="shared" si="65"/>
        <v>4</v>
      </c>
      <c r="D4184" t="s">
        <v>135</v>
      </c>
      <c r="E4184">
        <v>4872395</v>
      </c>
      <c r="F4184" t="s">
        <v>89</v>
      </c>
      <c r="G4184" t="s">
        <v>203</v>
      </c>
      <c r="H4184" t="s">
        <v>240</v>
      </c>
      <c r="I4184" s="4">
        <v>100638.28079999999</v>
      </c>
      <c r="J4184" s="4">
        <v>402553.12319999997</v>
      </c>
      <c r="L4184" s="4">
        <v>4</v>
      </c>
    </row>
    <row r="4185" spans="1:12">
      <c r="A4185" t="s">
        <v>106</v>
      </c>
      <c r="B4185" s="10">
        <v>45388</v>
      </c>
      <c r="C4185" s="18">
        <f t="shared" si="65"/>
        <v>4</v>
      </c>
      <c r="D4185" t="s">
        <v>135</v>
      </c>
      <c r="E4185">
        <v>4872395</v>
      </c>
      <c r="F4185" t="s">
        <v>89</v>
      </c>
      <c r="G4185" t="s">
        <v>203</v>
      </c>
      <c r="H4185" t="s">
        <v>238</v>
      </c>
      <c r="I4185" s="4">
        <v>95606.36675999999</v>
      </c>
      <c r="J4185" s="4">
        <v>382425.46703999996</v>
      </c>
      <c r="L4185" s="4">
        <v>4</v>
      </c>
    </row>
    <row r="4186" spans="1:12">
      <c r="A4186" t="s">
        <v>106</v>
      </c>
      <c r="B4186" s="10">
        <v>45388</v>
      </c>
      <c r="C4186" s="18">
        <f t="shared" si="65"/>
        <v>4</v>
      </c>
      <c r="D4186" t="s">
        <v>135</v>
      </c>
      <c r="E4186">
        <v>4872395</v>
      </c>
      <c r="F4186" t="s">
        <v>89</v>
      </c>
      <c r="G4186" t="s">
        <v>203</v>
      </c>
      <c r="H4186" t="s">
        <v>234</v>
      </c>
      <c r="I4186" s="4">
        <v>100638.28079999999</v>
      </c>
      <c r="J4186" s="4">
        <v>402553.12319999997</v>
      </c>
      <c r="L4186" s="4">
        <v>4</v>
      </c>
    </row>
    <row r="4187" spans="1:12">
      <c r="A4187" t="s">
        <v>106</v>
      </c>
      <c r="B4187" s="10">
        <v>45388</v>
      </c>
      <c r="C4187" s="18">
        <f t="shared" si="65"/>
        <v>4</v>
      </c>
      <c r="D4187" t="s">
        <v>135</v>
      </c>
      <c r="E4187">
        <v>4872395</v>
      </c>
      <c r="F4187" t="s">
        <v>89</v>
      </c>
      <c r="G4187" t="s">
        <v>203</v>
      </c>
      <c r="H4187" t="s">
        <v>230</v>
      </c>
      <c r="I4187" s="4">
        <v>100638.28079999999</v>
      </c>
      <c r="J4187" s="4">
        <v>402553.12319999997</v>
      </c>
      <c r="L4187" s="4">
        <v>4</v>
      </c>
    </row>
    <row r="4188" spans="1:12">
      <c r="A4188" t="s">
        <v>106</v>
      </c>
      <c r="B4188" s="10">
        <v>45388</v>
      </c>
      <c r="C4188" s="18">
        <f t="shared" si="65"/>
        <v>4</v>
      </c>
      <c r="D4188" t="s">
        <v>135</v>
      </c>
      <c r="E4188">
        <v>4872395</v>
      </c>
      <c r="F4188" t="s">
        <v>89</v>
      </c>
      <c r="G4188" t="s">
        <v>203</v>
      </c>
      <c r="H4188" t="s">
        <v>237</v>
      </c>
      <c r="I4188" s="4">
        <v>125766.4408</v>
      </c>
      <c r="J4188" s="4">
        <v>503065.76319999999</v>
      </c>
      <c r="L4188" s="4">
        <v>4</v>
      </c>
    </row>
    <row r="4189" spans="1:12">
      <c r="A4189" t="s">
        <v>106</v>
      </c>
      <c r="B4189" s="10">
        <v>45388</v>
      </c>
      <c r="C4189" s="18">
        <f t="shared" si="65"/>
        <v>4</v>
      </c>
      <c r="D4189" t="s">
        <v>135</v>
      </c>
      <c r="E4189">
        <v>4872395</v>
      </c>
      <c r="F4189" t="s">
        <v>89</v>
      </c>
      <c r="G4189" t="s">
        <v>203</v>
      </c>
      <c r="H4189" t="s">
        <v>235</v>
      </c>
      <c r="I4189" s="4">
        <v>125766.4408</v>
      </c>
      <c r="J4189" s="4">
        <v>503065.76319999999</v>
      </c>
      <c r="L4189" s="4">
        <v>4</v>
      </c>
    </row>
    <row r="4190" spans="1:12">
      <c r="A4190" t="s">
        <v>106</v>
      </c>
      <c r="B4190" s="10">
        <v>45388</v>
      </c>
      <c r="C4190" s="18">
        <f t="shared" si="65"/>
        <v>4</v>
      </c>
      <c r="D4190" t="s">
        <v>135</v>
      </c>
      <c r="E4190">
        <v>4878797</v>
      </c>
      <c r="F4190" t="s">
        <v>88</v>
      </c>
      <c r="G4190" t="s">
        <v>204</v>
      </c>
      <c r="H4190" t="s">
        <v>219</v>
      </c>
      <c r="I4190" s="4">
        <v>44099.9208</v>
      </c>
      <c r="J4190" s="4">
        <v>881998.41599999997</v>
      </c>
      <c r="L4190" s="4">
        <v>20</v>
      </c>
    </row>
    <row r="4191" spans="1:12">
      <c r="A4191" t="s">
        <v>106</v>
      </c>
      <c r="B4191" s="10">
        <v>45388</v>
      </c>
      <c r="C4191" s="18">
        <f t="shared" si="65"/>
        <v>4</v>
      </c>
      <c r="D4191" t="s">
        <v>135</v>
      </c>
      <c r="E4191">
        <v>4878797</v>
      </c>
      <c r="F4191" t="s">
        <v>88</v>
      </c>
      <c r="G4191" t="s">
        <v>202</v>
      </c>
      <c r="H4191" t="s">
        <v>261</v>
      </c>
      <c r="I4191" s="4">
        <v>41587.104800000001</v>
      </c>
      <c r="J4191" s="4">
        <v>2079355.24</v>
      </c>
      <c r="L4191" s="4">
        <v>50</v>
      </c>
    </row>
    <row r="4192" spans="1:12">
      <c r="A4192" t="s">
        <v>106</v>
      </c>
      <c r="B4192" s="10">
        <v>45388</v>
      </c>
      <c r="C4192" s="18">
        <f t="shared" si="65"/>
        <v>4</v>
      </c>
      <c r="D4192" t="s">
        <v>135</v>
      </c>
      <c r="E4192">
        <v>4878797</v>
      </c>
      <c r="F4192" t="s">
        <v>88</v>
      </c>
      <c r="G4192" t="s">
        <v>202</v>
      </c>
      <c r="H4192" t="s">
        <v>254</v>
      </c>
      <c r="I4192" s="4">
        <v>37817.880799999999</v>
      </c>
      <c r="J4192" s="4">
        <v>1890894.04</v>
      </c>
      <c r="L4192" s="4">
        <v>50</v>
      </c>
    </row>
    <row r="4193" spans="1:12">
      <c r="A4193" t="s">
        <v>106</v>
      </c>
      <c r="B4193" s="10">
        <v>45388</v>
      </c>
      <c r="C4193" s="18">
        <f t="shared" si="65"/>
        <v>4</v>
      </c>
      <c r="D4193" t="s">
        <v>135</v>
      </c>
      <c r="E4193">
        <v>4872585</v>
      </c>
      <c r="F4193" t="s">
        <v>90</v>
      </c>
      <c r="G4193" t="s">
        <v>203</v>
      </c>
      <c r="H4193" t="s">
        <v>245</v>
      </c>
      <c r="I4193" s="4">
        <v>100638.28079999999</v>
      </c>
      <c r="J4193" s="4">
        <v>201276.56159999999</v>
      </c>
      <c r="L4193" s="4">
        <v>2</v>
      </c>
    </row>
    <row r="4194" spans="1:12">
      <c r="A4194" t="s">
        <v>106</v>
      </c>
      <c r="B4194" s="10">
        <v>45388</v>
      </c>
      <c r="C4194" s="18">
        <f t="shared" si="65"/>
        <v>4</v>
      </c>
      <c r="D4194" t="s">
        <v>135</v>
      </c>
      <c r="E4194">
        <v>4872585</v>
      </c>
      <c r="F4194" t="s">
        <v>90</v>
      </c>
      <c r="G4194" t="s">
        <v>203</v>
      </c>
      <c r="H4194" t="s">
        <v>243</v>
      </c>
      <c r="I4194" s="4">
        <v>100638.28079999999</v>
      </c>
      <c r="J4194" s="4">
        <v>201276.56159999999</v>
      </c>
      <c r="L4194" s="4">
        <v>2</v>
      </c>
    </row>
    <row r="4195" spans="1:12">
      <c r="A4195" t="s">
        <v>106</v>
      </c>
      <c r="B4195" s="10">
        <v>45388</v>
      </c>
      <c r="C4195" s="18">
        <f t="shared" si="65"/>
        <v>4</v>
      </c>
      <c r="D4195" t="s">
        <v>135</v>
      </c>
      <c r="E4195">
        <v>4872585</v>
      </c>
      <c r="F4195" t="s">
        <v>90</v>
      </c>
      <c r="G4195" t="s">
        <v>203</v>
      </c>
      <c r="H4195" t="s">
        <v>240</v>
      </c>
      <c r="I4195" s="4">
        <v>100638.28079999999</v>
      </c>
      <c r="J4195" s="4">
        <v>201276.56159999999</v>
      </c>
      <c r="L4195" s="4">
        <v>2</v>
      </c>
    </row>
    <row r="4196" spans="1:12">
      <c r="A4196" t="s">
        <v>106</v>
      </c>
      <c r="B4196" s="10">
        <v>45388</v>
      </c>
      <c r="C4196" s="18">
        <f t="shared" si="65"/>
        <v>4</v>
      </c>
      <c r="D4196" t="s">
        <v>135</v>
      </c>
      <c r="E4196">
        <v>4872585</v>
      </c>
      <c r="F4196" t="s">
        <v>90</v>
      </c>
      <c r="G4196" t="s">
        <v>203</v>
      </c>
      <c r="H4196" t="s">
        <v>238</v>
      </c>
      <c r="I4196" s="4">
        <v>95606.36675999999</v>
      </c>
      <c r="J4196" s="4">
        <v>191212.73351999998</v>
      </c>
      <c r="L4196" s="4">
        <v>2</v>
      </c>
    </row>
    <row r="4197" spans="1:12">
      <c r="A4197" t="s">
        <v>106</v>
      </c>
      <c r="B4197" s="10">
        <v>45388</v>
      </c>
      <c r="C4197" s="18">
        <f t="shared" si="65"/>
        <v>4</v>
      </c>
      <c r="D4197" t="s">
        <v>135</v>
      </c>
      <c r="E4197">
        <v>4872585</v>
      </c>
      <c r="F4197" t="s">
        <v>90</v>
      </c>
      <c r="G4197" t="s">
        <v>203</v>
      </c>
      <c r="H4197" t="s">
        <v>234</v>
      </c>
      <c r="I4197" s="4">
        <v>100638.28079999999</v>
      </c>
      <c r="J4197" s="4">
        <v>201276.56159999999</v>
      </c>
      <c r="L4197" s="4">
        <v>2</v>
      </c>
    </row>
    <row r="4198" spans="1:12">
      <c r="A4198" t="s">
        <v>106</v>
      </c>
      <c r="B4198" s="10">
        <v>45388</v>
      </c>
      <c r="C4198" s="18">
        <f t="shared" si="65"/>
        <v>4</v>
      </c>
      <c r="D4198" t="s">
        <v>135</v>
      </c>
      <c r="E4198">
        <v>4872585</v>
      </c>
      <c r="F4198" t="s">
        <v>90</v>
      </c>
      <c r="G4198" t="s">
        <v>203</v>
      </c>
      <c r="H4198" t="s">
        <v>230</v>
      </c>
      <c r="I4198" s="4">
        <v>100638.28079999999</v>
      </c>
      <c r="J4198" s="4">
        <v>201276.56159999999</v>
      </c>
      <c r="L4198" s="4">
        <v>2</v>
      </c>
    </row>
    <row r="4199" spans="1:12">
      <c r="A4199" t="s">
        <v>106</v>
      </c>
      <c r="B4199" s="10">
        <v>45388</v>
      </c>
      <c r="C4199" s="18">
        <f t="shared" si="65"/>
        <v>4</v>
      </c>
      <c r="D4199" t="s">
        <v>135</v>
      </c>
      <c r="E4199">
        <v>4872585</v>
      </c>
      <c r="F4199" t="s">
        <v>90</v>
      </c>
      <c r="G4199" t="s">
        <v>204</v>
      </c>
      <c r="H4199" t="s">
        <v>215</v>
      </c>
      <c r="I4199" s="4">
        <v>75510.12079999999</v>
      </c>
      <c r="J4199" s="4">
        <v>377550.60399999993</v>
      </c>
      <c r="L4199" s="4">
        <v>5</v>
      </c>
    </row>
    <row r="4200" spans="1:12">
      <c r="A4200" t="s">
        <v>106</v>
      </c>
      <c r="B4200" s="10">
        <v>45388</v>
      </c>
      <c r="C4200" s="18">
        <f t="shared" si="65"/>
        <v>4</v>
      </c>
      <c r="D4200" t="s">
        <v>135</v>
      </c>
      <c r="E4200">
        <v>4872585</v>
      </c>
      <c r="F4200" t="s">
        <v>90</v>
      </c>
      <c r="G4200" t="s">
        <v>204</v>
      </c>
      <c r="H4200" t="s">
        <v>213</v>
      </c>
      <c r="I4200" s="4">
        <v>119484.4008</v>
      </c>
      <c r="J4200" s="4">
        <v>597422.00399999996</v>
      </c>
      <c r="L4200" s="4">
        <v>5</v>
      </c>
    </row>
    <row r="4201" spans="1:12">
      <c r="A4201" t="s">
        <v>106</v>
      </c>
      <c r="B4201" s="10">
        <v>45388</v>
      </c>
      <c r="C4201" s="18">
        <f t="shared" si="65"/>
        <v>4</v>
      </c>
      <c r="D4201" t="s">
        <v>135</v>
      </c>
      <c r="E4201">
        <v>4872950</v>
      </c>
      <c r="F4201" t="s">
        <v>88</v>
      </c>
      <c r="G4201" t="s">
        <v>203</v>
      </c>
      <c r="H4201" t="s">
        <v>245</v>
      </c>
      <c r="I4201" s="4">
        <v>100638.28079999999</v>
      </c>
      <c r="J4201" s="4">
        <v>402553.12319999997</v>
      </c>
      <c r="L4201" s="4">
        <v>4</v>
      </c>
    </row>
    <row r="4202" spans="1:12">
      <c r="A4202" t="s">
        <v>106</v>
      </c>
      <c r="B4202" s="10">
        <v>45388</v>
      </c>
      <c r="C4202" s="18">
        <f t="shared" si="65"/>
        <v>4</v>
      </c>
      <c r="D4202" t="s">
        <v>135</v>
      </c>
      <c r="E4202">
        <v>4872950</v>
      </c>
      <c r="F4202" t="s">
        <v>88</v>
      </c>
      <c r="G4202" t="s">
        <v>203</v>
      </c>
      <c r="H4202" t="s">
        <v>243</v>
      </c>
      <c r="I4202" s="4">
        <v>100638.28079999999</v>
      </c>
      <c r="J4202" s="4">
        <v>402553.12319999997</v>
      </c>
      <c r="L4202" s="4">
        <v>4</v>
      </c>
    </row>
    <row r="4203" spans="1:12">
      <c r="A4203" t="s">
        <v>106</v>
      </c>
      <c r="B4203" s="10">
        <v>45388</v>
      </c>
      <c r="C4203" s="18">
        <f t="shared" si="65"/>
        <v>4</v>
      </c>
      <c r="D4203" t="s">
        <v>135</v>
      </c>
      <c r="E4203">
        <v>4872950</v>
      </c>
      <c r="F4203" t="s">
        <v>88</v>
      </c>
      <c r="G4203" t="s">
        <v>203</v>
      </c>
      <c r="H4203" t="s">
        <v>240</v>
      </c>
      <c r="I4203" s="4">
        <v>100638.28079999999</v>
      </c>
      <c r="J4203" s="4">
        <v>402553.12319999997</v>
      </c>
      <c r="L4203" s="4">
        <v>4</v>
      </c>
    </row>
    <row r="4204" spans="1:12">
      <c r="A4204" t="s">
        <v>106</v>
      </c>
      <c r="B4204" s="10">
        <v>45388</v>
      </c>
      <c r="C4204" s="18">
        <f t="shared" si="65"/>
        <v>4</v>
      </c>
      <c r="D4204" t="s">
        <v>135</v>
      </c>
      <c r="E4204">
        <v>4872950</v>
      </c>
      <c r="F4204" t="s">
        <v>88</v>
      </c>
      <c r="G4204" t="s">
        <v>203</v>
      </c>
      <c r="H4204" t="s">
        <v>238</v>
      </c>
      <c r="I4204" s="4">
        <v>95606.36675999999</v>
      </c>
      <c r="J4204" s="4">
        <v>382425.46703999996</v>
      </c>
      <c r="L4204" s="4">
        <v>4</v>
      </c>
    </row>
    <row r="4205" spans="1:12">
      <c r="A4205" t="s">
        <v>106</v>
      </c>
      <c r="B4205" s="10">
        <v>45388</v>
      </c>
      <c r="C4205" s="18">
        <f t="shared" si="65"/>
        <v>4</v>
      </c>
      <c r="D4205" t="s">
        <v>135</v>
      </c>
      <c r="E4205">
        <v>4872950</v>
      </c>
      <c r="F4205" t="s">
        <v>88</v>
      </c>
      <c r="G4205" t="s">
        <v>203</v>
      </c>
      <c r="H4205" t="s">
        <v>234</v>
      </c>
      <c r="I4205" s="4">
        <v>100638.28079999999</v>
      </c>
      <c r="J4205" s="4">
        <v>402553.12319999997</v>
      </c>
      <c r="L4205" s="4">
        <v>4</v>
      </c>
    </row>
    <row r="4206" spans="1:12">
      <c r="A4206" t="s">
        <v>106</v>
      </c>
      <c r="B4206" s="10">
        <v>45388</v>
      </c>
      <c r="C4206" s="18">
        <f t="shared" si="65"/>
        <v>4</v>
      </c>
      <c r="D4206" t="s">
        <v>135</v>
      </c>
      <c r="E4206">
        <v>4872950</v>
      </c>
      <c r="F4206" t="s">
        <v>88</v>
      </c>
      <c r="G4206" t="s">
        <v>203</v>
      </c>
      <c r="H4206" t="s">
        <v>230</v>
      </c>
      <c r="I4206" s="4">
        <v>100638.28079999999</v>
      </c>
      <c r="J4206" s="4">
        <v>402553.12319999997</v>
      </c>
      <c r="L4206" s="4">
        <v>4</v>
      </c>
    </row>
    <row r="4207" spans="1:12">
      <c r="A4207" t="s">
        <v>106</v>
      </c>
      <c r="B4207" s="10">
        <v>45388</v>
      </c>
      <c r="C4207" s="18">
        <f t="shared" si="65"/>
        <v>4</v>
      </c>
      <c r="D4207" t="s">
        <v>135</v>
      </c>
      <c r="E4207">
        <v>4872950</v>
      </c>
      <c r="F4207" t="s">
        <v>88</v>
      </c>
      <c r="G4207" t="s">
        <v>203</v>
      </c>
      <c r="H4207" t="s">
        <v>244</v>
      </c>
      <c r="I4207" s="4">
        <v>125766.4408</v>
      </c>
      <c r="J4207" s="4">
        <v>1006131.5264</v>
      </c>
      <c r="L4207" s="4">
        <v>8</v>
      </c>
    </row>
    <row r="4208" spans="1:12">
      <c r="A4208" t="s">
        <v>106</v>
      </c>
      <c r="B4208" s="10">
        <v>45388</v>
      </c>
      <c r="C4208" s="18">
        <f t="shared" si="65"/>
        <v>4</v>
      </c>
      <c r="D4208" t="s">
        <v>135</v>
      </c>
      <c r="E4208">
        <v>4872616</v>
      </c>
      <c r="F4208" t="s">
        <v>87</v>
      </c>
      <c r="G4208" t="s">
        <v>203</v>
      </c>
      <c r="H4208" t="s">
        <v>245</v>
      </c>
      <c r="I4208" s="4">
        <v>100638.28079999999</v>
      </c>
      <c r="J4208" s="4">
        <v>201276.56159999999</v>
      </c>
      <c r="L4208" s="4">
        <v>2</v>
      </c>
    </row>
    <row r="4209" spans="1:12">
      <c r="A4209" t="s">
        <v>106</v>
      </c>
      <c r="B4209" s="10">
        <v>45388</v>
      </c>
      <c r="C4209" s="18">
        <f t="shared" si="65"/>
        <v>4</v>
      </c>
      <c r="D4209" t="s">
        <v>135</v>
      </c>
      <c r="E4209">
        <v>4872616</v>
      </c>
      <c r="F4209" t="s">
        <v>87</v>
      </c>
      <c r="G4209" t="s">
        <v>203</v>
      </c>
      <c r="H4209" t="s">
        <v>240</v>
      </c>
      <c r="I4209" s="4">
        <v>100638.28079999999</v>
      </c>
      <c r="J4209" s="4">
        <v>201276.56159999999</v>
      </c>
      <c r="L4209" s="4">
        <v>2</v>
      </c>
    </row>
    <row r="4210" spans="1:12">
      <c r="A4210" t="s">
        <v>106</v>
      </c>
      <c r="B4210" s="10">
        <v>45388</v>
      </c>
      <c r="C4210" s="18">
        <f t="shared" si="65"/>
        <v>4</v>
      </c>
      <c r="D4210" t="s">
        <v>135</v>
      </c>
      <c r="E4210">
        <v>4872616</v>
      </c>
      <c r="F4210" t="s">
        <v>87</v>
      </c>
      <c r="G4210" t="s">
        <v>203</v>
      </c>
      <c r="H4210" t="s">
        <v>238</v>
      </c>
      <c r="I4210" s="4">
        <v>95606.36675999999</v>
      </c>
      <c r="J4210" s="4">
        <v>191212.73351999998</v>
      </c>
      <c r="L4210" s="4">
        <v>2</v>
      </c>
    </row>
    <row r="4211" spans="1:12">
      <c r="A4211" t="s">
        <v>106</v>
      </c>
      <c r="B4211" s="10">
        <v>45388</v>
      </c>
      <c r="C4211" s="18">
        <f t="shared" si="65"/>
        <v>4</v>
      </c>
      <c r="D4211" t="s">
        <v>135</v>
      </c>
      <c r="E4211">
        <v>4872616</v>
      </c>
      <c r="F4211" t="s">
        <v>87</v>
      </c>
      <c r="G4211" t="s">
        <v>203</v>
      </c>
      <c r="H4211" t="s">
        <v>230</v>
      </c>
      <c r="I4211" s="4">
        <v>100638.28079999999</v>
      </c>
      <c r="J4211" s="4">
        <v>201276.56159999999</v>
      </c>
      <c r="L4211" s="4">
        <v>2</v>
      </c>
    </row>
    <row r="4212" spans="1:12">
      <c r="A4212" t="s">
        <v>106</v>
      </c>
      <c r="B4212" s="10">
        <v>45388</v>
      </c>
      <c r="C4212" s="18">
        <f t="shared" si="65"/>
        <v>4</v>
      </c>
      <c r="D4212" t="s">
        <v>135</v>
      </c>
      <c r="E4212">
        <v>4872616</v>
      </c>
      <c r="F4212" t="s">
        <v>87</v>
      </c>
      <c r="G4212" t="s">
        <v>203</v>
      </c>
      <c r="H4212" t="s">
        <v>237</v>
      </c>
      <c r="I4212" s="4">
        <v>125766.4408</v>
      </c>
      <c r="J4212" s="4">
        <v>251532.88159999999</v>
      </c>
      <c r="L4212" s="4">
        <v>2</v>
      </c>
    </row>
    <row r="4213" spans="1:12">
      <c r="A4213" t="s">
        <v>106</v>
      </c>
      <c r="B4213" s="10">
        <v>45388</v>
      </c>
      <c r="C4213" s="18">
        <f t="shared" si="65"/>
        <v>4</v>
      </c>
      <c r="D4213" t="s">
        <v>135</v>
      </c>
      <c r="E4213">
        <v>4872616</v>
      </c>
      <c r="F4213" t="s">
        <v>87</v>
      </c>
      <c r="G4213" t="s">
        <v>203</v>
      </c>
      <c r="H4213" t="s">
        <v>235</v>
      </c>
      <c r="I4213" s="4">
        <v>125766.4408</v>
      </c>
      <c r="J4213" s="4">
        <v>251532.88159999999</v>
      </c>
      <c r="L4213" s="4">
        <v>2</v>
      </c>
    </row>
    <row r="4214" spans="1:12">
      <c r="A4214" t="s">
        <v>106</v>
      </c>
      <c r="B4214" s="10">
        <v>45389</v>
      </c>
      <c r="C4214" s="18">
        <f t="shared" si="65"/>
        <v>4</v>
      </c>
      <c r="D4214" t="s">
        <v>135</v>
      </c>
      <c r="E4214">
        <v>4873659</v>
      </c>
      <c r="F4214" t="s">
        <v>89</v>
      </c>
      <c r="G4214" t="s">
        <v>203</v>
      </c>
      <c r="H4214" t="s">
        <v>245</v>
      </c>
      <c r="I4214" s="4">
        <v>100638.28079999999</v>
      </c>
      <c r="J4214" s="4">
        <v>603829.68479999993</v>
      </c>
      <c r="L4214" s="4">
        <v>6</v>
      </c>
    </row>
    <row r="4215" spans="1:12">
      <c r="A4215" t="s">
        <v>106</v>
      </c>
      <c r="B4215" s="10">
        <v>45389</v>
      </c>
      <c r="C4215" s="18">
        <f t="shared" si="65"/>
        <v>4</v>
      </c>
      <c r="D4215" t="s">
        <v>135</v>
      </c>
      <c r="E4215">
        <v>4873659</v>
      </c>
      <c r="F4215" t="s">
        <v>89</v>
      </c>
      <c r="G4215" t="s">
        <v>203</v>
      </c>
      <c r="H4215" t="s">
        <v>240</v>
      </c>
      <c r="I4215" s="4">
        <v>100638.28079999999</v>
      </c>
      <c r="J4215" s="4">
        <v>603829.68479999993</v>
      </c>
      <c r="L4215" s="4">
        <v>6</v>
      </c>
    </row>
    <row r="4216" spans="1:12">
      <c r="A4216" t="s">
        <v>106</v>
      </c>
      <c r="B4216" s="10">
        <v>45389</v>
      </c>
      <c r="C4216" s="18">
        <f t="shared" si="65"/>
        <v>4</v>
      </c>
      <c r="D4216" t="s">
        <v>135</v>
      </c>
      <c r="E4216">
        <v>4873659</v>
      </c>
      <c r="F4216" t="s">
        <v>89</v>
      </c>
      <c r="G4216" t="s">
        <v>203</v>
      </c>
      <c r="H4216" t="s">
        <v>238</v>
      </c>
      <c r="I4216" s="4">
        <v>95606.36675999999</v>
      </c>
      <c r="J4216" s="4">
        <v>573638.20055999991</v>
      </c>
      <c r="L4216" s="4">
        <v>6</v>
      </c>
    </row>
    <row r="4217" spans="1:12">
      <c r="A4217" t="s">
        <v>106</v>
      </c>
      <c r="B4217" s="10">
        <v>45389</v>
      </c>
      <c r="C4217" s="18">
        <f t="shared" si="65"/>
        <v>4</v>
      </c>
      <c r="D4217" t="s">
        <v>135</v>
      </c>
      <c r="E4217">
        <v>4873659</v>
      </c>
      <c r="F4217" t="s">
        <v>89</v>
      </c>
      <c r="G4217" t="s">
        <v>203</v>
      </c>
      <c r="H4217" t="s">
        <v>230</v>
      </c>
      <c r="I4217" s="4">
        <v>100638.28079999999</v>
      </c>
      <c r="J4217" s="4">
        <v>603829.68479999993</v>
      </c>
      <c r="L4217" s="4">
        <v>6</v>
      </c>
    </row>
    <row r="4218" spans="1:12">
      <c r="A4218" t="s">
        <v>106</v>
      </c>
      <c r="B4218" s="10">
        <v>45389</v>
      </c>
      <c r="C4218" s="18">
        <f t="shared" si="65"/>
        <v>4</v>
      </c>
      <c r="D4218" t="s">
        <v>135</v>
      </c>
      <c r="E4218">
        <v>4872949</v>
      </c>
      <c r="F4218" t="s">
        <v>89</v>
      </c>
      <c r="G4218" t="s">
        <v>203</v>
      </c>
      <c r="H4218" t="s">
        <v>237</v>
      </c>
      <c r="I4218" s="4">
        <v>125766.4408</v>
      </c>
      <c r="J4218" s="4">
        <v>251532.88159999999</v>
      </c>
      <c r="L4218" s="4">
        <v>2</v>
      </c>
    </row>
    <row r="4219" spans="1:12">
      <c r="A4219" t="s">
        <v>106</v>
      </c>
      <c r="B4219" s="10">
        <v>45389</v>
      </c>
      <c r="C4219" s="18">
        <f t="shared" si="65"/>
        <v>4</v>
      </c>
      <c r="D4219" t="s">
        <v>135</v>
      </c>
      <c r="E4219">
        <v>4872949</v>
      </c>
      <c r="F4219" t="s">
        <v>89</v>
      </c>
      <c r="G4219" t="s">
        <v>203</v>
      </c>
      <c r="H4219" t="s">
        <v>235</v>
      </c>
      <c r="I4219" s="4">
        <v>125766.4408</v>
      </c>
      <c r="J4219" s="4">
        <v>503065.76319999999</v>
      </c>
      <c r="L4219" s="4">
        <v>4</v>
      </c>
    </row>
    <row r="4220" spans="1:12">
      <c r="A4220" t="s">
        <v>106</v>
      </c>
      <c r="B4220" s="10">
        <v>45389</v>
      </c>
      <c r="C4220" s="18">
        <f t="shared" si="65"/>
        <v>4</v>
      </c>
      <c r="D4220" t="s">
        <v>135</v>
      </c>
      <c r="E4220">
        <v>4873204</v>
      </c>
      <c r="F4220" t="s">
        <v>88</v>
      </c>
      <c r="G4220" t="s">
        <v>203</v>
      </c>
      <c r="H4220" t="s">
        <v>240</v>
      </c>
      <c r="I4220" s="4">
        <v>100638.28079999999</v>
      </c>
      <c r="J4220" s="4">
        <v>201276.56159999999</v>
      </c>
      <c r="L4220" s="4">
        <v>2</v>
      </c>
    </row>
    <row r="4221" spans="1:12">
      <c r="A4221" t="s">
        <v>106</v>
      </c>
      <c r="B4221" s="10">
        <v>45389</v>
      </c>
      <c r="C4221" s="18">
        <f t="shared" si="65"/>
        <v>4</v>
      </c>
      <c r="D4221" t="s">
        <v>135</v>
      </c>
      <c r="E4221">
        <v>4873204</v>
      </c>
      <c r="F4221" t="s">
        <v>88</v>
      </c>
      <c r="G4221" t="s">
        <v>203</v>
      </c>
      <c r="H4221" t="s">
        <v>238</v>
      </c>
      <c r="I4221" s="4">
        <v>95606.36675999999</v>
      </c>
      <c r="J4221" s="4">
        <v>191212.73351999998</v>
      </c>
      <c r="L4221" s="4">
        <v>2</v>
      </c>
    </row>
    <row r="4222" spans="1:12">
      <c r="A4222" t="s">
        <v>106</v>
      </c>
      <c r="B4222" s="10">
        <v>45389</v>
      </c>
      <c r="C4222" s="18">
        <f t="shared" si="65"/>
        <v>4</v>
      </c>
      <c r="D4222" t="s">
        <v>135</v>
      </c>
      <c r="E4222">
        <v>4873204</v>
      </c>
      <c r="F4222" t="s">
        <v>88</v>
      </c>
      <c r="G4222" t="s">
        <v>203</v>
      </c>
      <c r="H4222" t="s">
        <v>230</v>
      </c>
      <c r="I4222" s="4">
        <v>100638.28079999999</v>
      </c>
      <c r="J4222" s="4">
        <v>201276.56159999999</v>
      </c>
      <c r="L4222" s="4">
        <v>2</v>
      </c>
    </row>
    <row r="4223" spans="1:12">
      <c r="A4223" t="s">
        <v>106</v>
      </c>
      <c r="B4223" s="10">
        <v>45389</v>
      </c>
      <c r="C4223" s="18">
        <f t="shared" si="65"/>
        <v>4</v>
      </c>
      <c r="D4223" t="s">
        <v>135</v>
      </c>
      <c r="E4223">
        <v>4873827</v>
      </c>
      <c r="F4223" t="s">
        <v>88</v>
      </c>
      <c r="G4223" t="s">
        <v>203</v>
      </c>
      <c r="H4223" t="s">
        <v>245</v>
      </c>
      <c r="I4223" s="4">
        <v>100638.28079999999</v>
      </c>
      <c r="J4223" s="4">
        <v>603829.68479999993</v>
      </c>
      <c r="L4223" s="4">
        <v>6</v>
      </c>
    </row>
    <row r="4224" spans="1:12">
      <c r="A4224" t="s">
        <v>106</v>
      </c>
      <c r="B4224" s="10">
        <v>45389</v>
      </c>
      <c r="C4224" s="18">
        <f t="shared" si="65"/>
        <v>4</v>
      </c>
      <c r="D4224" t="s">
        <v>135</v>
      </c>
      <c r="E4224">
        <v>4873827</v>
      </c>
      <c r="F4224" t="s">
        <v>88</v>
      </c>
      <c r="G4224" t="s">
        <v>203</v>
      </c>
      <c r="H4224" t="s">
        <v>243</v>
      </c>
      <c r="I4224" s="4">
        <v>100638.28079999999</v>
      </c>
      <c r="J4224" s="4">
        <v>603829.68479999993</v>
      </c>
      <c r="L4224" s="4">
        <v>6</v>
      </c>
    </row>
    <row r="4225" spans="1:12">
      <c r="A4225" t="s">
        <v>106</v>
      </c>
      <c r="B4225" s="10">
        <v>45389</v>
      </c>
      <c r="C4225" s="18">
        <f t="shared" si="65"/>
        <v>4</v>
      </c>
      <c r="D4225" t="s">
        <v>135</v>
      </c>
      <c r="E4225">
        <v>4873827</v>
      </c>
      <c r="F4225" t="s">
        <v>88</v>
      </c>
      <c r="G4225" t="s">
        <v>203</v>
      </c>
      <c r="H4225" t="s">
        <v>240</v>
      </c>
      <c r="I4225" s="4">
        <v>100638.28079999999</v>
      </c>
      <c r="J4225" s="4">
        <v>603829.68479999993</v>
      </c>
      <c r="L4225" s="4">
        <v>6</v>
      </c>
    </row>
    <row r="4226" spans="1:12">
      <c r="A4226" t="s">
        <v>106</v>
      </c>
      <c r="B4226" s="10">
        <v>45389</v>
      </c>
      <c r="C4226" s="18">
        <f t="shared" ref="C4226:C4289" si="66">MONTH(B4226)</f>
        <v>4</v>
      </c>
      <c r="D4226" t="s">
        <v>135</v>
      </c>
      <c r="E4226">
        <v>4873827</v>
      </c>
      <c r="F4226" t="s">
        <v>88</v>
      </c>
      <c r="G4226" t="s">
        <v>203</v>
      </c>
      <c r="H4226" t="s">
        <v>238</v>
      </c>
      <c r="I4226" s="4">
        <v>95606.36675999999</v>
      </c>
      <c r="J4226" s="4">
        <v>573638.20055999991</v>
      </c>
      <c r="L4226" s="4">
        <v>6</v>
      </c>
    </row>
    <row r="4227" spans="1:12">
      <c r="A4227" t="s">
        <v>106</v>
      </c>
      <c r="B4227" s="10">
        <v>45389</v>
      </c>
      <c r="C4227" s="18">
        <f t="shared" si="66"/>
        <v>4</v>
      </c>
      <c r="D4227" t="s">
        <v>135</v>
      </c>
      <c r="E4227">
        <v>4873827</v>
      </c>
      <c r="F4227" t="s">
        <v>88</v>
      </c>
      <c r="G4227" t="s">
        <v>203</v>
      </c>
      <c r="H4227" t="s">
        <v>234</v>
      </c>
      <c r="I4227" s="4">
        <v>100638.28079999999</v>
      </c>
      <c r="J4227" s="4">
        <v>603829.68479999993</v>
      </c>
      <c r="L4227" s="4">
        <v>6</v>
      </c>
    </row>
    <row r="4228" spans="1:12">
      <c r="A4228" t="s">
        <v>106</v>
      </c>
      <c r="B4228" s="10">
        <v>45389</v>
      </c>
      <c r="C4228" s="18">
        <f t="shared" si="66"/>
        <v>4</v>
      </c>
      <c r="D4228" t="s">
        <v>135</v>
      </c>
      <c r="E4228">
        <v>4873827</v>
      </c>
      <c r="F4228" t="s">
        <v>88</v>
      </c>
      <c r="G4228" t="s">
        <v>203</v>
      </c>
      <c r="H4228" t="s">
        <v>230</v>
      </c>
      <c r="I4228" s="4">
        <v>100638.28079999999</v>
      </c>
      <c r="J4228" s="4">
        <v>603829.68479999993</v>
      </c>
      <c r="L4228" s="4">
        <v>6</v>
      </c>
    </row>
    <row r="4229" spans="1:12">
      <c r="A4229" t="s">
        <v>106</v>
      </c>
      <c r="B4229" s="10">
        <v>45389</v>
      </c>
      <c r="C4229" s="18">
        <f t="shared" si="66"/>
        <v>4</v>
      </c>
      <c r="D4229" t="s">
        <v>135</v>
      </c>
      <c r="E4229">
        <v>4875762</v>
      </c>
      <c r="F4229" t="s">
        <v>88</v>
      </c>
      <c r="G4229" t="s">
        <v>203</v>
      </c>
      <c r="H4229" t="s">
        <v>245</v>
      </c>
      <c r="I4229" s="4">
        <v>100638.28079999999</v>
      </c>
      <c r="J4229" s="4">
        <v>402553.12319999997</v>
      </c>
      <c r="L4229" s="4">
        <v>4</v>
      </c>
    </row>
    <row r="4230" spans="1:12">
      <c r="A4230" t="s">
        <v>106</v>
      </c>
      <c r="B4230" s="10">
        <v>45389</v>
      </c>
      <c r="C4230" s="18">
        <f t="shared" si="66"/>
        <v>4</v>
      </c>
      <c r="D4230" t="s">
        <v>135</v>
      </c>
      <c r="E4230">
        <v>4875762</v>
      </c>
      <c r="F4230" t="s">
        <v>88</v>
      </c>
      <c r="G4230" t="s">
        <v>203</v>
      </c>
      <c r="H4230" t="s">
        <v>243</v>
      </c>
      <c r="I4230" s="4">
        <v>100638.28079999999</v>
      </c>
      <c r="J4230" s="4">
        <v>402553.12319999997</v>
      </c>
      <c r="L4230" s="4">
        <v>4</v>
      </c>
    </row>
    <row r="4231" spans="1:12">
      <c r="A4231" t="s">
        <v>106</v>
      </c>
      <c r="B4231" s="10">
        <v>45389</v>
      </c>
      <c r="C4231" s="18">
        <f t="shared" si="66"/>
        <v>4</v>
      </c>
      <c r="D4231" t="s">
        <v>135</v>
      </c>
      <c r="E4231">
        <v>4875762</v>
      </c>
      <c r="F4231" t="s">
        <v>88</v>
      </c>
      <c r="G4231" t="s">
        <v>203</v>
      </c>
      <c r="H4231" t="s">
        <v>240</v>
      </c>
      <c r="I4231" s="4">
        <v>100638.28079999999</v>
      </c>
      <c r="J4231" s="4">
        <v>402553.12319999997</v>
      </c>
      <c r="L4231" s="4">
        <v>4</v>
      </c>
    </row>
    <row r="4232" spans="1:12">
      <c r="A4232" t="s">
        <v>106</v>
      </c>
      <c r="B4232" s="10">
        <v>45389</v>
      </c>
      <c r="C4232" s="18">
        <f t="shared" si="66"/>
        <v>4</v>
      </c>
      <c r="D4232" t="s">
        <v>135</v>
      </c>
      <c r="E4232">
        <v>4875762</v>
      </c>
      <c r="F4232" t="s">
        <v>88</v>
      </c>
      <c r="G4232" t="s">
        <v>203</v>
      </c>
      <c r="H4232" t="s">
        <v>238</v>
      </c>
      <c r="I4232" s="4">
        <v>95606.36675999999</v>
      </c>
      <c r="J4232" s="4">
        <v>382425.46703999996</v>
      </c>
      <c r="L4232" s="4">
        <v>4</v>
      </c>
    </row>
    <row r="4233" spans="1:12">
      <c r="A4233" t="s">
        <v>106</v>
      </c>
      <c r="B4233" s="10">
        <v>45389</v>
      </c>
      <c r="C4233" s="18">
        <f t="shared" si="66"/>
        <v>4</v>
      </c>
      <c r="D4233" t="s">
        <v>135</v>
      </c>
      <c r="E4233">
        <v>4875762</v>
      </c>
      <c r="F4233" t="s">
        <v>88</v>
      </c>
      <c r="G4233" t="s">
        <v>203</v>
      </c>
      <c r="H4233" t="s">
        <v>234</v>
      </c>
      <c r="I4233" s="4">
        <v>100638.28079999999</v>
      </c>
      <c r="J4233" s="4">
        <v>402553.12319999997</v>
      </c>
      <c r="L4233" s="4">
        <v>4</v>
      </c>
    </row>
    <row r="4234" spans="1:12">
      <c r="A4234" t="s">
        <v>106</v>
      </c>
      <c r="B4234" s="10">
        <v>45389</v>
      </c>
      <c r="C4234" s="18">
        <f t="shared" si="66"/>
        <v>4</v>
      </c>
      <c r="D4234" t="s">
        <v>135</v>
      </c>
      <c r="E4234">
        <v>4875762</v>
      </c>
      <c r="F4234" t="s">
        <v>88</v>
      </c>
      <c r="G4234" t="s">
        <v>203</v>
      </c>
      <c r="H4234" t="s">
        <v>230</v>
      </c>
      <c r="I4234" s="4">
        <v>100638.28079999999</v>
      </c>
      <c r="J4234" s="4">
        <v>402553.12319999997</v>
      </c>
      <c r="L4234" s="4">
        <v>4</v>
      </c>
    </row>
    <row r="4235" spans="1:12">
      <c r="A4235" t="s">
        <v>106</v>
      </c>
      <c r="B4235" s="10">
        <v>45389</v>
      </c>
      <c r="C4235" s="18">
        <f t="shared" si="66"/>
        <v>4</v>
      </c>
      <c r="D4235" t="s">
        <v>135</v>
      </c>
      <c r="E4235">
        <v>4876003</v>
      </c>
      <c r="F4235" t="s">
        <v>89</v>
      </c>
      <c r="G4235" t="s">
        <v>203</v>
      </c>
      <c r="H4235" t="s">
        <v>245</v>
      </c>
      <c r="I4235" s="4">
        <v>100638.28079999999</v>
      </c>
      <c r="J4235" s="4">
        <v>402553.12319999997</v>
      </c>
      <c r="L4235" s="4">
        <v>4</v>
      </c>
    </row>
    <row r="4236" spans="1:12">
      <c r="A4236" t="s">
        <v>106</v>
      </c>
      <c r="B4236" s="10">
        <v>45389</v>
      </c>
      <c r="C4236" s="18">
        <f t="shared" si="66"/>
        <v>4</v>
      </c>
      <c r="D4236" t="s">
        <v>135</v>
      </c>
      <c r="E4236">
        <v>4876003</v>
      </c>
      <c r="F4236" t="s">
        <v>89</v>
      </c>
      <c r="G4236" t="s">
        <v>203</v>
      </c>
      <c r="H4236" t="s">
        <v>240</v>
      </c>
      <c r="I4236" s="4">
        <v>100638.28079999999</v>
      </c>
      <c r="J4236" s="4">
        <v>402553.12319999997</v>
      </c>
      <c r="L4236" s="4">
        <v>4</v>
      </c>
    </row>
    <row r="4237" spans="1:12">
      <c r="A4237" t="s">
        <v>106</v>
      </c>
      <c r="B4237" s="10">
        <v>45389</v>
      </c>
      <c r="C4237" s="18">
        <f t="shared" si="66"/>
        <v>4</v>
      </c>
      <c r="D4237" t="s">
        <v>135</v>
      </c>
      <c r="E4237">
        <v>4876003</v>
      </c>
      <c r="F4237" t="s">
        <v>89</v>
      </c>
      <c r="G4237" t="s">
        <v>203</v>
      </c>
      <c r="H4237" t="s">
        <v>238</v>
      </c>
      <c r="I4237" s="4">
        <v>95606.36675999999</v>
      </c>
      <c r="J4237" s="4">
        <v>382425.46703999996</v>
      </c>
      <c r="L4237" s="4">
        <v>4</v>
      </c>
    </row>
    <row r="4238" spans="1:12">
      <c r="A4238" t="s">
        <v>106</v>
      </c>
      <c r="B4238" s="10">
        <v>45389</v>
      </c>
      <c r="C4238" s="18">
        <f t="shared" si="66"/>
        <v>4</v>
      </c>
      <c r="D4238" t="s">
        <v>135</v>
      </c>
      <c r="E4238">
        <v>4876003</v>
      </c>
      <c r="F4238" t="s">
        <v>89</v>
      </c>
      <c r="G4238" t="s">
        <v>203</v>
      </c>
      <c r="H4238" t="s">
        <v>225</v>
      </c>
      <c r="I4238" s="4">
        <v>100638.28079999999</v>
      </c>
      <c r="J4238" s="4">
        <v>402553.12319999997</v>
      </c>
      <c r="L4238" s="4">
        <v>4</v>
      </c>
    </row>
    <row r="4239" spans="1:12">
      <c r="A4239" t="s">
        <v>106</v>
      </c>
      <c r="B4239" s="10">
        <v>45390</v>
      </c>
      <c r="C4239" s="18">
        <f t="shared" si="66"/>
        <v>4</v>
      </c>
      <c r="D4239" t="s">
        <v>135</v>
      </c>
      <c r="E4239">
        <v>4876331</v>
      </c>
      <c r="F4239" t="s">
        <v>89</v>
      </c>
      <c r="G4239" t="s">
        <v>203</v>
      </c>
      <c r="H4239" t="s">
        <v>240</v>
      </c>
      <c r="I4239" s="4">
        <v>100638.28079999999</v>
      </c>
      <c r="J4239" s="4">
        <v>603829.68479999993</v>
      </c>
      <c r="L4239" s="4">
        <v>6</v>
      </c>
    </row>
    <row r="4240" spans="1:12">
      <c r="A4240" t="s">
        <v>106</v>
      </c>
      <c r="B4240" s="10">
        <v>45390</v>
      </c>
      <c r="C4240" s="18">
        <f t="shared" si="66"/>
        <v>4</v>
      </c>
      <c r="D4240" t="s">
        <v>135</v>
      </c>
      <c r="E4240">
        <v>4876331</v>
      </c>
      <c r="F4240" t="s">
        <v>89</v>
      </c>
      <c r="G4240" t="s">
        <v>203</v>
      </c>
      <c r="H4240" t="s">
        <v>238</v>
      </c>
      <c r="I4240" s="4">
        <v>95606.36675999999</v>
      </c>
      <c r="J4240" s="4">
        <v>573638.20055999991</v>
      </c>
      <c r="L4240" s="4">
        <v>6</v>
      </c>
    </row>
    <row r="4241" spans="1:12">
      <c r="A4241" t="s">
        <v>106</v>
      </c>
      <c r="B4241" s="10">
        <v>45394</v>
      </c>
      <c r="C4241" s="18">
        <f t="shared" si="66"/>
        <v>4</v>
      </c>
      <c r="D4241" t="s">
        <v>135</v>
      </c>
      <c r="E4241">
        <v>4879076</v>
      </c>
      <c r="F4241" t="s">
        <v>88</v>
      </c>
      <c r="G4241" t="s">
        <v>203</v>
      </c>
      <c r="H4241" t="s">
        <v>245</v>
      </c>
      <c r="I4241" s="4">
        <v>100638.28079999999</v>
      </c>
      <c r="J4241" s="4">
        <v>603829.68479999993</v>
      </c>
      <c r="L4241" s="4">
        <v>6</v>
      </c>
    </row>
    <row r="4242" spans="1:12">
      <c r="A4242" t="s">
        <v>106</v>
      </c>
      <c r="B4242" s="10">
        <v>45394</v>
      </c>
      <c r="C4242" s="18">
        <f t="shared" si="66"/>
        <v>4</v>
      </c>
      <c r="D4242" t="s">
        <v>135</v>
      </c>
      <c r="E4242">
        <v>4879076</v>
      </c>
      <c r="F4242" t="s">
        <v>88</v>
      </c>
      <c r="G4242" t="s">
        <v>203</v>
      </c>
      <c r="H4242" t="s">
        <v>240</v>
      </c>
      <c r="I4242" s="4">
        <v>100638.28079999999</v>
      </c>
      <c r="J4242" s="4">
        <v>402553.12319999997</v>
      </c>
      <c r="L4242" s="4">
        <v>4</v>
      </c>
    </row>
    <row r="4243" spans="1:12">
      <c r="A4243" t="s">
        <v>106</v>
      </c>
      <c r="B4243" s="10">
        <v>45394</v>
      </c>
      <c r="C4243" s="18">
        <f t="shared" si="66"/>
        <v>4</v>
      </c>
      <c r="D4243" t="s">
        <v>135</v>
      </c>
      <c r="E4243">
        <v>4879076</v>
      </c>
      <c r="F4243" t="s">
        <v>88</v>
      </c>
      <c r="G4243" t="s">
        <v>203</v>
      </c>
      <c r="H4243" t="s">
        <v>238</v>
      </c>
      <c r="I4243" s="4">
        <v>95606.36675999999</v>
      </c>
      <c r="J4243" s="4">
        <v>382425.46703999996</v>
      </c>
      <c r="L4243" s="4">
        <v>4</v>
      </c>
    </row>
    <row r="4244" spans="1:12">
      <c r="A4244" t="s">
        <v>106</v>
      </c>
      <c r="B4244" s="10">
        <v>45394</v>
      </c>
      <c r="C4244" s="18">
        <f t="shared" si="66"/>
        <v>4</v>
      </c>
      <c r="D4244" t="s">
        <v>135</v>
      </c>
      <c r="E4244">
        <v>4879076</v>
      </c>
      <c r="F4244" t="s">
        <v>88</v>
      </c>
      <c r="G4244" t="s">
        <v>203</v>
      </c>
      <c r="H4244" t="s">
        <v>230</v>
      </c>
      <c r="I4244" s="4">
        <v>100638.28079999999</v>
      </c>
      <c r="J4244" s="4">
        <v>402553.12319999997</v>
      </c>
      <c r="L4244" s="4">
        <v>4</v>
      </c>
    </row>
    <row r="4245" spans="1:12">
      <c r="A4245" t="s">
        <v>106</v>
      </c>
      <c r="B4245" s="10">
        <v>45394</v>
      </c>
      <c r="C4245" s="18">
        <f t="shared" si="66"/>
        <v>4</v>
      </c>
      <c r="D4245" t="s">
        <v>135</v>
      </c>
      <c r="E4245">
        <v>4879076</v>
      </c>
      <c r="F4245" t="s">
        <v>88</v>
      </c>
      <c r="G4245" t="s">
        <v>203</v>
      </c>
      <c r="H4245" t="s">
        <v>225</v>
      </c>
      <c r="I4245" s="4">
        <v>100638.28079999999</v>
      </c>
      <c r="J4245" s="4">
        <v>201276.56159999999</v>
      </c>
      <c r="L4245" s="4">
        <v>2</v>
      </c>
    </row>
    <row r="4246" spans="1:12">
      <c r="A4246" t="s">
        <v>106</v>
      </c>
      <c r="B4246" s="10">
        <v>45394</v>
      </c>
      <c r="C4246" s="18">
        <f t="shared" si="66"/>
        <v>4</v>
      </c>
      <c r="D4246" t="s">
        <v>135</v>
      </c>
      <c r="E4246">
        <v>4872844</v>
      </c>
      <c r="F4246" t="s">
        <v>88</v>
      </c>
      <c r="G4246" t="s">
        <v>204</v>
      </c>
      <c r="H4246" t="s">
        <v>219</v>
      </c>
      <c r="I4246" s="4">
        <v>44099.9208</v>
      </c>
      <c r="J4246" s="4">
        <v>440999.20799999998</v>
      </c>
      <c r="L4246" s="4">
        <v>10</v>
      </c>
    </row>
    <row r="4247" spans="1:12">
      <c r="A4247" t="s">
        <v>106</v>
      </c>
      <c r="B4247" s="10">
        <v>45394</v>
      </c>
      <c r="C4247" s="18">
        <f t="shared" si="66"/>
        <v>4</v>
      </c>
      <c r="D4247" t="s">
        <v>135</v>
      </c>
      <c r="E4247">
        <v>4872844</v>
      </c>
      <c r="F4247" t="s">
        <v>88</v>
      </c>
      <c r="G4247" t="s">
        <v>204</v>
      </c>
      <c r="H4247" t="s">
        <v>215</v>
      </c>
      <c r="I4247" s="4">
        <v>75510.12079999999</v>
      </c>
      <c r="J4247" s="4">
        <v>755101.20799999987</v>
      </c>
      <c r="L4247" s="4">
        <v>10</v>
      </c>
    </row>
    <row r="4248" spans="1:12">
      <c r="A4248" t="s">
        <v>106</v>
      </c>
      <c r="B4248" s="10">
        <v>45395</v>
      </c>
      <c r="C4248" s="18">
        <f t="shared" si="66"/>
        <v>4</v>
      </c>
      <c r="D4248" t="s">
        <v>135</v>
      </c>
      <c r="E4248">
        <v>4878797</v>
      </c>
      <c r="F4248" t="s">
        <v>88</v>
      </c>
      <c r="G4248" t="s">
        <v>204</v>
      </c>
      <c r="H4248" t="s">
        <v>213</v>
      </c>
      <c r="I4248" s="4">
        <v>119484.4008</v>
      </c>
      <c r="J4248" s="4">
        <v>238968.80160000001</v>
      </c>
      <c r="L4248" s="4">
        <v>2</v>
      </c>
    </row>
    <row r="4249" spans="1:12">
      <c r="A4249" t="s">
        <v>106</v>
      </c>
      <c r="B4249" s="10">
        <v>45396</v>
      </c>
      <c r="C4249" s="18">
        <f t="shared" si="66"/>
        <v>4</v>
      </c>
      <c r="D4249" t="s">
        <v>135</v>
      </c>
      <c r="E4249">
        <v>4872585</v>
      </c>
      <c r="F4249" t="s">
        <v>90</v>
      </c>
      <c r="G4249" t="s">
        <v>203</v>
      </c>
      <c r="H4249" t="s">
        <v>245</v>
      </c>
      <c r="I4249" s="4">
        <v>100638.28079999999</v>
      </c>
      <c r="J4249" s="4">
        <v>603829.68479999993</v>
      </c>
      <c r="L4249" s="4">
        <v>6</v>
      </c>
    </row>
    <row r="4250" spans="1:12">
      <c r="A4250" t="s">
        <v>106</v>
      </c>
      <c r="B4250" s="10">
        <v>45396</v>
      </c>
      <c r="C4250" s="18">
        <f t="shared" si="66"/>
        <v>4</v>
      </c>
      <c r="D4250" t="s">
        <v>135</v>
      </c>
      <c r="E4250">
        <v>4872585</v>
      </c>
      <c r="F4250" t="s">
        <v>90</v>
      </c>
      <c r="G4250" t="s">
        <v>203</v>
      </c>
      <c r="H4250" t="s">
        <v>225</v>
      </c>
      <c r="I4250" s="4">
        <v>100638.28079999999</v>
      </c>
      <c r="J4250" s="4">
        <v>201276.56159999999</v>
      </c>
      <c r="L4250" s="4">
        <v>2</v>
      </c>
    </row>
    <row r="4251" spans="1:12">
      <c r="A4251" t="s">
        <v>106</v>
      </c>
      <c r="B4251" s="10">
        <v>45396</v>
      </c>
      <c r="C4251" s="18">
        <f t="shared" si="66"/>
        <v>4</v>
      </c>
      <c r="D4251" t="s">
        <v>135</v>
      </c>
      <c r="E4251">
        <v>4872947</v>
      </c>
      <c r="F4251" t="s">
        <v>88</v>
      </c>
      <c r="G4251" t="s">
        <v>203</v>
      </c>
      <c r="H4251" t="s">
        <v>245</v>
      </c>
      <c r="I4251" s="4">
        <v>100638.28079999999</v>
      </c>
      <c r="J4251" s="4">
        <v>402553.12319999997</v>
      </c>
      <c r="L4251" s="4">
        <v>4</v>
      </c>
    </row>
    <row r="4252" spans="1:12">
      <c r="A4252" t="s">
        <v>106</v>
      </c>
      <c r="B4252" s="10">
        <v>45396</v>
      </c>
      <c r="C4252" s="18">
        <f t="shared" si="66"/>
        <v>4</v>
      </c>
      <c r="D4252" t="s">
        <v>135</v>
      </c>
      <c r="E4252">
        <v>4872947</v>
      </c>
      <c r="F4252" t="s">
        <v>88</v>
      </c>
      <c r="G4252" t="s">
        <v>203</v>
      </c>
      <c r="H4252" t="s">
        <v>243</v>
      </c>
      <c r="I4252" s="4">
        <v>100638.28079999999</v>
      </c>
      <c r="J4252" s="4">
        <v>402553.12319999997</v>
      </c>
      <c r="L4252" s="4">
        <v>4</v>
      </c>
    </row>
    <row r="4253" spans="1:12">
      <c r="A4253" t="s">
        <v>106</v>
      </c>
      <c r="B4253" s="10">
        <v>45396</v>
      </c>
      <c r="C4253" s="18">
        <f t="shared" si="66"/>
        <v>4</v>
      </c>
      <c r="D4253" t="s">
        <v>135</v>
      </c>
      <c r="E4253">
        <v>4872947</v>
      </c>
      <c r="F4253" t="s">
        <v>88</v>
      </c>
      <c r="G4253" t="s">
        <v>203</v>
      </c>
      <c r="H4253" t="s">
        <v>234</v>
      </c>
      <c r="I4253" s="4">
        <v>100638.28079999999</v>
      </c>
      <c r="J4253" s="4">
        <v>402553.12319999997</v>
      </c>
      <c r="L4253" s="4">
        <v>4</v>
      </c>
    </row>
    <row r="4254" spans="1:12">
      <c r="A4254" t="s">
        <v>106</v>
      </c>
      <c r="B4254" s="10">
        <v>45396</v>
      </c>
      <c r="C4254" s="18">
        <f t="shared" si="66"/>
        <v>4</v>
      </c>
      <c r="D4254" t="s">
        <v>135</v>
      </c>
      <c r="E4254">
        <v>4872947</v>
      </c>
      <c r="F4254" t="s">
        <v>88</v>
      </c>
      <c r="G4254" t="s">
        <v>203</v>
      </c>
      <c r="H4254" t="s">
        <v>230</v>
      </c>
      <c r="I4254" s="4">
        <v>100638.28079999999</v>
      </c>
      <c r="J4254" s="4">
        <v>402553.12319999997</v>
      </c>
      <c r="L4254" s="4">
        <v>4</v>
      </c>
    </row>
    <row r="4255" spans="1:12">
      <c r="A4255" t="s">
        <v>106</v>
      </c>
      <c r="B4255" s="10">
        <v>45396</v>
      </c>
      <c r="C4255" s="18">
        <f t="shared" si="66"/>
        <v>4</v>
      </c>
      <c r="D4255" t="s">
        <v>135</v>
      </c>
      <c r="E4255">
        <v>4872947</v>
      </c>
      <c r="F4255" t="s">
        <v>88</v>
      </c>
      <c r="G4255" t="s">
        <v>203</v>
      </c>
      <c r="H4255" t="s">
        <v>244</v>
      </c>
      <c r="I4255" s="4">
        <v>125766.4408</v>
      </c>
      <c r="J4255" s="4">
        <v>628832.20400000003</v>
      </c>
      <c r="L4255" s="4">
        <v>5</v>
      </c>
    </row>
    <row r="4256" spans="1:12">
      <c r="A4256" t="s">
        <v>106</v>
      </c>
      <c r="B4256" s="10">
        <v>45396</v>
      </c>
      <c r="C4256" s="18">
        <f t="shared" si="66"/>
        <v>4</v>
      </c>
      <c r="D4256" t="s">
        <v>135</v>
      </c>
      <c r="E4256">
        <v>4872947</v>
      </c>
      <c r="F4256" t="s">
        <v>88</v>
      </c>
      <c r="G4256" t="s">
        <v>203</v>
      </c>
      <c r="H4256" t="s">
        <v>237</v>
      </c>
      <c r="I4256" s="4">
        <v>125766.4408</v>
      </c>
      <c r="J4256" s="4">
        <v>628832.20400000003</v>
      </c>
      <c r="L4256" s="4">
        <v>5</v>
      </c>
    </row>
    <row r="4257" spans="1:12">
      <c r="A4257" t="s">
        <v>106</v>
      </c>
      <c r="B4257" s="10">
        <v>45396</v>
      </c>
      <c r="C4257" s="18">
        <f t="shared" si="66"/>
        <v>4</v>
      </c>
      <c r="D4257" t="s">
        <v>135</v>
      </c>
      <c r="E4257">
        <v>4873557</v>
      </c>
      <c r="F4257" t="s">
        <v>90</v>
      </c>
      <c r="G4257" t="s">
        <v>203</v>
      </c>
      <c r="H4257" t="s">
        <v>230</v>
      </c>
      <c r="I4257" s="4">
        <v>100638.28079999999</v>
      </c>
      <c r="J4257" s="4">
        <v>201276.56159999999</v>
      </c>
      <c r="L4257" s="4">
        <v>2</v>
      </c>
    </row>
    <row r="4258" spans="1:12">
      <c r="A4258" t="s">
        <v>106</v>
      </c>
      <c r="B4258" s="10">
        <v>45397</v>
      </c>
      <c r="C4258" s="18">
        <f t="shared" si="66"/>
        <v>4</v>
      </c>
      <c r="D4258" t="s">
        <v>135</v>
      </c>
      <c r="E4258">
        <v>4874468</v>
      </c>
      <c r="F4258" t="s">
        <v>89</v>
      </c>
      <c r="G4258" t="s">
        <v>203</v>
      </c>
      <c r="H4258" t="s">
        <v>245</v>
      </c>
      <c r="I4258" s="4">
        <v>100638.28079999999</v>
      </c>
      <c r="J4258" s="4">
        <v>1006382.808</v>
      </c>
      <c r="L4258" s="4">
        <v>10</v>
      </c>
    </row>
    <row r="4259" spans="1:12">
      <c r="A4259" t="s">
        <v>106</v>
      </c>
      <c r="B4259" s="10">
        <v>45397</v>
      </c>
      <c r="C4259" s="18">
        <f t="shared" si="66"/>
        <v>4</v>
      </c>
      <c r="D4259" t="s">
        <v>135</v>
      </c>
      <c r="E4259">
        <v>4872839</v>
      </c>
      <c r="F4259" t="s">
        <v>89</v>
      </c>
      <c r="G4259" t="s">
        <v>203</v>
      </c>
      <c r="H4259" t="s">
        <v>230</v>
      </c>
      <c r="I4259" s="4">
        <v>100638.28079999999</v>
      </c>
      <c r="J4259" s="4">
        <v>603829.68479999993</v>
      </c>
      <c r="L4259" s="4">
        <v>6</v>
      </c>
    </row>
    <row r="4260" spans="1:12">
      <c r="A4260" t="s">
        <v>106</v>
      </c>
      <c r="B4260" s="10">
        <v>45397</v>
      </c>
      <c r="C4260" s="18">
        <f t="shared" si="66"/>
        <v>4</v>
      </c>
      <c r="D4260" t="s">
        <v>135</v>
      </c>
      <c r="E4260">
        <v>4872948</v>
      </c>
      <c r="F4260" t="s">
        <v>88</v>
      </c>
      <c r="G4260" t="s">
        <v>203</v>
      </c>
      <c r="H4260" t="s">
        <v>230</v>
      </c>
      <c r="I4260" s="4">
        <v>100638.28079999999</v>
      </c>
      <c r="J4260" s="4">
        <v>603829.68479999993</v>
      </c>
      <c r="L4260" s="4">
        <v>6</v>
      </c>
    </row>
    <row r="4261" spans="1:12">
      <c r="A4261" t="s">
        <v>106</v>
      </c>
      <c r="B4261" s="10">
        <v>45397</v>
      </c>
      <c r="C4261" s="18">
        <f t="shared" si="66"/>
        <v>4</v>
      </c>
      <c r="D4261" t="s">
        <v>135</v>
      </c>
      <c r="E4261">
        <v>4872948</v>
      </c>
      <c r="F4261" t="s">
        <v>88</v>
      </c>
      <c r="G4261" t="s">
        <v>203</v>
      </c>
      <c r="H4261" t="s">
        <v>244</v>
      </c>
      <c r="I4261" s="4">
        <v>125766.4408</v>
      </c>
      <c r="J4261" s="4">
        <v>251532.88159999999</v>
      </c>
      <c r="L4261" s="4">
        <v>2</v>
      </c>
    </row>
    <row r="4262" spans="1:12">
      <c r="A4262" t="s">
        <v>106</v>
      </c>
      <c r="B4262" s="10">
        <v>45397</v>
      </c>
      <c r="C4262" s="18">
        <f t="shared" si="66"/>
        <v>4</v>
      </c>
      <c r="D4262" t="s">
        <v>135</v>
      </c>
      <c r="E4262">
        <v>4872948</v>
      </c>
      <c r="F4262" t="s">
        <v>88</v>
      </c>
      <c r="G4262" t="s">
        <v>203</v>
      </c>
      <c r="H4262" t="s">
        <v>237</v>
      </c>
      <c r="I4262" s="4">
        <v>125766.4408</v>
      </c>
      <c r="J4262" s="4">
        <v>251532.88159999999</v>
      </c>
      <c r="L4262" s="4">
        <v>2</v>
      </c>
    </row>
    <row r="4263" spans="1:12">
      <c r="A4263" t="s">
        <v>106</v>
      </c>
      <c r="B4263" s="10">
        <v>45397</v>
      </c>
      <c r="C4263" s="18">
        <f t="shared" si="66"/>
        <v>4</v>
      </c>
      <c r="D4263" t="s">
        <v>135</v>
      </c>
      <c r="E4263">
        <v>4872836</v>
      </c>
      <c r="F4263" t="s">
        <v>88</v>
      </c>
      <c r="G4263" t="s">
        <v>203</v>
      </c>
      <c r="H4263" t="s">
        <v>230</v>
      </c>
      <c r="I4263" s="4">
        <v>100638.28079999999</v>
      </c>
      <c r="J4263" s="4">
        <v>201276.56159999999</v>
      </c>
      <c r="L4263" s="4">
        <v>2</v>
      </c>
    </row>
    <row r="4264" spans="1:12">
      <c r="A4264" t="s">
        <v>106</v>
      </c>
      <c r="B4264" s="10">
        <v>45397</v>
      </c>
      <c r="C4264" s="18">
        <f t="shared" si="66"/>
        <v>4</v>
      </c>
      <c r="D4264" t="s">
        <v>135</v>
      </c>
      <c r="E4264">
        <v>4872836</v>
      </c>
      <c r="F4264" t="s">
        <v>88</v>
      </c>
      <c r="G4264" t="s">
        <v>203</v>
      </c>
      <c r="H4264" t="s">
        <v>225</v>
      </c>
      <c r="I4264" s="4">
        <v>100638.28079999999</v>
      </c>
      <c r="J4264" s="4">
        <v>1207659.3695999999</v>
      </c>
      <c r="L4264" s="4">
        <v>12</v>
      </c>
    </row>
    <row r="4265" spans="1:12">
      <c r="A4265" t="s">
        <v>106</v>
      </c>
      <c r="B4265" s="10">
        <v>45397</v>
      </c>
      <c r="C4265" s="18">
        <f t="shared" si="66"/>
        <v>4</v>
      </c>
      <c r="D4265" t="s">
        <v>135</v>
      </c>
      <c r="E4265">
        <v>4872836</v>
      </c>
      <c r="F4265" t="s">
        <v>88</v>
      </c>
      <c r="G4265" t="s">
        <v>203</v>
      </c>
      <c r="H4265" t="s">
        <v>244</v>
      </c>
      <c r="I4265" s="4">
        <v>125766.4408</v>
      </c>
      <c r="J4265" s="4">
        <v>377299.3224</v>
      </c>
      <c r="L4265" s="4">
        <v>3</v>
      </c>
    </row>
    <row r="4266" spans="1:12">
      <c r="A4266" t="s">
        <v>106</v>
      </c>
      <c r="B4266" s="10">
        <v>45397</v>
      </c>
      <c r="C4266" s="18">
        <f t="shared" si="66"/>
        <v>4</v>
      </c>
      <c r="D4266" t="s">
        <v>135</v>
      </c>
      <c r="E4266">
        <v>4872836</v>
      </c>
      <c r="F4266" t="s">
        <v>88</v>
      </c>
      <c r="G4266" t="s">
        <v>203</v>
      </c>
      <c r="H4266" t="s">
        <v>237</v>
      </c>
      <c r="I4266" s="4">
        <v>125766.4408</v>
      </c>
      <c r="J4266" s="4">
        <v>377299.3224</v>
      </c>
      <c r="L4266" s="4">
        <v>3</v>
      </c>
    </row>
    <row r="4267" spans="1:12">
      <c r="A4267" t="s">
        <v>106</v>
      </c>
      <c r="B4267" s="10">
        <v>45398</v>
      </c>
      <c r="C4267" s="18">
        <f t="shared" si="66"/>
        <v>4</v>
      </c>
      <c r="D4267" t="s">
        <v>135</v>
      </c>
      <c r="E4267">
        <v>4872614</v>
      </c>
      <c r="F4267" t="s">
        <v>90</v>
      </c>
      <c r="G4267" t="s">
        <v>203</v>
      </c>
      <c r="H4267" t="s">
        <v>245</v>
      </c>
      <c r="I4267" s="4">
        <v>100638.28079999999</v>
      </c>
      <c r="J4267" s="4">
        <v>603829.68479999993</v>
      </c>
      <c r="L4267" s="4">
        <v>6</v>
      </c>
    </row>
    <row r="4268" spans="1:12">
      <c r="A4268" t="s">
        <v>106</v>
      </c>
      <c r="B4268" s="10">
        <v>45398</v>
      </c>
      <c r="C4268" s="18">
        <f t="shared" si="66"/>
        <v>4</v>
      </c>
      <c r="D4268" t="s">
        <v>135</v>
      </c>
      <c r="E4268">
        <v>4873827</v>
      </c>
      <c r="F4268" t="s">
        <v>88</v>
      </c>
      <c r="G4268" t="s">
        <v>204</v>
      </c>
      <c r="H4268" t="s">
        <v>219</v>
      </c>
      <c r="I4268" s="4">
        <v>44099.9208</v>
      </c>
      <c r="J4268" s="4">
        <v>1058398.0992000001</v>
      </c>
      <c r="L4268" s="4">
        <v>24</v>
      </c>
    </row>
    <row r="4269" spans="1:12">
      <c r="A4269" t="s">
        <v>106</v>
      </c>
      <c r="B4269" s="10">
        <v>45399</v>
      </c>
      <c r="C4269" s="18">
        <f t="shared" si="66"/>
        <v>4</v>
      </c>
      <c r="D4269" t="s">
        <v>135</v>
      </c>
      <c r="E4269">
        <v>4872839</v>
      </c>
      <c r="F4269" t="s">
        <v>89</v>
      </c>
      <c r="G4269" t="s">
        <v>203</v>
      </c>
      <c r="H4269" t="s">
        <v>245</v>
      </c>
      <c r="I4269" s="4">
        <v>100638.28079999999</v>
      </c>
      <c r="J4269" s="4">
        <v>201276.56159999999</v>
      </c>
      <c r="L4269" s="4">
        <v>2</v>
      </c>
    </row>
    <row r="4270" spans="1:12">
      <c r="A4270" t="s">
        <v>106</v>
      </c>
      <c r="B4270" s="10">
        <v>45400</v>
      </c>
      <c r="C4270" s="18">
        <f t="shared" si="66"/>
        <v>4</v>
      </c>
      <c r="D4270" t="s">
        <v>135</v>
      </c>
      <c r="E4270">
        <v>4878797</v>
      </c>
      <c r="F4270" t="s">
        <v>88</v>
      </c>
      <c r="G4270" t="s">
        <v>204</v>
      </c>
      <c r="H4270" t="s">
        <v>212</v>
      </c>
      <c r="I4270" s="4">
        <v>62946.040799999995</v>
      </c>
      <c r="J4270" s="4">
        <v>1258920.8159999999</v>
      </c>
      <c r="L4270" s="4">
        <v>20</v>
      </c>
    </row>
    <row r="4271" spans="1:12">
      <c r="A4271" t="s">
        <v>106</v>
      </c>
      <c r="B4271" s="10">
        <v>45401</v>
      </c>
      <c r="C4271" s="18">
        <f t="shared" si="66"/>
        <v>4</v>
      </c>
      <c r="D4271" t="s">
        <v>135</v>
      </c>
      <c r="E4271">
        <v>4872585</v>
      </c>
      <c r="F4271" t="s">
        <v>90</v>
      </c>
      <c r="G4271" t="s">
        <v>204</v>
      </c>
      <c r="H4271" t="s">
        <v>216</v>
      </c>
      <c r="I4271" s="4">
        <v>113202.36079999999</v>
      </c>
      <c r="J4271" s="4">
        <v>905618.88639999996</v>
      </c>
      <c r="L4271" s="4">
        <v>8</v>
      </c>
    </row>
    <row r="4272" spans="1:12">
      <c r="A4272" t="s">
        <v>106</v>
      </c>
      <c r="B4272" s="10">
        <v>45401</v>
      </c>
      <c r="C4272" s="18">
        <f t="shared" si="66"/>
        <v>4</v>
      </c>
      <c r="D4272" t="s">
        <v>135</v>
      </c>
      <c r="E4272">
        <v>4872585</v>
      </c>
      <c r="F4272" t="s">
        <v>90</v>
      </c>
      <c r="G4272" t="s">
        <v>204</v>
      </c>
      <c r="H4272" t="s">
        <v>213</v>
      </c>
      <c r="I4272" s="4">
        <v>119484.4008</v>
      </c>
      <c r="J4272" s="4">
        <v>955875.20640000002</v>
      </c>
      <c r="L4272" s="4">
        <v>8</v>
      </c>
    </row>
    <row r="4273" spans="1:12">
      <c r="A4273" t="s">
        <v>106</v>
      </c>
      <c r="B4273" s="10">
        <v>45405</v>
      </c>
      <c r="C4273" s="18">
        <f t="shared" si="66"/>
        <v>4</v>
      </c>
      <c r="D4273" t="s">
        <v>135</v>
      </c>
      <c r="E4273">
        <v>4872844</v>
      </c>
      <c r="F4273" t="s">
        <v>88</v>
      </c>
      <c r="G4273" t="s">
        <v>204</v>
      </c>
      <c r="H4273" t="s">
        <v>220</v>
      </c>
      <c r="I4273" s="4">
        <v>37817.880799999999</v>
      </c>
      <c r="J4273" s="4">
        <v>756357.61599999992</v>
      </c>
      <c r="L4273" s="4">
        <v>20</v>
      </c>
    </row>
    <row r="4274" spans="1:12">
      <c r="A4274" t="s">
        <v>106</v>
      </c>
      <c r="B4274" s="10">
        <v>45406</v>
      </c>
      <c r="C4274" s="18">
        <f t="shared" si="66"/>
        <v>4</v>
      </c>
      <c r="D4274" t="s">
        <v>135</v>
      </c>
      <c r="E4274">
        <v>4872844</v>
      </c>
      <c r="F4274" t="s">
        <v>88</v>
      </c>
      <c r="G4274" t="s">
        <v>204</v>
      </c>
      <c r="H4274" t="s">
        <v>212</v>
      </c>
      <c r="I4274" s="4">
        <v>62946.040799999995</v>
      </c>
      <c r="J4274" s="4">
        <v>251784.16319999998</v>
      </c>
      <c r="L4274" s="4">
        <v>4</v>
      </c>
    </row>
    <row r="4275" spans="1:12">
      <c r="A4275" t="s">
        <v>106</v>
      </c>
      <c r="B4275" s="10">
        <v>45406</v>
      </c>
      <c r="C4275" s="18">
        <f t="shared" si="66"/>
        <v>4</v>
      </c>
      <c r="D4275" t="s">
        <v>135</v>
      </c>
      <c r="E4275">
        <v>4873827</v>
      </c>
      <c r="F4275" t="s">
        <v>88</v>
      </c>
      <c r="G4275" t="s">
        <v>204</v>
      </c>
      <c r="H4275" t="s">
        <v>216</v>
      </c>
      <c r="I4275" s="4">
        <v>113202.36079999999</v>
      </c>
      <c r="J4275" s="4">
        <v>2377249.5767999999</v>
      </c>
      <c r="L4275" s="4">
        <v>21</v>
      </c>
    </row>
    <row r="4276" spans="1:12">
      <c r="A4276" t="s">
        <v>106</v>
      </c>
      <c r="B4276" s="10">
        <v>45406</v>
      </c>
      <c r="C4276" s="18">
        <f t="shared" si="66"/>
        <v>4</v>
      </c>
      <c r="D4276" t="s">
        <v>135</v>
      </c>
      <c r="E4276">
        <v>4873827</v>
      </c>
      <c r="F4276" t="s">
        <v>88</v>
      </c>
      <c r="G4276" t="s">
        <v>204</v>
      </c>
      <c r="H4276" t="s">
        <v>213</v>
      </c>
      <c r="I4276" s="4">
        <v>119484.4008</v>
      </c>
      <c r="J4276" s="4">
        <v>1194844.0079999999</v>
      </c>
      <c r="L4276" s="4">
        <v>10</v>
      </c>
    </row>
    <row r="4277" spans="1:12">
      <c r="A4277" t="s">
        <v>106</v>
      </c>
      <c r="B4277" s="10">
        <v>45407</v>
      </c>
      <c r="C4277" s="18">
        <f t="shared" si="66"/>
        <v>4</v>
      </c>
      <c r="D4277" t="s">
        <v>135</v>
      </c>
      <c r="E4277">
        <v>4873481</v>
      </c>
      <c r="F4277" t="s">
        <v>87</v>
      </c>
      <c r="G4277" t="s">
        <v>203</v>
      </c>
      <c r="H4277" t="s">
        <v>238</v>
      </c>
      <c r="I4277" s="4">
        <v>95606.36675999999</v>
      </c>
      <c r="J4277" s="4">
        <v>191212.73351999998</v>
      </c>
      <c r="L4277" s="4">
        <v>2</v>
      </c>
    </row>
    <row r="4278" spans="1:12">
      <c r="A4278" t="s">
        <v>106</v>
      </c>
      <c r="B4278" s="10">
        <v>45407</v>
      </c>
      <c r="C4278" s="18">
        <f t="shared" si="66"/>
        <v>4</v>
      </c>
      <c r="D4278" t="s">
        <v>135</v>
      </c>
      <c r="E4278">
        <v>4873481</v>
      </c>
      <c r="F4278" t="s">
        <v>87</v>
      </c>
      <c r="G4278" t="s">
        <v>203</v>
      </c>
      <c r="H4278" t="s">
        <v>244</v>
      </c>
      <c r="I4278" s="4">
        <v>125766.4408</v>
      </c>
      <c r="J4278" s="4">
        <v>251532.88159999999</v>
      </c>
      <c r="L4278" s="4">
        <v>2</v>
      </c>
    </row>
    <row r="4279" spans="1:12">
      <c r="A4279" t="s">
        <v>106</v>
      </c>
      <c r="B4279" s="10">
        <v>45409</v>
      </c>
      <c r="C4279" s="18">
        <f t="shared" si="66"/>
        <v>4</v>
      </c>
      <c r="D4279" t="s">
        <v>135</v>
      </c>
      <c r="E4279">
        <v>4878582</v>
      </c>
      <c r="F4279" t="s">
        <v>90</v>
      </c>
      <c r="G4279" t="s">
        <v>203</v>
      </c>
      <c r="H4279" t="s">
        <v>238</v>
      </c>
      <c r="I4279" s="4">
        <v>95606.36675999999</v>
      </c>
      <c r="J4279" s="4">
        <v>573638.20055999991</v>
      </c>
      <c r="L4279" s="4">
        <v>6</v>
      </c>
    </row>
    <row r="4280" spans="1:12">
      <c r="A4280" t="s">
        <v>106</v>
      </c>
      <c r="B4280" s="10">
        <v>45409</v>
      </c>
      <c r="C4280" s="18">
        <f t="shared" si="66"/>
        <v>4</v>
      </c>
      <c r="D4280" t="s">
        <v>135</v>
      </c>
      <c r="E4280">
        <v>4878582</v>
      </c>
      <c r="F4280" t="s">
        <v>90</v>
      </c>
      <c r="G4280" t="s">
        <v>203</v>
      </c>
      <c r="H4280" t="s">
        <v>244</v>
      </c>
      <c r="I4280" s="4">
        <v>125766.4408</v>
      </c>
      <c r="J4280" s="4">
        <v>503065.76319999999</v>
      </c>
      <c r="L4280" s="4">
        <v>4</v>
      </c>
    </row>
    <row r="4281" spans="1:12">
      <c r="A4281" t="s">
        <v>106</v>
      </c>
      <c r="B4281" s="10">
        <v>45410</v>
      </c>
      <c r="C4281" s="18">
        <f t="shared" si="66"/>
        <v>4</v>
      </c>
      <c r="D4281" t="s">
        <v>135</v>
      </c>
      <c r="E4281">
        <v>4878582</v>
      </c>
      <c r="F4281" t="s">
        <v>90</v>
      </c>
      <c r="G4281" t="s">
        <v>203</v>
      </c>
      <c r="H4281" t="s">
        <v>229</v>
      </c>
      <c r="I4281" s="4">
        <v>125766.4408</v>
      </c>
      <c r="J4281" s="4">
        <v>-251532.88159999999</v>
      </c>
      <c r="L4281" s="4">
        <v>-2</v>
      </c>
    </row>
    <row r="4282" spans="1:12">
      <c r="A4282" t="s">
        <v>106</v>
      </c>
      <c r="B4282" s="10">
        <v>45412</v>
      </c>
      <c r="C4282" s="18">
        <f t="shared" si="66"/>
        <v>4</v>
      </c>
      <c r="D4282" t="s">
        <v>135</v>
      </c>
      <c r="E4282">
        <v>4872966</v>
      </c>
      <c r="F4282" t="s">
        <v>87</v>
      </c>
      <c r="G4282" t="s">
        <v>204</v>
      </c>
      <c r="H4282" t="s">
        <v>216</v>
      </c>
      <c r="I4282" s="4">
        <v>113202.36079999999</v>
      </c>
      <c r="J4282" s="4">
        <v>-3735677.9063999997</v>
      </c>
      <c r="L4282" s="4">
        <v>-33</v>
      </c>
    </row>
    <row r="4283" spans="1:12">
      <c r="A4283" t="s">
        <v>264</v>
      </c>
      <c r="B4283" s="10">
        <v>45383</v>
      </c>
      <c r="C4283" s="18">
        <f t="shared" si="66"/>
        <v>4</v>
      </c>
      <c r="D4283" t="s">
        <v>196</v>
      </c>
      <c r="E4283">
        <v>4871600</v>
      </c>
      <c r="F4283" t="s">
        <v>8</v>
      </c>
      <c r="G4283" t="s">
        <v>204</v>
      </c>
      <c r="H4283" t="s">
        <v>218</v>
      </c>
      <c r="I4283" s="4">
        <v>71740.896800000002</v>
      </c>
      <c r="J4283" s="4">
        <v>143481.7936</v>
      </c>
      <c r="K4283" s="4">
        <v>-7161.525599999999</v>
      </c>
      <c r="L4283" s="4">
        <v>2</v>
      </c>
    </row>
    <row r="4284" spans="1:12">
      <c r="A4284" t="s">
        <v>264</v>
      </c>
      <c r="B4284" s="10">
        <v>45383</v>
      </c>
      <c r="C4284" s="18">
        <f t="shared" si="66"/>
        <v>4</v>
      </c>
      <c r="D4284" t="s">
        <v>196</v>
      </c>
      <c r="E4284">
        <v>4871600</v>
      </c>
      <c r="F4284" t="s">
        <v>8</v>
      </c>
      <c r="G4284" t="s">
        <v>202</v>
      </c>
      <c r="H4284" t="s">
        <v>257</v>
      </c>
      <c r="I4284" s="4">
        <v>56664.000799999994</v>
      </c>
      <c r="J4284" s="4">
        <v>339984.0048</v>
      </c>
      <c r="K4284" s="4">
        <v>-16961.508000000002</v>
      </c>
      <c r="L4284" s="4">
        <v>6</v>
      </c>
    </row>
    <row r="4285" spans="1:12">
      <c r="A4285" t="s">
        <v>264</v>
      </c>
      <c r="B4285" s="10">
        <v>45383</v>
      </c>
      <c r="C4285" s="18">
        <f t="shared" si="66"/>
        <v>4</v>
      </c>
      <c r="D4285" t="s">
        <v>196</v>
      </c>
      <c r="E4285">
        <v>4878874</v>
      </c>
      <c r="F4285" t="s">
        <v>8</v>
      </c>
      <c r="G4285" t="s">
        <v>206</v>
      </c>
      <c r="H4285" t="s">
        <v>248</v>
      </c>
      <c r="I4285" s="4">
        <v>16207.663200000001</v>
      </c>
      <c r="J4285" s="4">
        <v>1620766.32</v>
      </c>
      <c r="K4285" s="4">
        <v>-169615.08</v>
      </c>
      <c r="L4285" s="4">
        <v>100</v>
      </c>
    </row>
    <row r="4286" spans="1:12">
      <c r="A4286" t="s">
        <v>264</v>
      </c>
      <c r="B4286" s="10">
        <v>45383</v>
      </c>
      <c r="C4286" s="18">
        <f t="shared" si="66"/>
        <v>4</v>
      </c>
      <c r="D4286" t="s">
        <v>196</v>
      </c>
      <c r="E4286">
        <v>4878874</v>
      </c>
      <c r="F4286" t="s">
        <v>8</v>
      </c>
      <c r="G4286" t="s">
        <v>206</v>
      </c>
      <c r="H4286" t="s">
        <v>250</v>
      </c>
      <c r="I4286" s="4">
        <v>17715.352800000001</v>
      </c>
      <c r="J4286" s="4">
        <v>1771535.28</v>
      </c>
      <c r="K4286" s="4">
        <v>-175897.12</v>
      </c>
      <c r="L4286" s="4">
        <v>100</v>
      </c>
    </row>
    <row r="4287" spans="1:12">
      <c r="A4287" t="s">
        <v>264</v>
      </c>
      <c r="B4287" s="10">
        <v>45383</v>
      </c>
      <c r="C4287" s="18">
        <f t="shared" si="66"/>
        <v>4</v>
      </c>
      <c r="D4287" t="s">
        <v>196</v>
      </c>
      <c r="E4287">
        <v>4878874</v>
      </c>
      <c r="F4287" t="s">
        <v>8</v>
      </c>
      <c r="G4287" t="s">
        <v>206</v>
      </c>
      <c r="H4287" t="s">
        <v>252</v>
      </c>
      <c r="I4287" s="4">
        <v>20102.528000000002</v>
      </c>
      <c r="J4287" s="4">
        <v>2010252.8000000003</v>
      </c>
      <c r="K4287" s="4">
        <v>-201025.28</v>
      </c>
      <c r="L4287" s="4">
        <v>100</v>
      </c>
    </row>
    <row r="4288" spans="1:12">
      <c r="A4288" t="s">
        <v>264</v>
      </c>
      <c r="B4288" s="10">
        <v>45383</v>
      </c>
      <c r="C4288" s="18">
        <f t="shared" si="66"/>
        <v>4</v>
      </c>
      <c r="D4288" t="s">
        <v>196</v>
      </c>
      <c r="E4288">
        <v>4878874</v>
      </c>
      <c r="F4288" t="s">
        <v>8</v>
      </c>
      <c r="G4288" t="s">
        <v>206</v>
      </c>
      <c r="H4288" t="s">
        <v>251</v>
      </c>
      <c r="I4288" s="4">
        <v>19223.042399999998</v>
      </c>
      <c r="J4288" s="4">
        <v>1922304.2399999998</v>
      </c>
      <c r="K4288" s="4">
        <v>-201025.28</v>
      </c>
      <c r="L4288" s="4">
        <v>100</v>
      </c>
    </row>
    <row r="4289" spans="1:12">
      <c r="A4289" t="s">
        <v>264</v>
      </c>
      <c r="B4289" s="10">
        <v>45383</v>
      </c>
      <c r="C4289" s="18">
        <f t="shared" si="66"/>
        <v>4</v>
      </c>
      <c r="D4289" t="s">
        <v>196</v>
      </c>
      <c r="E4289">
        <v>4874006</v>
      </c>
      <c r="F4289" t="s">
        <v>8</v>
      </c>
      <c r="G4289" t="s">
        <v>204</v>
      </c>
      <c r="H4289" t="s">
        <v>221</v>
      </c>
      <c r="I4289" s="4">
        <v>25253.800799999997</v>
      </c>
      <c r="J4289" s="4">
        <v>2020304.0639999998</v>
      </c>
      <c r="K4289" s="4">
        <v>-100512.64</v>
      </c>
      <c r="L4289" s="4">
        <v>80</v>
      </c>
    </row>
    <row r="4290" spans="1:12">
      <c r="A4290" t="s">
        <v>264</v>
      </c>
      <c r="B4290" s="10">
        <v>45383</v>
      </c>
      <c r="C4290" s="18">
        <f t="shared" ref="C4290:C4353" si="67">MONTH(B4290)</f>
        <v>4</v>
      </c>
      <c r="D4290" t="s">
        <v>196</v>
      </c>
      <c r="E4290">
        <v>4874006</v>
      </c>
      <c r="F4290" t="s">
        <v>8</v>
      </c>
      <c r="G4290" t="s">
        <v>204</v>
      </c>
      <c r="H4290" t="s">
        <v>220</v>
      </c>
      <c r="I4290" s="4">
        <v>37817.880799999999</v>
      </c>
      <c r="J4290" s="4">
        <v>3025430.4639999997</v>
      </c>
      <c r="K4290" s="4">
        <v>-150768.95999999999</v>
      </c>
      <c r="L4290" s="4">
        <v>80</v>
      </c>
    </row>
    <row r="4291" spans="1:12">
      <c r="A4291" t="s">
        <v>264</v>
      </c>
      <c r="B4291" s="10">
        <v>45383</v>
      </c>
      <c r="C4291" s="18">
        <f t="shared" si="67"/>
        <v>4</v>
      </c>
      <c r="D4291" t="s">
        <v>196</v>
      </c>
      <c r="E4291">
        <v>4872510</v>
      </c>
      <c r="F4291" t="s">
        <v>8</v>
      </c>
      <c r="G4291" t="s">
        <v>202</v>
      </c>
      <c r="H4291" t="s">
        <v>261</v>
      </c>
      <c r="I4291" s="4">
        <v>41587.104800000001</v>
      </c>
      <c r="J4291" s="4">
        <v>2079355.24</v>
      </c>
      <c r="K4291" s="4">
        <v>-103653.66</v>
      </c>
      <c r="L4291" s="4">
        <v>50</v>
      </c>
    </row>
    <row r="4292" spans="1:12">
      <c r="A4292" t="s">
        <v>264</v>
      </c>
      <c r="B4292" s="10">
        <v>45383</v>
      </c>
      <c r="C4292" s="18">
        <f t="shared" si="67"/>
        <v>4</v>
      </c>
      <c r="D4292" t="s">
        <v>196</v>
      </c>
      <c r="E4292">
        <v>4873615</v>
      </c>
      <c r="F4292" t="s">
        <v>8</v>
      </c>
      <c r="G4292" t="s">
        <v>203</v>
      </c>
      <c r="H4292" t="s">
        <v>230</v>
      </c>
      <c r="I4292" s="4">
        <v>100638.28079999999</v>
      </c>
      <c r="J4292" s="4">
        <v>1006382.808</v>
      </c>
      <c r="K4292" s="4">
        <v>-43346.076000000001</v>
      </c>
      <c r="L4292" s="4">
        <v>10</v>
      </c>
    </row>
    <row r="4293" spans="1:12">
      <c r="A4293" t="s">
        <v>264</v>
      </c>
      <c r="B4293" s="10">
        <v>45383</v>
      </c>
      <c r="C4293" s="18">
        <f t="shared" si="67"/>
        <v>4</v>
      </c>
      <c r="D4293" t="s">
        <v>196</v>
      </c>
      <c r="E4293">
        <v>4873615</v>
      </c>
      <c r="F4293" t="s">
        <v>8</v>
      </c>
      <c r="G4293" t="s">
        <v>203</v>
      </c>
      <c r="H4293" t="s">
        <v>244</v>
      </c>
      <c r="I4293" s="4">
        <v>125766.4408</v>
      </c>
      <c r="J4293" s="4">
        <v>1257664.4080000001</v>
      </c>
      <c r="K4293" s="4">
        <v>-56538.36</v>
      </c>
      <c r="L4293" s="4">
        <v>10</v>
      </c>
    </row>
    <row r="4294" spans="1:12">
      <c r="A4294" t="s">
        <v>264</v>
      </c>
      <c r="B4294" s="10">
        <v>45383</v>
      </c>
      <c r="C4294" s="18">
        <f t="shared" si="67"/>
        <v>4</v>
      </c>
      <c r="D4294" t="s">
        <v>196</v>
      </c>
      <c r="E4294">
        <v>4874586</v>
      </c>
      <c r="F4294" t="s">
        <v>8</v>
      </c>
      <c r="G4294" t="s">
        <v>204</v>
      </c>
      <c r="H4294" t="s">
        <v>218</v>
      </c>
      <c r="I4294" s="4">
        <v>71740.896800000002</v>
      </c>
      <c r="J4294" s="4">
        <v>717408.96799999999</v>
      </c>
      <c r="K4294" s="4">
        <v>-35807.628000000004</v>
      </c>
      <c r="L4294" s="4">
        <v>10</v>
      </c>
    </row>
    <row r="4295" spans="1:12">
      <c r="A4295" t="s">
        <v>264</v>
      </c>
      <c r="B4295" s="10">
        <v>45383</v>
      </c>
      <c r="C4295" s="18">
        <f t="shared" si="67"/>
        <v>4</v>
      </c>
      <c r="D4295" t="s">
        <v>196</v>
      </c>
      <c r="E4295">
        <v>4874586</v>
      </c>
      <c r="F4295" t="s">
        <v>8</v>
      </c>
      <c r="G4295" t="s">
        <v>204</v>
      </c>
      <c r="H4295" t="s">
        <v>213</v>
      </c>
      <c r="I4295" s="4">
        <v>119484.4008</v>
      </c>
      <c r="J4295" s="4">
        <v>2987110.02</v>
      </c>
      <c r="K4295" s="4">
        <v>-149198.45000000001</v>
      </c>
      <c r="L4295" s="4">
        <v>25</v>
      </c>
    </row>
    <row r="4296" spans="1:12">
      <c r="A4296" t="s">
        <v>264</v>
      </c>
      <c r="B4296" s="10">
        <v>45383</v>
      </c>
      <c r="C4296" s="18">
        <f t="shared" si="67"/>
        <v>4</v>
      </c>
      <c r="D4296" t="s">
        <v>196</v>
      </c>
      <c r="E4296">
        <v>4874586</v>
      </c>
      <c r="F4296" t="s">
        <v>8</v>
      </c>
      <c r="G4296" t="s">
        <v>204</v>
      </c>
      <c r="H4296" t="s">
        <v>221</v>
      </c>
      <c r="I4296" s="4">
        <v>25253.800799999997</v>
      </c>
      <c r="J4296" s="4">
        <v>1010152.0319999999</v>
      </c>
      <c r="K4296" s="4">
        <v>-50256.32</v>
      </c>
      <c r="L4296" s="4">
        <v>40</v>
      </c>
    </row>
    <row r="4297" spans="1:12">
      <c r="A4297" t="s">
        <v>264</v>
      </c>
      <c r="B4297" s="10">
        <v>45383</v>
      </c>
      <c r="C4297" s="18">
        <f t="shared" si="67"/>
        <v>4</v>
      </c>
      <c r="D4297" t="s">
        <v>196</v>
      </c>
      <c r="E4297">
        <v>4873806</v>
      </c>
      <c r="F4297" t="s">
        <v>8</v>
      </c>
      <c r="G4297" t="s">
        <v>202</v>
      </c>
      <c r="H4297" t="s">
        <v>261</v>
      </c>
      <c r="I4297" s="4">
        <v>41587.104800000001</v>
      </c>
      <c r="J4297" s="4">
        <v>4158710.48</v>
      </c>
      <c r="K4297" s="4">
        <v>-207307.32</v>
      </c>
      <c r="L4297" s="4">
        <v>100</v>
      </c>
    </row>
    <row r="4298" spans="1:12">
      <c r="A4298" t="s">
        <v>264</v>
      </c>
      <c r="B4298" s="10">
        <v>45383</v>
      </c>
      <c r="C4298" s="18">
        <f t="shared" si="67"/>
        <v>4</v>
      </c>
      <c r="D4298" t="s">
        <v>196</v>
      </c>
      <c r="E4298">
        <v>4872379</v>
      </c>
      <c r="F4298" t="s">
        <v>8</v>
      </c>
      <c r="G4298" t="s">
        <v>204</v>
      </c>
      <c r="H4298" t="s">
        <v>219</v>
      </c>
      <c r="I4298" s="4">
        <v>44099.9208</v>
      </c>
      <c r="J4298" s="4">
        <v>1102498.02</v>
      </c>
      <c r="K4298" s="4">
        <v>-47115.3</v>
      </c>
      <c r="L4298" s="4">
        <v>25</v>
      </c>
    </row>
    <row r="4299" spans="1:12">
      <c r="A4299" t="s">
        <v>264</v>
      </c>
      <c r="B4299" s="10">
        <v>45383</v>
      </c>
      <c r="C4299" s="18">
        <f t="shared" si="67"/>
        <v>4</v>
      </c>
      <c r="D4299" t="s">
        <v>196</v>
      </c>
      <c r="E4299">
        <v>4872379</v>
      </c>
      <c r="F4299" t="s">
        <v>8</v>
      </c>
      <c r="G4299" t="s">
        <v>204</v>
      </c>
      <c r="H4299" t="s">
        <v>218</v>
      </c>
      <c r="I4299" s="4">
        <v>71740.896800000002</v>
      </c>
      <c r="J4299" s="4">
        <v>3587044.8400000003</v>
      </c>
      <c r="K4299" s="4">
        <v>-179038.13999999998</v>
      </c>
      <c r="L4299" s="4">
        <v>50</v>
      </c>
    </row>
    <row r="4300" spans="1:12">
      <c r="A4300" t="s">
        <v>264</v>
      </c>
      <c r="B4300" s="10">
        <v>45383</v>
      </c>
      <c r="C4300" s="18">
        <f t="shared" si="67"/>
        <v>4</v>
      </c>
      <c r="D4300" t="s">
        <v>196</v>
      </c>
      <c r="E4300">
        <v>4872379</v>
      </c>
      <c r="F4300" t="s">
        <v>8</v>
      </c>
      <c r="G4300" t="s">
        <v>204</v>
      </c>
      <c r="H4300" t="s">
        <v>217</v>
      </c>
      <c r="I4300" s="4">
        <v>78022.936799999996</v>
      </c>
      <c r="J4300" s="4">
        <v>3042894.5351999998</v>
      </c>
      <c r="K4300" s="4">
        <v>-139649.74919999999</v>
      </c>
      <c r="L4300" s="4">
        <v>39</v>
      </c>
    </row>
    <row r="4301" spans="1:12">
      <c r="A4301" t="s">
        <v>264</v>
      </c>
      <c r="B4301" s="10">
        <v>45383</v>
      </c>
      <c r="C4301" s="18">
        <f t="shared" si="67"/>
        <v>4</v>
      </c>
      <c r="D4301" t="s">
        <v>196</v>
      </c>
      <c r="E4301">
        <v>4872379</v>
      </c>
      <c r="F4301" t="s">
        <v>8</v>
      </c>
      <c r="G4301" t="s">
        <v>204</v>
      </c>
      <c r="H4301" t="s">
        <v>215</v>
      </c>
      <c r="I4301" s="4">
        <v>75510.12079999999</v>
      </c>
      <c r="J4301" s="4">
        <v>1132651.8119999999</v>
      </c>
      <c r="K4301" s="4">
        <v>-56538.36</v>
      </c>
      <c r="L4301" s="4">
        <v>15</v>
      </c>
    </row>
    <row r="4302" spans="1:12">
      <c r="A4302" t="s">
        <v>264</v>
      </c>
      <c r="B4302" s="10">
        <v>45383</v>
      </c>
      <c r="C4302" s="18">
        <f t="shared" si="67"/>
        <v>4</v>
      </c>
      <c r="D4302" t="s">
        <v>196</v>
      </c>
      <c r="E4302">
        <v>4872379</v>
      </c>
      <c r="F4302" t="s">
        <v>8</v>
      </c>
      <c r="G4302" t="s">
        <v>204</v>
      </c>
      <c r="H4302" t="s">
        <v>221</v>
      </c>
      <c r="I4302" s="4">
        <v>25253.800799999997</v>
      </c>
      <c r="J4302" s="4">
        <v>757614.02399999998</v>
      </c>
      <c r="K4302" s="4">
        <v>-37692.239999999998</v>
      </c>
      <c r="L4302" s="4">
        <v>30</v>
      </c>
    </row>
    <row r="4303" spans="1:12">
      <c r="A4303" t="s">
        <v>264</v>
      </c>
      <c r="B4303" s="10">
        <v>45383</v>
      </c>
      <c r="C4303" s="18">
        <f t="shared" si="67"/>
        <v>4</v>
      </c>
      <c r="D4303" t="s">
        <v>196</v>
      </c>
      <c r="E4303">
        <v>4872379</v>
      </c>
      <c r="F4303" t="s">
        <v>8</v>
      </c>
      <c r="G4303" t="s">
        <v>204</v>
      </c>
      <c r="H4303" t="s">
        <v>212</v>
      </c>
      <c r="I4303" s="4">
        <v>62946.040799999995</v>
      </c>
      <c r="J4303" s="4">
        <v>629460.40799999994</v>
      </c>
      <c r="K4303" s="4">
        <v>-18846.12</v>
      </c>
      <c r="L4303" s="4">
        <v>10</v>
      </c>
    </row>
    <row r="4304" spans="1:12">
      <c r="A4304" t="s">
        <v>264</v>
      </c>
      <c r="B4304" s="10">
        <v>45383</v>
      </c>
      <c r="C4304" s="18">
        <f t="shared" si="67"/>
        <v>4</v>
      </c>
      <c r="D4304" t="s">
        <v>196</v>
      </c>
      <c r="E4304">
        <v>4872379</v>
      </c>
      <c r="F4304" t="s">
        <v>8</v>
      </c>
      <c r="G4304" t="s">
        <v>202</v>
      </c>
      <c r="H4304" t="s">
        <v>260</v>
      </c>
      <c r="I4304" s="4">
        <v>41587.104800000001</v>
      </c>
      <c r="J4304" s="4">
        <v>2786336.0216000001</v>
      </c>
      <c r="K4304" s="4">
        <v>-138895.9044</v>
      </c>
      <c r="L4304" s="4">
        <v>67</v>
      </c>
    </row>
    <row r="4305" spans="1:12">
      <c r="A4305" t="s">
        <v>264</v>
      </c>
      <c r="B4305" s="10">
        <v>45383</v>
      </c>
      <c r="C4305" s="18">
        <f t="shared" si="67"/>
        <v>4</v>
      </c>
      <c r="D4305" t="s">
        <v>196</v>
      </c>
      <c r="E4305">
        <v>4872379</v>
      </c>
      <c r="F4305" t="s">
        <v>8</v>
      </c>
      <c r="G4305" t="s">
        <v>205</v>
      </c>
      <c r="H4305" t="s">
        <v>210</v>
      </c>
      <c r="I4305" s="4">
        <v>7538.4479999999994</v>
      </c>
      <c r="J4305" s="4">
        <v>753844.79999999993</v>
      </c>
      <c r="K4305" s="4">
        <v>-37692.239999999998</v>
      </c>
      <c r="L4305" s="4">
        <v>100</v>
      </c>
    </row>
    <row r="4306" spans="1:12">
      <c r="A4306" t="s">
        <v>264</v>
      </c>
      <c r="B4306" s="10">
        <v>45383</v>
      </c>
      <c r="C4306" s="18">
        <f t="shared" si="67"/>
        <v>4</v>
      </c>
      <c r="D4306" t="s">
        <v>196</v>
      </c>
      <c r="E4306">
        <v>4872379</v>
      </c>
      <c r="F4306" t="s">
        <v>8</v>
      </c>
      <c r="G4306" t="s">
        <v>205</v>
      </c>
      <c r="H4306" t="s">
        <v>211</v>
      </c>
      <c r="I4306" s="4">
        <v>5151.2727999999997</v>
      </c>
      <c r="J4306" s="4">
        <v>515127.27999999997</v>
      </c>
      <c r="K4306" s="4">
        <v>-25128.16</v>
      </c>
      <c r="L4306" s="4">
        <v>100</v>
      </c>
    </row>
    <row r="4307" spans="1:12">
      <c r="A4307" t="s">
        <v>264</v>
      </c>
      <c r="B4307" s="10">
        <v>45383</v>
      </c>
      <c r="C4307" s="18">
        <f t="shared" si="67"/>
        <v>4</v>
      </c>
      <c r="D4307" t="s">
        <v>196</v>
      </c>
      <c r="E4307">
        <v>4872141</v>
      </c>
      <c r="F4307" t="s">
        <v>8</v>
      </c>
      <c r="G4307" t="s">
        <v>203</v>
      </c>
      <c r="H4307" t="s">
        <v>232</v>
      </c>
      <c r="I4307" s="4">
        <v>100638.28079999999</v>
      </c>
      <c r="J4307" s="4">
        <v>3019148.4239999996</v>
      </c>
      <c r="K4307" s="4">
        <v>-130038.22799999999</v>
      </c>
      <c r="L4307" s="4">
        <v>30</v>
      </c>
    </row>
    <row r="4308" spans="1:12">
      <c r="A4308" t="s">
        <v>264</v>
      </c>
      <c r="B4308" s="10">
        <v>45383</v>
      </c>
      <c r="C4308" s="18">
        <f t="shared" si="67"/>
        <v>4</v>
      </c>
      <c r="D4308" t="s">
        <v>196</v>
      </c>
      <c r="E4308">
        <v>4872141</v>
      </c>
      <c r="F4308" t="s">
        <v>8</v>
      </c>
      <c r="G4308" t="s">
        <v>203</v>
      </c>
      <c r="H4308" t="s">
        <v>228</v>
      </c>
      <c r="I4308" s="4">
        <v>100638.28079999999</v>
      </c>
      <c r="J4308" s="4">
        <v>3019148.4239999996</v>
      </c>
      <c r="K4308" s="4">
        <v>-130038.22799999999</v>
      </c>
      <c r="L4308" s="4">
        <v>30</v>
      </c>
    </row>
    <row r="4309" spans="1:12">
      <c r="A4309" t="s">
        <v>264</v>
      </c>
      <c r="B4309" s="10">
        <v>45383</v>
      </c>
      <c r="C4309" s="18">
        <f t="shared" si="67"/>
        <v>4</v>
      </c>
      <c r="D4309" t="s">
        <v>196</v>
      </c>
      <c r="E4309">
        <v>4872141</v>
      </c>
      <c r="F4309" t="s">
        <v>8</v>
      </c>
      <c r="G4309" t="s">
        <v>203</v>
      </c>
      <c r="H4309" t="s">
        <v>226</v>
      </c>
      <c r="I4309" s="4">
        <v>100638.28079999999</v>
      </c>
      <c r="J4309" s="4">
        <v>3019148.4239999996</v>
      </c>
      <c r="K4309" s="4">
        <v>-130038.22799999999</v>
      </c>
      <c r="L4309" s="4">
        <v>30</v>
      </c>
    </row>
    <row r="4310" spans="1:12">
      <c r="A4310" t="s">
        <v>264</v>
      </c>
      <c r="B4310" s="10">
        <v>45383</v>
      </c>
      <c r="C4310" s="18">
        <f t="shared" si="67"/>
        <v>4</v>
      </c>
      <c r="D4310" t="s">
        <v>196</v>
      </c>
      <c r="E4310">
        <v>4872141</v>
      </c>
      <c r="F4310" t="s">
        <v>8</v>
      </c>
      <c r="G4310" t="s">
        <v>203</v>
      </c>
      <c r="H4310" t="s">
        <v>225</v>
      </c>
      <c r="I4310" s="4">
        <v>100638.28079999999</v>
      </c>
      <c r="J4310" s="4">
        <v>3019148.4239999996</v>
      </c>
      <c r="K4310" s="4">
        <v>-130038.22799999999</v>
      </c>
      <c r="L4310" s="4">
        <v>30</v>
      </c>
    </row>
    <row r="4311" spans="1:12">
      <c r="A4311" t="s">
        <v>264</v>
      </c>
      <c r="B4311" s="10">
        <v>45383</v>
      </c>
      <c r="C4311" s="18">
        <f t="shared" si="67"/>
        <v>4</v>
      </c>
      <c r="D4311" t="s">
        <v>196</v>
      </c>
      <c r="E4311">
        <v>4872141</v>
      </c>
      <c r="F4311" t="s">
        <v>8</v>
      </c>
      <c r="G4311" t="s">
        <v>203</v>
      </c>
      <c r="H4311" t="s">
        <v>229</v>
      </c>
      <c r="I4311" s="4">
        <v>125766.4408</v>
      </c>
      <c r="J4311" s="4">
        <v>1886496.612</v>
      </c>
      <c r="K4311" s="4">
        <v>-84807.54</v>
      </c>
      <c r="L4311" s="4">
        <v>15</v>
      </c>
    </row>
    <row r="4312" spans="1:12">
      <c r="A4312" t="s">
        <v>264</v>
      </c>
      <c r="B4312" s="10">
        <v>45383</v>
      </c>
      <c r="C4312" s="18">
        <f t="shared" si="67"/>
        <v>4</v>
      </c>
      <c r="D4312" t="s">
        <v>196</v>
      </c>
      <c r="E4312">
        <v>4872141</v>
      </c>
      <c r="F4312" t="s">
        <v>8</v>
      </c>
      <c r="G4312" t="s">
        <v>205</v>
      </c>
      <c r="H4312" t="s">
        <v>210</v>
      </c>
      <c r="I4312" s="4">
        <v>7538.4479999999994</v>
      </c>
      <c r="J4312" s="4">
        <v>1507689.5999999999</v>
      </c>
      <c r="K4312" s="4">
        <v>-75384.479999999996</v>
      </c>
      <c r="L4312" s="4">
        <v>200</v>
      </c>
    </row>
    <row r="4313" spans="1:12">
      <c r="A4313" t="s">
        <v>264</v>
      </c>
      <c r="B4313" s="10">
        <v>45383</v>
      </c>
      <c r="C4313" s="18">
        <f t="shared" si="67"/>
        <v>4</v>
      </c>
      <c r="D4313" t="s">
        <v>196</v>
      </c>
      <c r="E4313">
        <v>4872141</v>
      </c>
      <c r="F4313" t="s">
        <v>8</v>
      </c>
      <c r="G4313" t="s">
        <v>205</v>
      </c>
      <c r="H4313" t="s">
        <v>211</v>
      </c>
      <c r="I4313" s="4">
        <v>5151.2727999999997</v>
      </c>
      <c r="J4313" s="4">
        <v>1030254.5599999999</v>
      </c>
      <c r="K4313" s="4">
        <v>-50256.32</v>
      </c>
      <c r="L4313" s="4">
        <v>200</v>
      </c>
    </row>
    <row r="4314" spans="1:12">
      <c r="A4314" t="s">
        <v>264</v>
      </c>
      <c r="B4314" s="10">
        <v>45384</v>
      </c>
      <c r="C4314" s="18">
        <f t="shared" si="67"/>
        <v>4</v>
      </c>
      <c r="D4314" t="s">
        <v>196</v>
      </c>
      <c r="E4314">
        <v>4871661</v>
      </c>
      <c r="F4314" t="s">
        <v>8</v>
      </c>
      <c r="G4314" t="s">
        <v>204</v>
      </c>
      <c r="H4314" t="s">
        <v>217</v>
      </c>
      <c r="I4314" s="4">
        <v>78022.936799999996</v>
      </c>
      <c r="J4314" s="4">
        <v>-78022.936799999996</v>
      </c>
      <c r="K4314" s="4">
        <v>3580.7627999999995</v>
      </c>
      <c r="L4314" s="4">
        <v>-1</v>
      </c>
    </row>
    <row r="4315" spans="1:12">
      <c r="A4315" t="s">
        <v>264</v>
      </c>
      <c r="B4315" s="10">
        <v>45384</v>
      </c>
      <c r="C4315" s="18">
        <f t="shared" si="67"/>
        <v>4</v>
      </c>
      <c r="D4315" t="s">
        <v>196</v>
      </c>
      <c r="E4315">
        <v>4873868</v>
      </c>
      <c r="F4315" t="s">
        <v>8</v>
      </c>
      <c r="G4315" t="s">
        <v>203</v>
      </c>
      <c r="H4315" t="s">
        <v>245</v>
      </c>
      <c r="I4315" s="4">
        <v>100638.28079999999</v>
      </c>
      <c r="J4315" s="4">
        <v>805106.24639999995</v>
      </c>
      <c r="K4315" s="4">
        <v>-34676.860799999995</v>
      </c>
      <c r="L4315" s="4">
        <v>8</v>
      </c>
    </row>
    <row r="4316" spans="1:12">
      <c r="A4316" t="s">
        <v>264</v>
      </c>
      <c r="B4316" s="10">
        <v>45384</v>
      </c>
      <c r="C4316" s="18">
        <f t="shared" si="67"/>
        <v>4</v>
      </c>
      <c r="D4316" t="s">
        <v>196</v>
      </c>
      <c r="E4316">
        <v>4873868</v>
      </c>
      <c r="F4316" t="s">
        <v>8</v>
      </c>
      <c r="G4316" t="s">
        <v>203</v>
      </c>
      <c r="H4316" t="s">
        <v>242</v>
      </c>
      <c r="I4316" s="4">
        <v>100638.28079999999</v>
      </c>
      <c r="J4316" s="4">
        <v>805106.24639999995</v>
      </c>
      <c r="K4316" s="4">
        <v>-34676.860799999995</v>
      </c>
      <c r="L4316" s="4">
        <v>8</v>
      </c>
    </row>
    <row r="4317" spans="1:12">
      <c r="A4317" t="s">
        <v>264</v>
      </c>
      <c r="B4317" s="10">
        <v>45384</v>
      </c>
      <c r="C4317" s="18">
        <f t="shared" si="67"/>
        <v>4</v>
      </c>
      <c r="D4317" t="s">
        <v>196</v>
      </c>
      <c r="E4317">
        <v>4873868</v>
      </c>
      <c r="F4317" t="s">
        <v>8</v>
      </c>
      <c r="G4317" t="s">
        <v>203</v>
      </c>
      <c r="H4317" t="s">
        <v>234</v>
      </c>
      <c r="I4317" s="4">
        <v>100638.28079999999</v>
      </c>
      <c r="J4317" s="4">
        <v>805106.24639999995</v>
      </c>
      <c r="K4317" s="4">
        <v>-34676.860799999995</v>
      </c>
      <c r="L4317" s="4">
        <v>8</v>
      </c>
    </row>
    <row r="4318" spans="1:12">
      <c r="A4318" t="s">
        <v>264</v>
      </c>
      <c r="B4318" s="10">
        <v>45384</v>
      </c>
      <c r="C4318" s="18">
        <f t="shared" si="67"/>
        <v>4</v>
      </c>
      <c r="D4318" t="s">
        <v>196</v>
      </c>
      <c r="E4318">
        <v>4872162</v>
      </c>
      <c r="F4318" t="s">
        <v>8</v>
      </c>
      <c r="G4318" t="s">
        <v>203</v>
      </c>
      <c r="H4318" t="s">
        <v>235</v>
      </c>
      <c r="I4318" s="4">
        <v>125766.4408</v>
      </c>
      <c r="J4318" s="4">
        <v>1257664.4080000001</v>
      </c>
      <c r="K4318" s="4">
        <v>-56538.36</v>
      </c>
      <c r="L4318" s="4">
        <v>10</v>
      </c>
    </row>
    <row r="4319" spans="1:12">
      <c r="A4319" t="s">
        <v>264</v>
      </c>
      <c r="B4319" s="10">
        <v>45384</v>
      </c>
      <c r="C4319" s="18">
        <f t="shared" si="67"/>
        <v>4</v>
      </c>
      <c r="D4319" t="s">
        <v>196</v>
      </c>
      <c r="E4319">
        <v>4872162</v>
      </c>
      <c r="F4319" t="s">
        <v>8</v>
      </c>
      <c r="G4319" t="s">
        <v>203</v>
      </c>
      <c r="H4319" t="s">
        <v>233</v>
      </c>
      <c r="I4319" s="4">
        <v>120735.78316800001</v>
      </c>
      <c r="J4319" s="4">
        <v>1207357.8316800001</v>
      </c>
      <c r="K4319" s="4">
        <v>-56538.36</v>
      </c>
      <c r="L4319" s="4">
        <v>10</v>
      </c>
    </row>
    <row r="4320" spans="1:12">
      <c r="A4320" t="s">
        <v>264</v>
      </c>
      <c r="B4320" s="10">
        <v>45384</v>
      </c>
      <c r="C4320" s="18">
        <f t="shared" si="67"/>
        <v>4</v>
      </c>
      <c r="D4320" t="s">
        <v>196</v>
      </c>
      <c r="E4320">
        <v>4872162</v>
      </c>
      <c r="F4320" t="s">
        <v>8</v>
      </c>
      <c r="G4320" t="s">
        <v>204</v>
      </c>
      <c r="H4320" t="s">
        <v>219</v>
      </c>
      <c r="I4320" s="4">
        <v>44099.9208</v>
      </c>
      <c r="J4320" s="4">
        <v>440999.20799999998</v>
      </c>
      <c r="K4320" s="4">
        <v>-18846.12</v>
      </c>
      <c r="L4320" s="4">
        <v>10</v>
      </c>
    </row>
    <row r="4321" spans="1:12">
      <c r="A4321" t="s">
        <v>264</v>
      </c>
      <c r="B4321" s="10">
        <v>45384</v>
      </c>
      <c r="C4321" s="18">
        <f t="shared" si="67"/>
        <v>4</v>
      </c>
      <c r="D4321" t="s">
        <v>196</v>
      </c>
      <c r="E4321">
        <v>4872162</v>
      </c>
      <c r="F4321" t="s">
        <v>8</v>
      </c>
      <c r="G4321" t="s">
        <v>204</v>
      </c>
      <c r="H4321" t="s">
        <v>218</v>
      </c>
      <c r="I4321" s="4">
        <v>71740.896800000002</v>
      </c>
      <c r="J4321" s="4">
        <v>1434817.936</v>
      </c>
      <c r="K4321" s="4">
        <v>-71615.256000000008</v>
      </c>
      <c r="L4321" s="4">
        <v>20</v>
      </c>
    </row>
    <row r="4322" spans="1:12">
      <c r="A4322" t="s">
        <v>264</v>
      </c>
      <c r="B4322" s="10">
        <v>45384</v>
      </c>
      <c r="C4322" s="18">
        <f t="shared" si="67"/>
        <v>4</v>
      </c>
      <c r="D4322" t="s">
        <v>196</v>
      </c>
      <c r="E4322">
        <v>4875440</v>
      </c>
      <c r="F4322" t="s">
        <v>8</v>
      </c>
      <c r="G4322" t="s">
        <v>204</v>
      </c>
      <c r="H4322" t="s">
        <v>212</v>
      </c>
      <c r="I4322" s="4">
        <v>62946.040799999995</v>
      </c>
      <c r="J4322" s="4">
        <v>629460.40799999994</v>
      </c>
      <c r="K4322" s="4">
        <v>-18846.12</v>
      </c>
      <c r="L4322" s="4">
        <v>10</v>
      </c>
    </row>
    <row r="4323" spans="1:12">
      <c r="A4323" t="s">
        <v>264</v>
      </c>
      <c r="B4323" s="10">
        <v>45384</v>
      </c>
      <c r="C4323" s="18">
        <f t="shared" si="67"/>
        <v>4</v>
      </c>
      <c r="D4323" t="s">
        <v>196</v>
      </c>
      <c r="E4323">
        <v>4872203</v>
      </c>
      <c r="F4323" t="s">
        <v>8</v>
      </c>
      <c r="G4323" t="s">
        <v>204</v>
      </c>
      <c r="H4323" t="s">
        <v>213</v>
      </c>
      <c r="I4323" s="4">
        <v>119484.4008</v>
      </c>
      <c r="J4323" s="4">
        <v>-238968.80160000001</v>
      </c>
      <c r="K4323" s="4">
        <v>11935.876</v>
      </c>
      <c r="L4323" s="4">
        <v>-2</v>
      </c>
    </row>
    <row r="4324" spans="1:12">
      <c r="A4324" t="s">
        <v>264</v>
      </c>
      <c r="B4324" s="10">
        <v>45384</v>
      </c>
      <c r="C4324" s="18">
        <f t="shared" si="67"/>
        <v>4</v>
      </c>
      <c r="D4324" t="s">
        <v>196</v>
      </c>
      <c r="E4324">
        <v>4873258</v>
      </c>
      <c r="F4324" t="s">
        <v>8</v>
      </c>
      <c r="G4324" t="s">
        <v>204</v>
      </c>
      <c r="H4324" t="s">
        <v>212</v>
      </c>
      <c r="I4324" s="4">
        <v>62946.040799999995</v>
      </c>
      <c r="J4324" s="4">
        <v>251784.16319999998</v>
      </c>
      <c r="K4324" s="4">
        <v>-7538.4479999999994</v>
      </c>
      <c r="L4324" s="4">
        <v>4</v>
      </c>
    </row>
    <row r="4325" spans="1:12">
      <c r="A4325" t="s">
        <v>264</v>
      </c>
      <c r="B4325" s="10">
        <v>45384</v>
      </c>
      <c r="C4325" s="18">
        <f t="shared" si="67"/>
        <v>4</v>
      </c>
      <c r="D4325" t="s">
        <v>196</v>
      </c>
      <c r="E4325">
        <v>4877306</v>
      </c>
      <c r="F4325" t="s">
        <v>8</v>
      </c>
      <c r="G4325" t="s">
        <v>203</v>
      </c>
      <c r="H4325" t="s">
        <v>227</v>
      </c>
      <c r="I4325" s="4">
        <v>100638.28079999999</v>
      </c>
      <c r="J4325" s="4">
        <v>603829.68479999993</v>
      </c>
      <c r="K4325" s="4">
        <v>-26007.645599999996</v>
      </c>
      <c r="L4325" s="4">
        <v>6</v>
      </c>
    </row>
    <row r="4326" spans="1:12">
      <c r="A4326" t="s">
        <v>264</v>
      </c>
      <c r="B4326" s="10">
        <v>45385</v>
      </c>
      <c r="C4326" s="18">
        <f t="shared" si="67"/>
        <v>4</v>
      </c>
      <c r="D4326" t="s">
        <v>196</v>
      </c>
      <c r="E4326">
        <v>4876503</v>
      </c>
      <c r="F4326" t="s">
        <v>8</v>
      </c>
      <c r="G4326" t="s">
        <v>202</v>
      </c>
      <c r="H4326" t="s">
        <v>257</v>
      </c>
      <c r="I4326" s="4">
        <v>56664.000799999994</v>
      </c>
      <c r="J4326" s="4">
        <v>1189944.0167999999</v>
      </c>
      <c r="K4326" s="4">
        <v>-59365.277999999998</v>
      </c>
      <c r="L4326" s="4">
        <v>21</v>
      </c>
    </row>
    <row r="4327" spans="1:12">
      <c r="A4327" t="s">
        <v>264</v>
      </c>
      <c r="B4327" s="10">
        <v>45385</v>
      </c>
      <c r="C4327" s="18">
        <f t="shared" si="67"/>
        <v>4</v>
      </c>
      <c r="D4327" t="s">
        <v>196</v>
      </c>
      <c r="E4327">
        <v>4878874</v>
      </c>
      <c r="F4327" t="s">
        <v>8</v>
      </c>
      <c r="G4327" t="s">
        <v>206</v>
      </c>
      <c r="H4327" t="s">
        <v>252</v>
      </c>
      <c r="I4327" s="4">
        <v>20102.528000000002</v>
      </c>
      <c r="J4327" s="4">
        <v>2010252.8000000003</v>
      </c>
      <c r="K4327" s="4">
        <v>-201025.28</v>
      </c>
      <c r="L4327" s="4">
        <v>100</v>
      </c>
    </row>
    <row r="4328" spans="1:12">
      <c r="A4328" t="s">
        <v>264</v>
      </c>
      <c r="B4328" s="10">
        <v>45385</v>
      </c>
      <c r="C4328" s="18">
        <f t="shared" si="67"/>
        <v>4</v>
      </c>
      <c r="D4328" t="s">
        <v>196</v>
      </c>
      <c r="E4328">
        <v>4872158</v>
      </c>
      <c r="F4328" t="s">
        <v>8</v>
      </c>
      <c r="G4328" t="s">
        <v>203</v>
      </c>
      <c r="H4328" t="s">
        <v>245</v>
      </c>
      <c r="I4328" s="4">
        <v>100638.28079999999</v>
      </c>
      <c r="J4328" s="4">
        <v>6038296.8479999993</v>
      </c>
      <c r="K4328" s="4">
        <v>-260076.45599999998</v>
      </c>
      <c r="L4328" s="4">
        <v>60</v>
      </c>
    </row>
    <row r="4329" spans="1:12">
      <c r="A4329" t="s">
        <v>264</v>
      </c>
      <c r="B4329" s="10">
        <v>45385</v>
      </c>
      <c r="C4329" s="18">
        <f t="shared" si="67"/>
        <v>4</v>
      </c>
      <c r="D4329" t="s">
        <v>196</v>
      </c>
      <c r="E4329">
        <v>4872158</v>
      </c>
      <c r="F4329" t="s">
        <v>8</v>
      </c>
      <c r="G4329" t="s">
        <v>203</v>
      </c>
      <c r="H4329" t="s">
        <v>243</v>
      </c>
      <c r="I4329" s="4">
        <v>100638.28079999999</v>
      </c>
      <c r="J4329" s="4">
        <v>3019148.4239999996</v>
      </c>
      <c r="K4329" s="4">
        <v>-130038.22799999999</v>
      </c>
      <c r="L4329" s="4">
        <v>30</v>
      </c>
    </row>
    <row r="4330" spans="1:12">
      <c r="A4330" t="s">
        <v>264</v>
      </c>
      <c r="B4330" s="10">
        <v>45385</v>
      </c>
      <c r="C4330" s="18">
        <f t="shared" si="67"/>
        <v>4</v>
      </c>
      <c r="D4330" t="s">
        <v>196</v>
      </c>
      <c r="E4330">
        <v>4872158</v>
      </c>
      <c r="F4330" t="s">
        <v>8</v>
      </c>
      <c r="G4330" t="s">
        <v>203</v>
      </c>
      <c r="H4330" t="s">
        <v>240</v>
      </c>
      <c r="I4330" s="4">
        <v>100638.28079999999</v>
      </c>
      <c r="J4330" s="4">
        <v>6038296.8479999993</v>
      </c>
      <c r="K4330" s="4">
        <v>-260076.45599999998</v>
      </c>
      <c r="L4330" s="4">
        <v>60</v>
      </c>
    </row>
    <row r="4331" spans="1:12">
      <c r="A4331" t="s">
        <v>264</v>
      </c>
      <c r="B4331" s="10">
        <v>45385</v>
      </c>
      <c r="C4331" s="18">
        <f t="shared" si="67"/>
        <v>4</v>
      </c>
      <c r="D4331" t="s">
        <v>196</v>
      </c>
      <c r="E4331">
        <v>4872158</v>
      </c>
      <c r="F4331" t="s">
        <v>8</v>
      </c>
      <c r="G4331" t="s">
        <v>203</v>
      </c>
      <c r="H4331" t="s">
        <v>238</v>
      </c>
      <c r="I4331" s="4">
        <v>95606.36675999999</v>
      </c>
      <c r="J4331" s="4">
        <v>5736382.0055999998</v>
      </c>
      <c r="K4331" s="4">
        <v>-260076.45599999998</v>
      </c>
      <c r="L4331" s="4">
        <v>60</v>
      </c>
    </row>
    <row r="4332" spans="1:12">
      <c r="A4332" t="s">
        <v>264</v>
      </c>
      <c r="B4332" s="10">
        <v>45385</v>
      </c>
      <c r="C4332" s="18">
        <f t="shared" si="67"/>
        <v>4</v>
      </c>
      <c r="D4332" t="s">
        <v>196</v>
      </c>
      <c r="E4332">
        <v>4872158</v>
      </c>
      <c r="F4332" t="s">
        <v>8</v>
      </c>
      <c r="G4332" t="s">
        <v>203</v>
      </c>
      <c r="H4332" t="s">
        <v>234</v>
      </c>
      <c r="I4332" s="4">
        <v>100638.28079999999</v>
      </c>
      <c r="J4332" s="4">
        <v>3019148.4239999996</v>
      </c>
      <c r="K4332" s="4">
        <v>-130038.22799999999</v>
      </c>
      <c r="L4332" s="4">
        <v>30</v>
      </c>
    </row>
    <row r="4333" spans="1:12">
      <c r="A4333" t="s">
        <v>264</v>
      </c>
      <c r="B4333" s="10">
        <v>45385</v>
      </c>
      <c r="C4333" s="18">
        <f t="shared" si="67"/>
        <v>4</v>
      </c>
      <c r="D4333" t="s">
        <v>196</v>
      </c>
      <c r="E4333">
        <v>4872158</v>
      </c>
      <c r="F4333" t="s">
        <v>8</v>
      </c>
      <c r="G4333" t="s">
        <v>203</v>
      </c>
      <c r="H4333" t="s">
        <v>230</v>
      </c>
      <c r="I4333" s="4">
        <v>100638.28079999999</v>
      </c>
      <c r="J4333" s="4">
        <v>4025531.2319999998</v>
      </c>
      <c r="K4333" s="4">
        <v>-173384.304</v>
      </c>
      <c r="L4333" s="4">
        <v>40</v>
      </c>
    </row>
    <row r="4334" spans="1:12">
      <c r="A4334" t="s">
        <v>264</v>
      </c>
      <c r="B4334" s="10">
        <v>45385</v>
      </c>
      <c r="C4334" s="18">
        <f t="shared" si="67"/>
        <v>4</v>
      </c>
      <c r="D4334" t="s">
        <v>196</v>
      </c>
      <c r="E4334">
        <v>4872158</v>
      </c>
      <c r="F4334" t="s">
        <v>8</v>
      </c>
      <c r="G4334" t="s">
        <v>203</v>
      </c>
      <c r="H4334" t="s">
        <v>225</v>
      </c>
      <c r="I4334" s="4">
        <v>100638.28079999999</v>
      </c>
      <c r="J4334" s="4">
        <v>2012765.6159999999</v>
      </c>
      <c r="K4334" s="4">
        <v>-86692.152000000002</v>
      </c>
      <c r="L4334" s="4">
        <v>20</v>
      </c>
    </row>
    <row r="4335" spans="1:12">
      <c r="A4335" t="s">
        <v>264</v>
      </c>
      <c r="B4335" s="10">
        <v>45385</v>
      </c>
      <c r="C4335" s="18">
        <f t="shared" si="67"/>
        <v>4</v>
      </c>
      <c r="D4335" t="s">
        <v>196</v>
      </c>
      <c r="E4335">
        <v>4872158</v>
      </c>
      <c r="F4335" t="s">
        <v>8</v>
      </c>
      <c r="G4335" t="s">
        <v>203</v>
      </c>
      <c r="H4335" t="s">
        <v>244</v>
      </c>
      <c r="I4335" s="4">
        <v>125766.4408</v>
      </c>
      <c r="J4335" s="4">
        <v>1257664.4080000001</v>
      </c>
      <c r="K4335" s="4">
        <v>-56538.36</v>
      </c>
      <c r="L4335" s="4">
        <v>10</v>
      </c>
    </row>
    <row r="4336" spans="1:12">
      <c r="A4336" t="s">
        <v>264</v>
      </c>
      <c r="B4336" s="10">
        <v>45385</v>
      </c>
      <c r="C4336" s="18">
        <f t="shared" si="67"/>
        <v>4</v>
      </c>
      <c r="D4336" t="s">
        <v>196</v>
      </c>
      <c r="E4336">
        <v>4872158</v>
      </c>
      <c r="F4336" t="s">
        <v>8</v>
      </c>
      <c r="G4336" t="s">
        <v>203</v>
      </c>
      <c r="H4336" t="s">
        <v>237</v>
      </c>
      <c r="I4336" s="4">
        <v>125766.4408</v>
      </c>
      <c r="J4336" s="4">
        <v>1257664.4080000001</v>
      </c>
      <c r="K4336" s="4">
        <v>-56538.36</v>
      </c>
      <c r="L4336" s="4">
        <v>10</v>
      </c>
    </row>
    <row r="4337" spans="1:12">
      <c r="A4337" t="s">
        <v>264</v>
      </c>
      <c r="B4337" s="10">
        <v>45385</v>
      </c>
      <c r="C4337" s="18">
        <f t="shared" si="67"/>
        <v>4</v>
      </c>
      <c r="D4337" t="s">
        <v>196</v>
      </c>
      <c r="E4337">
        <v>4872158</v>
      </c>
      <c r="F4337" t="s">
        <v>8</v>
      </c>
      <c r="G4337" t="s">
        <v>203</v>
      </c>
      <c r="H4337" t="s">
        <v>235</v>
      </c>
      <c r="I4337" s="4">
        <v>125766.4408</v>
      </c>
      <c r="J4337" s="4">
        <v>1257664.4080000001</v>
      </c>
      <c r="K4337" s="4">
        <v>-56538.36</v>
      </c>
      <c r="L4337" s="4">
        <v>10</v>
      </c>
    </row>
    <row r="4338" spans="1:12">
      <c r="A4338" t="s">
        <v>264</v>
      </c>
      <c r="B4338" s="10">
        <v>45385</v>
      </c>
      <c r="C4338" s="18">
        <f t="shared" si="67"/>
        <v>4</v>
      </c>
      <c r="D4338" t="s">
        <v>196</v>
      </c>
      <c r="E4338">
        <v>4872158</v>
      </c>
      <c r="F4338" t="s">
        <v>8</v>
      </c>
      <c r="G4338" t="s">
        <v>203</v>
      </c>
      <c r="H4338" t="s">
        <v>229</v>
      </c>
      <c r="I4338" s="4">
        <v>125766.4408</v>
      </c>
      <c r="J4338" s="4">
        <v>251532.88159999999</v>
      </c>
      <c r="K4338" s="4">
        <v>-11307.672</v>
      </c>
      <c r="L4338" s="4">
        <v>2</v>
      </c>
    </row>
    <row r="4339" spans="1:12">
      <c r="A4339" t="s">
        <v>264</v>
      </c>
      <c r="B4339" s="10">
        <v>45385</v>
      </c>
      <c r="C4339" s="18">
        <f t="shared" si="67"/>
        <v>4</v>
      </c>
      <c r="D4339" t="s">
        <v>196</v>
      </c>
      <c r="E4339">
        <v>4872158</v>
      </c>
      <c r="F4339" t="s">
        <v>8</v>
      </c>
      <c r="G4339" t="s">
        <v>204</v>
      </c>
      <c r="H4339" t="s">
        <v>215</v>
      </c>
      <c r="I4339" s="4">
        <v>75510.12079999999</v>
      </c>
      <c r="J4339" s="4">
        <v>1132651.8119999999</v>
      </c>
      <c r="K4339" s="4">
        <v>-56538.36</v>
      </c>
      <c r="L4339" s="4">
        <v>15</v>
      </c>
    </row>
    <row r="4340" spans="1:12">
      <c r="A4340" t="s">
        <v>264</v>
      </c>
      <c r="B4340" s="10">
        <v>45385</v>
      </c>
      <c r="C4340" s="18">
        <f t="shared" si="67"/>
        <v>4</v>
      </c>
      <c r="D4340" t="s">
        <v>196</v>
      </c>
      <c r="E4340">
        <v>4872158</v>
      </c>
      <c r="F4340" t="s">
        <v>8</v>
      </c>
      <c r="G4340" t="s">
        <v>204</v>
      </c>
      <c r="H4340" t="s">
        <v>214</v>
      </c>
      <c r="I4340" s="4">
        <v>119484.4008</v>
      </c>
      <c r="J4340" s="4">
        <v>2987110.02</v>
      </c>
      <c r="K4340" s="4">
        <v>-149198.45000000001</v>
      </c>
      <c r="L4340" s="4">
        <v>25</v>
      </c>
    </row>
    <row r="4341" spans="1:12">
      <c r="A4341" t="s">
        <v>264</v>
      </c>
      <c r="B4341" s="10">
        <v>45385</v>
      </c>
      <c r="C4341" s="18">
        <f t="shared" si="67"/>
        <v>4</v>
      </c>
      <c r="D4341" t="s">
        <v>196</v>
      </c>
      <c r="E4341">
        <v>4872158</v>
      </c>
      <c r="F4341" t="s">
        <v>8</v>
      </c>
      <c r="G4341" t="s">
        <v>204</v>
      </c>
      <c r="H4341" t="s">
        <v>213</v>
      </c>
      <c r="I4341" s="4">
        <v>119484.4008</v>
      </c>
      <c r="J4341" s="4">
        <v>2987110.02</v>
      </c>
      <c r="K4341" s="4">
        <v>-149198.45000000001</v>
      </c>
      <c r="L4341" s="4">
        <v>25</v>
      </c>
    </row>
    <row r="4342" spans="1:12">
      <c r="A4342" t="s">
        <v>264</v>
      </c>
      <c r="B4342" s="10">
        <v>45385</v>
      </c>
      <c r="C4342" s="18">
        <f t="shared" si="67"/>
        <v>4</v>
      </c>
      <c r="D4342" t="s">
        <v>196</v>
      </c>
      <c r="E4342">
        <v>4872158</v>
      </c>
      <c r="F4342" t="s">
        <v>8</v>
      </c>
      <c r="G4342" t="s">
        <v>204</v>
      </c>
      <c r="H4342" t="s">
        <v>221</v>
      </c>
      <c r="I4342" s="4">
        <v>25253.800799999997</v>
      </c>
      <c r="J4342" s="4">
        <v>252538.00799999997</v>
      </c>
      <c r="K4342" s="4">
        <v>-12564.08</v>
      </c>
      <c r="L4342" s="4">
        <v>10</v>
      </c>
    </row>
    <row r="4343" spans="1:12">
      <c r="A4343" t="s">
        <v>264</v>
      </c>
      <c r="B4343" s="10">
        <v>45385</v>
      </c>
      <c r="C4343" s="18">
        <f t="shared" si="67"/>
        <v>4</v>
      </c>
      <c r="D4343" t="s">
        <v>196</v>
      </c>
      <c r="E4343">
        <v>4872158</v>
      </c>
      <c r="F4343" t="s">
        <v>8</v>
      </c>
      <c r="G4343" t="s">
        <v>204</v>
      </c>
      <c r="H4343" t="s">
        <v>220</v>
      </c>
      <c r="I4343" s="4">
        <v>37817.880799999999</v>
      </c>
      <c r="J4343" s="4">
        <v>378178.80799999996</v>
      </c>
      <c r="K4343" s="4">
        <v>-18846.12</v>
      </c>
      <c r="L4343" s="4">
        <v>10</v>
      </c>
    </row>
    <row r="4344" spans="1:12">
      <c r="A4344" t="s">
        <v>264</v>
      </c>
      <c r="B4344" s="10">
        <v>45385</v>
      </c>
      <c r="C4344" s="18">
        <f t="shared" si="67"/>
        <v>4</v>
      </c>
      <c r="D4344" t="s">
        <v>196</v>
      </c>
      <c r="E4344">
        <v>4878825</v>
      </c>
      <c r="F4344" t="s">
        <v>8</v>
      </c>
      <c r="G4344" t="s">
        <v>202</v>
      </c>
      <c r="H4344" t="s">
        <v>256</v>
      </c>
      <c r="I4344" s="4">
        <v>64202.448800000006</v>
      </c>
      <c r="J4344" s="4">
        <v>256809.79520000002</v>
      </c>
      <c r="K4344" s="4">
        <v>-12815.3616</v>
      </c>
      <c r="L4344" s="4">
        <v>4</v>
      </c>
    </row>
    <row r="4345" spans="1:12">
      <c r="A4345" t="s">
        <v>264</v>
      </c>
      <c r="B4345" s="10">
        <v>45385</v>
      </c>
      <c r="C4345" s="18">
        <f t="shared" si="67"/>
        <v>4</v>
      </c>
      <c r="D4345" t="s">
        <v>196</v>
      </c>
      <c r="E4345">
        <v>4879214</v>
      </c>
      <c r="F4345" t="s">
        <v>8</v>
      </c>
      <c r="G4345" t="s">
        <v>204</v>
      </c>
      <c r="H4345" t="s">
        <v>218</v>
      </c>
      <c r="I4345" s="4">
        <v>71740.896800000002</v>
      </c>
      <c r="J4345" s="4">
        <v>143481.7936</v>
      </c>
      <c r="K4345" s="4">
        <v>-7161.525599999999</v>
      </c>
      <c r="L4345" s="4">
        <v>2</v>
      </c>
    </row>
    <row r="4346" spans="1:12">
      <c r="A4346" t="s">
        <v>264</v>
      </c>
      <c r="B4346" s="10">
        <v>45385</v>
      </c>
      <c r="C4346" s="18">
        <f t="shared" si="67"/>
        <v>4</v>
      </c>
      <c r="D4346" t="s">
        <v>196</v>
      </c>
      <c r="E4346">
        <v>4871747</v>
      </c>
      <c r="F4346" t="s">
        <v>8</v>
      </c>
      <c r="G4346" t="s">
        <v>204</v>
      </c>
      <c r="H4346" t="s">
        <v>221</v>
      </c>
      <c r="I4346" s="4">
        <v>25253.800799999997</v>
      </c>
      <c r="J4346" s="4">
        <v>757614.02399999998</v>
      </c>
      <c r="K4346" s="4">
        <v>-37692.239999999998</v>
      </c>
      <c r="L4346" s="4">
        <v>30</v>
      </c>
    </row>
    <row r="4347" spans="1:12">
      <c r="A4347" t="s">
        <v>264</v>
      </c>
      <c r="B4347" s="10">
        <v>45385</v>
      </c>
      <c r="C4347" s="18">
        <f t="shared" si="67"/>
        <v>4</v>
      </c>
      <c r="D4347" t="s">
        <v>196</v>
      </c>
      <c r="E4347">
        <v>4871747</v>
      </c>
      <c r="F4347" t="s">
        <v>8</v>
      </c>
      <c r="G4347" t="s">
        <v>204</v>
      </c>
      <c r="H4347" t="s">
        <v>220</v>
      </c>
      <c r="I4347" s="4">
        <v>37817.880799999999</v>
      </c>
      <c r="J4347" s="4">
        <v>1134536.4239999999</v>
      </c>
      <c r="K4347" s="4">
        <v>-56538.36</v>
      </c>
      <c r="L4347" s="4">
        <v>30</v>
      </c>
    </row>
    <row r="4348" spans="1:12">
      <c r="A4348" t="s">
        <v>264</v>
      </c>
      <c r="B4348" s="10">
        <v>45385</v>
      </c>
      <c r="C4348" s="18">
        <f t="shared" si="67"/>
        <v>4</v>
      </c>
      <c r="D4348" t="s">
        <v>196</v>
      </c>
      <c r="E4348">
        <v>4872070</v>
      </c>
      <c r="F4348" t="s">
        <v>8</v>
      </c>
      <c r="G4348" t="s">
        <v>203</v>
      </c>
      <c r="H4348" t="s">
        <v>235</v>
      </c>
      <c r="I4348" s="4">
        <v>125766.4408</v>
      </c>
      <c r="J4348" s="4">
        <v>251532.88159999999</v>
      </c>
      <c r="K4348" s="4">
        <v>-11307.672</v>
      </c>
      <c r="L4348" s="4">
        <v>2</v>
      </c>
    </row>
    <row r="4349" spans="1:12">
      <c r="A4349" t="s">
        <v>264</v>
      </c>
      <c r="B4349" s="10">
        <v>45385</v>
      </c>
      <c r="C4349" s="18">
        <f t="shared" si="67"/>
        <v>4</v>
      </c>
      <c r="D4349" t="s">
        <v>196</v>
      </c>
      <c r="E4349">
        <v>4872193</v>
      </c>
      <c r="F4349" t="s">
        <v>8</v>
      </c>
      <c r="G4349" t="s">
        <v>203</v>
      </c>
      <c r="H4349" t="s">
        <v>245</v>
      </c>
      <c r="I4349" s="4">
        <v>100638.28079999999</v>
      </c>
      <c r="J4349" s="4">
        <v>1006382.808</v>
      </c>
      <c r="K4349" s="4">
        <v>-43346.076000000001</v>
      </c>
      <c r="L4349" s="4">
        <v>10</v>
      </c>
    </row>
    <row r="4350" spans="1:12">
      <c r="A4350" t="s">
        <v>264</v>
      </c>
      <c r="B4350" s="10">
        <v>45385</v>
      </c>
      <c r="C4350" s="18">
        <f t="shared" si="67"/>
        <v>4</v>
      </c>
      <c r="D4350" t="s">
        <v>196</v>
      </c>
      <c r="E4350">
        <v>4872193</v>
      </c>
      <c r="F4350" t="s">
        <v>8</v>
      </c>
      <c r="G4350" t="s">
        <v>203</v>
      </c>
      <c r="H4350" t="s">
        <v>243</v>
      </c>
      <c r="I4350" s="4">
        <v>100638.28079999999</v>
      </c>
      <c r="J4350" s="4">
        <v>1006382.808</v>
      </c>
      <c r="K4350" s="4">
        <v>-43346.076000000001</v>
      </c>
      <c r="L4350" s="4">
        <v>10</v>
      </c>
    </row>
    <row r="4351" spans="1:12">
      <c r="A4351" t="s">
        <v>264</v>
      </c>
      <c r="B4351" s="10">
        <v>45385</v>
      </c>
      <c r="C4351" s="18">
        <f t="shared" si="67"/>
        <v>4</v>
      </c>
      <c r="D4351" t="s">
        <v>196</v>
      </c>
      <c r="E4351">
        <v>4872193</v>
      </c>
      <c r="F4351" t="s">
        <v>8</v>
      </c>
      <c r="G4351" t="s">
        <v>203</v>
      </c>
      <c r="H4351" t="s">
        <v>242</v>
      </c>
      <c r="I4351" s="4">
        <v>100638.28079999999</v>
      </c>
      <c r="J4351" s="4">
        <v>1006382.808</v>
      </c>
      <c r="K4351" s="4">
        <v>-43346.076000000001</v>
      </c>
      <c r="L4351" s="4">
        <v>10</v>
      </c>
    </row>
    <row r="4352" spans="1:12">
      <c r="A4352" t="s">
        <v>264</v>
      </c>
      <c r="B4352" s="10">
        <v>45385</v>
      </c>
      <c r="C4352" s="18">
        <f t="shared" si="67"/>
        <v>4</v>
      </c>
      <c r="D4352" t="s">
        <v>196</v>
      </c>
      <c r="E4352">
        <v>4872193</v>
      </c>
      <c r="F4352" t="s">
        <v>8</v>
      </c>
      <c r="G4352" t="s">
        <v>203</v>
      </c>
      <c r="H4352" t="s">
        <v>240</v>
      </c>
      <c r="I4352" s="4">
        <v>100638.28079999999</v>
      </c>
      <c r="J4352" s="4">
        <v>1006382.808</v>
      </c>
      <c r="K4352" s="4">
        <v>-43346.076000000001</v>
      </c>
      <c r="L4352" s="4">
        <v>10</v>
      </c>
    </row>
    <row r="4353" spans="1:12">
      <c r="A4353" t="s">
        <v>264</v>
      </c>
      <c r="B4353" s="10">
        <v>45385</v>
      </c>
      <c r="C4353" s="18">
        <f t="shared" si="67"/>
        <v>4</v>
      </c>
      <c r="D4353" t="s">
        <v>196</v>
      </c>
      <c r="E4353">
        <v>4872193</v>
      </c>
      <c r="F4353" t="s">
        <v>8</v>
      </c>
      <c r="G4353" t="s">
        <v>203</v>
      </c>
      <c r="H4353" t="s">
        <v>238</v>
      </c>
      <c r="I4353" s="4">
        <v>95606.36675999999</v>
      </c>
      <c r="J4353" s="4">
        <v>956063.66759999993</v>
      </c>
      <c r="K4353" s="4">
        <v>-43346.076000000001</v>
      </c>
      <c r="L4353" s="4">
        <v>10</v>
      </c>
    </row>
    <row r="4354" spans="1:12">
      <c r="A4354" t="s">
        <v>264</v>
      </c>
      <c r="B4354" s="10">
        <v>45385</v>
      </c>
      <c r="C4354" s="18">
        <f t="shared" ref="C4354:C4417" si="68">MONTH(B4354)</f>
        <v>4</v>
      </c>
      <c r="D4354" t="s">
        <v>196</v>
      </c>
      <c r="E4354">
        <v>4872193</v>
      </c>
      <c r="F4354" t="s">
        <v>8</v>
      </c>
      <c r="G4354" t="s">
        <v>203</v>
      </c>
      <c r="H4354" t="s">
        <v>236</v>
      </c>
      <c r="I4354" s="4">
        <v>100638.28079999999</v>
      </c>
      <c r="J4354" s="4">
        <v>1006382.808</v>
      </c>
      <c r="K4354" s="4">
        <v>-43346.076000000001</v>
      </c>
      <c r="L4354" s="4">
        <v>10</v>
      </c>
    </row>
    <row r="4355" spans="1:12">
      <c r="A4355" t="s">
        <v>264</v>
      </c>
      <c r="B4355" s="10">
        <v>45385</v>
      </c>
      <c r="C4355" s="18">
        <f t="shared" si="68"/>
        <v>4</v>
      </c>
      <c r="D4355" t="s">
        <v>196</v>
      </c>
      <c r="E4355">
        <v>4872203</v>
      </c>
      <c r="F4355" t="s">
        <v>8</v>
      </c>
      <c r="G4355" t="s">
        <v>203</v>
      </c>
      <c r="H4355" t="s">
        <v>240</v>
      </c>
      <c r="I4355" s="4">
        <v>100638.28079999999</v>
      </c>
      <c r="J4355" s="4">
        <v>1006382.808</v>
      </c>
      <c r="K4355" s="4">
        <v>-43346.076000000001</v>
      </c>
      <c r="L4355" s="4">
        <v>10</v>
      </c>
    </row>
    <row r="4356" spans="1:12">
      <c r="A4356" t="s">
        <v>264</v>
      </c>
      <c r="B4356" s="10">
        <v>45385</v>
      </c>
      <c r="C4356" s="18">
        <f t="shared" si="68"/>
        <v>4</v>
      </c>
      <c r="D4356" t="s">
        <v>196</v>
      </c>
      <c r="E4356">
        <v>4872203</v>
      </c>
      <c r="F4356" t="s">
        <v>8</v>
      </c>
      <c r="G4356" t="s">
        <v>203</v>
      </c>
      <c r="H4356" t="s">
        <v>238</v>
      </c>
      <c r="I4356" s="4">
        <v>95606.36675999999</v>
      </c>
      <c r="J4356" s="4">
        <v>956063.66759999993</v>
      </c>
      <c r="K4356" s="4">
        <v>-43346.076000000001</v>
      </c>
      <c r="L4356" s="4">
        <v>10</v>
      </c>
    </row>
    <row r="4357" spans="1:12">
      <c r="A4357" t="s">
        <v>264</v>
      </c>
      <c r="B4357" s="10">
        <v>45385</v>
      </c>
      <c r="C4357" s="18">
        <f t="shared" si="68"/>
        <v>4</v>
      </c>
      <c r="D4357" t="s">
        <v>196</v>
      </c>
      <c r="E4357">
        <v>4872203</v>
      </c>
      <c r="F4357" t="s">
        <v>8</v>
      </c>
      <c r="G4357" t="s">
        <v>203</v>
      </c>
      <c r="H4357" t="s">
        <v>228</v>
      </c>
      <c r="I4357" s="4">
        <v>100638.28079999999</v>
      </c>
      <c r="J4357" s="4">
        <v>603829.68479999993</v>
      </c>
      <c r="K4357" s="4">
        <v>-26007.645599999996</v>
      </c>
      <c r="L4357" s="4">
        <v>6</v>
      </c>
    </row>
    <row r="4358" spans="1:12">
      <c r="A4358" t="s">
        <v>264</v>
      </c>
      <c r="B4358" s="10">
        <v>45385</v>
      </c>
      <c r="C4358" s="18">
        <f t="shared" si="68"/>
        <v>4</v>
      </c>
      <c r="D4358" t="s">
        <v>196</v>
      </c>
      <c r="E4358">
        <v>4872203</v>
      </c>
      <c r="F4358" t="s">
        <v>8</v>
      </c>
      <c r="G4358" t="s">
        <v>203</v>
      </c>
      <c r="H4358" t="s">
        <v>226</v>
      </c>
      <c r="I4358" s="4">
        <v>100638.28079999999</v>
      </c>
      <c r="J4358" s="4">
        <v>603829.68479999993</v>
      </c>
      <c r="K4358" s="4">
        <v>-26007.645599999996</v>
      </c>
      <c r="L4358" s="4">
        <v>6</v>
      </c>
    </row>
    <row r="4359" spans="1:12">
      <c r="A4359" t="s">
        <v>264</v>
      </c>
      <c r="B4359" s="10">
        <v>45385</v>
      </c>
      <c r="C4359" s="18">
        <f t="shared" si="68"/>
        <v>4</v>
      </c>
      <c r="D4359" t="s">
        <v>196</v>
      </c>
      <c r="E4359">
        <v>4872203</v>
      </c>
      <c r="F4359" t="s">
        <v>8</v>
      </c>
      <c r="G4359" t="s">
        <v>203</v>
      </c>
      <c r="H4359" t="s">
        <v>224</v>
      </c>
      <c r="I4359" s="4">
        <v>100638.28079999999</v>
      </c>
      <c r="J4359" s="4">
        <v>603829.68479999993</v>
      </c>
      <c r="K4359" s="4">
        <v>-26007.645599999996</v>
      </c>
      <c r="L4359" s="4">
        <v>6</v>
      </c>
    </row>
    <row r="4360" spans="1:12">
      <c r="A4360" t="s">
        <v>264</v>
      </c>
      <c r="B4360" s="10">
        <v>45385</v>
      </c>
      <c r="C4360" s="18">
        <f t="shared" si="68"/>
        <v>4</v>
      </c>
      <c r="D4360" t="s">
        <v>196</v>
      </c>
      <c r="E4360">
        <v>4872203</v>
      </c>
      <c r="F4360" t="s">
        <v>8</v>
      </c>
      <c r="G4360" t="s">
        <v>203</v>
      </c>
      <c r="H4360" t="s">
        <v>223</v>
      </c>
      <c r="I4360" s="4">
        <v>100638.28079999999</v>
      </c>
      <c r="J4360" s="4">
        <v>603829.68479999993</v>
      </c>
      <c r="K4360" s="4">
        <v>-26007.645599999996</v>
      </c>
      <c r="L4360" s="4">
        <v>6</v>
      </c>
    </row>
    <row r="4361" spans="1:12">
      <c r="A4361" t="s">
        <v>264</v>
      </c>
      <c r="B4361" s="10">
        <v>45385</v>
      </c>
      <c r="C4361" s="18">
        <f t="shared" si="68"/>
        <v>4</v>
      </c>
      <c r="D4361" t="s">
        <v>196</v>
      </c>
      <c r="E4361">
        <v>4875372</v>
      </c>
      <c r="F4361" t="s">
        <v>8</v>
      </c>
      <c r="G4361" t="s">
        <v>202</v>
      </c>
      <c r="H4361" t="s">
        <v>258</v>
      </c>
      <c r="I4361" s="4">
        <v>37817.880799999999</v>
      </c>
      <c r="J4361" s="4">
        <v>1134536.4239999999</v>
      </c>
      <c r="K4361" s="4">
        <v>-56538.36</v>
      </c>
      <c r="L4361" s="4">
        <v>30</v>
      </c>
    </row>
    <row r="4362" spans="1:12">
      <c r="A4362" t="s">
        <v>264</v>
      </c>
      <c r="B4362" s="10">
        <v>45385</v>
      </c>
      <c r="C4362" s="18">
        <f t="shared" si="68"/>
        <v>4</v>
      </c>
      <c r="D4362" t="s">
        <v>196</v>
      </c>
      <c r="E4362">
        <v>4875779</v>
      </c>
      <c r="F4362" t="s">
        <v>8</v>
      </c>
      <c r="G4362" t="s">
        <v>205</v>
      </c>
      <c r="H4362" t="s">
        <v>210</v>
      </c>
      <c r="I4362" s="4">
        <v>7538.4479999999994</v>
      </c>
      <c r="J4362" s="4">
        <v>527691.36</v>
      </c>
      <c r="K4362" s="4">
        <v>-26384.567999999999</v>
      </c>
      <c r="L4362" s="4">
        <v>70</v>
      </c>
    </row>
    <row r="4363" spans="1:12">
      <c r="A4363" t="s">
        <v>264</v>
      </c>
      <c r="B4363" s="10">
        <v>45385</v>
      </c>
      <c r="C4363" s="18">
        <f t="shared" si="68"/>
        <v>4</v>
      </c>
      <c r="D4363" t="s">
        <v>196</v>
      </c>
      <c r="E4363">
        <v>4875779</v>
      </c>
      <c r="F4363" t="s">
        <v>8</v>
      </c>
      <c r="G4363" t="s">
        <v>205</v>
      </c>
      <c r="H4363" t="s">
        <v>211</v>
      </c>
      <c r="I4363" s="4">
        <v>5151.2727999999997</v>
      </c>
      <c r="J4363" s="4">
        <v>360589.09599999996</v>
      </c>
      <c r="K4363" s="4">
        <v>-17589.712</v>
      </c>
      <c r="L4363" s="4">
        <v>70</v>
      </c>
    </row>
    <row r="4364" spans="1:12">
      <c r="A4364" t="s">
        <v>264</v>
      </c>
      <c r="B4364" s="10">
        <v>45385</v>
      </c>
      <c r="C4364" s="18">
        <f t="shared" si="68"/>
        <v>4</v>
      </c>
      <c r="D4364" t="s">
        <v>196</v>
      </c>
      <c r="E4364">
        <v>4872210</v>
      </c>
      <c r="F4364" t="s">
        <v>8</v>
      </c>
      <c r="G4364" t="s">
        <v>203</v>
      </c>
      <c r="H4364" t="s">
        <v>230</v>
      </c>
      <c r="I4364" s="4">
        <v>100638.28079999999</v>
      </c>
      <c r="J4364" s="4">
        <v>3019148.4239999996</v>
      </c>
      <c r="K4364" s="4">
        <v>-130038.22799999999</v>
      </c>
      <c r="L4364" s="4">
        <v>30</v>
      </c>
    </row>
    <row r="4365" spans="1:12">
      <c r="A4365" t="s">
        <v>264</v>
      </c>
      <c r="B4365" s="10">
        <v>45385</v>
      </c>
      <c r="C4365" s="18">
        <f t="shared" si="68"/>
        <v>4</v>
      </c>
      <c r="D4365" t="s">
        <v>196</v>
      </c>
      <c r="E4365">
        <v>4872210</v>
      </c>
      <c r="F4365" t="s">
        <v>8</v>
      </c>
      <c r="G4365" t="s">
        <v>203</v>
      </c>
      <c r="H4365" t="s">
        <v>225</v>
      </c>
      <c r="I4365" s="4">
        <v>100638.28079999999</v>
      </c>
      <c r="J4365" s="4">
        <v>3019148.4239999996</v>
      </c>
      <c r="K4365" s="4">
        <v>-130038.22799999999</v>
      </c>
      <c r="L4365" s="4">
        <v>30</v>
      </c>
    </row>
    <row r="4366" spans="1:12">
      <c r="A4366" t="s">
        <v>264</v>
      </c>
      <c r="B4366" s="10">
        <v>45385</v>
      </c>
      <c r="C4366" s="18">
        <f t="shared" si="68"/>
        <v>4</v>
      </c>
      <c r="D4366" t="s">
        <v>196</v>
      </c>
      <c r="E4366">
        <v>4872210</v>
      </c>
      <c r="F4366" t="s">
        <v>8</v>
      </c>
      <c r="G4366" t="s">
        <v>203</v>
      </c>
      <c r="H4366" t="s">
        <v>229</v>
      </c>
      <c r="I4366" s="4">
        <v>125766.4408</v>
      </c>
      <c r="J4366" s="4">
        <v>5030657.6320000002</v>
      </c>
      <c r="K4366" s="4">
        <v>-226153.44</v>
      </c>
      <c r="L4366" s="4">
        <v>40</v>
      </c>
    </row>
    <row r="4367" spans="1:12">
      <c r="A4367" t="s">
        <v>264</v>
      </c>
      <c r="B4367" s="10">
        <v>45385</v>
      </c>
      <c r="C4367" s="18">
        <f t="shared" si="68"/>
        <v>4</v>
      </c>
      <c r="D4367" t="s">
        <v>196</v>
      </c>
      <c r="E4367">
        <v>4872200</v>
      </c>
      <c r="F4367" t="s">
        <v>8</v>
      </c>
      <c r="G4367" t="s">
        <v>203</v>
      </c>
      <c r="H4367" t="s">
        <v>242</v>
      </c>
      <c r="I4367" s="4">
        <v>100638.28079999999</v>
      </c>
      <c r="J4367" s="4">
        <v>1006382.808</v>
      </c>
      <c r="K4367" s="4">
        <v>-43346.076000000001</v>
      </c>
      <c r="L4367" s="4">
        <v>10</v>
      </c>
    </row>
    <row r="4368" spans="1:12">
      <c r="A4368" t="s">
        <v>264</v>
      </c>
      <c r="B4368" s="10">
        <v>45385</v>
      </c>
      <c r="C4368" s="18">
        <f t="shared" si="68"/>
        <v>4</v>
      </c>
      <c r="D4368" t="s">
        <v>196</v>
      </c>
      <c r="E4368">
        <v>4872200</v>
      </c>
      <c r="F4368" t="s">
        <v>8</v>
      </c>
      <c r="G4368" t="s">
        <v>203</v>
      </c>
      <c r="H4368" t="s">
        <v>240</v>
      </c>
      <c r="I4368" s="4">
        <v>100638.28079999999</v>
      </c>
      <c r="J4368" s="4">
        <v>4025531.2319999998</v>
      </c>
      <c r="K4368" s="4">
        <v>-173384.304</v>
      </c>
      <c r="L4368" s="4">
        <v>40</v>
      </c>
    </row>
    <row r="4369" spans="1:12">
      <c r="A4369" t="s">
        <v>264</v>
      </c>
      <c r="B4369" s="10">
        <v>45385</v>
      </c>
      <c r="C4369" s="18">
        <f t="shared" si="68"/>
        <v>4</v>
      </c>
      <c r="D4369" t="s">
        <v>196</v>
      </c>
      <c r="E4369">
        <v>4872200</v>
      </c>
      <c r="F4369" t="s">
        <v>8</v>
      </c>
      <c r="G4369" t="s">
        <v>203</v>
      </c>
      <c r="H4369" t="s">
        <v>238</v>
      </c>
      <c r="I4369" s="4">
        <v>95606.36675999999</v>
      </c>
      <c r="J4369" s="4">
        <v>3824254.6703999997</v>
      </c>
      <c r="K4369" s="4">
        <v>-173384.304</v>
      </c>
      <c r="L4369" s="4">
        <v>40</v>
      </c>
    </row>
    <row r="4370" spans="1:12">
      <c r="A4370" t="s">
        <v>264</v>
      </c>
      <c r="B4370" s="10">
        <v>45385</v>
      </c>
      <c r="C4370" s="18">
        <f t="shared" si="68"/>
        <v>4</v>
      </c>
      <c r="D4370" t="s">
        <v>196</v>
      </c>
      <c r="E4370">
        <v>4872200</v>
      </c>
      <c r="F4370" t="s">
        <v>8</v>
      </c>
      <c r="G4370" t="s">
        <v>203</v>
      </c>
      <c r="H4370" t="s">
        <v>236</v>
      </c>
      <c r="I4370" s="4">
        <v>100638.28079999999</v>
      </c>
      <c r="J4370" s="4">
        <v>2012765.6159999999</v>
      </c>
      <c r="K4370" s="4">
        <v>-86692.152000000002</v>
      </c>
      <c r="L4370" s="4">
        <v>20</v>
      </c>
    </row>
    <row r="4371" spans="1:12">
      <c r="A4371" t="s">
        <v>264</v>
      </c>
      <c r="B4371" s="10">
        <v>45385</v>
      </c>
      <c r="C4371" s="18">
        <f t="shared" si="68"/>
        <v>4</v>
      </c>
      <c r="D4371" t="s">
        <v>196</v>
      </c>
      <c r="E4371">
        <v>4872200</v>
      </c>
      <c r="F4371" t="s">
        <v>8</v>
      </c>
      <c r="G4371" t="s">
        <v>203</v>
      </c>
      <c r="H4371" t="s">
        <v>234</v>
      </c>
      <c r="I4371" s="4">
        <v>100638.28079999999</v>
      </c>
      <c r="J4371" s="4">
        <v>1006382.808</v>
      </c>
      <c r="K4371" s="4">
        <v>-43346.076000000001</v>
      </c>
      <c r="L4371" s="4">
        <v>10</v>
      </c>
    </row>
    <row r="4372" spans="1:12">
      <c r="A4372" t="s">
        <v>264</v>
      </c>
      <c r="B4372" s="10">
        <v>45385</v>
      </c>
      <c r="C4372" s="18">
        <f t="shared" si="68"/>
        <v>4</v>
      </c>
      <c r="D4372" t="s">
        <v>196</v>
      </c>
      <c r="E4372">
        <v>4872200</v>
      </c>
      <c r="F4372" t="s">
        <v>8</v>
      </c>
      <c r="G4372" t="s">
        <v>203</v>
      </c>
      <c r="H4372" t="s">
        <v>232</v>
      </c>
      <c r="I4372" s="4">
        <v>100638.28079999999</v>
      </c>
      <c r="J4372" s="4">
        <v>2012765.6159999999</v>
      </c>
      <c r="K4372" s="4">
        <v>-86692.152000000002</v>
      </c>
      <c r="L4372" s="4">
        <v>20</v>
      </c>
    </row>
    <row r="4373" spans="1:12">
      <c r="A4373" t="s">
        <v>264</v>
      </c>
      <c r="B4373" s="10">
        <v>45385</v>
      </c>
      <c r="C4373" s="18">
        <f t="shared" si="68"/>
        <v>4</v>
      </c>
      <c r="D4373" t="s">
        <v>196</v>
      </c>
      <c r="E4373">
        <v>4872200</v>
      </c>
      <c r="F4373" t="s">
        <v>8</v>
      </c>
      <c r="G4373" t="s">
        <v>203</v>
      </c>
      <c r="H4373" t="s">
        <v>230</v>
      </c>
      <c r="I4373" s="4">
        <v>100638.28079999999</v>
      </c>
      <c r="J4373" s="4">
        <v>7044679.6559999995</v>
      </c>
      <c r="K4373" s="4">
        <v>-303422.53200000001</v>
      </c>
      <c r="L4373" s="4">
        <v>70</v>
      </c>
    </row>
    <row r="4374" spans="1:12">
      <c r="A4374" t="s">
        <v>264</v>
      </c>
      <c r="B4374" s="10">
        <v>45385</v>
      </c>
      <c r="C4374" s="18">
        <f t="shared" si="68"/>
        <v>4</v>
      </c>
      <c r="D4374" t="s">
        <v>196</v>
      </c>
      <c r="E4374">
        <v>4872200</v>
      </c>
      <c r="F4374" t="s">
        <v>8</v>
      </c>
      <c r="G4374" t="s">
        <v>203</v>
      </c>
      <c r="H4374" t="s">
        <v>237</v>
      </c>
      <c r="I4374" s="4">
        <v>125766.4408</v>
      </c>
      <c r="J4374" s="4">
        <v>1257664.4080000001</v>
      </c>
      <c r="K4374" s="4">
        <v>-56538.36</v>
      </c>
      <c r="L4374" s="4">
        <v>10</v>
      </c>
    </row>
    <row r="4375" spans="1:12">
      <c r="A4375" t="s">
        <v>264</v>
      </c>
      <c r="B4375" s="10">
        <v>45385</v>
      </c>
      <c r="C4375" s="18">
        <f t="shared" si="68"/>
        <v>4</v>
      </c>
      <c r="D4375" t="s">
        <v>196</v>
      </c>
      <c r="E4375">
        <v>4872200</v>
      </c>
      <c r="F4375" t="s">
        <v>8</v>
      </c>
      <c r="G4375" t="s">
        <v>203</v>
      </c>
      <c r="H4375" t="s">
        <v>231</v>
      </c>
      <c r="I4375" s="4">
        <v>125766.4408</v>
      </c>
      <c r="J4375" s="4">
        <v>1257664.4080000001</v>
      </c>
      <c r="K4375" s="4">
        <v>-56538.36</v>
      </c>
      <c r="L4375" s="4">
        <v>10</v>
      </c>
    </row>
    <row r="4376" spans="1:12">
      <c r="A4376" t="s">
        <v>264</v>
      </c>
      <c r="B4376" s="10">
        <v>45386</v>
      </c>
      <c r="C4376" s="18">
        <f t="shared" si="68"/>
        <v>4</v>
      </c>
      <c r="D4376" t="s">
        <v>196</v>
      </c>
      <c r="E4376">
        <v>4874006</v>
      </c>
      <c r="F4376" t="s">
        <v>8</v>
      </c>
      <c r="G4376" t="s">
        <v>203</v>
      </c>
      <c r="H4376" t="s">
        <v>238</v>
      </c>
      <c r="I4376" s="4">
        <v>95606.36675999999</v>
      </c>
      <c r="J4376" s="4">
        <v>1912127.3351999999</v>
      </c>
      <c r="K4376" s="4">
        <v>-86692.152000000002</v>
      </c>
      <c r="L4376" s="4">
        <v>20</v>
      </c>
    </row>
    <row r="4377" spans="1:12">
      <c r="A4377" t="s">
        <v>264</v>
      </c>
      <c r="B4377" s="10">
        <v>45386</v>
      </c>
      <c r="C4377" s="18">
        <f t="shared" si="68"/>
        <v>4</v>
      </c>
      <c r="D4377" t="s">
        <v>196</v>
      </c>
      <c r="E4377">
        <v>4874006</v>
      </c>
      <c r="F4377" t="s">
        <v>8</v>
      </c>
      <c r="G4377" t="s">
        <v>203</v>
      </c>
      <c r="H4377" t="s">
        <v>232</v>
      </c>
      <c r="I4377" s="4">
        <v>100638.28079999999</v>
      </c>
      <c r="J4377" s="4">
        <v>402553.12319999997</v>
      </c>
      <c r="K4377" s="4">
        <v>-17338.430399999997</v>
      </c>
      <c r="L4377" s="4">
        <v>4</v>
      </c>
    </row>
    <row r="4378" spans="1:12">
      <c r="A4378" t="s">
        <v>264</v>
      </c>
      <c r="B4378" s="10">
        <v>45386</v>
      </c>
      <c r="C4378" s="18">
        <f t="shared" si="68"/>
        <v>4</v>
      </c>
      <c r="D4378" t="s">
        <v>196</v>
      </c>
      <c r="E4378">
        <v>4874006</v>
      </c>
      <c r="F4378" t="s">
        <v>8</v>
      </c>
      <c r="G4378" t="s">
        <v>203</v>
      </c>
      <c r="H4378" t="s">
        <v>226</v>
      </c>
      <c r="I4378" s="4">
        <v>100638.28079999999</v>
      </c>
      <c r="J4378" s="4">
        <v>1006382.808</v>
      </c>
      <c r="K4378" s="4">
        <v>-43346.076000000001</v>
      </c>
      <c r="L4378" s="4">
        <v>10</v>
      </c>
    </row>
    <row r="4379" spans="1:12">
      <c r="A4379" t="s">
        <v>264</v>
      </c>
      <c r="B4379" s="10">
        <v>45386</v>
      </c>
      <c r="C4379" s="18">
        <f t="shared" si="68"/>
        <v>4</v>
      </c>
      <c r="D4379" t="s">
        <v>196</v>
      </c>
      <c r="E4379">
        <v>4874006</v>
      </c>
      <c r="F4379" t="s">
        <v>8</v>
      </c>
      <c r="G4379" t="s">
        <v>203</v>
      </c>
      <c r="H4379" t="s">
        <v>244</v>
      </c>
      <c r="I4379" s="4">
        <v>125766.4408</v>
      </c>
      <c r="J4379" s="4">
        <v>1257664.4080000001</v>
      </c>
      <c r="K4379" s="4">
        <v>-56538.36</v>
      </c>
      <c r="L4379" s="4">
        <v>10</v>
      </c>
    </row>
    <row r="4380" spans="1:12">
      <c r="A4380" t="s">
        <v>264</v>
      </c>
      <c r="B4380" s="10">
        <v>45386</v>
      </c>
      <c r="C4380" s="18">
        <f t="shared" si="68"/>
        <v>4</v>
      </c>
      <c r="D4380" t="s">
        <v>196</v>
      </c>
      <c r="E4380">
        <v>4874006</v>
      </c>
      <c r="F4380" t="s">
        <v>8</v>
      </c>
      <c r="G4380" t="s">
        <v>203</v>
      </c>
      <c r="H4380" t="s">
        <v>241</v>
      </c>
      <c r="I4380" s="4">
        <v>125766.4408</v>
      </c>
      <c r="J4380" s="4">
        <v>1257664.4080000001</v>
      </c>
      <c r="K4380" s="4">
        <v>-56538.36</v>
      </c>
      <c r="L4380" s="4">
        <v>10</v>
      </c>
    </row>
    <row r="4381" spans="1:12">
      <c r="A4381" t="s">
        <v>264</v>
      </c>
      <c r="B4381" s="10">
        <v>45386</v>
      </c>
      <c r="C4381" s="18">
        <f t="shared" si="68"/>
        <v>4</v>
      </c>
      <c r="D4381" t="s">
        <v>196</v>
      </c>
      <c r="E4381">
        <v>4872571</v>
      </c>
      <c r="F4381" t="s">
        <v>8</v>
      </c>
      <c r="G4381" t="s">
        <v>203</v>
      </c>
      <c r="H4381" t="s">
        <v>240</v>
      </c>
      <c r="I4381" s="4">
        <v>100638.28079999999</v>
      </c>
      <c r="J4381" s="4">
        <v>2012765.6159999999</v>
      </c>
      <c r="K4381" s="4">
        <v>-86692.152000000002</v>
      </c>
      <c r="L4381" s="4">
        <v>20</v>
      </c>
    </row>
    <row r="4382" spans="1:12">
      <c r="A4382" t="s">
        <v>264</v>
      </c>
      <c r="B4382" s="10">
        <v>45386</v>
      </c>
      <c r="C4382" s="18">
        <f t="shared" si="68"/>
        <v>4</v>
      </c>
      <c r="D4382" t="s">
        <v>196</v>
      </c>
      <c r="E4382">
        <v>4872571</v>
      </c>
      <c r="F4382" t="s">
        <v>8</v>
      </c>
      <c r="G4382" t="s">
        <v>203</v>
      </c>
      <c r="H4382" t="s">
        <v>232</v>
      </c>
      <c r="I4382" s="4">
        <v>100638.28079999999</v>
      </c>
      <c r="J4382" s="4">
        <v>2012765.6159999999</v>
      </c>
      <c r="K4382" s="4">
        <v>-86692.152000000002</v>
      </c>
      <c r="L4382" s="4">
        <v>20</v>
      </c>
    </row>
    <row r="4383" spans="1:12">
      <c r="A4383" t="s">
        <v>264</v>
      </c>
      <c r="B4383" s="10">
        <v>45386</v>
      </c>
      <c r="C4383" s="18">
        <f t="shared" si="68"/>
        <v>4</v>
      </c>
      <c r="D4383" t="s">
        <v>196</v>
      </c>
      <c r="E4383">
        <v>4872571</v>
      </c>
      <c r="F4383" t="s">
        <v>8</v>
      </c>
      <c r="G4383" t="s">
        <v>203</v>
      </c>
      <c r="H4383" t="s">
        <v>227</v>
      </c>
      <c r="I4383" s="4">
        <v>100638.28079999999</v>
      </c>
      <c r="J4383" s="4">
        <v>2012765.6159999999</v>
      </c>
      <c r="K4383" s="4">
        <v>-86692.152000000002</v>
      </c>
      <c r="L4383" s="4">
        <v>20</v>
      </c>
    </row>
    <row r="4384" spans="1:12">
      <c r="A4384" t="s">
        <v>264</v>
      </c>
      <c r="B4384" s="10">
        <v>45386</v>
      </c>
      <c r="C4384" s="18">
        <f t="shared" si="68"/>
        <v>4</v>
      </c>
      <c r="D4384" t="s">
        <v>196</v>
      </c>
      <c r="E4384">
        <v>4872571</v>
      </c>
      <c r="F4384" t="s">
        <v>8</v>
      </c>
      <c r="G4384" t="s">
        <v>203</v>
      </c>
      <c r="H4384" t="s">
        <v>224</v>
      </c>
      <c r="I4384" s="4">
        <v>100638.28079999999</v>
      </c>
      <c r="J4384" s="4">
        <v>2012765.6159999999</v>
      </c>
      <c r="K4384" s="4">
        <v>-86692.152000000002</v>
      </c>
      <c r="L4384" s="4">
        <v>20</v>
      </c>
    </row>
    <row r="4385" spans="1:12">
      <c r="A4385" t="s">
        <v>264</v>
      </c>
      <c r="B4385" s="10">
        <v>45386</v>
      </c>
      <c r="C4385" s="18">
        <f t="shared" si="68"/>
        <v>4</v>
      </c>
      <c r="D4385" t="s">
        <v>196</v>
      </c>
      <c r="E4385">
        <v>4872571</v>
      </c>
      <c r="F4385" t="s">
        <v>8</v>
      </c>
      <c r="G4385" t="s">
        <v>203</v>
      </c>
      <c r="H4385" t="s">
        <v>223</v>
      </c>
      <c r="I4385" s="4">
        <v>100638.28079999999</v>
      </c>
      <c r="J4385" s="4">
        <v>2012765.6159999999</v>
      </c>
      <c r="K4385" s="4">
        <v>-86692.152000000002</v>
      </c>
      <c r="L4385" s="4">
        <v>20</v>
      </c>
    </row>
    <row r="4386" spans="1:12">
      <c r="A4386" t="s">
        <v>264</v>
      </c>
      <c r="B4386" s="10">
        <v>45386</v>
      </c>
      <c r="C4386" s="18">
        <f t="shared" si="68"/>
        <v>4</v>
      </c>
      <c r="D4386" t="s">
        <v>196</v>
      </c>
      <c r="E4386">
        <v>4873921</v>
      </c>
      <c r="F4386" t="s">
        <v>8</v>
      </c>
      <c r="G4386" t="s">
        <v>204</v>
      </c>
      <c r="H4386" t="s">
        <v>212</v>
      </c>
      <c r="I4386" s="4">
        <v>62946.040799999995</v>
      </c>
      <c r="J4386" s="4">
        <v>377676.24479999999</v>
      </c>
      <c r="K4386" s="4">
        <v>-11307.672</v>
      </c>
      <c r="L4386" s="4">
        <v>6</v>
      </c>
    </row>
    <row r="4387" spans="1:12">
      <c r="A4387" t="s">
        <v>264</v>
      </c>
      <c r="B4387" s="10">
        <v>45386</v>
      </c>
      <c r="C4387" s="18">
        <f t="shared" si="68"/>
        <v>4</v>
      </c>
      <c r="D4387" t="s">
        <v>196</v>
      </c>
      <c r="E4387">
        <v>4872160</v>
      </c>
      <c r="F4387" t="s">
        <v>8</v>
      </c>
      <c r="G4387" t="s">
        <v>203</v>
      </c>
      <c r="H4387" t="s">
        <v>236</v>
      </c>
      <c r="I4387" s="4">
        <v>100638.28079999999</v>
      </c>
      <c r="J4387" s="4">
        <v>1006382.808</v>
      </c>
      <c r="K4387" s="4">
        <v>-43346.076000000001</v>
      </c>
      <c r="L4387" s="4">
        <v>10</v>
      </c>
    </row>
    <row r="4388" spans="1:12">
      <c r="A4388" t="s">
        <v>264</v>
      </c>
      <c r="B4388" s="10">
        <v>45386</v>
      </c>
      <c r="C4388" s="18">
        <f t="shared" si="68"/>
        <v>4</v>
      </c>
      <c r="D4388" t="s">
        <v>196</v>
      </c>
      <c r="E4388">
        <v>4872160</v>
      </c>
      <c r="F4388" t="s">
        <v>8</v>
      </c>
      <c r="G4388" t="s">
        <v>203</v>
      </c>
      <c r="H4388" t="s">
        <v>230</v>
      </c>
      <c r="I4388" s="4">
        <v>100638.28079999999</v>
      </c>
      <c r="J4388" s="4">
        <v>1006382.808</v>
      </c>
      <c r="K4388" s="4">
        <v>-43346.076000000001</v>
      </c>
      <c r="L4388" s="4">
        <v>10</v>
      </c>
    </row>
    <row r="4389" spans="1:12">
      <c r="A4389" t="s">
        <v>264</v>
      </c>
      <c r="B4389" s="10">
        <v>45386</v>
      </c>
      <c r="C4389" s="18">
        <f t="shared" si="68"/>
        <v>4</v>
      </c>
      <c r="D4389" t="s">
        <v>196</v>
      </c>
      <c r="E4389">
        <v>4872160</v>
      </c>
      <c r="F4389" t="s">
        <v>8</v>
      </c>
      <c r="G4389" t="s">
        <v>203</v>
      </c>
      <c r="H4389" t="s">
        <v>228</v>
      </c>
      <c r="I4389" s="4">
        <v>100638.28079999999</v>
      </c>
      <c r="J4389" s="4">
        <v>1006382.808</v>
      </c>
      <c r="K4389" s="4">
        <v>-43346.076000000001</v>
      </c>
      <c r="L4389" s="4">
        <v>10</v>
      </c>
    </row>
    <row r="4390" spans="1:12">
      <c r="A4390" t="s">
        <v>264</v>
      </c>
      <c r="B4390" s="10">
        <v>45386</v>
      </c>
      <c r="C4390" s="18">
        <f t="shared" si="68"/>
        <v>4</v>
      </c>
      <c r="D4390" t="s">
        <v>196</v>
      </c>
      <c r="E4390">
        <v>4872160</v>
      </c>
      <c r="F4390" t="s">
        <v>8</v>
      </c>
      <c r="G4390" t="s">
        <v>203</v>
      </c>
      <c r="H4390" t="s">
        <v>241</v>
      </c>
      <c r="I4390" s="4">
        <v>125766.4408</v>
      </c>
      <c r="J4390" s="4">
        <v>628832.20400000003</v>
      </c>
      <c r="K4390" s="4">
        <v>-28269.18</v>
      </c>
      <c r="L4390" s="4">
        <v>5</v>
      </c>
    </row>
    <row r="4391" spans="1:12">
      <c r="A4391" t="s">
        <v>264</v>
      </c>
      <c r="B4391" s="10">
        <v>45386</v>
      </c>
      <c r="C4391" s="18">
        <f t="shared" si="68"/>
        <v>4</v>
      </c>
      <c r="D4391" t="s">
        <v>196</v>
      </c>
      <c r="E4391">
        <v>4872160</v>
      </c>
      <c r="F4391" t="s">
        <v>8</v>
      </c>
      <c r="G4391" t="s">
        <v>203</v>
      </c>
      <c r="H4391" t="s">
        <v>235</v>
      </c>
      <c r="I4391" s="4">
        <v>125766.4408</v>
      </c>
      <c r="J4391" s="4">
        <v>628832.20400000003</v>
      </c>
      <c r="K4391" s="4">
        <v>-28269.18</v>
      </c>
      <c r="L4391" s="4">
        <v>5</v>
      </c>
    </row>
    <row r="4392" spans="1:12">
      <c r="A4392" t="s">
        <v>264</v>
      </c>
      <c r="B4392" s="10">
        <v>45386</v>
      </c>
      <c r="C4392" s="18">
        <f t="shared" si="68"/>
        <v>4</v>
      </c>
      <c r="D4392" t="s">
        <v>196</v>
      </c>
      <c r="E4392">
        <v>4876422</v>
      </c>
      <c r="F4392" t="s">
        <v>8</v>
      </c>
      <c r="G4392" t="s">
        <v>203</v>
      </c>
      <c r="H4392" t="s">
        <v>235</v>
      </c>
      <c r="I4392" s="4">
        <v>125766.4408</v>
      </c>
      <c r="J4392" s="4">
        <v>628832.20400000003</v>
      </c>
      <c r="K4392" s="4">
        <v>-28269.18</v>
      </c>
      <c r="L4392" s="4">
        <v>5</v>
      </c>
    </row>
    <row r="4393" spans="1:12">
      <c r="A4393" t="s">
        <v>264</v>
      </c>
      <c r="B4393" s="10">
        <v>45386</v>
      </c>
      <c r="C4393" s="18">
        <f t="shared" si="68"/>
        <v>4</v>
      </c>
      <c r="D4393" t="s">
        <v>196</v>
      </c>
      <c r="E4393">
        <v>4875440</v>
      </c>
      <c r="F4393" t="s">
        <v>8</v>
      </c>
      <c r="G4393" t="s">
        <v>204</v>
      </c>
      <c r="H4393" t="s">
        <v>220</v>
      </c>
      <c r="I4393" s="4">
        <v>37817.880799999999</v>
      </c>
      <c r="J4393" s="4">
        <v>378178.80799999996</v>
      </c>
      <c r="K4393" s="4">
        <v>-18846.12</v>
      </c>
      <c r="L4393" s="4">
        <v>10</v>
      </c>
    </row>
    <row r="4394" spans="1:12">
      <c r="A4394" t="s">
        <v>264</v>
      </c>
      <c r="B4394" s="10">
        <v>45386</v>
      </c>
      <c r="C4394" s="18">
        <f t="shared" si="68"/>
        <v>4</v>
      </c>
      <c r="D4394" t="s">
        <v>196</v>
      </c>
      <c r="E4394">
        <v>4875779</v>
      </c>
      <c r="F4394" t="s">
        <v>8</v>
      </c>
      <c r="G4394" t="s">
        <v>204</v>
      </c>
      <c r="H4394" t="s">
        <v>216</v>
      </c>
      <c r="I4394" s="4">
        <v>113202.36079999999</v>
      </c>
      <c r="J4394" s="4">
        <v>679214.16479999991</v>
      </c>
      <c r="K4394" s="4">
        <v>-33923.016000000003</v>
      </c>
      <c r="L4394" s="4">
        <v>6</v>
      </c>
    </row>
    <row r="4395" spans="1:12">
      <c r="A4395" t="s">
        <v>264</v>
      </c>
      <c r="B4395" s="10">
        <v>45387</v>
      </c>
      <c r="C4395" s="18">
        <f t="shared" si="68"/>
        <v>4</v>
      </c>
      <c r="D4395" t="s">
        <v>196</v>
      </c>
      <c r="E4395">
        <v>4872058</v>
      </c>
      <c r="F4395" t="s">
        <v>8</v>
      </c>
      <c r="G4395" t="s">
        <v>203</v>
      </c>
      <c r="H4395" t="s">
        <v>240</v>
      </c>
      <c r="I4395" s="4">
        <v>100638.28079999999</v>
      </c>
      <c r="J4395" s="4">
        <v>1006382.808</v>
      </c>
      <c r="K4395" s="4">
        <v>-43346.076000000001</v>
      </c>
      <c r="L4395" s="4">
        <v>10</v>
      </c>
    </row>
    <row r="4396" spans="1:12">
      <c r="A4396" t="s">
        <v>264</v>
      </c>
      <c r="B4396" s="10">
        <v>45387</v>
      </c>
      <c r="C4396" s="18">
        <f t="shared" si="68"/>
        <v>4</v>
      </c>
      <c r="D4396" t="s">
        <v>196</v>
      </c>
      <c r="E4396">
        <v>4872058</v>
      </c>
      <c r="F4396" t="s">
        <v>8</v>
      </c>
      <c r="G4396" t="s">
        <v>203</v>
      </c>
      <c r="H4396" t="s">
        <v>234</v>
      </c>
      <c r="I4396" s="4">
        <v>100638.28079999999</v>
      </c>
      <c r="J4396" s="4">
        <v>1006382.808</v>
      </c>
      <c r="K4396" s="4">
        <v>-43346.076000000001</v>
      </c>
      <c r="L4396" s="4">
        <v>10</v>
      </c>
    </row>
    <row r="4397" spans="1:12">
      <c r="A4397" t="s">
        <v>264</v>
      </c>
      <c r="B4397" s="10">
        <v>45387</v>
      </c>
      <c r="C4397" s="18">
        <f t="shared" si="68"/>
        <v>4</v>
      </c>
      <c r="D4397" t="s">
        <v>196</v>
      </c>
      <c r="E4397">
        <v>4876950</v>
      </c>
      <c r="F4397" t="s">
        <v>8</v>
      </c>
      <c r="G4397" t="s">
        <v>204</v>
      </c>
      <c r="H4397" t="s">
        <v>218</v>
      </c>
      <c r="I4397" s="4">
        <v>71740.896800000002</v>
      </c>
      <c r="J4397" s="4">
        <v>358704.484</v>
      </c>
      <c r="K4397" s="4">
        <v>-17903.814000000002</v>
      </c>
      <c r="L4397" s="4">
        <v>5</v>
      </c>
    </row>
    <row r="4398" spans="1:12">
      <c r="A4398" t="s">
        <v>264</v>
      </c>
      <c r="B4398" s="10">
        <v>45387</v>
      </c>
      <c r="C4398" s="18">
        <f t="shared" si="68"/>
        <v>4</v>
      </c>
      <c r="D4398" t="s">
        <v>196</v>
      </c>
      <c r="E4398">
        <v>4872135</v>
      </c>
      <c r="F4398" t="s">
        <v>8</v>
      </c>
      <c r="G4398" t="s">
        <v>203</v>
      </c>
      <c r="H4398" t="s">
        <v>231</v>
      </c>
      <c r="I4398" s="4">
        <v>125766.4408</v>
      </c>
      <c r="J4398" s="4">
        <v>1257664.4080000001</v>
      </c>
      <c r="K4398" s="4">
        <v>-56538.36</v>
      </c>
      <c r="L4398" s="4">
        <v>10</v>
      </c>
    </row>
    <row r="4399" spans="1:12">
      <c r="A4399" t="s">
        <v>264</v>
      </c>
      <c r="B4399" s="10">
        <v>45387</v>
      </c>
      <c r="C4399" s="18">
        <f t="shared" si="68"/>
        <v>4</v>
      </c>
      <c r="D4399" t="s">
        <v>196</v>
      </c>
      <c r="E4399">
        <v>4872163</v>
      </c>
      <c r="F4399" t="s">
        <v>8</v>
      </c>
      <c r="G4399" t="s">
        <v>203</v>
      </c>
      <c r="H4399" t="s">
        <v>245</v>
      </c>
      <c r="I4399" s="4">
        <v>100638.28079999999</v>
      </c>
      <c r="J4399" s="4">
        <v>1006382.808</v>
      </c>
      <c r="K4399" s="4">
        <v>-43346.076000000001</v>
      </c>
      <c r="L4399" s="4">
        <v>10</v>
      </c>
    </row>
    <row r="4400" spans="1:12">
      <c r="A4400" t="s">
        <v>264</v>
      </c>
      <c r="B4400" s="10">
        <v>45387</v>
      </c>
      <c r="C4400" s="18">
        <f t="shared" si="68"/>
        <v>4</v>
      </c>
      <c r="D4400" t="s">
        <v>196</v>
      </c>
      <c r="E4400">
        <v>4872163</v>
      </c>
      <c r="F4400" t="s">
        <v>8</v>
      </c>
      <c r="G4400" t="s">
        <v>203</v>
      </c>
      <c r="H4400" t="s">
        <v>243</v>
      </c>
      <c r="I4400" s="4">
        <v>100638.28079999999</v>
      </c>
      <c r="J4400" s="4">
        <v>2012765.6159999999</v>
      </c>
      <c r="K4400" s="4">
        <v>-86692.152000000002</v>
      </c>
      <c r="L4400" s="4">
        <v>20</v>
      </c>
    </row>
    <row r="4401" spans="1:12">
      <c r="A4401" t="s">
        <v>264</v>
      </c>
      <c r="B4401" s="10">
        <v>45387</v>
      </c>
      <c r="C4401" s="18">
        <f t="shared" si="68"/>
        <v>4</v>
      </c>
      <c r="D4401" t="s">
        <v>196</v>
      </c>
      <c r="E4401">
        <v>4872163</v>
      </c>
      <c r="F4401" t="s">
        <v>8</v>
      </c>
      <c r="G4401" t="s">
        <v>203</v>
      </c>
      <c r="H4401" t="s">
        <v>242</v>
      </c>
      <c r="I4401" s="4">
        <v>100638.28079999999</v>
      </c>
      <c r="J4401" s="4">
        <v>1006382.808</v>
      </c>
      <c r="K4401" s="4">
        <v>-43346.076000000001</v>
      </c>
      <c r="L4401" s="4">
        <v>10</v>
      </c>
    </row>
    <row r="4402" spans="1:12">
      <c r="A4402" t="s">
        <v>264</v>
      </c>
      <c r="B4402" s="10">
        <v>45387</v>
      </c>
      <c r="C4402" s="18">
        <f t="shared" si="68"/>
        <v>4</v>
      </c>
      <c r="D4402" t="s">
        <v>196</v>
      </c>
      <c r="E4402">
        <v>4872163</v>
      </c>
      <c r="F4402" t="s">
        <v>8</v>
      </c>
      <c r="G4402" t="s">
        <v>203</v>
      </c>
      <c r="H4402" t="s">
        <v>240</v>
      </c>
      <c r="I4402" s="4">
        <v>100638.28079999999</v>
      </c>
      <c r="J4402" s="4">
        <v>2012765.6159999999</v>
      </c>
      <c r="K4402" s="4">
        <v>-86692.152000000002</v>
      </c>
      <c r="L4402" s="4">
        <v>20</v>
      </c>
    </row>
    <row r="4403" spans="1:12">
      <c r="A4403" t="s">
        <v>264</v>
      </c>
      <c r="B4403" s="10">
        <v>45387</v>
      </c>
      <c r="C4403" s="18">
        <f t="shared" si="68"/>
        <v>4</v>
      </c>
      <c r="D4403" t="s">
        <v>196</v>
      </c>
      <c r="E4403">
        <v>4872163</v>
      </c>
      <c r="F4403" t="s">
        <v>8</v>
      </c>
      <c r="G4403" t="s">
        <v>203</v>
      </c>
      <c r="H4403" t="s">
        <v>238</v>
      </c>
      <c r="I4403" s="4">
        <v>95606.36675999999</v>
      </c>
      <c r="J4403" s="4">
        <v>382425.46703999996</v>
      </c>
      <c r="K4403" s="4">
        <v>-17338.430399999997</v>
      </c>
      <c r="L4403" s="4">
        <v>4</v>
      </c>
    </row>
    <row r="4404" spans="1:12">
      <c r="A4404" t="s">
        <v>264</v>
      </c>
      <c r="B4404" s="10">
        <v>45387</v>
      </c>
      <c r="C4404" s="18">
        <f t="shared" si="68"/>
        <v>4</v>
      </c>
      <c r="D4404" t="s">
        <v>196</v>
      </c>
      <c r="E4404">
        <v>4872163</v>
      </c>
      <c r="F4404" t="s">
        <v>8</v>
      </c>
      <c r="G4404" t="s">
        <v>203</v>
      </c>
      <c r="H4404" t="s">
        <v>236</v>
      </c>
      <c r="I4404" s="4">
        <v>100638.28079999999</v>
      </c>
      <c r="J4404" s="4">
        <v>2012765.6159999999</v>
      </c>
      <c r="K4404" s="4">
        <v>-86692.152000000002</v>
      </c>
      <c r="L4404" s="4">
        <v>20</v>
      </c>
    </row>
    <row r="4405" spans="1:12">
      <c r="A4405" t="s">
        <v>264</v>
      </c>
      <c r="B4405" s="10">
        <v>45387</v>
      </c>
      <c r="C4405" s="18">
        <f t="shared" si="68"/>
        <v>4</v>
      </c>
      <c r="D4405" t="s">
        <v>196</v>
      </c>
      <c r="E4405">
        <v>4872163</v>
      </c>
      <c r="F4405" t="s">
        <v>8</v>
      </c>
      <c r="G4405" t="s">
        <v>203</v>
      </c>
      <c r="H4405" t="s">
        <v>230</v>
      </c>
      <c r="I4405" s="4">
        <v>100638.28079999999</v>
      </c>
      <c r="J4405" s="4">
        <v>6038296.8479999993</v>
      </c>
      <c r="K4405" s="4">
        <v>-260076.45599999998</v>
      </c>
      <c r="L4405" s="4">
        <v>60</v>
      </c>
    </row>
    <row r="4406" spans="1:12">
      <c r="A4406" t="s">
        <v>264</v>
      </c>
      <c r="B4406" s="10">
        <v>45387</v>
      </c>
      <c r="C4406" s="18">
        <f t="shared" si="68"/>
        <v>4</v>
      </c>
      <c r="D4406" t="s">
        <v>196</v>
      </c>
      <c r="E4406">
        <v>4872163</v>
      </c>
      <c r="F4406" t="s">
        <v>8</v>
      </c>
      <c r="G4406" t="s">
        <v>203</v>
      </c>
      <c r="H4406" t="s">
        <v>228</v>
      </c>
      <c r="I4406" s="4">
        <v>100638.28079999999</v>
      </c>
      <c r="J4406" s="4">
        <v>2012765.6159999999</v>
      </c>
      <c r="K4406" s="4">
        <v>-86692.152000000002</v>
      </c>
      <c r="L4406" s="4">
        <v>20</v>
      </c>
    </row>
    <row r="4407" spans="1:12">
      <c r="A4407" t="s">
        <v>264</v>
      </c>
      <c r="B4407" s="10">
        <v>45387</v>
      </c>
      <c r="C4407" s="18">
        <f t="shared" si="68"/>
        <v>4</v>
      </c>
      <c r="D4407" t="s">
        <v>196</v>
      </c>
      <c r="E4407">
        <v>4872163</v>
      </c>
      <c r="F4407" t="s">
        <v>8</v>
      </c>
      <c r="G4407" t="s">
        <v>203</v>
      </c>
      <c r="H4407" t="s">
        <v>227</v>
      </c>
      <c r="I4407" s="4">
        <v>100638.28079999999</v>
      </c>
      <c r="J4407" s="4">
        <v>2012765.6159999999</v>
      </c>
      <c r="K4407" s="4">
        <v>-86692.152000000002</v>
      </c>
      <c r="L4407" s="4">
        <v>20</v>
      </c>
    </row>
    <row r="4408" spans="1:12">
      <c r="A4408" t="s">
        <v>264</v>
      </c>
      <c r="B4408" s="10">
        <v>45387</v>
      </c>
      <c r="C4408" s="18">
        <f t="shared" si="68"/>
        <v>4</v>
      </c>
      <c r="D4408" t="s">
        <v>196</v>
      </c>
      <c r="E4408">
        <v>4872163</v>
      </c>
      <c r="F4408" t="s">
        <v>8</v>
      </c>
      <c r="G4408" t="s">
        <v>203</v>
      </c>
      <c r="H4408" t="s">
        <v>226</v>
      </c>
      <c r="I4408" s="4">
        <v>100638.28079999999</v>
      </c>
      <c r="J4408" s="4">
        <v>2012765.6159999999</v>
      </c>
      <c r="K4408" s="4">
        <v>-86692.152000000002</v>
      </c>
      <c r="L4408" s="4">
        <v>20</v>
      </c>
    </row>
    <row r="4409" spans="1:12">
      <c r="A4409" t="s">
        <v>264</v>
      </c>
      <c r="B4409" s="10">
        <v>45387</v>
      </c>
      <c r="C4409" s="18">
        <f t="shared" si="68"/>
        <v>4</v>
      </c>
      <c r="D4409" t="s">
        <v>196</v>
      </c>
      <c r="E4409">
        <v>4872163</v>
      </c>
      <c r="F4409" t="s">
        <v>8</v>
      </c>
      <c r="G4409" t="s">
        <v>203</v>
      </c>
      <c r="H4409" t="s">
        <v>225</v>
      </c>
      <c r="I4409" s="4">
        <v>100638.28079999999</v>
      </c>
      <c r="J4409" s="4">
        <v>201276.56159999999</v>
      </c>
      <c r="K4409" s="4">
        <v>-8669.2151999999987</v>
      </c>
      <c r="L4409" s="4">
        <v>2</v>
      </c>
    </row>
    <row r="4410" spans="1:12">
      <c r="A4410" t="s">
        <v>264</v>
      </c>
      <c r="B4410" s="10">
        <v>45387</v>
      </c>
      <c r="C4410" s="18">
        <f t="shared" si="68"/>
        <v>4</v>
      </c>
      <c r="D4410" t="s">
        <v>196</v>
      </c>
      <c r="E4410">
        <v>4872163</v>
      </c>
      <c r="F4410" t="s">
        <v>8</v>
      </c>
      <c r="G4410" t="s">
        <v>203</v>
      </c>
      <c r="H4410" t="s">
        <v>224</v>
      </c>
      <c r="I4410" s="4">
        <v>100638.28079999999</v>
      </c>
      <c r="J4410" s="4">
        <v>2012765.6159999999</v>
      </c>
      <c r="K4410" s="4">
        <v>-86692.152000000002</v>
      </c>
      <c r="L4410" s="4">
        <v>20</v>
      </c>
    </row>
    <row r="4411" spans="1:12">
      <c r="A4411" t="s">
        <v>264</v>
      </c>
      <c r="B4411" s="10">
        <v>45387</v>
      </c>
      <c r="C4411" s="18">
        <f t="shared" si="68"/>
        <v>4</v>
      </c>
      <c r="D4411" t="s">
        <v>196</v>
      </c>
      <c r="E4411">
        <v>4872163</v>
      </c>
      <c r="F4411" t="s">
        <v>8</v>
      </c>
      <c r="G4411" t="s">
        <v>203</v>
      </c>
      <c r="H4411" t="s">
        <v>223</v>
      </c>
      <c r="I4411" s="4">
        <v>100638.28079999999</v>
      </c>
      <c r="J4411" s="4">
        <v>2012765.6159999999</v>
      </c>
      <c r="K4411" s="4">
        <v>-86692.152000000002</v>
      </c>
      <c r="L4411" s="4">
        <v>20</v>
      </c>
    </row>
    <row r="4412" spans="1:12">
      <c r="A4412" t="s">
        <v>264</v>
      </c>
      <c r="B4412" s="10">
        <v>45387</v>
      </c>
      <c r="C4412" s="18">
        <f t="shared" si="68"/>
        <v>4</v>
      </c>
      <c r="D4412" t="s">
        <v>196</v>
      </c>
      <c r="E4412">
        <v>4872163</v>
      </c>
      <c r="F4412" t="s">
        <v>8</v>
      </c>
      <c r="G4412" t="s">
        <v>203</v>
      </c>
      <c r="H4412" t="s">
        <v>235</v>
      </c>
      <c r="I4412" s="4">
        <v>125766.4408</v>
      </c>
      <c r="J4412" s="4">
        <v>1257664.4080000001</v>
      </c>
      <c r="K4412" s="4">
        <v>-56538.36</v>
      </c>
      <c r="L4412" s="4">
        <v>10</v>
      </c>
    </row>
    <row r="4413" spans="1:12">
      <c r="A4413" t="s">
        <v>264</v>
      </c>
      <c r="B4413" s="10">
        <v>45387</v>
      </c>
      <c r="C4413" s="18">
        <f t="shared" si="68"/>
        <v>4</v>
      </c>
      <c r="D4413" t="s">
        <v>196</v>
      </c>
      <c r="E4413">
        <v>4872163</v>
      </c>
      <c r="F4413" t="s">
        <v>8</v>
      </c>
      <c r="G4413" t="s">
        <v>203</v>
      </c>
      <c r="H4413" t="s">
        <v>231</v>
      </c>
      <c r="I4413" s="4">
        <v>125766.4408</v>
      </c>
      <c r="J4413" s="4">
        <v>1257664.4080000001</v>
      </c>
      <c r="K4413" s="4">
        <v>-56538.36</v>
      </c>
      <c r="L4413" s="4">
        <v>10</v>
      </c>
    </row>
    <row r="4414" spans="1:12">
      <c r="A4414" t="s">
        <v>264</v>
      </c>
      <c r="B4414" s="10">
        <v>45387</v>
      </c>
      <c r="C4414" s="18">
        <f t="shared" si="68"/>
        <v>4</v>
      </c>
      <c r="D4414" t="s">
        <v>196</v>
      </c>
      <c r="E4414">
        <v>4872127</v>
      </c>
      <c r="F4414" t="s">
        <v>8</v>
      </c>
      <c r="G4414" t="s">
        <v>203</v>
      </c>
      <c r="H4414" t="s">
        <v>245</v>
      </c>
      <c r="I4414" s="4">
        <v>100638.28079999999</v>
      </c>
      <c r="J4414" s="4">
        <v>603829.68479999993</v>
      </c>
      <c r="K4414" s="4">
        <v>-26007.645599999996</v>
      </c>
      <c r="L4414" s="4">
        <v>6</v>
      </c>
    </row>
    <row r="4415" spans="1:12">
      <c r="A4415" t="s">
        <v>264</v>
      </c>
      <c r="B4415" s="10">
        <v>45387</v>
      </c>
      <c r="C4415" s="18">
        <f t="shared" si="68"/>
        <v>4</v>
      </c>
      <c r="D4415" t="s">
        <v>196</v>
      </c>
      <c r="E4415">
        <v>4872127</v>
      </c>
      <c r="F4415" t="s">
        <v>8</v>
      </c>
      <c r="G4415" t="s">
        <v>203</v>
      </c>
      <c r="H4415" t="s">
        <v>230</v>
      </c>
      <c r="I4415" s="4">
        <v>100638.28079999999</v>
      </c>
      <c r="J4415" s="4">
        <v>1408935.9312</v>
      </c>
      <c r="K4415" s="4">
        <v>-60684.506399999998</v>
      </c>
      <c r="L4415" s="4">
        <v>14</v>
      </c>
    </row>
    <row r="4416" spans="1:12">
      <c r="A4416" t="s">
        <v>264</v>
      </c>
      <c r="B4416" s="10">
        <v>45387</v>
      </c>
      <c r="C4416" s="18">
        <f t="shared" si="68"/>
        <v>4</v>
      </c>
      <c r="D4416" t="s">
        <v>196</v>
      </c>
      <c r="E4416">
        <v>4877306</v>
      </c>
      <c r="F4416" t="s">
        <v>8</v>
      </c>
      <c r="G4416" t="s">
        <v>203</v>
      </c>
      <c r="H4416" t="s">
        <v>240</v>
      </c>
      <c r="I4416" s="4">
        <v>100638.28079999999</v>
      </c>
      <c r="J4416" s="4">
        <v>201276.56159999999</v>
      </c>
      <c r="K4416" s="4">
        <v>-8669.2151999999987</v>
      </c>
      <c r="L4416" s="4">
        <v>2</v>
      </c>
    </row>
    <row r="4417" spans="1:12">
      <c r="A4417" t="s">
        <v>264</v>
      </c>
      <c r="B4417" s="10">
        <v>45387</v>
      </c>
      <c r="C4417" s="18">
        <f t="shared" si="68"/>
        <v>4</v>
      </c>
      <c r="D4417" t="s">
        <v>196</v>
      </c>
      <c r="E4417">
        <v>4877306</v>
      </c>
      <c r="F4417" t="s">
        <v>8</v>
      </c>
      <c r="G4417" t="s">
        <v>203</v>
      </c>
      <c r="H4417" t="s">
        <v>234</v>
      </c>
      <c r="I4417" s="4">
        <v>100638.28079999999</v>
      </c>
      <c r="J4417" s="4">
        <v>201276.56159999999</v>
      </c>
      <c r="K4417" s="4">
        <v>-8669.2151999999987</v>
      </c>
      <c r="L4417" s="4">
        <v>2</v>
      </c>
    </row>
    <row r="4418" spans="1:12">
      <c r="A4418" t="s">
        <v>264</v>
      </c>
      <c r="B4418" s="10">
        <v>45387</v>
      </c>
      <c r="C4418" s="18">
        <f t="shared" ref="C4418:C4481" si="69">MONTH(B4418)</f>
        <v>4</v>
      </c>
      <c r="D4418" t="s">
        <v>196</v>
      </c>
      <c r="E4418">
        <v>4877306</v>
      </c>
      <c r="F4418" t="s">
        <v>8</v>
      </c>
      <c r="G4418" t="s">
        <v>203</v>
      </c>
      <c r="H4418" t="s">
        <v>226</v>
      </c>
      <c r="I4418" s="4">
        <v>100638.28079999999</v>
      </c>
      <c r="J4418" s="4">
        <v>201276.56159999999</v>
      </c>
      <c r="K4418" s="4">
        <v>-8669.2151999999987</v>
      </c>
      <c r="L4418" s="4">
        <v>2</v>
      </c>
    </row>
    <row r="4419" spans="1:12">
      <c r="A4419" t="s">
        <v>264</v>
      </c>
      <c r="B4419" s="10">
        <v>45388</v>
      </c>
      <c r="C4419" s="18">
        <f t="shared" si="69"/>
        <v>4</v>
      </c>
      <c r="D4419" t="s">
        <v>196</v>
      </c>
      <c r="E4419">
        <v>4871600</v>
      </c>
      <c r="F4419" t="s">
        <v>8</v>
      </c>
      <c r="G4419" t="s">
        <v>204</v>
      </c>
      <c r="H4419" t="s">
        <v>220</v>
      </c>
      <c r="I4419" s="4">
        <v>37817.880799999999</v>
      </c>
      <c r="J4419" s="4">
        <v>340360.92719999998</v>
      </c>
      <c r="K4419" s="4">
        <v>-16961.508000000002</v>
      </c>
      <c r="L4419" s="4">
        <v>9</v>
      </c>
    </row>
    <row r="4420" spans="1:12">
      <c r="A4420" t="s">
        <v>264</v>
      </c>
      <c r="B4420" s="10">
        <v>45388</v>
      </c>
      <c r="C4420" s="18">
        <f t="shared" si="69"/>
        <v>4</v>
      </c>
      <c r="D4420" t="s">
        <v>196</v>
      </c>
      <c r="E4420">
        <v>4871600</v>
      </c>
      <c r="F4420" t="s">
        <v>8</v>
      </c>
      <c r="G4420" t="s">
        <v>204</v>
      </c>
      <c r="H4420" t="s">
        <v>212</v>
      </c>
      <c r="I4420" s="4">
        <v>62946.040799999995</v>
      </c>
      <c r="J4420" s="4">
        <v>566514.36719999998</v>
      </c>
      <c r="K4420" s="4">
        <v>-16961.508000000002</v>
      </c>
      <c r="L4420" s="4">
        <v>9</v>
      </c>
    </row>
    <row r="4421" spans="1:12">
      <c r="A4421" t="s">
        <v>264</v>
      </c>
      <c r="B4421" s="10">
        <v>45388</v>
      </c>
      <c r="C4421" s="18">
        <f t="shared" si="69"/>
        <v>4</v>
      </c>
      <c r="D4421" t="s">
        <v>196</v>
      </c>
      <c r="E4421">
        <v>4878874</v>
      </c>
      <c r="F4421" t="s">
        <v>8</v>
      </c>
      <c r="G4421" t="s">
        <v>206</v>
      </c>
      <c r="H4421" t="s">
        <v>249</v>
      </c>
      <c r="I4421" s="4">
        <v>17715.352800000001</v>
      </c>
      <c r="J4421" s="4">
        <v>3543070.56</v>
      </c>
      <c r="K4421" s="4">
        <v>-351794.24</v>
      </c>
      <c r="L4421" s="4">
        <v>200</v>
      </c>
    </row>
    <row r="4422" spans="1:12">
      <c r="A4422" t="s">
        <v>264</v>
      </c>
      <c r="B4422" s="10">
        <v>45388</v>
      </c>
      <c r="C4422" s="18">
        <f t="shared" si="69"/>
        <v>4</v>
      </c>
      <c r="D4422" t="s">
        <v>196</v>
      </c>
      <c r="E4422">
        <v>4872058</v>
      </c>
      <c r="F4422" t="s">
        <v>8</v>
      </c>
      <c r="G4422" t="s">
        <v>203</v>
      </c>
      <c r="H4422" t="s">
        <v>243</v>
      </c>
      <c r="I4422" s="4">
        <v>100638.28079999999</v>
      </c>
      <c r="J4422" s="4">
        <v>402553.12319999997</v>
      </c>
      <c r="K4422" s="4">
        <v>-17338.430399999997</v>
      </c>
      <c r="L4422" s="4">
        <v>4</v>
      </c>
    </row>
    <row r="4423" spans="1:12">
      <c r="A4423" t="s">
        <v>264</v>
      </c>
      <c r="B4423" s="10">
        <v>45388</v>
      </c>
      <c r="C4423" s="18">
        <f t="shared" si="69"/>
        <v>4</v>
      </c>
      <c r="D4423" t="s">
        <v>196</v>
      </c>
      <c r="E4423">
        <v>4872058</v>
      </c>
      <c r="F4423" t="s">
        <v>8</v>
      </c>
      <c r="G4423" t="s">
        <v>203</v>
      </c>
      <c r="H4423" t="s">
        <v>234</v>
      </c>
      <c r="I4423" s="4">
        <v>100638.28079999999</v>
      </c>
      <c r="J4423" s="4">
        <v>402553.12319999997</v>
      </c>
      <c r="K4423" s="4">
        <v>-17338.430399999997</v>
      </c>
      <c r="L4423" s="4">
        <v>4</v>
      </c>
    </row>
    <row r="4424" spans="1:12">
      <c r="A4424" t="s">
        <v>264</v>
      </c>
      <c r="B4424" s="10">
        <v>45388</v>
      </c>
      <c r="C4424" s="18">
        <f t="shared" si="69"/>
        <v>4</v>
      </c>
      <c r="D4424" t="s">
        <v>196</v>
      </c>
      <c r="E4424">
        <v>4872058</v>
      </c>
      <c r="F4424" t="s">
        <v>8</v>
      </c>
      <c r="G4424" t="s">
        <v>203</v>
      </c>
      <c r="H4424" t="s">
        <v>230</v>
      </c>
      <c r="I4424" s="4">
        <v>100638.28079999999</v>
      </c>
      <c r="J4424" s="4">
        <v>402553.12319999997</v>
      </c>
      <c r="K4424" s="4">
        <v>-17338.430399999997</v>
      </c>
      <c r="L4424" s="4">
        <v>4</v>
      </c>
    </row>
    <row r="4425" spans="1:12">
      <c r="A4425" t="s">
        <v>264</v>
      </c>
      <c r="B4425" s="10">
        <v>45388</v>
      </c>
      <c r="C4425" s="18">
        <f t="shared" si="69"/>
        <v>4</v>
      </c>
      <c r="D4425" t="s">
        <v>196</v>
      </c>
      <c r="E4425">
        <v>4872158</v>
      </c>
      <c r="F4425" t="s">
        <v>8</v>
      </c>
      <c r="G4425" t="s">
        <v>204</v>
      </c>
      <c r="H4425" t="s">
        <v>219</v>
      </c>
      <c r="I4425" s="4">
        <v>44099.9208</v>
      </c>
      <c r="J4425" s="4">
        <v>881998.41599999997</v>
      </c>
      <c r="K4425" s="4">
        <v>-37692.239999999998</v>
      </c>
      <c r="L4425" s="4">
        <v>20</v>
      </c>
    </row>
    <row r="4426" spans="1:12">
      <c r="A4426" t="s">
        <v>264</v>
      </c>
      <c r="B4426" s="10">
        <v>45388</v>
      </c>
      <c r="C4426" s="18">
        <f t="shared" si="69"/>
        <v>4</v>
      </c>
      <c r="D4426" t="s">
        <v>196</v>
      </c>
      <c r="E4426">
        <v>4872158</v>
      </c>
      <c r="F4426" t="s">
        <v>8</v>
      </c>
      <c r="G4426" t="s">
        <v>202</v>
      </c>
      <c r="H4426" t="s">
        <v>261</v>
      </c>
      <c r="I4426" s="4">
        <v>41587.104800000001</v>
      </c>
      <c r="J4426" s="4">
        <v>2079355.24</v>
      </c>
      <c r="K4426" s="4">
        <v>-103653.66</v>
      </c>
      <c r="L4426" s="4">
        <v>50</v>
      </c>
    </row>
    <row r="4427" spans="1:12">
      <c r="A4427" t="s">
        <v>264</v>
      </c>
      <c r="B4427" s="10">
        <v>45388</v>
      </c>
      <c r="C4427" s="18">
        <f t="shared" si="69"/>
        <v>4</v>
      </c>
      <c r="D4427" t="s">
        <v>196</v>
      </c>
      <c r="E4427">
        <v>4872158</v>
      </c>
      <c r="F4427" t="s">
        <v>8</v>
      </c>
      <c r="G4427" t="s">
        <v>202</v>
      </c>
      <c r="H4427" t="s">
        <v>254</v>
      </c>
      <c r="I4427" s="4">
        <v>37817.880799999999</v>
      </c>
      <c r="J4427" s="4">
        <v>1890894.04</v>
      </c>
      <c r="K4427" s="4">
        <v>-94230.6</v>
      </c>
      <c r="L4427" s="4">
        <v>50</v>
      </c>
    </row>
    <row r="4428" spans="1:12">
      <c r="A4428" t="s">
        <v>264</v>
      </c>
      <c r="B4428" s="10">
        <v>45388</v>
      </c>
      <c r="C4428" s="18">
        <f t="shared" si="69"/>
        <v>4</v>
      </c>
      <c r="D4428" t="s">
        <v>196</v>
      </c>
      <c r="E4428">
        <v>4873921</v>
      </c>
      <c r="F4428" t="s">
        <v>8</v>
      </c>
      <c r="G4428" t="s">
        <v>204</v>
      </c>
      <c r="H4428" t="s">
        <v>218</v>
      </c>
      <c r="I4428" s="4">
        <v>71740.896800000002</v>
      </c>
      <c r="J4428" s="4">
        <v>430445.38080000004</v>
      </c>
      <c r="K4428" s="4">
        <v>-21484.576799999999</v>
      </c>
      <c r="L4428" s="4">
        <v>6</v>
      </c>
    </row>
    <row r="4429" spans="1:12">
      <c r="A4429" t="s">
        <v>264</v>
      </c>
      <c r="B4429" s="10">
        <v>45388</v>
      </c>
      <c r="C4429" s="18">
        <f t="shared" si="69"/>
        <v>4</v>
      </c>
      <c r="D4429" t="s">
        <v>196</v>
      </c>
      <c r="E4429">
        <v>4873921</v>
      </c>
      <c r="F4429" t="s">
        <v>8</v>
      </c>
      <c r="G4429" t="s">
        <v>204</v>
      </c>
      <c r="H4429" t="s">
        <v>214</v>
      </c>
      <c r="I4429" s="4">
        <v>119484.4008</v>
      </c>
      <c r="J4429" s="4">
        <v>2389688.0159999998</v>
      </c>
      <c r="K4429" s="4">
        <v>-119358.76</v>
      </c>
      <c r="L4429" s="4">
        <v>20</v>
      </c>
    </row>
    <row r="4430" spans="1:12">
      <c r="A4430" t="s">
        <v>264</v>
      </c>
      <c r="B4430" s="10">
        <v>45388</v>
      </c>
      <c r="C4430" s="18">
        <f t="shared" si="69"/>
        <v>4</v>
      </c>
      <c r="D4430" t="s">
        <v>196</v>
      </c>
      <c r="E4430">
        <v>4878825</v>
      </c>
      <c r="F4430" t="s">
        <v>8</v>
      </c>
      <c r="G4430" t="s">
        <v>204</v>
      </c>
      <c r="H4430" t="s">
        <v>218</v>
      </c>
      <c r="I4430" s="4">
        <v>71740.896800000002</v>
      </c>
      <c r="J4430" s="4">
        <v>717408.96799999999</v>
      </c>
      <c r="K4430" s="4">
        <v>-35807.628000000004</v>
      </c>
      <c r="L4430" s="4">
        <v>10</v>
      </c>
    </row>
    <row r="4431" spans="1:12">
      <c r="A4431" t="s">
        <v>264</v>
      </c>
      <c r="B4431" s="10">
        <v>45388</v>
      </c>
      <c r="C4431" s="18">
        <f t="shared" si="69"/>
        <v>4</v>
      </c>
      <c r="D4431" t="s">
        <v>196</v>
      </c>
      <c r="E4431">
        <v>4878825</v>
      </c>
      <c r="F4431" t="s">
        <v>8</v>
      </c>
      <c r="G4431" t="s">
        <v>204</v>
      </c>
      <c r="H4431" t="s">
        <v>213</v>
      </c>
      <c r="I4431" s="4">
        <v>119484.4008</v>
      </c>
      <c r="J4431" s="4">
        <v>1194844.0079999999</v>
      </c>
      <c r="K4431" s="4">
        <v>-59679.38</v>
      </c>
      <c r="L4431" s="4">
        <v>10</v>
      </c>
    </row>
    <row r="4432" spans="1:12">
      <c r="A4432" t="s">
        <v>264</v>
      </c>
      <c r="B4432" s="10">
        <v>45388</v>
      </c>
      <c r="C4432" s="18">
        <f t="shared" si="69"/>
        <v>4</v>
      </c>
      <c r="D4432" t="s">
        <v>196</v>
      </c>
      <c r="E4432">
        <v>4879214</v>
      </c>
      <c r="F4432" t="s">
        <v>8</v>
      </c>
      <c r="G4432" t="s">
        <v>204</v>
      </c>
      <c r="H4432" t="s">
        <v>216</v>
      </c>
      <c r="I4432" s="4">
        <v>113202.36079999999</v>
      </c>
      <c r="J4432" s="4">
        <v>679214.16479999991</v>
      </c>
      <c r="K4432" s="4">
        <v>-33923.016000000003</v>
      </c>
      <c r="L4432" s="4">
        <v>6</v>
      </c>
    </row>
    <row r="4433" spans="1:12">
      <c r="A4433" t="s">
        <v>264</v>
      </c>
      <c r="B4433" s="10">
        <v>45388</v>
      </c>
      <c r="C4433" s="18">
        <f t="shared" si="69"/>
        <v>4</v>
      </c>
      <c r="D4433" t="s">
        <v>196</v>
      </c>
      <c r="E4433">
        <v>4879214</v>
      </c>
      <c r="F4433" t="s">
        <v>8</v>
      </c>
      <c r="G4433" t="s">
        <v>204</v>
      </c>
      <c r="H4433" t="s">
        <v>220</v>
      </c>
      <c r="I4433" s="4">
        <v>37817.880799999999</v>
      </c>
      <c r="J4433" s="4">
        <v>226907.28479999999</v>
      </c>
      <c r="K4433" s="4">
        <v>-11307.672</v>
      </c>
      <c r="L4433" s="4">
        <v>6</v>
      </c>
    </row>
    <row r="4434" spans="1:12">
      <c r="A4434" t="s">
        <v>264</v>
      </c>
      <c r="B4434" s="10">
        <v>45388</v>
      </c>
      <c r="C4434" s="18">
        <f t="shared" si="69"/>
        <v>4</v>
      </c>
      <c r="D4434" t="s">
        <v>196</v>
      </c>
      <c r="E4434">
        <v>4872141</v>
      </c>
      <c r="F4434" t="s">
        <v>8</v>
      </c>
      <c r="G4434" t="s">
        <v>203</v>
      </c>
      <c r="H4434" t="s">
        <v>227</v>
      </c>
      <c r="I4434" s="4">
        <v>100638.28079999999</v>
      </c>
      <c r="J4434" s="4">
        <v>-100638.28079999999</v>
      </c>
      <c r="K4434" s="4">
        <v>4334.6075999999994</v>
      </c>
      <c r="L4434" s="4">
        <v>-1</v>
      </c>
    </row>
    <row r="4435" spans="1:12">
      <c r="A4435" t="s">
        <v>264</v>
      </c>
      <c r="B4435" s="10">
        <v>45388</v>
      </c>
      <c r="C4435" s="18">
        <f t="shared" si="69"/>
        <v>4</v>
      </c>
      <c r="D4435" t="s">
        <v>196</v>
      </c>
      <c r="E4435">
        <v>4875779</v>
      </c>
      <c r="F4435" t="s">
        <v>8</v>
      </c>
      <c r="G4435" t="s">
        <v>202</v>
      </c>
      <c r="H4435" t="s">
        <v>255</v>
      </c>
      <c r="I4435" s="4">
        <v>72489.71596799999</v>
      </c>
      <c r="J4435" s="4">
        <v>2899588.6387199997</v>
      </c>
      <c r="K4435" s="4">
        <v>-150768.95999999999</v>
      </c>
      <c r="L4435" s="4">
        <v>40</v>
      </c>
    </row>
    <row r="4436" spans="1:12">
      <c r="A4436" t="s">
        <v>264</v>
      </c>
      <c r="B4436" s="10">
        <v>45389</v>
      </c>
      <c r="C4436" s="18">
        <f t="shared" si="69"/>
        <v>4</v>
      </c>
      <c r="D4436" t="s">
        <v>196</v>
      </c>
      <c r="E4436">
        <v>4872246</v>
      </c>
      <c r="F4436" t="s">
        <v>8</v>
      </c>
      <c r="G4436" t="s">
        <v>203</v>
      </c>
      <c r="H4436" t="s">
        <v>242</v>
      </c>
      <c r="I4436" s="4">
        <v>100638.28079999999</v>
      </c>
      <c r="J4436" s="4">
        <v>603829.68479999993</v>
      </c>
      <c r="K4436" s="4">
        <v>-26007.645599999996</v>
      </c>
      <c r="L4436" s="4">
        <v>6</v>
      </c>
    </row>
    <row r="4437" spans="1:12">
      <c r="A4437" t="s">
        <v>264</v>
      </c>
      <c r="B4437" s="10">
        <v>45389</v>
      </c>
      <c r="C4437" s="18">
        <f t="shared" si="69"/>
        <v>4</v>
      </c>
      <c r="D4437" t="s">
        <v>196</v>
      </c>
      <c r="E4437">
        <v>4872246</v>
      </c>
      <c r="F4437" t="s">
        <v>8</v>
      </c>
      <c r="G4437" t="s">
        <v>203</v>
      </c>
      <c r="H4437" t="s">
        <v>230</v>
      </c>
      <c r="I4437" s="4">
        <v>100638.28079999999</v>
      </c>
      <c r="J4437" s="4">
        <v>201276.56159999999</v>
      </c>
      <c r="K4437" s="4">
        <v>-8669.2151999999987</v>
      </c>
      <c r="L4437" s="4">
        <v>2</v>
      </c>
    </row>
    <row r="4438" spans="1:12">
      <c r="A4438" t="s">
        <v>264</v>
      </c>
      <c r="B4438" s="10">
        <v>45389</v>
      </c>
      <c r="C4438" s="18">
        <f t="shared" si="69"/>
        <v>4</v>
      </c>
      <c r="D4438" t="s">
        <v>196</v>
      </c>
      <c r="E4438">
        <v>4872246</v>
      </c>
      <c r="F4438" t="s">
        <v>8</v>
      </c>
      <c r="G4438" t="s">
        <v>203</v>
      </c>
      <c r="H4438" t="s">
        <v>227</v>
      </c>
      <c r="I4438" s="4">
        <v>100638.28079999999</v>
      </c>
      <c r="J4438" s="4">
        <v>1006382.808</v>
      </c>
      <c r="K4438" s="4">
        <v>-43346.076000000001</v>
      </c>
      <c r="L4438" s="4">
        <v>10</v>
      </c>
    </row>
    <row r="4439" spans="1:12">
      <c r="A4439" t="s">
        <v>264</v>
      </c>
      <c r="B4439" s="10">
        <v>45389</v>
      </c>
      <c r="C4439" s="18">
        <f t="shared" si="69"/>
        <v>4</v>
      </c>
      <c r="D4439" t="s">
        <v>196</v>
      </c>
      <c r="E4439">
        <v>4872246</v>
      </c>
      <c r="F4439" t="s">
        <v>8</v>
      </c>
      <c r="G4439" t="s">
        <v>203</v>
      </c>
      <c r="H4439" t="s">
        <v>235</v>
      </c>
      <c r="I4439" s="4">
        <v>125766.4408</v>
      </c>
      <c r="J4439" s="4">
        <v>628832.20400000003</v>
      </c>
      <c r="K4439" s="4">
        <v>-28269.18</v>
      </c>
      <c r="L4439" s="4">
        <v>5</v>
      </c>
    </row>
    <row r="4440" spans="1:12">
      <c r="A4440" t="s">
        <v>264</v>
      </c>
      <c r="B4440" s="10">
        <v>45389</v>
      </c>
      <c r="C4440" s="18">
        <f t="shared" si="69"/>
        <v>4</v>
      </c>
      <c r="D4440" t="s">
        <v>196</v>
      </c>
      <c r="E4440">
        <v>4878874</v>
      </c>
      <c r="F4440" t="s">
        <v>8</v>
      </c>
      <c r="G4440" t="s">
        <v>206</v>
      </c>
      <c r="H4440" t="s">
        <v>209</v>
      </c>
      <c r="I4440" s="4">
        <v>17715.352800000001</v>
      </c>
      <c r="J4440" s="4">
        <v>1771535.28</v>
      </c>
      <c r="K4440" s="4">
        <v>-175897.12</v>
      </c>
      <c r="L4440" s="4">
        <v>100</v>
      </c>
    </row>
    <row r="4441" spans="1:12">
      <c r="A4441" t="s">
        <v>264</v>
      </c>
      <c r="B4441" s="10">
        <v>45389</v>
      </c>
      <c r="C4441" s="18">
        <f t="shared" si="69"/>
        <v>4</v>
      </c>
      <c r="D4441" t="s">
        <v>196</v>
      </c>
      <c r="E4441">
        <v>4873121</v>
      </c>
      <c r="F4441" t="s">
        <v>8</v>
      </c>
      <c r="G4441" t="s">
        <v>203</v>
      </c>
      <c r="H4441" t="s">
        <v>242</v>
      </c>
      <c r="I4441" s="4">
        <v>100638.28079999999</v>
      </c>
      <c r="J4441" s="4">
        <v>1006382.808</v>
      </c>
      <c r="K4441" s="4">
        <v>-43346.076000000001</v>
      </c>
      <c r="L4441" s="4">
        <v>10</v>
      </c>
    </row>
    <row r="4442" spans="1:12">
      <c r="A4442" t="s">
        <v>264</v>
      </c>
      <c r="B4442" s="10">
        <v>45389</v>
      </c>
      <c r="C4442" s="18">
        <f t="shared" si="69"/>
        <v>4</v>
      </c>
      <c r="D4442" t="s">
        <v>196</v>
      </c>
      <c r="E4442">
        <v>4873121</v>
      </c>
      <c r="F4442" t="s">
        <v>8</v>
      </c>
      <c r="G4442" t="s">
        <v>203</v>
      </c>
      <c r="H4442" t="s">
        <v>234</v>
      </c>
      <c r="I4442" s="4">
        <v>100638.28079999999</v>
      </c>
      <c r="J4442" s="4">
        <v>1006382.808</v>
      </c>
      <c r="K4442" s="4">
        <v>-43346.076000000001</v>
      </c>
      <c r="L4442" s="4">
        <v>10</v>
      </c>
    </row>
    <row r="4443" spans="1:12">
      <c r="A4443" t="s">
        <v>264</v>
      </c>
      <c r="B4443" s="10">
        <v>45389</v>
      </c>
      <c r="C4443" s="18">
        <f t="shared" si="69"/>
        <v>4</v>
      </c>
      <c r="D4443" t="s">
        <v>196</v>
      </c>
      <c r="E4443">
        <v>4873121</v>
      </c>
      <c r="F4443" t="s">
        <v>8</v>
      </c>
      <c r="G4443" t="s">
        <v>203</v>
      </c>
      <c r="H4443" t="s">
        <v>230</v>
      </c>
      <c r="I4443" s="4">
        <v>100638.28079999999</v>
      </c>
      <c r="J4443" s="4">
        <v>1006382.808</v>
      </c>
      <c r="K4443" s="4">
        <v>-43346.076000000001</v>
      </c>
      <c r="L4443" s="4">
        <v>10</v>
      </c>
    </row>
    <row r="4444" spans="1:12">
      <c r="A4444" t="s">
        <v>264</v>
      </c>
      <c r="B4444" s="10">
        <v>45389</v>
      </c>
      <c r="C4444" s="18">
        <f t="shared" si="69"/>
        <v>4</v>
      </c>
      <c r="D4444" t="s">
        <v>196</v>
      </c>
      <c r="E4444">
        <v>4873121</v>
      </c>
      <c r="F4444" t="s">
        <v>8</v>
      </c>
      <c r="G4444" t="s">
        <v>203</v>
      </c>
      <c r="H4444" t="s">
        <v>226</v>
      </c>
      <c r="I4444" s="4">
        <v>100638.28079999999</v>
      </c>
      <c r="J4444" s="4">
        <v>1006382.808</v>
      </c>
      <c r="K4444" s="4">
        <v>-43346.076000000001</v>
      </c>
      <c r="L4444" s="4">
        <v>10</v>
      </c>
    </row>
    <row r="4445" spans="1:12">
      <c r="A4445" t="s">
        <v>264</v>
      </c>
      <c r="B4445" s="10">
        <v>45389</v>
      </c>
      <c r="C4445" s="18">
        <f t="shared" si="69"/>
        <v>4</v>
      </c>
      <c r="D4445" t="s">
        <v>196</v>
      </c>
      <c r="E4445">
        <v>4873121</v>
      </c>
      <c r="F4445" t="s">
        <v>8</v>
      </c>
      <c r="G4445" t="s">
        <v>203</v>
      </c>
      <c r="H4445" t="s">
        <v>224</v>
      </c>
      <c r="I4445" s="4">
        <v>100638.28079999999</v>
      </c>
      <c r="J4445" s="4">
        <v>1006382.808</v>
      </c>
      <c r="K4445" s="4">
        <v>-43346.076000000001</v>
      </c>
      <c r="L4445" s="4">
        <v>10</v>
      </c>
    </row>
    <row r="4446" spans="1:12">
      <c r="A4446" t="s">
        <v>264</v>
      </c>
      <c r="B4446" s="10">
        <v>45389</v>
      </c>
      <c r="C4446" s="18">
        <f t="shared" si="69"/>
        <v>4</v>
      </c>
      <c r="D4446" t="s">
        <v>196</v>
      </c>
      <c r="E4446">
        <v>4873121</v>
      </c>
      <c r="F4446" t="s">
        <v>8</v>
      </c>
      <c r="G4446" t="s">
        <v>203</v>
      </c>
      <c r="H4446" t="s">
        <v>235</v>
      </c>
      <c r="I4446" s="4">
        <v>125766.4408</v>
      </c>
      <c r="J4446" s="4">
        <v>1257664.4080000001</v>
      </c>
      <c r="K4446" s="4">
        <v>-56538.36</v>
      </c>
      <c r="L4446" s="4">
        <v>10</v>
      </c>
    </row>
    <row r="4447" spans="1:12">
      <c r="A4447" t="s">
        <v>264</v>
      </c>
      <c r="B4447" s="10">
        <v>45389</v>
      </c>
      <c r="C4447" s="18">
        <f t="shared" si="69"/>
        <v>4</v>
      </c>
      <c r="D4447" t="s">
        <v>196</v>
      </c>
      <c r="E4447">
        <v>4876759</v>
      </c>
      <c r="F4447" t="s">
        <v>8</v>
      </c>
      <c r="G4447" t="s">
        <v>202</v>
      </c>
      <c r="H4447" t="s">
        <v>255</v>
      </c>
      <c r="I4447" s="4">
        <v>72489.71596799999</v>
      </c>
      <c r="J4447" s="4">
        <v>724897.15967999992</v>
      </c>
      <c r="K4447" s="4">
        <v>-37692.239999999998</v>
      </c>
      <c r="L4447" s="4">
        <v>10</v>
      </c>
    </row>
    <row r="4448" spans="1:12">
      <c r="A4448" t="s">
        <v>264</v>
      </c>
      <c r="B4448" s="10">
        <v>45390</v>
      </c>
      <c r="C4448" s="18">
        <f t="shared" si="69"/>
        <v>4</v>
      </c>
      <c r="D4448" t="s">
        <v>196</v>
      </c>
      <c r="E4448">
        <v>4877306</v>
      </c>
      <c r="F4448" t="s">
        <v>8</v>
      </c>
      <c r="G4448" t="s">
        <v>203</v>
      </c>
      <c r="H4448" t="s">
        <v>236</v>
      </c>
      <c r="I4448" s="4">
        <v>100638.28079999999</v>
      </c>
      <c r="J4448" s="4">
        <v>201276.56159999999</v>
      </c>
      <c r="K4448" s="4">
        <v>-8669.2151999999987</v>
      </c>
      <c r="L4448" s="4">
        <v>2</v>
      </c>
    </row>
    <row r="4449" spans="1:12">
      <c r="A4449" t="s">
        <v>264</v>
      </c>
      <c r="B4449" s="10">
        <v>45391</v>
      </c>
      <c r="C4449" s="18">
        <f t="shared" si="69"/>
        <v>4</v>
      </c>
      <c r="D4449" t="s">
        <v>196</v>
      </c>
      <c r="E4449">
        <v>4872058</v>
      </c>
      <c r="F4449" t="s">
        <v>8</v>
      </c>
      <c r="G4449" t="s">
        <v>203</v>
      </c>
      <c r="H4449" t="s">
        <v>242</v>
      </c>
      <c r="I4449" s="4">
        <v>100638.28079999999</v>
      </c>
      <c r="J4449" s="4">
        <v>1006382.808</v>
      </c>
      <c r="K4449" s="4">
        <v>-43346.076000000001</v>
      </c>
      <c r="L4449" s="4">
        <v>10</v>
      </c>
    </row>
    <row r="4450" spans="1:12">
      <c r="A4450" t="s">
        <v>264</v>
      </c>
      <c r="B4450" s="10">
        <v>45391</v>
      </c>
      <c r="C4450" s="18">
        <f t="shared" si="69"/>
        <v>4</v>
      </c>
      <c r="D4450" t="s">
        <v>196</v>
      </c>
      <c r="E4450">
        <v>4872058</v>
      </c>
      <c r="F4450" t="s">
        <v>8</v>
      </c>
      <c r="G4450" t="s">
        <v>203</v>
      </c>
      <c r="H4450" t="s">
        <v>234</v>
      </c>
      <c r="I4450" s="4">
        <v>100638.28079999999</v>
      </c>
      <c r="J4450" s="4">
        <v>1006382.808</v>
      </c>
      <c r="K4450" s="4">
        <v>-43346.076000000001</v>
      </c>
      <c r="L4450" s="4">
        <v>10</v>
      </c>
    </row>
    <row r="4451" spans="1:12">
      <c r="A4451" t="s">
        <v>264</v>
      </c>
      <c r="B4451" s="10">
        <v>45391</v>
      </c>
      <c r="C4451" s="18">
        <f t="shared" si="69"/>
        <v>4</v>
      </c>
      <c r="D4451" t="s">
        <v>196</v>
      </c>
      <c r="E4451">
        <v>4872058</v>
      </c>
      <c r="F4451" t="s">
        <v>8</v>
      </c>
      <c r="G4451" t="s">
        <v>203</v>
      </c>
      <c r="H4451" t="s">
        <v>227</v>
      </c>
      <c r="I4451" s="4">
        <v>100638.28079999999</v>
      </c>
      <c r="J4451" s="4">
        <v>1006382.808</v>
      </c>
      <c r="K4451" s="4">
        <v>-43346.076000000001</v>
      </c>
      <c r="L4451" s="4">
        <v>10</v>
      </c>
    </row>
    <row r="4452" spans="1:12">
      <c r="A4452" t="s">
        <v>264</v>
      </c>
      <c r="B4452" s="10">
        <v>45391</v>
      </c>
      <c r="C4452" s="18">
        <f t="shared" si="69"/>
        <v>4</v>
      </c>
      <c r="D4452" t="s">
        <v>196</v>
      </c>
      <c r="E4452">
        <v>4872058</v>
      </c>
      <c r="F4452" t="s">
        <v>8</v>
      </c>
      <c r="G4452" t="s">
        <v>203</v>
      </c>
      <c r="H4452" t="s">
        <v>226</v>
      </c>
      <c r="I4452" s="4">
        <v>100638.28079999999</v>
      </c>
      <c r="J4452" s="4">
        <v>1006382.808</v>
      </c>
      <c r="K4452" s="4">
        <v>-43346.076000000001</v>
      </c>
      <c r="L4452" s="4">
        <v>10</v>
      </c>
    </row>
    <row r="4453" spans="1:12">
      <c r="A4453" t="s">
        <v>264</v>
      </c>
      <c r="B4453" s="10">
        <v>45391</v>
      </c>
      <c r="C4453" s="18">
        <f t="shared" si="69"/>
        <v>4</v>
      </c>
      <c r="D4453" t="s">
        <v>196</v>
      </c>
      <c r="E4453">
        <v>4872058</v>
      </c>
      <c r="F4453" t="s">
        <v>8</v>
      </c>
      <c r="G4453" t="s">
        <v>203</v>
      </c>
      <c r="H4453" t="s">
        <v>233</v>
      </c>
      <c r="I4453" s="4">
        <v>120735.78316800001</v>
      </c>
      <c r="J4453" s="4">
        <v>482943.13267200004</v>
      </c>
      <c r="K4453" s="4">
        <v>-22615.344000000001</v>
      </c>
      <c r="L4453" s="4">
        <v>4</v>
      </c>
    </row>
    <row r="4454" spans="1:12">
      <c r="A4454" t="s">
        <v>264</v>
      </c>
      <c r="B4454" s="10">
        <v>45391</v>
      </c>
      <c r="C4454" s="18">
        <f t="shared" si="69"/>
        <v>4</v>
      </c>
      <c r="D4454" t="s">
        <v>196</v>
      </c>
      <c r="E4454">
        <v>4879074</v>
      </c>
      <c r="F4454" t="s">
        <v>8</v>
      </c>
      <c r="G4454" t="s">
        <v>203</v>
      </c>
      <c r="H4454" t="s">
        <v>245</v>
      </c>
      <c r="I4454" s="4">
        <v>100638.28079999999</v>
      </c>
      <c r="J4454" s="4">
        <v>402553.12319999997</v>
      </c>
      <c r="K4454" s="4">
        <v>-17338.430399999997</v>
      </c>
      <c r="L4454" s="4">
        <v>4</v>
      </c>
    </row>
    <row r="4455" spans="1:12">
      <c r="A4455" t="s">
        <v>264</v>
      </c>
      <c r="B4455" s="10">
        <v>45391</v>
      </c>
      <c r="C4455" s="18">
        <f t="shared" si="69"/>
        <v>4</v>
      </c>
      <c r="D4455" t="s">
        <v>196</v>
      </c>
      <c r="E4455">
        <v>4879074</v>
      </c>
      <c r="F4455" t="s">
        <v>8</v>
      </c>
      <c r="G4455" t="s">
        <v>203</v>
      </c>
      <c r="H4455" t="s">
        <v>243</v>
      </c>
      <c r="I4455" s="4">
        <v>100638.28079999999</v>
      </c>
      <c r="J4455" s="4">
        <v>402553.12319999997</v>
      </c>
      <c r="K4455" s="4">
        <v>-17338.430399999997</v>
      </c>
      <c r="L4455" s="4">
        <v>4</v>
      </c>
    </row>
    <row r="4456" spans="1:12">
      <c r="A4456" t="s">
        <v>264</v>
      </c>
      <c r="B4456" s="10">
        <v>45391</v>
      </c>
      <c r="C4456" s="18">
        <f t="shared" si="69"/>
        <v>4</v>
      </c>
      <c r="D4456" t="s">
        <v>196</v>
      </c>
      <c r="E4456">
        <v>4879074</v>
      </c>
      <c r="F4456" t="s">
        <v>8</v>
      </c>
      <c r="G4456" t="s">
        <v>203</v>
      </c>
      <c r="H4456" t="s">
        <v>242</v>
      </c>
      <c r="I4456" s="4">
        <v>100638.28079999999</v>
      </c>
      <c r="J4456" s="4">
        <v>201276.56159999999</v>
      </c>
      <c r="K4456" s="4">
        <v>-8669.2151999999987</v>
      </c>
      <c r="L4456" s="4">
        <v>2</v>
      </c>
    </row>
    <row r="4457" spans="1:12">
      <c r="A4457" t="s">
        <v>264</v>
      </c>
      <c r="B4457" s="10">
        <v>45391</v>
      </c>
      <c r="C4457" s="18">
        <f t="shared" si="69"/>
        <v>4</v>
      </c>
      <c r="D4457" t="s">
        <v>196</v>
      </c>
      <c r="E4457">
        <v>4879074</v>
      </c>
      <c r="F4457" t="s">
        <v>8</v>
      </c>
      <c r="G4457" t="s">
        <v>203</v>
      </c>
      <c r="H4457" t="s">
        <v>240</v>
      </c>
      <c r="I4457" s="4">
        <v>100638.28079999999</v>
      </c>
      <c r="J4457" s="4">
        <v>201276.56159999999</v>
      </c>
      <c r="K4457" s="4">
        <v>-8669.2151999999987</v>
      </c>
      <c r="L4457" s="4">
        <v>2</v>
      </c>
    </row>
    <row r="4458" spans="1:12">
      <c r="A4458" t="s">
        <v>264</v>
      </c>
      <c r="B4458" s="10">
        <v>45391</v>
      </c>
      <c r="C4458" s="18">
        <f t="shared" si="69"/>
        <v>4</v>
      </c>
      <c r="D4458" t="s">
        <v>196</v>
      </c>
      <c r="E4458">
        <v>4879074</v>
      </c>
      <c r="F4458" t="s">
        <v>8</v>
      </c>
      <c r="G4458" t="s">
        <v>203</v>
      </c>
      <c r="H4458" t="s">
        <v>234</v>
      </c>
      <c r="I4458" s="4">
        <v>100638.28079999999</v>
      </c>
      <c r="J4458" s="4">
        <v>201276.56159999999</v>
      </c>
      <c r="K4458" s="4">
        <v>-8669.2151999999987</v>
      </c>
      <c r="L4458" s="4">
        <v>2</v>
      </c>
    </row>
    <row r="4459" spans="1:12">
      <c r="A4459" t="s">
        <v>264</v>
      </c>
      <c r="B4459" s="10">
        <v>45391</v>
      </c>
      <c r="C4459" s="18">
        <f t="shared" si="69"/>
        <v>4</v>
      </c>
      <c r="D4459" t="s">
        <v>196</v>
      </c>
      <c r="E4459">
        <v>4879074</v>
      </c>
      <c r="F4459" t="s">
        <v>8</v>
      </c>
      <c r="G4459" t="s">
        <v>203</v>
      </c>
      <c r="H4459" t="s">
        <v>230</v>
      </c>
      <c r="I4459" s="4">
        <v>100638.28079999999</v>
      </c>
      <c r="J4459" s="4">
        <v>201276.56159999999</v>
      </c>
      <c r="K4459" s="4">
        <v>-8669.2151999999987</v>
      </c>
      <c r="L4459" s="4">
        <v>2</v>
      </c>
    </row>
    <row r="4460" spans="1:12">
      <c r="A4460" t="s">
        <v>264</v>
      </c>
      <c r="B4460" s="10">
        <v>45391</v>
      </c>
      <c r="C4460" s="18">
        <f t="shared" si="69"/>
        <v>4</v>
      </c>
      <c r="D4460" t="s">
        <v>196</v>
      </c>
      <c r="E4460">
        <v>4879074</v>
      </c>
      <c r="F4460" t="s">
        <v>8</v>
      </c>
      <c r="G4460" t="s">
        <v>203</v>
      </c>
      <c r="H4460" t="s">
        <v>244</v>
      </c>
      <c r="I4460" s="4">
        <v>125766.4408</v>
      </c>
      <c r="J4460" s="4">
        <v>503065.76319999999</v>
      </c>
      <c r="K4460" s="4">
        <v>-22615.344000000001</v>
      </c>
      <c r="L4460" s="4">
        <v>4</v>
      </c>
    </row>
    <row r="4461" spans="1:12">
      <c r="A4461" t="s">
        <v>264</v>
      </c>
      <c r="B4461" s="10">
        <v>45391</v>
      </c>
      <c r="C4461" s="18">
        <f t="shared" si="69"/>
        <v>4</v>
      </c>
      <c r="D4461" t="s">
        <v>196</v>
      </c>
      <c r="E4461">
        <v>4879074</v>
      </c>
      <c r="F4461" t="s">
        <v>8</v>
      </c>
      <c r="G4461" t="s">
        <v>203</v>
      </c>
      <c r="H4461" t="s">
        <v>241</v>
      </c>
      <c r="I4461" s="4">
        <v>125766.4408</v>
      </c>
      <c r="J4461" s="4">
        <v>251532.88159999999</v>
      </c>
      <c r="K4461" s="4">
        <v>-11307.672</v>
      </c>
      <c r="L4461" s="4">
        <v>2</v>
      </c>
    </row>
    <row r="4462" spans="1:12">
      <c r="A4462" t="s">
        <v>264</v>
      </c>
      <c r="B4462" s="10">
        <v>45391</v>
      </c>
      <c r="C4462" s="18">
        <f t="shared" si="69"/>
        <v>4</v>
      </c>
      <c r="D4462" t="s">
        <v>196</v>
      </c>
      <c r="E4462">
        <v>4879074</v>
      </c>
      <c r="F4462" t="s">
        <v>8</v>
      </c>
      <c r="G4462" t="s">
        <v>203</v>
      </c>
      <c r="H4462" t="s">
        <v>237</v>
      </c>
      <c r="I4462" s="4">
        <v>125766.4408</v>
      </c>
      <c r="J4462" s="4">
        <v>251532.88159999999</v>
      </c>
      <c r="K4462" s="4">
        <v>-11307.672</v>
      </c>
      <c r="L4462" s="4">
        <v>2</v>
      </c>
    </row>
    <row r="4463" spans="1:12">
      <c r="A4463" t="s">
        <v>264</v>
      </c>
      <c r="B4463" s="10">
        <v>45391</v>
      </c>
      <c r="C4463" s="18">
        <f t="shared" si="69"/>
        <v>4</v>
      </c>
      <c r="D4463" t="s">
        <v>196</v>
      </c>
      <c r="E4463">
        <v>4879074</v>
      </c>
      <c r="F4463" t="s">
        <v>8</v>
      </c>
      <c r="G4463" t="s">
        <v>203</v>
      </c>
      <c r="H4463" t="s">
        <v>233</v>
      </c>
      <c r="I4463" s="4">
        <v>120735.78316800001</v>
      </c>
      <c r="J4463" s="4">
        <v>241471.56633600002</v>
      </c>
      <c r="K4463" s="4">
        <v>-11307.672</v>
      </c>
      <c r="L4463" s="4">
        <v>2</v>
      </c>
    </row>
    <row r="4464" spans="1:12">
      <c r="A4464" t="s">
        <v>264</v>
      </c>
      <c r="B4464" s="10">
        <v>45391</v>
      </c>
      <c r="C4464" s="18">
        <f t="shared" si="69"/>
        <v>4</v>
      </c>
      <c r="D4464" t="s">
        <v>196</v>
      </c>
      <c r="E4464">
        <v>4879214</v>
      </c>
      <c r="F4464" t="s">
        <v>8</v>
      </c>
      <c r="G4464" t="s">
        <v>204</v>
      </c>
      <c r="H4464" t="s">
        <v>221</v>
      </c>
      <c r="I4464" s="4">
        <v>25253.800799999997</v>
      </c>
      <c r="J4464" s="4">
        <v>50507.601599999995</v>
      </c>
      <c r="K4464" s="4">
        <v>-2512.8160000000003</v>
      </c>
      <c r="L4464" s="4">
        <v>2</v>
      </c>
    </row>
    <row r="4465" spans="1:12">
      <c r="A4465" t="s">
        <v>264</v>
      </c>
      <c r="B4465" s="10">
        <v>45391</v>
      </c>
      <c r="C4465" s="18">
        <f t="shared" si="69"/>
        <v>4</v>
      </c>
      <c r="D4465" t="s">
        <v>196</v>
      </c>
      <c r="E4465">
        <v>4877269</v>
      </c>
      <c r="F4465" t="s">
        <v>8</v>
      </c>
      <c r="G4465" t="s">
        <v>205</v>
      </c>
      <c r="H4465" t="s">
        <v>210</v>
      </c>
      <c r="I4465" s="4">
        <v>7538.4479999999994</v>
      </c>
      <c r="J4465" s="4">
        <v>376922.39999999997</v>
      </c>
      <c r="K4465" s="4">
        <v>-18846.12</v>
      </c>
      <c r="L4465" s="4">
        <v>50</v>
      </c>
    </row>
    <row r="4466" spans="1:12">
      <c r="A4466" t="s">
        <v>264</v>
      </c>
      <c r="B4466" s="10">
        <v>45391</v>
      </c>
      <c r="C4466" s="18">
        <f t="shared" si="69"/>
        <v>4</v>
      </c>
      <c r="D4466" t="s">
        <v>196</v>
      </c>
      <c r="E4466">
        <v>4875440</v>
      </c>
      <c r="F4466" t="s">
        <v>8</v>
      </c>
      <c r="G4466" t="s">
        <v>203</v>
      </c>
      <c r="H4466" t="s">
        <v>242</v>
      </c>
      <c r="I4466" s="4">
        <v>100638.28079999999</v>
      </c>
      <c r="J4466" s="4">
        <v>1006382.808</v>
      </c>
      <c r="K4466" s="4">
        <v>-43346.076000000001</v>
      </c>
      <c r="L4466" s="4">
        <v>10</v>
      </c>
    </row>
    <row r="4467" spans="1:12">
      <c r="A4467" t="s">
        <v>264</v>
      </c>
      <c r="B4467" s="10">
        <v>45391</v>
      </c>
      <c r="C4467" s="18">
        <f t="shared" si="69"/>
        <v>4</v>
      </c>
      <c r="D4467" t="s">
        <v>196</v>
      </c>
      <c r="E4467">
        <v>4875440</v>
      </c>
      <c r="F4467" t="s">
        <v>8</v>
      </c>
      <c r="G4467" t="s">
        <v>206</v>
      </c>
      <c r="H4467" t="s">
        <v>249</v>
      </c>
      <c r="I4467" s="4">
        <v>17715.352800000001</v>
      </c>
      <c r="J4467" s="4">
        <v>1771535.28</v>
      </c>
      <c r="K4467" s="4">
        <v>-175897.12</v>
      </c>
      <c r="L4467" s="4">
        <v>100</v>
      </c>
    </row>
    <row r="4468" spans="1:12">
      <c r="A4468" t="s">
        <v>264</v>
      </c>
      <c r="B4468" s="10">
        <v>45391</v>
      </c>
      <c r="C4468" s="18">
        <f t="shared" si="69"/>
        <v>4</v>
      </c>
      <c r="D4468" t="s">
        <v>196</v>
      </c>
      <c r="E4468">
        <v>4875440</v>
      </c>
      <c r="F4468" t="s">
        <v>8</v>
      </c>
      <c r="G4468" t="s">
        <v>206</v>
      </c>
      <c r="H4468" t="s">
        <v>209</v>
      </c>
      <c r="I4468" s="4">
        <v>17715.352800000001</v>
      </c>
      <c r="J4468" s="4">
        <v>1771535.28</v>
      </c>
      <c r="K4468" s="4">
        <v>-175897.12</v>
      </c>
      <c r="L4468" s="4">
        <v>100</v>
      </c>
    </row>
    <row r="4469" spans="1:12">
      <c r="A4469" t="s">
        <v>264</v>
      </c>
      <c r="B4469" s="10">
        <v>45391</v>
      </c>
      <c r="C4469" s="18">
        <f t="shared" si="69"/>
        <v>4</v>
      </c>
      <c r="D4469" t="s">
        <v>196</v>
      </c>
      <c r="E4469">
        <v>4872136</v>
      </c>
      <c r="F4469" t="s">
        <v>8</v>
      </c>
      <c r="G4469" t="s">
        <v>204</v>
      </c>
      <c r="H4469" t="s">
        <v>216</v>
      </c>
      <c r="I4469" s="4">
        <v>113202.36079999999</v>
      </c>
      <c r="J4469" s="4">
        <v>2264047.216</v>
      </c>
      <c r="K4469" s="4">
        <v>-113076.72</v>
      </c>
      <c r="L4469" s="4">
        <v>20</v>
      </c>
    </row>
    <row r="4470" spans="1:12">
      <c r="A4470" t="s">
        <v>264</v>
      </c>
      <c r="B4470" s="10">
        <v>45391</v>
      </c>
      <c r="C4470" s="18">
        <f t="shared" si="69"/>
        <v>4</v>
      </c>
      <c r="D4470" t="s">
        <v>196</v>
      </c>
      <c r="E4470">
        <v>4872136</v>
      </c>
      <c r="F4470" t="s">
        <v>8</v>
      </c>
      <c r="G4470" t="s">
        <v>204</v>
      </c>
      <c r="H4470" t="s">
        <v>213</v>
      </c>
      <c r="I4470" s="4">
        <v>119484.4008</v>
      </c>
      <c r="J4470" s="4">
        <v>1792266.0120000001</v>
      </c>
      <c r="K4470" s="4">
        <v>-89519.069999999992</v>
      </c>
      <c r="L4470" s="4">
        <v>15</v>
      </c>
    </row>
    <row r="4471" spans="1:12">
      <c r="A4471" t="s">
        <v>264</v>
      </c>
      <c r="B4471" s="10">
        <v>45391</v>
      </c>
      <c r="C4471" s="18">
        <f t="shared" si="69"/>
        <v>4</v>
      </c>
      <c r="D4471" t="s">
        <v>196</v>
      </c>
      <c r="E4471">
        <v>4875779</v>
      </c>
      <c r="F4471" t="s">
        <v>8</v>
      </c>
      <c r="G4471" t="s">
        <v>204</v>
      </c>
      <c r="H4471" t="s">
        <v>219</v>
      </c>
      <c r="I4471" s="4">
        <v>44099.9208</v>
      </c>
      <c r="J4471" s="4">
        <v>1146597.9408</v>
      </c>
      <c r="K4471" s="4">
        <v>-48999.911999999997</v>
      </c>
      <c r="L4471" s="4">
        <v>26</v>
      </c>
    </row>
    <row r="4472" spans="1:12">
      <c r="A4472" t="s">
        <v>264</v>
      </c>
      <c r="B4472" s="10">
        <v>45391</v>
      </c>
      <c r="C4472" s="18">
        <f t="shared" si="69"/>
        <v>4</v>
      </c>
      <c r="D4472" t="s">
        <v>196</v>
      </c>
      <c r="E4472">
        <v>4875779</v>
      </c>
      <c r="F4472" t="s">
        <v>8</v>
      </c>
      <c r="G4472" t="s">
        <v>204</v>
      </c>
      <c r="H4472" t="s">
        <v>213</v>
      </c>
      <c r="I4472" s="4">
        <v>119484.4008</v>
      </c>
      <c r="J4472" s="4">
        <v>477937.60320000001</v>
      </c>
      <c r="K4472" s="4">
        <v>-23871.752</v>
      </c>
      <c r="L4472" s="4">
        <v>4</v>
      </c>
    </row>
    <row r="4473" spans="1:12">
      <c r="A4473" t="s">
        <v>264</v>
      </c>
      <c r="B4473" s="10">
        <v>45391</v>
      </c>
      <c r="C4473" s="18">
        <f t="shared" si="69"/>
        <v>4</v>
      </c>
      <c r="D4473" t="s">
        <v>196</v>
      </c>
      <c r="E4473">
        <v>4875779</v>
      </c>
      <c r="F4473" t="s">
        <v>8</v>
      </c>
      <c r="G4473" t="s">
        <v>204</v>
      </c>
      <c r="H4473" t="s">
        <v>220</v>
      </c>
      <c r="I4473" s="4">
        <v>37817.880799999999</v>
      </c>
      <c r="J4473" s="4">
        <v>529450.33120000002</v>
      </c>
      <c r="K4473" s="4">
        <v>-26384.567999999999</v>
      </c>
      <c r="L4473" s="4">
        <v>14</v>
      </c>
    </row>
    <row r="4474" spans="1:12">
      <c r="A4474" t="s">
        <v>264</v>
      </c>
      <c r="B4474" s="10">
        <v>45391</v>
      </c>
      <c r="C4474" s="18">
        <f t="shared" si="69"/>
        <v>4</v>
      </c>
      <c r="D4474" t="s">
        <v>196</v>
      </c>
      <c r="E4474">
        <v>4875779</v>
      </c>
      <c r="F4474" t="s">
        <v>8</v>
      </c>
      <c r="G4474" t="s">
        <v>204</v>
      </c>
      <c r="H4474" t="s">
        <v>212</v>
      </c>
      <c r="I4474" s="4">
        <v>62946.040799999995</v>
      </c>
      <c r="J4474" s="4">
        <v>1258920.8159999999</v>
      </c>
      <c r="K4474" s="4">
        <v>-37692.239999999998</v>
      </c>
      <c r="L4474" s="4">
        <v>20</v>
      </c>
    </row>
    <row r="4475" spans="1:12">
      <c r="A4475" t="s">
        <v>264</v>
      </c>
      <c r="B4475" s="10">
        <v>45391</v>
      </c>
      <c r="C4475" s="18">
        <f t="shared" si="69"/>
        <v>4</v>
      </c>
      <c r="D4475" t="s">
        <v>196</v>
      </c>
      <c r="E4475">
        <v>4877306</v>
      </c>
      <c r="F4475" t="s">
        <v>8</v>
      </c>
      <c r="G4475" t="s">
        <v>203</v>
      </c>
      <c r="H4475" t="s">
        <v>245</v>
      </c>
      <c r="I4475" s="4">
        <v>100638.28079999999</v>
      </c>
      <c r="J4475" s="4">
        <v>201276.56159999999</v>
      </c>
      <c r="K4475" s="4">
        <v>-8669.2151999999987</v>
      </c>
      <c r="L4475" s="4">
        <v>2</v>
      </c>
    </row>
    <row r="4476" spans="1:12">
      <c r="A4476" t="s">
        <v>264</v>
      </c>
      <c r="B4476" s="10">
        <v>45391</v>
      </c>
      <c r="C4476" s="18">
        <f t="shared" si="69"/>
        <v>4</v>
      </c>
      <c r="D4476" t="s">
        <v>196</v>
      </c>
      <c r="E4476">
        <v>4877306</v>
      </c>
      <c r="F4476" t="s">
        <v>8</v>
      </c>
      <c r="G4476" t="s">
        <v>203</v>
      </c>
      <c r="H4476" t="s">
        <v>234</v>
      </c>
      <c r="I4476" s="4">
        <v>100638.28079999999</v>
      </c>
      <c r="J4476" s="4">
        <v>201276.56159999999</v>
      </c>
      <c r="K4476" s="4">
        <v>-8669.2151999999987</v>
      </c>
      <c r="L4476" s="4">
        <v>2</v>
      </c>
    </row>
    <row r="4477" spans="1:12">
      <c r="A4477" t="s">
        <v>264</v>
      </c>
      <c r="B4477" s="10">
        <v>45391</v>
      </c>
      <c r="C4477" s="18">
        <f t="shared" si="69"/>
        <v>4</v>
      </c>
      <c r="D4477" t="s">
        <v>196</v>
      </c>
      <c r="E4477">
        <v>4877306</v>
      </c>
      <c r="F4477" t="s">
        <v>8</v>
      </c>
      <c r="G4477" t="s">
        <v>203</v>
      </c>
      <c r="H4477" t="s">
        <v>230</v>
      </c>
      <c r="I4477" s="4">
        <v>100638.28079999999</v>
      </c>
      <c r="J4477" s="4">
        <v>201276.56159999999</v>
      </c>
      <c r="K4477" s="4">
        <v>-8669.2151999999987</v>
      </c>
      <c r="L4477" s="4">
        <v>2</v>
      </c>
    </row>
    <row r="4478" spans="1:12">
      <c r="A4478" t="s">
        <v>264</v>
      </c>
      <c r="B4478" s="10">
        <v>45393</v>
      </c>
      <c r="C4478" s="18">
        <f t="shared" si="69"/>
        <v>4</v>
      </c>
      <c r="D4478" t="s">
        <v>196</v>
      </c>
      <c r="E4478">
        <v>4875440</v>
      </c>
      <c r="F4478" t="s">
        <v>8</v>
      </c>
      <c r="G4478" t="s">
        <v>202</v>
      </c>
      <c r="H4478" t="s">
        <v>261</v>
      </c>
      <c r="I4478" s="4">
        <v>41587.104800000001</v>
      </c>
      <c r="J4478" s="4">
        <v>4158710.48</v>
      </c>
      <c r="K4478" s="4">
        <v>-207307.32</v>
      </c>
      <c r="L4478" s="4">
        <v>100</v>
      </c>
    </row>
    <row r="4479" spans="1:12">
      <c r="A4479" t="s">
        <v>264</v>
      </c>
      <c r="B4479" s="10">
        <v>45393</v>
      </c>
      <c r="C4479" s="18">
        <f t="shared" si="69"/>
        <v>4</v>
      </c>
      <c r="D4479" t="s">
        <v>196</v>
      </c>
      <c r="E4479">
        <v>4875440</v>
      </c>
      <c r="F4479" t="s">
        <v>8</v>
      </c>
      <c r="G4479" t="s">
        <v>202</v>
      </c>
      <c r="H4479" t="s">
        <v>256</v>
      </c>
      <c r="I4479" s="4">
        <v>64202.448800000006</v>
      </c>
      <c r="J4479" s="4">
        <v>1284048.976</v>
      </c>
      <c r="K4479" s="4">
        <v>-64076.807999999997</v>
      </c>
      <c r="L4479" s="4">
        <v>20</v>
      </c>
    </row>
    <row r="4480" spans="1:12">
      <c r="A4480" t="s">
        <v>264</v>
      </c>
      <c r="B4480" s="10">
        <v>45393</v>
      </c>
      <c r="C4480" s="18">
        <f t="shared" si="69"/>
        <v>4</v>
      </c>
      <c r="D4480" t="s">
        <v>196</v>
      </c>
      <c r="E4480">
        <v>4875440</v>
      </c>
      <c r="F4480" t="s">
        <v>8</v>
      </c>
      <c r="G4480" t="s">
        <v>202</v>
      </c>
      <c r="H4480" t="s">
        <v>255</v>
      </c>
      <c r="I4480" s="4">
        <v>72489.71596799999</v>
      </c>
      <c r="J4480" s="4">
        <v>1449794.3193599998</v>
      </c>
      <c r="K4480" s="4">
        <v>-75384.479999999996</v>
      </c>
      <c r="L4480" s="4">
        <v>20</v>
      </c>
    </row>
    <row r="4481" spans="1:12">
      <c r="A4481" t="s">
        <v>264</v>
      </c>
      <c r="B4481" s="10">
        <v>45394</v>
      </c>
      <c r="C4481" s="18">
        <f t="shared" si="69"/>
        <v>4</v>
      </c>
      <c r="D4481" t="s">
        <v>196</v>
      </c>
      <c r="E4481">
        <v>4876503</v>
      </c>
      <c r="F4481" t="s">
        <v>8</v>
      </c>
      <c r="G4481" t="s">
        <v>205</v>
      </c>
      <c r="H4481" t="s">
        <v>210</v>
      </c>
      <c r="I4481" s="4">
        <v>7538.4479999999994</v>
      </c>
      <c r="J4481" s="4">
        <v>753844.79999999993</v>
      </c>
      <c r="K4481" s="4">
        <v>-37692.239999999998</v>
      </c>
      <c r="L4481" s="4">
        <v>100</v>
      </c>
    </row>
    <row r="4482" spans="1:12">
      <c r="A4482" t="s">
        <v>264</v>
      </c>
      <c r="B4482" s="10">
        <v>45394</v>
      </c>
      <c r="C4482" s="18">
        <f t="shared" ref="C4482:C4545" si="70">MONTH(B4482)</f>
        <v>4</v>
      </c>
      <c r="D4482" t="s">
        <v>196</v>
      </c>
      <c r="E4482">
        <v>4876503</v>
      </c>
      <c r="F4482" t="s">
        <v>8</v>
      </c>
      <c r="G4482" t="s">
        <v>205</v>
      </c>
      <c r="H4482" t="s">
        <v>246</v>
      </c>
      <c r="I4482" s="4">
        <v>5967.9380000000001</v>
      </c>
      <c r="J4482" s="4">
        <v>596793.80000000005</v>
      </c>
      <c r="K4482" s="4">
        <v>-31410.2</v>
      </c>
      <c r="L4482" s="4">
        <v>100</v>
      </c>
    </row>
    <row r="4483" spans="1:12">
      <c r="A4483" t="s">
        <v>264</v>
      </c>
      <c r="B4483" s="10">
        <v>45394</v>
      </c>
      <c r="C4483" s="18">
        <f t="shared" si="70"/>
        <v>4</v>
      </c>
      <c r="D4483" t="s">
        <v>196</v>
      </c>
      <c r="E4483">
        <v>4876503</v>
      </c>
      <c r="F4483" t="s">
        <v>8</v>
      </c>
      <c r="G4483" t="s">
        <v>205</v>
      </c>
      <c r="H4483" t="s">
        <v>247</v>
      </c>
      <c r="I4483" s="4">
        <v>8355.1131999999998</v>
      </c>
      <c r="J4483" s="4">
        <v>835511.32</v>
      </c>
      <c r="K4483" s="4">
        <v>-43974.28</v>
      </c>
      <c r="L4483" s="4">
        <v>100</v>
      </c>
    </row>
    <row r="4484" spans="1:12">
      <c r="A4484" t="s">
        <v>264</v>
      </c>
      <c r="B4484" s="10">
        <v>45394</v>
      </c>
      <c r="C4484" s="18">
        <f t="shared" si="70"/>
        <v>4</v>
      </c>
      <c r="D4484" t="s">
        <v>196</v>
      </c>
      <c r="E4484">
        <v>4872571</v>
      </c>
      <c r="F4484" t="s">
        <v>8</v>
      </c>
      <c r="G4484" t="s">
        <v>203</v>
      </c>
      <c r="H4484" t="s">
        <v>243</v>
      </c>
      <c r="I4484" s="4">
        <v>100638.28079999999</v>
      </c>
      <c r="J4484" s="4">
        <v>1006382.808</v>
      </c>
      <c r="K4484" s="4">
        <v>-43346.076000000001</v>
      </c>
      <c r="L4484" s="4">
        <v>10</v>
      </c>
    </row>
    <row r="4485" spans="1:12">
      <c r="A4485" t="s">
        <v>264</v>
      </c>
      <c r="B4485" s="10">
        <v>45394</v>
      </c>
      <c r="C4485" s="18">
        <f t="shared" si="70"/>
        <v>4</v>
      </c>
      <c r="D4485" t="s">
        <v>196</v>
      </c>
      <c r="E4485">
        <v>4872571</v>
      </c>
      <c r="F4485" t="s">
        <v>8</v>
      </c>
      <c r="G4485" t="s">
        <v>203</v>
      </c>
      <c r="H4485" t="s">
        <v>242</v>
      </c>
      <c r="I4485" s="4">
        <v>100638.28079999999</v>
      </c>
      <c r="J4485" s="4">
        <v>1006382.808</v>
      </c>
      <c r="K4485" s="4">
        <v>-43346.076000000001</v>
      </c>
      <c r="L4485" s="4">
        <v>10</v>
      </c>
    </row>
    <row r="4486" spans="1:12">
      <c r="A4486" t="s">
        <v>264</v>
      </c>
      <c r="B4486" s="10">
        <v>45394</v>
      </c>
      <c r="C4486" s="18">
        <f t="shared" si="70"/>
        <v>4</v>
      </c>
      <c r="D4486" t="s">
        <v>196</v>
      </c>
      <c r="E4486">
        <v>4872571</v>
      </c>
      <c r="F4486" t="s">
        <v>8</v>
      </c>
      <c r="G4486" t="s">
        <v>203</v>
      </c>
      <c r="H4486" t="s">
        <v>236</v>
      </c>
      <c r="I4486" s="4">
        <v>100638.28079999999</v>
      </c>
      <c r="J4486" s="4">
        <v>1006382.808</v>
      </c>
      <c r="K4486" s="4">
        <v>-43346.076000000001</v>
      </c>
      <c r="L4486" s="4">
        <v>10</v>
      </c>
    </row>
    <row r="4487" spans="1:12">
      <c r="A4487" t="s">
        <v>264</v>
      </c>
      <c r="B4487" s="10">
        <v>45394</v>
      </c>
      <c r="C4487" s="18">
        <f t="shared" si="70"/>
        <v>4</v>
      </c>
      <c r="D4487" t="s">
        <v>196</v>
      </c>
      <c r="E4487">
        <v>4872571</v>
      </c>
      <c r="F4487" t="s">
        <v>8</v>
      </c>
      <c r="G4487" t="s">
        <v>203</v>
      </c>
      <c r="H4487" t="s">
        <v>234</v>
      </c>
      <c r="I4487" s="4">
        <v>100638.28079999999</v>
      </c>
      <c r="J4487" s="4">
        <v>1006382.808</v>
      </c>
      <c r="K4487" s="4">
        <v>-43346.076000000001</v>
      </c>
      <c r="L4487" s="4">
        <v>10</v>
      </c>
    </row>
    <row r="4488" spans="1:12">
      <c r="A4488" t="s">
        <v>264</v>
      </c>
      <c r="B4488" s="10">
        <v>45394</v>
      </c>
      <c r="C4488" s="18">
        <f t="shared" si="70"/>
        <v>4</v>
      </c>
      <c r="D4488" t="s">
        <v>196</v>
      </c>
      <c r="E4488">
        <v>4872571</v>
      </c>
      <c r="F4488" t="s">
        <v>8</v>
      </c>
      <c r="G4488" t="s">
        <v>203</v>
      </c>
      <c r="H4488" t="s">
        <v>230</v>
      </c>
      <c r="I4488" s="4">
        <v>100638.28079999999</v>
      </c>
      <c r="J4488" s="4">
        <v>1006382.808</v>
      </c>
      <c r="K4488" s="4">
        <v>-43346.076000000001</v>
      </c>
      <c r="L4488" s="4">
        <v>10</v>
      </c>
    </row>
    <row r="4489" spans="1:12">
      <c r="A4489" t="s">
        <v>264</v>
      </c>
      <c r="B4489" s="10">
        <v>45394</v>
      </c>
      <c r="C4489" s="18">
        <f t="shared" si="70"/>
        <v>4</v>
      </c>
      <c r="D4489" t="s">
        <v>196</v>
      </c>
      <c r="E4489">
        <v>4872571</v>
      </c>
      <c r="F4489" t="s">
        <v>8</v>
      </c>
      <c r="G4489" t="s">
        <v>203</v>
      </c>
      <c r="H4489" t="s">
        <v>228</v>
      </c>
      <c r="I4489" s="4">
        <v>100638.28079999999</v>
      </c>
      <c r="J4489" s="4">
        <v>1006382.808</v>
      </c>
      <c r="K4489" s="4">
        <v>-43346.076000000001</v>
      </c>
      <c r="L4489" s="4">
        <v>10</v>
      </c>
    </row>
    <row r="4490" spans="1:12">
      <c r="A4490" t="s">
        <v>264</v>
      </c>
      <c r="B4490" s="10">
        <v>45394</v>
      </c>
      <c r="C4490" s="18">
        <f t="shared" si="70"/>
        <v>4</v>
      </c>
      <c r="D4490" t="s">
        <v>196</v>
      </c>
      <c r="E4490">
        <v>4872571</v>
      </c>
      <c r="F4490" t="s">
        <v>8</v>
      </c>
      <c r="G4490" t="s">
        <v>203</v>
      </c>
      <c r="H4490" t="s">
        <v>244</v>
      </c>
      <c r="I4490" s="4">
        <v>125766.4408</v>
      </c>
      <c r="J4490" s="4">
        <v>628832.20400000003</v>
      </c>
      <c r="K4490" s="4">
        <v>-28269.18</v>
      </c>
      <c r="L4490" s="4">
        <v>5</v>
      </c>
    </row>
    <row r="4491" spans="1:12">
      <c r="A4491" t="s">
        <v>264</v>
      </c>
      <c r="B4491" s="10">
        <v>45394</v>
      </c>
      <c r="C4491" s="18">
        <f t="shared" si="70"/>
        <v>4</v>
      </c>
      <c r="D4491" t="s">
        <v>196</v>
      </c>
      <c r="E4491">
        <v>4872571</v>
      </c>
      <c r="F4491" t="s">
        <v>8</v>
      </c>
      <c r="G4491" t="s">
        <v>203</v>
      </c>
      <c r="H4491" t="s">
        <v>241</v>
      </c>
      <c r="I4491" s="4">
        <v>125766.4408</v>
      </c>
      <c r="J4491" s="4">
        <v>628832.20400000003</v>
      </c>
      <c r="K4491" s="4">
        <v>-28269.18</v>
      </c>
      <c r="L4491" s="4">
        <v>5</v>
      </c>
    </row>
    <row r="4492" spans="1:12">
      <c r="A4492" t="s">
        <v>264</v>
      </c>
      <c r="B4492" s="10">
        <v>45394</v>
      </c>
      <c r="C4492" s="18">
        <f t="shared" si="70"/>
        <v>4</v>
      </c>
      <c r="D4492" t="s">
        <v>196</v>
      </c>
      <c r="E4492">
        <v>4872571</v>
      </c>
      <c r="F4492" t="s">
        <v>8</v>
      </c>
      <c r="G4492" t="s">
        <v>203</v>
      </c>
      <c r="H4492" t="s">
        <v>235</v>
      </c>
      <c r="I4492" s="4">
        <v>125766.4408</v>
      </c>
      <c r="J4492" s="4">
        <v>628832.20400000003</v>
      </c>
      <c r="K4492" s="4">
        <v>-28269.18</v>
      </c>
      <c r="L4492" s="4">
        <v>5</v>
      </c>
    </row>
    <row r="4493" spans="1:12">
      <c r="A4493" t="s">
        <v>264</v>
      </c>
      <c r="B4493" s="10">
        <v>45394</v>
      </c>
      <c r="C4493" s="18">
        <f t="shared" si="70"/>
        <v>4</v>
      </c>
      <c r="D4493" t="s">
        <v>196</v>
      </c>
      <c r="E4493">
        <v>4872158</v>
      </c>
      <c r="F4493" t="s">
        <v>8</v>
      </c>
      <c r="G4493" t="s">
        <v>203</v>
      </c>
      <c r="H4493" t="s">
        <v>245</v>
      </c>
      <c r="I4493" s="4">
        <v>100638.28079999999</v>
      </c>
      <c r="J4493" s="4">
        <v>2012765.6159999999</v>
      </c>
      <c r="K4493" s="4">
        <v>-86692.152000000002</v>
      </c>
      <c r="L4493" s="4">
        <v>20</v>
      </c>
    </row>
    <row r="4494" spans="1:12">
      <c r="A4494" t="s">
        <v>264</v>
      </c>
      <c r="B4494" s="10">
        <v>45394</v>
      </c>
      <c r="C4494" s="18">
        <f t="shared" si="70"/>
        <v>4</v>
      </c>
      <c r="D4494" t="s">
        <v>196</v>
      </c>
      <c r="E4494">
        <v>4872158</v>
      </c>
      <c r="F4494" t="s">
        <v>8</v>
      </c>
      <c r="G4494" t="s">
        <v>203</v>
      </c>
      <c r="H4494" t="s">
        <v>243</v>
      </c>
      <c r="I4494" s="4">
        <v>100638.28079999999</v>
      </c>
      <c r="J4494" s="4">
        <v>1006382.808</v>
      </c>
      <c r="K4494" s="4">
        <v>-43346.076000000001</v>
      </c>
      <c r="L4494" s="4">
        <v>10</v>
      </c>
    </row>
    <row r="4495" spans="1:12">
      <c r="A4495" t="s">
        <v>264</v>
      </c>
      <c r="B4495" s="10">
        <v>45394</v>
      </c>
      <c r="C4495" s="18">
        <f t="shared" si="70"/>
        <v>4</v>
      </c>
      <c r="D4495" t="s">
        <v>196</v>
      </c>
      <c r="E4495">
        <v>4872158</v>
      </c>
      <c r="F4495" t="s">
        <v>8</v>
      </c>
      <c r="G4495" t="s">
        <v>203</v>
      </c>
      <c r="H4495" t="s">
        <v>234</v>
      </c>
      <c r="I4495" s="4">
        <v>100638.28079999999</v>
      </c>
      <c r="J4495" s="4">
        <v>1006382.808</v>
      </c>
      <c r="K4495" s="4">
        <v>-43346.076000000001</v>
      </c>
      <c r="L4495" s="4">
        <v>10</v>
      </c>
    </row>
    <row r="4496" spans="1:12">
      <c r="A4496" t="s">
        <v>264</v>
      </c>
      <c r="B4496" s="10">
        <v>45394</v>
      </c>
      <c r="C4496" s="18">
        <f t="shared" si="70"/>
        <v>4</v>
      </c>
      <c r="D4496" t="s">
        <v>196</v>
      </c>
      <c r="E4496">
        <v>4872158</v>
      </c>
      <c r="F4496" t="s">
        <v>8</v>
      </c>
      <c r="G4496" t="s">
        <v>203</v>
      </c>
      <c r="H4496" t="s">
        <v>230</v>
      </c>
      <c r="I4496" s="4">
        <v>100638.28079999999</v>
      </c>
      <c r="J4496" s="4">
        <v>2012765.6159999999</v>
      </c>
      <c r="K4496" s="4">
        <v>-86692.152000000002</v>
      </c>
      <c r="L4496" s="4">
        <v>20</v>
      </c>
    </row>
    <row r="4497" spans="1:12">
      <c r="A4497" t="s">
        <v>264</v>
      </c>
      <c r="B4497" s="10">
        <v>45394</v>
      </c>
      <c r="C4497" s="18">
        <f t="shared" si="70"/>
        <v>4</v>
      </c>
      <c r="D4497" t="s">
        <v>196</v>
      </c>
      <c r="E4497">
        <v>4872158</v>
      </c>
      <c r="F4497" t="s">
        <v>8</v>
      </c>
      <c r="G4497" t="s">
        <v>203</v>
      </c>
      <c r="H4497" t="s">
        <v>244</v>
      </c>
      <c r="I4497" s="4">
        <v>125766.4408</v>
      </c>
      <c r="J4497" s="4">
        <v>1257664.4080000001</v>
      </c>
      <c r="K4497" s="4">
        <v>-56538.36</v>
      </c>
      <c r="L4497" s="4">
        <v>10</v>
      </c>
    </row>
    <row r="4498" spans="1:12">
      <c r="A4498" t="s">
        <v>264</v>
      </c>
      <c r="B4498" s="10">
        <v>45394</v>
      </c>
      <c r="C4498" s="18">
        <f t="shared" si="70"/>
        <v>4</v>
      </c>
      <c r="D4498" t="s">
        <v>196</v>
      </c>
      <c r="E4498">
        <v>4872158</v>
      </c>
      <c r="F4498" t="s">
        <v>8</v>
      </c>
      <c r="G4498" t="s">
        <v>203</v>
      </c>
      <c r="H4498" t="s">
        <v>237</v>
      </c>
      <c r="I4498" s="4">
        <v>125766.4408</v>
      </c>
      <c r="J4498" s="4">
        <v>1257664.4080000001</v>
      </c>
      <c r="K4498" s="4">
        <v>-56538.36</v>
      </c>
      <c r="L4498" s="4">
        <v>10</v>
      </c>
    </row>
    <row r="4499" spans="1:12">
      <c r="A4499" t="s">
        <v>264</v>
      </c>
      <c r="B4499" s="10">
        <v>45394</v>
      </c>
      <c r="C4499" s="18">
        <f t="shared" si="70"/>
        <v>4</v>
      </c>
      <c r="D4499" t="s">
        <v>196</v>
      </c>
      <c r="E4499">
        <v>4872158</v>
      </c>
      <c r="F4499" t="s">
        <v>8</v>
      </c>
      <c r="G4499" t="s">
        <v>204</v>
      </c>
      <c r="H4499" t="s">
        <v>215</v>
      </c>
      <c r="I4499" s="4">
        <v>75510.12079999999</v>
      </c>
      <c r="J4499" s="4">
        <v>1510202.4159999997</v>
      </c>
      <c r="K4499" s="4">
        <v>-75384.479999999996</v>
      </c>
      <c r="L4499" s="4">
        <v>20</v>
      </c>
    </row>
    <row r="4500" spans="1:12">
      <c r="A4500" t="s">
        <v>264</v>
      </c>
      <c r="B4500" s="10">
        <v>45394</v>
      </c>
      <c r="C4500" s="18">
        <f t="shared" si="70"/>
        <v>4</v>
      </c>
      <c r="D4500" t="s">
        <v>196</v>
      </c>
      <c r="E4500">
        <v>4873570</v>
      </c>
      <c r="F4500" t="s">
        <v>8</v>
      </c>
      <c r="G4500" t="s">
        <v>203</v>
      </c>
      <c r="H4500" t="s">
        <v>236</v>
      </c>
      <c r="I4500" s="4">
        <v>100638.28079999999</v>
      </c>
      <c r="J4500" s="4">
        <v>1006382.808</v>
      </c>
      <c r="K4500" s="4">
        <v>-43346.076000000001</v>
      </c>
      <c r="L4500" s="4">
        <v>10</v>
      </c>
    </row>
    <row r="4501" spans="1:12">
      <c r="A4501" t="s">
        <v>264</v>
      </c>
      <c r="B4501" s="10">
        <v>45394</v>
      </c>
      <c r="C4501" s="18">
        <f t="shared" si="70"/>
        <v>4</v>
      </c>
      <c r="D4501" t="s">
        <v>196</v>
      </c>
      <c r="E4501">
        <v>4873570</v>
      </c>
      <c r="F4501" t="s">
        <v>8</v>
      </c>
      <c r="G4501" t="s">
        <v>203</v>
      </c>
      <c r="H4501" t="s">
        <v>230</v>
      </c>
      <c r="I4501" s="4">
        <v>100638.28079999999</v>
      </c>
      <c r="J4501" s="4">
        <v>1006382.808</v>
      </c>
      <c r="K4501" s="4">
        <v>-43346.076000000001</v>
      </c>
      <c r="L4501" s="4">
        <v>10</v>
      </c>
    </row>
    <row r="4502" spans="1:12">
      <c r="A4502" t="s">
        <v>264</v>
      </c>
      <c r="B4502" s="10">
        <v>45394</v>
      </c>
      <c r="C4502" s="18">
        <f t="shared" si="70"/>
        <v>4</v>
      </c>
      <c r="D4502" t="s">
        <v>196</v>
      </c>
      <c r="E4502">
        <v>4873570</v>
      </c>
      <c r="F4502" t="s">
        <v>8</v>
      </c>
      <c r="G4502" t="s">
        <v>203</v>
      </c>
      <c r="H4502" t="s">
        <v>235</v>
      </c>
      <c r="I4502" s="4">
        <v>125766.4408</v>
      </c>
      <c r="J4502" s="4">
        <v>1257664.4080000001</v>
      </c>
      <c r="K4502" s="4">
        <v>-56538.36</v>
      </c>
      <c r="L4502" s="4">
        <v>10</v>
      </c>
    </row>
    <row r="4503" spans="1:12">
      <c r="A4503" t="s">
        <v>264</v>
      </c>
      <c r="B4503" s="10">
        <v>45394</v>
      </c>
      <c r="C4503" s="18">
        <f t="shared" si="70"/>
        <v>4</v>
      </c>
      <c r="D4503" t="s">
        <v>196</v>
      </c>
      <c r="E4503">
        <v>4873570</v>
      </c>
      <c r="F4503" t="s">
        <v>8</v>
      </c>
      <c r="G4503" t="s">
        <v>203</v>
      </c>
      <c r="H4503" t="s">
        <v>231</v>
      </c>
      <c r="I4503" s="4">
        <v>125766.4408</v>
      </c>
      <c r="J4503" s="4">
        <v>628832.20400000003</v>
      </c>
      <c r="K4503" s="4">
        <v>-28269.18</v>
      </c>
      <c r="L4503" s="4">
        <v>5</v>
      </c>
    </row>
    <row r="4504" spans="1:12">
      <c r="A4504" t="s">
        <v>264</v>
      </c>
      <c r="B4504" s="10">
        <v>45394</v>
      </c>
      <c r="C4504" s="18">
        <f t="shared" si="70"/>
        <v>4</v>
      </c>
      <c r="D4504" t="s">
        <v>196</v>
      </c>
      <c r="E4504">
        <v>4871747</v>
      </c>
      <c r="F4504" t="s">
        <v>8</v>
      </c>
      <c r="G4504" t="s">
        <v>204</v>
      </c>
      <c r="H4504" t="s">
        <v>213</v>
      </c>
      <c r="I4504" s="4">
        <v>119484.4008</v>
      </c>
      <c r="J4504" s="4">
        <v>1194844.0079999999</v>
      </c>
      <c r="K4504" s="4">
        <v>-59679.38</v>
      </c>
      <c r="L4504" s="4">
        <v>10</v>
      </c>
    </row>
    <row r="4505" spans="1:12">
      <c r="A4505" t="s">
        <v>264</v>
      </c>
      <c r="B4505" s="10">
        <v>45394</v>
      </c>
      <c r="C4505" s="18">
        <f t="shared" si="70"/>
        <v>4</v>
      </c>
      <c r="D4505" t="s">
        <v>196</v>
      </c>
      <c r="E4505">
        <v>4873723</v>
      </c>
      <c r="F4505" t="s">
        <v>8</v>
      </c>
      <c r="G4505" t="s">
        <v>203</v>
      </c>
      <c r="H4505" t="s">
        <v>243</v>
      </c>
      <c r="I4505" s="4">
        <v>100638.28079999999</v>
      </c>
      <c r="J4505" s="4">
        <v>402553.12319999997</v>
      </c>
      <c r="K4505" s="4">
        <v>-17338.430399999997</v>
      </c>
      <c r="L4505" s="4">
        <v>4</v>
      </c>
    </row>
    <row r="4506" spans="1:12">
      <c r="A4506" t="s">
        <v>264</v>
      </c>
      <c r="B4506" s="10">
        <v>45394</v>
      </c>
      <c r="C4506" s="18">
        <f t="shared" si="70"/>
        <v>4</v>
      </c>
      <c r="D4506" t="s">
        <v>196</v>
      </c>
      <c r="E4506">
        <v>4873723</v>
      </c>
      <c r="F4506" t="s">
        <v>8</v>
      </c>
      <c r="G4506" t="s">
        <v>203</v>
      </c>
      <c r="H4506" t="s">
        <v>234</v>
      </c>
      <c r="I4506" s="4">
        <v>100638.28079999999</v>
      </c>
      <c r="J4506" s="4">
        <v>402553.12319999997</v>
      </c>
      <c r="K4506" s="4">
        <v>-17338.430399999997</v>
      </c>
      <c r="L4506" s="4">
        <v>4</v>
      </c>
    </row>
    <row r="4507" spans="1:12">
      <c r="A4507" t="s">
        <v>264</v>
      </c>
      <c r="B4507" s="10">
        <v>45394</v>
      </c>
      <c r="C4507" s="18">
        <f t="shared" si="70"/>
        <v>4</v>
      </c>
      <c r="D4507" t="s">
        <v>196</v>
      </c>
      <c r="E4507">
        <v>4873723</v>
      </c>
      <c r="F4507" t="s">
        <v>8</v>
      </c>
      <c r="G4507" t="s">
        <v>203</v>
      </c>
      <c r="H4507" t="s">
        <v>230</v>
      </c>
      <c r="I4507" s="4">
        <v>100638.28079999999</v>
      </c>
      <c r="J4507" s="4">
        <v>402553.12319999997</v>
      </c>
      <c r="K4507" s="4">
        <v>-17338.430399999997</v>
      </c>
      <c r="L4507" s="4">
        <v>4</v>
      </c>
    </row>
    <row r="4508" spans="1:12">
      <c r="A4508" t="s">
        <v>264</v>
      </c>
      <c r="B4508" s="10">
        <v>45394</v>
      </c>
      <c r="C4508" s="18">
        <f t="shared" si="70"/>
        <v>4</v>
      </c>
      <c r="D4508" t="s">
        <v>196</v>
      </c>
      <c r="E4508">
        <v>4873723</v>
      </c>
      <c r="F4508" t="s">
        <v>8</v>
      </c>
      <c r="G4508" t="s">
        <v>203</v>
      </c>
      <c r="H4508" t="s">
        <v>228</v>
      </c>
      <c r="I4508" s="4">
        <v>100638.28079999999</v>
      </c>
      <c r="J4508" s="4">
        <v>402553.12319999997</v>
      </c>
      <c r="K4508" s="4">
        <v>-17338.430399999997</v>
      </c>
      <c r="L4508" s="4">
        <v>4</v>
      </c>
    </row>
    <row r="4509" spans="1:12">
      <c r="A4509" t="s">
        <v>264</v>
      </c>
      <c r="B4509" s="10">
        <v>45394</v>
      </c>
      <c r="C4509" s="18">
        <f t="shared" si="70"/>
        <v>4</v>
      </c>
      <c r="D4509" t="s">
        <v>196</v>
      </c>
      <c r="E4509">
        <v>4873723</v>
      </c>
      <c r="F4509" t="s">
        <v>8</v>
      </c>
      <c r="G4509" t="s">
        <v>203</v>
      </c>
      <c r="H4509" t="s">
        <v>226</v>
      </c>
      <c r="I4509" s="4">
        <v>100638.28079999999</v>
      </c>
      <c r="J4509" s="4">
        <v>402553.12319999997</v>
      </c>
      <c r="K4509" s="4">
        <v>-17338.430399999997</v>
      </c>
      <c r="L4509" s="4">
        <v>4</v>
      </c>
    </row>
    <row r="4510" spans="1:12">
      <c r="A4510" t="s">
        <v>264</v>
      </c>
      <c r="B4510" s="10">
        <v>45394</v>
      </c>
      <c r="C4510" s="18">
        <f t="shared" si="70"/>
        <v>4</v>
      </c>
      <c r="D4510" t="s">
        <v>196</v>
      </c>
      <c r="E4510">
        <v>4873723</v>
      </c>
      <c r="F4510" t="s">
        <v>8</v>
      </c>
      <c r="G4510" t="s">
        <v>203</v>
      </c>
      <c r="H4510" t="s">
        <v>244</v>
      </c>
      <c r="I4510" s="4">
        <v>125766.4408</v>
      </c>
      <c r="J4510" s="4">
        <v>503065.76319999999</v>
      </c>
      <c r="K4510" s="4">
        <v>-22615.344000000001</v>
      </c>
      <c r="L4510" s="4">
        <v>4</v>
      </c>
    </row>
    <row r="4511" spans="1:12">
      <c r="A4511" t="s">
        <v>264</v>
      </c>
      <c r="B4511" s="10">
        <v>45394</v>
      </c>
      <c r="C4511" s="18">
        <f t="shared" si="70"/>
        <v>4</v>
      </c>
      <c r="D4511" t="s">
        <v>196</v>
      </c>
      <c r="E4511">
        <v>4873723</v>
      </c>
      <c r="F4511" t="s">
        <v>8</v>
      </c>
      <c r="G4511" t="s">
        <v>203</v>
      </c>
      <c r="H4511" t="s">
        <v>237</v>
      </c>
      <c r="I4511" s="4">
        <v>125766.4408</v>
      </c>
      <c r="J4511" s="4">
        <v>503065.76319999999</v>
      </c>
      <c r="K4511" s="4">
        <v>-22615.344000000001</v>
      </c>
      <c r="L4511" s="4">
        <v>4</v>
      </c>
    </row>
    <row r="4512" spans="1:12">
      <c r="A4512" t="s">
        <v>264</v>
      </c>
      <c r="B4512" s="10">
        <v>45394</v>
      </c>
      <c r="C4512" s="18">
        <f t="shared" si="70"/>
        <v>4</v>
      </c>
      <c r="D4512" t="s">
        <v>196</v>
      </c>
      <c r="E4512">
        <v>4873723</v>
      </c>
      <c r="F4512" t="s">
        <v>8</v>
      </c>
      <c r="G4512" t="s">
        <v>203</v>
      </c>
      <c r="H4512" t="s">
        <v>231</v>
      </c>
      <c r="I4512" s="4">
        <v>125766.4408</v>
      </c>
      <c r="J4512" s="4">
        <v>503065.76319999999</v>
      </c>
      <c r="K4512" s="4">
        <v>-22615.344000000001</v>
      </c>
      <c r="L4512" s="4">
        <v>4</v>
      </c>
    </row>
    <row r="4513" spans="1:12">
      <c r="A4513" t="s">
        <v>264</v>
      </c>
      <c r="B4513" s="10">
        <v>45394</v>
      </c>
      <c r="C4513" s="18">
        <f t="shared" si="70"/>
        <v>4</v>
      </c>
      <c r="D4513" t="s">
        <v>196</v>
      </c>
      <c r="E4513">
        <v>4873723</v>
      </c>
      <c r="F4513" t="s">
        <v>8</v>
      </c>
      <c r="G4513" t="s">
        <v>206</v>
      </c>
      <c r="H4513" t="s">
        <v>249</v>
      </c>
      <c r="I4513" s="4">
        <v>17715.352800000001</v>
      </c>
      <c r="J4513" s="4">
        <v>1771535.28</v>
      </c>
      <c r="K4513" s="4">
        <v>-175897.12</v>
      </c>
      <c r="L4513" s="4">
        <v>100</v>
      </c>
    </row>
    <row r="4514" spans="1:12">
      <c r="A4514" t="s">
        <v>264</v>
      </c>
      <c r="B4514" s="10">
        <v>45394</v>
      </c>
      <c r="C4514" s="18">
        <f t="shared" si="70"/>
        <v>4</v>
      </c>
      <c r="D4514" t="s">
        <v>196</v>
      </c>
      <c r="E4514">
        <v>4873723</v>
      </c>
      <c r="F4514" t="s">
        <v>8</v>
      </c>
      <c r="G4514" t="s">
        <v>206</v>
      </c>
      <c r="H4514" t="s">
        <v>209</v>
      </c>
      <c r="I4514" s="4">
        <v>17715.352800000001</v>
      </c>
      <c r="J4514" s="4">
        <v>1771535.28</v>
      </c>
      <c r="K4514" s="4">
        <v>-175897.12</v>
      </c>
      <c r="L4514" s="4">
        <v>100</v>
      </c>
    </row>
    <row r="4515" spans="1:12">
      <c r="A4515" t="s">
        <v>264</v>
      </c>
      <c r="B4515" s="10">
        <v>45394</v>
      </c>
      <c r="C4515" s="18">
        <f t="shared" si="70"/>
        <v>4</v>
      </c>
      <c r="D4515" t="s">
        <v>196</v>
      </c>
      <c r="E4515">
        <v>4873723</v>
      </c>
      <c r="F4515" t="s">
        <v>8</v>
      </c>
      <c r="G4515" t="s">
        <v>206</v>
      </c>
      <c r="H4515" t="s">
        <v>252</v>
      </c>
      <c r="I4515" s="4">
        <v>20102.528000000002</v>
      </c>
      <c r="J4515" s="4">
        <v>2010252.8000000003</v>
      </c>
      <c r="K4515" s="4">
        <v>-201025.28</v>
      </c>
      <c r="L4515" s="4">
        <v>100</v>
      </c>
    </row>
    <row r="4516" spans="1:12">
      <c r="A4516" t="s">
        <v>264</v>
      </c>
      <c r="B4516" s="10">
        <v>45394</v>
      </c>
      <c r="C4516" s="18">
        <f t="shared" si="70"/>
        <v>4</v>
      </c>
      <c r="D4516" t="s">
        <v>196</v>
      </c>
      <c r="E4516">
        <v>4873723</v>
      </c>
      <c r="F4516" t="s">
        <v>8</v>
      </c>
      <c r="G4516" t="s">
        <v>206</v>
      </c>
      <c r="H4516" t="s">
        <v>251</v>
      </c>
      <c r="I4516" s="4">
        <v>19223.042399999998</v>
      </c>
      <c r="J4516" s="4">
        <v>1922304.2399999998</v>
      </c>
      <c r="K4516" s="4">
        <v>-201025.28</v>
      </c>
      <c r="L4516" s="4">
        <v>100</v>
      </c>
    </row>
    <row r="4517" spans="1:12">
      <c r="A4517" t="s">
        <v>264</v>
      </c>
      <c r="B4517" s="10">
        <v>45394</v>
      </c>
      <c r="C4517" s="18">
        <f t="shared" si="70"/>
        <v>4</v>
      </c>
      <c r="D4517" t="s">
        <v>196</v>
      </c>
      <c r="E4517">
        <v>4872203</v>
      </c>
      <c r="F4517" t="s">
        <v>8</v>
      </c>
      <c r="G4517" t="s">
        <v>203</v>
      </c>
      <c r="H4517" t="s">
        <v>240</v>
      </c>
      <c r="I4517" s="4">
        <v>100638.28079999999</v>
      </c>
      <c r="J4517" s="4">
        <v>2616595.3007999999</v>
      </c>
      <c r="K4517" s="4">
        <v>-112699.79760000001</v>
      </c>
      <c r="L4517" s="4">
        <v>26</v>
      </c>
    </row>
    <row r="4518" spans="1:12">
      <c r="A4518" t="s">
        <v>264</v>
      </c>
      <c r="B4518" s="10">
        <v>45394</v>
      </c>
      <c r="C4518" s="18">
        <f t="shared" si="70"/>
        <v>4</v>
      </c>
      <c r="D4518" t="s">
        <v>196</v>
      </c>
      <c r="E4518">
        <v>4872203</v>
      </c>
      <c r="F4518" t="s">
        <v>8</v>
      </c>
      <c r="G4518" t="s">
        <v>203</v>
      </c>
      <c r="H4518" t="s">
        <v>230</v>
      </c>
      <c r="I4518" s="4">
        <v>100638.28079999999</v>
      </c>
      <c r="J4518" s="4">
        <v>3019148.4239999996</v>
      </c>
      <c r="K4518" s="4">
        <v>-130038.22799999999</v>
      </c>
      <c r="L4518" s="4">
        <v>30</v>
      </c>
    </row>
    <row r="4519" spans="1:12">
      <c r="A4519" t="s">
        <v>264</v>
      </c>
      <c r="B4519" s="10">
        <v>45394</v>
      </c>
      <c r="C4519" s="18">
        <f t="shared" si="70"/>
        <v>4</v>
      </c>
      <c r="D4519" t="s">
        <v>196</v>
      </c>
      <c r="E4519">
        <v>4872203</v>
      </c>
      <c r="F4519" t="s">
        <v>8</v>
      </c>
      <c r="G4519" t="s">
        <v>203</v>
      </c>
      <c r="H4519" t="s">
        <v>228</v>
      </c>
      <c r="I4519" s="4">
        <v>100638.28079999999</v>
      </c>
      <c r="J4519" s="4">
        <v>2616595.3007999999</v>
      </c>
      <c r="K4519" s="4">
        <v>-112699.79760000001</v>
      </c>
      <c r="L4519" s="4">
        <v>26</v>
      </c>
    </row>
    <row r="4520" spans="1:12">
      <c r="A4520" t="s">
        <v>264</v>
      </c>
      <c r="B4520" s="10">
        <v>45394</v>
      </c>
      <c r="C4520" s="18">
        <f t="shared" si="70"/>
        <v>4</v>
      </c>
      <c r="D4520" t="s">
        <v>196</v>
      </c>
      <c r="E4520">
        <v>4872203</v>
      </c>
      <c r="F4520" t="s">
        <v>8</v>
      </c>
      <c r="G4520" t="s">
        <v>203</v>
      </c>
      <c r="H4520" t="s">
        <v>226</v>
      </c>
      <c r="I4520" s="4">
        <v>100638.28079999999</v>
      </c>
      <c r="J4520" s="4">
        <v>2616595.3007999999</v>
      </c>
      <c r="K4520" s="4">
        <v>-112699.79760000001</v>
      </c>
      <c r="L4520" s="4">
        <v>26</v>
      </c>
    </row>
    <row r="4521" spans="1:12">
      <c r="A4521" t="s">
        <v>264</v>
      </c>
      <c r="B4521" s="10">
        <v>45394</v>
      </c>
      <c r="C4521" s="18">
        <f t="shared" si="70"/>
        <v>4</v>
      </c>
      <c r="D4521" t="s">
        <v>196</v>
      </c>
      <c r="E4521">
        <v>4872203</v>
      </c>
      <c r="F4521" t="s">
        <v>8</v>
      </c>
      <c r="G4521" t="s">
        <v>203</v>
      </c>
      <c r="H4521" t="s">
        <v>224</v>
      </c>
      <c r="I4521" s="4">
        <v>100638.28079999999</v>
      </c>
      <c r="J4521" s="4">
        <v>2616595.3007999999</v>
      </c>
      <c r="K4521" s="4">
        <v>-112699.79760000001</v>
      </c>
      <c r="L4521" s="4">
        <v>26</v>
      </c>
    </row>
    <row r="4522" spans="1:12">
      <c r="A4522" t="s">
        <v>264</v>
      </c>
      <c r="B4522" s="10">
        <v>45394</v>
      </c>
      <c r="C4522" s="18">
        <f t="shared" si="70"/>
        <v>4</v>
      </c>
      <c r="D4522" t="s">
        <v>196</v>
      </c>
      <c r="E4522">
        <v>4876759</v>
      </c>
      <c r="F4522" t="s">
        <v>8</v>
      </c>
      <c r="G4522" t="s">
        <v>203</v>
      </c>
      <c r="H4522" t="s">
        <v>245</v>
      </c>
      <c r="I4522" s="4">
        <v>100638.28079999999</v>
      </c>
      <c r="J4522" s="4">
        <v>603829.68479999993</v>
      </c>
      <c r="K4522" s="4">
        <v>-26007.645599999996</v>
      </c>
      <c r="L4522" s="4">
        <v>6</v>
      </c>
    </row>
    <row r="4523" spans="1:12">
      <c r="A4523" t="s">
        <v>264</v>
      </c>
      <c r="B4523" s="10">
        <v>45394</v>
      </c>
      <c r="C4523" s="18">
        <f t="shared" si="70"/>
        <v>4</v>
      </c>
      <c r="D4523" t="s">
        <v>196</v>
      </c>
      <c r="E4523">
        <v>4876759</v>
      </c>
      <c r="F4523" t="s">
        <v>8</v>
      </c>
      <c r="G4523" t="s">
        <v>203</v>
      </c>
      <c r="H4523" t="s">
        <v>243</v>
      </c>
      <c r="I4523" s="4">
        <v>100638.28079999999</v>
      </c>
      <c r="J4523" s="4">
        <v>603829.68479999993</v>
      </c>
      <c r="K4523" s="4">
        <v>-26007.645599999996</v>
      </c>
      <c r="L4523" s="4">
        <v>6</v>
      </c>
    </row>
    <row r="4524" spans="1:12">
      <c r="A4524" t="s">
        <v>264</v>
      </c>
      <c r="B4524" s="10">
        <v>45394</v>
      </c>
      <c r="C4524" s="18">
        <f t="shared" si="70"/>
        <v>4</v>
      </c>
      <c r="D4524" t="s">
        <v>196</v>
      </c>
      <c r="E4524">
        <v>4876759</v>
      </c>
      <c r="F4524" t="s">
        <v>8</v>
      </c>
      <c r="G4524" t="s">
        <v>203</v>
      </c>
      <c r="H4524" t="s">
        <v>242</v>
      </c>
      <c r="I4524" s="4">
        <v>100638.28079999999</v>
      </c>
      <c r="J4524" s="4">
        <v>603829.68479999993</v>
      </c>
      <c r="K4524" s="4">
        <v>-26007.645599999996</v>
      </c>
      <c r="L4524" s="4">
        <v>6</v>
      </c>
    </row>
    <row r="4525" spans="1:12">
      <c r="A4525" t="s">
        <v>264</v>
      </c>
      <c r="B4525" s="10">
        <v>45394</v>
      </c>
      <c r="C4525" s="18">
        <f t="shared" si="70"/>
        <v>4</v>
      </c>
      <c r="D4525" t="s">
        <v>196</v>
      </c>
      <c r="E4525">
        <v>4876759</v>
      </c>
      <c r="F4525" t="s">
        <v>8</v>
      </c>
      <c r="G4525" t="s">
        <v>203</v>
      </c>
      <c r="H4525" t="s">
        <v>236</v>
      </c>
      <c r="I4525" s="4">
        <v>100638.28079999999</v>
      </c>
      <c r="J4525" s="4">
        <v>603829.68479999993</v>
      </c>
      <c r="K4525" s="4">
        <v>-26007.645599999996</v>
      </c>
      <c r="L4525" s="4">
        <v>6</v>
      </c>
    </row>
    <row r="4526" spans="1:12">
      <c r="A4526" t="s">
        <v>264</v>
      </c>
      <c r="B4526" s="10">
        <v>45394</v>
      </c>
      <c r="C4526" s="18">
        <f t="shared" si="70"/>
        <v>4</v>
      </c>
      <c r="D4526" t="s">
        <v>196</v>
      </c>
      <c r="E4526">
        <v>4876759</v>
      </c>
      <c r="F4526" t="s">
        <v>8</v>
      </c>
      <c r="G4526" t="s">
        <v>203</v>
      </c>
      <c r="H4526" t="s">
        <v>234</v>
      </c>
      <c r="I4526" s="4">
        <v>100638.28079999999</v>
      </c>
      <c r="J4526" s="4">
        <v>603829.68479999993</v>
      </c>
      <c r="K4526" s="4">
        <v>-26007.645599999996</v>
      </c>
      <c r="L4526" s="4">
        <v>6</v>
      </c>
    </row>
    <row r="4527" spans="1:12">
      <c r="A4527" t="s">
        <v>264</v>
      </c>
      <c r="B4527" s="10">
        <v>45394</v>
      </c>
      <c r="C4527" s="18">
        <f t="shared" si="70"/>
        <v>4</v>
      </c>
      <c r="D4527" t="s">
        <v>196</v>
      </c>
      <c r="E4527">
        <v>4876759</v>
      </c>
      <c r="F4527" t="s">
        <v>8</v>
      </c>
      <c r="G4527" t="s">
        <v>203</v>
      </c>
      <c r="H4527" t="s">
        <v>230</v>
      </c>
      <c r="I4527" s="4">
        <v>100638.28079999999</v>
      </c>
      <c r="J4527" s="4">
        <v>603829.68479999993</v>
      </c>
      <c r="K4527" s="4">
        <v>-26007.645599999996</v>
      </c>
      <c r="L4527" s="4">
        <v>6</v>
      </c>
    </row>
    <row r="4528" spans="1:12">
      <c r="A4528" t="s">
        <v>264</v>
      </c>
      <c r="B4528" s="10">
        <v>45394</v>
      </c>
      <c r="C4528" s="18">
        <f t="shared" si="70"/>
        <v>4</v>
      </c>
      <c r="D4528" t="s">
        <v>196</v>
      </c>
      <c r="E4528">
        <v>4876759</v>
      </c>
      <c r="F4528" t="s">
        <v>8</v>
      </c>
      <c r="G4528" t="s">
        <v>203</v>
      </c>
      <c r="H4528" t="s">
        <v>244</v>
      </c>
      <c r="I4528" s="4">
        <v>125766.4408</v>
      </c>
      <c r="J4528" s="4">
        <v>628832.20400000003</v>
      </c>
      <c r="K4528" s="4">
        <v>-28269.18</v>
      </c>
      <c r="L4528" s="4">
        <v>5</v>
      </c>
    </row>
    <row r="4529" spans="1:12">
      <c r="A4529" t="s">
        <v>264</v>
      </c>
      <c r="B4529" s="10">
        <v>45394</v>
      </c>
      <c r="C4529" s="18">
        <f t="shared" si="70"/>
        <v>4</v>
      </c>
      <c r="D4529" t="s">
        <v>196</v>
      </c>
      <c r="E4529">
        <v>4876759</v>
      </c>
      <c r="F4529" t="s">
        <v>8</v>
      </c>
      <c r="G4529" t="s">
        <v>203</v>
      </c>
      <c r="H4529" t="s">
        <v>241</v>
      </c>
      <c r="I4529" s="4">
        <v>125766.4408</v>
      </c>
      <c r="J4529" s="4">
        <v>628832.20400000003</v>
      </c>
      <c r="K4529" s="4">
        <v>-28269.18</v>
      </c>
      <c r="L4529" s="4">
        <v>5</v>
      </c>
    </row>
    <row r="4530" spans="1:12">
      <c r="A4530" t="s">
        <v>264</v>
      </c>
      <c r="B4530" s="10">
        <v>45394</v>
      </c>
      <c r="C4530" s="18">
        <f t="shared" si="70"/>
        <v>4</v>
      </c>
      <c r="D4530" t="s">
        <v>196</v>
      </c>
      <c r="E4530">
        <v>4876759</v>
      </c>
      <c r="F4530" t="s">
        <v>8</v>
      </c>
      <c r="G4530" t="s">
        <v>203</v>
      </c>
      <c r="H4530" t="s">
        <v>237</v>
      </c>
      <c r="I4530" s="4">
        <v>125766.4408</v>
      </c>
      <c r="J4530" s="4">
        <v>628832.20400000003</v>
      </c>
      <c r="K4530" s="4">
        <v>-28269.18</v>
      </c>
      <c r="L4530" s="4">
        <v>5</v>
      </c>
    </row>
    <row r="4531" spans="1:12">
      <c r="A4531" t="s">
        <v>264</v>
      </c>
      <c r="B4531" s="10">
        <v>45394</v>
      </c>
      <c r="C4531" s="18">
        <f t="shared" si="70"/>
        <v>4</v>
      </c>
      <c r="D4531" t="s">
        <v>196</v>
      </c>
      <c r="E4531">
        <v>4876759</v>
      </c>
      <c r="F4531" t="s">
        <v>8</v>
      </c>
      <c r="G4531" t="s">
        <v>203</v>
      </c>
      <c r="H4531" t="s">
        <v>235</v>
      </c>
      <c r="I4531" s="4">
        <v>125766.4408</v>
      </c>
      <c r="J4531" s="4">
        <v>628832.20400000003</v>
      </c>
      <c r="K4531" s="4">
        <v>-28269.18</v>
      </c>
      <c r="L4531" s="4">
        <v>5</v>
      </c>
    </row>
    <row r="4532" spans="1:12">
      <c r="A4532" t="s">
        <v>264</v>
      </c>
      <c r="B4532" s="10">
        <v>45394</v>
      </c>
      <c r="C4532" s="18">
        <f t="shared" si="70"/>
        <v>4</v>
      </c>
      <c r="D4532" t="s">
        <v>196</v>
      </c>
      <c r="E4532">
        <v>4876759</v>
      </c>
      <c r="F4532" t="s">
        <v>8</v>
      </c>
      <c r="G4532" t="s">
        <v>203</v>
      </c>
      <c r="H4532" t="s">
        <v>231</v>
      </c>
      <c r="I4532" s="4">
        <v>125766.4408</v>
      </c>
      <c r="J4532" s="4">
        <v>628832.20400000003</v>
      </c>
      <c r="K4532" s="4">
        <v>-28269.18</v>
      </c>
      <c r="L4532" s="4">
        <v>5</v>
      </c>
    </row>
    <row r="4533" spans="1:12">
      <c r="A4533" t="s">
        <v>264</v>
      </c>
      <c r="B4533" s="10">
        <v>45395</v>
      </c>
      <c r="C4533" s="18">
        <f t="shared" si="70"/>
        <v>4</v>
      </c>
      <c r="D4533" t="s">
        <v>196</v>
      </c>
      <c r="E4533">
        <v>4874006</v>
      </c>
      <c r="F4533" t="s">
        <v>8</v>
      </c>
      <c r="G4533" t="s">
        <v>203</v>
      </c>
      <c r="H4533" t="s">
        <v>237</v>
      </c>
      <c r="I4533" s="4">
        <v>125766.4408</v>
      </c>
      <c r="J4533" s="4">
        <v>1257664.4080000001</v>
      </c>
      <c r="K4533" s="4">
        <v>-56538.36</v>
      </c>
      <c r="L4533" s="4">
        <v>10</v>
      </c>
    </row>
    <row r="4534" spans="1:12">
      <c r="A4534" t="s">
        <v>264</v>
      </c>
      <c r="B4534" s="10">
        <v>45395</v>
      </c>
      <c r="C4534" s="18">
        <f t="shared" si="70"/>
        <v>4</v>
      </c>
      <c r="D4534" t="s">
        <v>196</v>
      </c>
      <c r="E4534">
        <v>4874006</v>
      </c>
      <c r="F4534" t="s">
        <v>8</v>
      </c>
      <c r="G4534" t="s">
        <v>203</v>
      </c>
      <c r="H4534" t="s">
        <v>231</v>
      </c>
      <c r="I4534" s="4">
        <v>125766.4408</v>
      </c>
      <c r="J4534" s="4">
        <v>1257664.4080000001</v>
      </c>
      <c r="K4534" s="4">
        <v>-56538.36</v>
      </c>
      <c r="L4534" s="4">
        <v>10</v>
      </c>
    </row>
    <row r="4535" spans="1:12">
      <c r="A4535" t="s">
        <v>264</v>
      </c>
      <c r="B4535" s="10">
        <v>45395</v>
      </c>
      <c r="C4535" s="18">
        <f t="shared" si="70"/>
        <v>4</v>
      </c>
      <c r="D4535" t="s">
        <v>196</v>
      </c>
      <c r="E4535">
        <v>4874586</v>
      </c>
      <c r="F4535" t="s">
        <v>8</v>
      </c>
      <c r="G4535" t="s">
        <v>203</v>
      </c>
      <c r="H4535" t="s">
        <v>245</v>
      </c>
      <c r="I4535" s="4">
        <v>100638.28079999999</v>
      </c>
      <c r="J4535" s="4">
        <v>603829.68479999993</v>
      </c>
      <c r="K4535" s="4">
        <v>-26007.645599999996</v>
      </c>
      <c r="L4535" s="4">
        <v>6</v>
      </c>
    </row>
    <row r="4536" spans="1:12">
      <c r="A4536" t="s">
        <v>264</v>
      </c>
      <c r="B4536" s="10">
        <v>45395</v>
      </c>
      <c r="C4536" s="18">
        <f t="shared" si="70"/>
        <v>4</v>
      </c>
      <c r="D4536" t="s">
        <v>196</v>
      </c>
      <c r="E4536">
        <v>4874586</v>
      </c>
      <c r="F4536" t="s">
        <v>8</v>
      </c>
      <c r="G4536" t="s">
        <v>203</v>
      </c>
      <c r="H4536" t="s">
        <v>242</v>
      </c>
      <c r="I4536" s="4">
        <v>100638.28079999999</v>
      </c>
      <c r="J4536" s="4">
        <v>1006382.808</v>
      </c>
      <c r="K4536" s="4">
        <v>-43346.076000000001</v>
      </c>
      <c r="L4536" s="4">
        <v>10</v>
      </c>
    </row>
    <row r="4537" spans="1:12">
      <c r="A4537" t="s">
        <v>264</v>
      </c>
      <c r="B4537" s="10">
        <v>45395</v>
      </c>
      <c r="C4537" s="18">
        <f t="shared" si="70"/>
        <v>4</v>
      </c>
      <c r="D4537" t="s">
        <v>196</v>
      </c>
      <c r="E4537">
        <v>4874586</v>
      </c>
      <c r="F4537" t="s">
        <v>8</v>
      </c>
      <c r="G4537" t="s">
        <v>203</v>
      </c>
      <c r="H4537" t="s">
        <v>236</v>
      </c>
      <c r="I4537" s="4">
        <v>100638.28079999999</v>
      </c>
      <c r="J4537" s="4">
        <v>1006382.808</v>
      </c>
      <c r="K4537" s="4">
        <v>-43346.076000000001</v>
      </c>
      <c r="L4537" s="4">
        <v>10</v>
      </c>
    </row>
    <row r="4538" spans="1:12">
      <c r="A4538" t="s">
        <v>264</v>
      </c>
      <c r="B4538" s="10">
        <v>45395</v>
      </c>
      <c r="C4538" s="18">
        <f t="shared" si="70"/>
        <v>4</v>
      </c>
      <c r="D4538" t="s">
        <v>196</v>
      </c>
      <c r="E4538">
        <v>4874586</v>
      </c>
      <c r="F4538" t="s">
        <v>8</v>
      </c>
      <c r="G4538" t="s">
        <v>203</v>
      </c>
      <c r="H4538" t="s">
        <v>234</v>
      </c>
      <c r="I4538" s="4">
        <v>100638.28079999999</v>
      </c>
      <c r="J4538" s="4">
        <v>201276.56159999999</v>
      </c>
      <c r="K4538" s="4">
        <v>-8669.2151999999987</v>
      </c>
      <c r="L4538" s="4">
        <v>2</v>
      </c>
    </row>
    <row r="4539" spans="1:12">
      <c r="A4539" t="s">
        <v>264</v>
      </c>
      <c r="B4539" s="10">
        <v>45395</v>
      </c>
      <c r="C4539" s="18">
        <f t="shared" si="70"/>
        <v>4</v>
      </c>
      <c r="D4539" t="s">
        <v>196</v>
      </c>
      <c r="E4539">
        <v>4874586</v>
      </c>
      <c r="F4539" t="s">
        <v>8</v>
      </c>
      <c r="G4539" t="s">
        <v>203</v>
      </c>
      <c r="H4539" t="s">
        <v>227</v>
      </c>
      <c r="I4539" s="4">
        <v>100638.28079999999</v>
      </c>
      <c r="J4539" s="4">
        <v>1006382.808</v>
      </c>
      <c r="K4539" s="4">
        <v>-43346.076000000001</v>
      </c>
      <c r="L4539" s="4">
        <v>10</v>
      </c>
    </row>
    <row r="4540" spans="1:12">
      <c r="A4540" t="s">
        <v>264</v>
      </c>
      <c r="B4540" s="10">
        <v>45395</v>
      </c>
      <c r="C4540" s="18">
        <f t="shared" si="70"/>
        <v>4</v>
      </c>
      <c r="D4540" t="s">
        <v>196</v>
      </c>
      <c r="E4540">
        <v>4874586</v>
      </c>
      <c r="F4540" t="s">
        <v>8</v>
      </c>
      <c r="G4540" t="s">
        <v>203</v>
      </c>
      <c r="H4540" t="s">
        <v>244</v>
      </c>
      <c r="I4540" s="4">
        <v>125766.4408</v>
      </c>
      <c r="J4540" s="4">
        <v>1257664.4080000001</v>
      </c>
      <c r="K4540" s="4">
        <v>-56538.36</v>
      </c>
      <c r="L4540" s="4">
        <v>10</v>
      </c>
    </row>
    <row r="4541" spans="1:12">
      <c r="A4541" t="s">
        <v>264</v>
      </c>
      <c r="B4541" s="10">
        <v>45395</v>
      </c>
      <c r="C4541" s="18">
        <f t="shared" si="70"/>
        <v>4</v>
      </c>
      <c r="D4541" t="s">
        <v>196</v>
      </c>
      <c r="E4541">
        <v>4874586</v>
      </c>
      <c r="F4541" t="s">
        <v>8</v>
      </c>
      <c r="G4541" t="s">
        <v>203</v>
      </c>
      <c r="H4541" t="s">
        <v>241</v>
      </c>
      <c r="I4541" s="4">
        <v>125766.4408</v>
      </c>
      <c r="J4541" s="4">
        <v>1257664.4080000001</v>
      </c>
      <c r="K4541" s="4">
        <v>-56538.36</v>
      </c>
      <c r="L4541" s="4">
        <v>10</v>
      </c>
    </row>
    <row r="4542" spans="1:12">
      <c r="A4542" t="s">
        <v>264</v>
      </c>
      <c r="B4542" s="10">
        <v>45395</v>
      </c>
      <c r="C4542" s="18">
        <f t="shared" si="70"/>
        <v>4</v>
      </c>
      <c r="D4542" t="s">
        <v>196</v>
      </c>
      <c r="E4542">
        <v>4874586</v>
      </c>
      <c r="F4542" t="s">
        <v>8</v>
      </c>
      <c r="G4542" t="s">
        <v>203</v>
      </c>
      <c r="H4542" t="s">
        <v>235</v>
      </c>
      <c r="I4542" s="4">
        <v>125766.4408</v>
      </c>
      <c r="J4542" s="4">
        <v>628832.20400000003</v>
      </c>
      <c r="K4542" s="4">
        <v>-28269.18</v>
      </c>
      <c r="L4542" s="4">
        <v>5</v>
      </c>
    </row>
    <row r="4543" spans="1:12">
      <c r="A4543" t="s">
        <v>264</v>
      </c>
      <c r="B4543" s="10">
        <v>45395</v>
      </c>
      <c r="C4543" s="18">
        <f t="shared" si="70"/>
        <v>4</v>
      </c>
      <c r="D4543" t="s">
        <v>196</v>
      </c>
      <c r="E4543">
        <v>4872210</v>
      </c>
      <c r="F4543" t="s">
        <v>8</v>
      </c>
      <c r="G4543" t="s">
        <v>203</v>
      </c>
      <c r="H4543" t="s">
        <v>230</v>
      </c>
      <c r="I4543" s="4">
        <v>100638.28079999999</v>
      </c>
      <c r="J4543" s="4">
        <v>603829.68479999993</v>
      </c>
      <c r="K4543" s="4">
        <v>-26007.645599999996</v>
      </c>
      <c r="L4543" s="4">
        <v>6</v>
      </c>
    </row>
    <row r="4544" spans="1:12">
      <c r="A4544" t="s">
        <v>264</v>
      </c>
      <c r="B4544" s="10">
        <v>45396</v>
      </c>
      <c r="C4544" s="18">
        <f t="shared" si="70"/>
        <v>4</v>
      </c>
      <c r="D4544" t="s">
        <v>196</v>
      </c>
      <c r="E4544">
        <v>4872160</v>
      </c>
      <c r="F4544" t="s">
        <v>8</v>
      </c>
      <c r="G4544" t="s">
        <v>203</v>
      </c>
      <c r="H4544" t="s">
        <v>242</v>
      </c>
      <c r="I4544" s="4">
        <v>100638.28079999999</v>
      </c>
      <c r="J4544" s="4">
        <v>1006382.808</v>
      </c>
      <c r="K4544" s="4">
        <v>-43346.076000000001</v>
      </c>
      <c r="L4544" s="4">
        <v>10</v>
      </c>
    </row>
    <row r="4545" spans="1:12">
      <c r="A4545" t="s">
        <v>264</v>
      </c>
      <c r="B4545" s="10">
        <v>45396</v>
      </c>
      <c r="C4545" s="18">
        <f t="shared" si="70"/>
        <v>4</v>
      </c>
      <c r="D4545" t="s">
        <v>196</v>
      </c>
      <c r="E4545">
        <v>4872160</v>
      </c>
      <c r="F4545" t="s">
        <v>8</v>
      </c>
      <c r="G4545" t="s">
        <v>203</v>
      </c>
      <c r="H4545" t="s">
        <v>236</v>
      </c>
      <c r="I4545" s="4">
        <v>100638.28079999999</v>
      </c>
      <c r="J4545" s="4">
        <v>1006382.808</v>
      </c>
      <c r="K4545" s="4">
        <v>-43346.076000000001</v>
      </c>
      <c r="L4545" s="4">
        <v>10</v>
      </c>
    </row>
    <row r="4546" spans="1:12">
      <c r="A4546" t="s">
        <v>264</v>
      </c>
      <c r="B4546" s="10">
        <v>45396</v>
      </c>
      <c r="C4546" s="18">
        <f t="shared" ref="C4546:C4609" si="71">MONTH(B4546)</f>
        <v>4</v>
      </c>
      <c r="D4546" t="s">
        <v>196</v>
      </c>
      <c r="E4546">
        <v>4872160</v>
      </c>
      <c r="F4546" t="s">
        <v>8</v>
      </c>
      <c r="G4546" t="s">
        <v>203</v>
      </c>
      <c r="H4546" t="s">
        <v>228</v>
      </c>
      <c r="I4546" s="4">
        <v>100638.28079999999</v>
      </c>
      <c r="J4546" s="4">
        <v>1006382.808</v>
      </c>
      <c r="K4546" s="4">
        <v>-43346.076000000001</v>
      </c>
      <c r="L4546" s="4">
        <v>10</v>
      </c>
    </row>
    <row r="4547" spans="1:12">
      <c r="A4547" t="s">
        <v>264</v>
      </c>
      <c r="B4547" s="10">
        <v>45396</v>
      </c>
      <c r="C4547" s="18">
        <f t="shared" si="71"/>
        <v>4</v>
      </c>
      <c r="D4547" t="s">
        <v>196</v>
      </c>
      <c r="E4547">
        <v>4872160</v>
      </c>
      <c r="F4547" t="s">
        <v>8</v>
      </c>
      <c r="G4547" t="s">
        <v>203</v>
      </c>
      <c r="H4547" t="s">
        <v>227</v>
      </c>
      <c r="I4547" s="4">
        <v>100638.28079999999</v>
      </c>
      <c r="J4547" s="4">
        <v>1006382.808</v>
      </c>
      <c r="K4547" s="4">
        <v>-43346.076000000001</v>
      </c>
      <c r="L4547" s="4">
        <v>10</v>
      </c>
    </row>
    <row r="4548" spans="1:12">
      <c r="A4548" t="s">
        <v>264</v>
      </c>
      <c r="B4548" s="10">
        <v>45396</v>
      </c>
      <c r="C4548" s="18">
        <f t="shared" si="71"/>
        <v>4</v>
      </c>
      <c r="D4548" t="s">
        <v>196</v>
      </c>
      <c r="E4548">
        <v>4872160</v>
      </c>
      <c r="F4548" t="s">
        <v>8</v>
      </c>
      <c r="G4548" t="s">
        <v>203</v>
      </c>
      <c r="H4548" t="s">
        <v>226</v>
      </c>
      <c r="I4548" s="4">
        <v>100638.28079999999</v>
      </c>
      <c r="J4548" s="4">
        <v>1006382.808</v>
      </c>
      <c r="K4548" s="4">
        <v>-43346.076000000001</v>
      </c>
      <c r="L4548" s="4">
        <v>10</v>
      </c>
    </row>
    <row r="4549" spans="1:12">
      <c r="A4549" t="s">
        <v>264</v>
      </c>
      <c r="B4549" s="10">
        <v>45396</v>
      </c>
      <c r="C4549" s="18">
        <f t="shared" si="71"/>
        <v>4</v>
      </c>
      <c r="D4549" t="s">
        <v>196</v>
      </c>
      <c r="E4549">
        <v>4872160</v>
      </c>
      <c r="F4549" t="s">
        <v>8</v>
      </c>
      <c r="G4549" t="s">
        <v>203</v>
      </c>
      <c r="H4549" t="s">
        <v>244</v>
      </c>
      <c r="I4549" s="4">
        <v>125766.4408</v>
      </c>
      <c r="J4549" s="4">
        <v>628832.20400000003</v>
      </c>
      <c r="K4549" s="4">
        <v>-28269.18</v>
      </c>
      <c r="L4549" s="4">
        <v>5</v>
      </c>
    </row>
    <row r="4550" spans="1:12">
      <c r="A4550" t="s">
        <v>264</v>
      </c>
      <c r="B4550" s="10">
        <v>45396</v>
      </c>
      <c r="C4550" s="18">
        <f t="shared" si="71"/>
        <v>4</v>
      </c>
      <c r="D4550" t="s">
        <v>196</v>
      </c>
      <c r="E4550">
        <v>4872160</v>
      </c>
      <c r="F4550" t="s">
        <v>8</v>
      </c>
      <c r="G4550" t="s">
        <v>203</v>
      </c>
      <c r="H4550" t="s">
        <v>241</v>
      </c>
      <c r="I4550" s="4">
        <v>125766.4408</v>
      </c>
      <c r="J4550" s="4">
        <v>628832.20400000003</v>
      </c>
      <c r="K4550" s="4">
        <v>-28269.18</v>
      </c>
      <c r="L4550" s="4">
        <v>5</v>
      </c>
    </row>
    <row r="4551" spans="1:12">
      <c r="A4551" t="s">
        <v>264</v>
      </c>
      <c r="B4551" s="10">
        <v>45396</v>
      </c>
      <c r="C4551" s="18">
        <f t="shared" si="71"/>
        <v>4</v>
      </c>
      <c r="D4551" t="s">
        <v>196</v>
      </c>
      <c r="E4551">
        <v>4872160</v>
      </c>
      <c r="F4551" t="s">
        <v>8</v>
      </c>
      <c r="G4551" t="s">
        <v>203</v>
      </c>
      <c r="H4551" t="s">
        <v>237</v>
      </c>
      <c r="I4551" s="4">
        <v>125766.4408</v>
      </c>
      <c r="J4551" s="4">
        <v>628832.20400000003</v>
      </c>
      <c r="K4551" s="4">
        <v>-28269.18</v>
      </c>
      <c r="L4551" s="4">
        <v>5</v>
      </c>
    </row>
    <row r="4552" spans="1:12">
      <c r="A4552" t="s">
        <v>264</v>
      </c>
      <c r="B4552" s="10">
        <v>45396</v>
      </c>
      <c r="C4552" s="18">
        <f t="shared" si="71"/>
        <v>4</v>
      </c>
      <c r="D4552" t="s">
        <v>196</v>
      </c>
      <c r="E4552">
        <v>4872160</v>
      </c>
      <c r="F4552" t="s">
        <v>8</v>
      </c>
      <c r="G4552" t="s">
        <v>203</v>
      </c>
      <c r="H4552" t="s">
        <v>235</v>
      </c>
      <c r="I4552" s="4">
        <v>125766.4408</v>
      </c>
      <c r="J4552" s="4">
        <v>628832.20400000003</v>
      </c>
      <c r="K4552" s="4">
        <v>-28269.18</v>
      </c>
      <c r="L4552" s="4">
        <v>5</v>
      </c>
    </row>
    <row r="4553" spans="1:12">
      <c r="A4553" t="s">
        <v>264</v>
      </c>
      <c r="B4553" s="10">
        <v>45396</v>
      </c>
      <c r="C4553" s="18">
        <f t="shared" si="71"/>
        <v>4</v>
      </c>
      <c r="D4553" t="s">
        <v>196</v>
      </c>
      <c r="E4553">
        <v>4872160</v>
      </c>
      <c r="F4553" t="s">
        <v>8</v>
      </c>
      <c r="G4553" t="s">
        <v>203</v>
      </c>
      <c r="H4553" t="s">
        <v>231</v>
      </c>
      <c r="I4553" s="4">
        <v>125766.4408</v>
      </c>
      <c r="J4553" s="4">
        <v>628832.20400000003</v>
      </c>
      <c r="K4553" s="4">
        <v>-28269.18</v>
      </c>
      <c r="L4553" s="4">
        <v>5</v>
      </c>
    </row>
    <row r="4554" spans="1:12">
      <c r="A4554" t="s">
        <v>264</v>
      </c>
      <c r="B4554" s="10">
        <v>45396</v>
      </c>
      <c r="C4554" s="18">
        <f t="shared" si="71"/>
        <v>4</v>
      </c>
      <c r="D4554" t="s">
        <v>196</v>
      </c>
      <c r="E4554">
        <v>4876950</v>
      </c>
      <c r="F4554" t="s">
        <v>8</v>
      </c>
      <c r="G4554" t="s">
        <v>202</v>
      </c>
      <c r="H4554" t="s">
        <v>258</v>
      </c>
      <c r="I4554" s="4">
        <v>37817.880799999999</v>
      </c>
      <c r="J4554" s="4">
        <v>189089.40399999998</v>
      </c>
      <c r="K4554" s="4">
        <v>-9423.06</v>
      </c>
      <c r="L4554" s="4">
        <v>5</v>
      </c>
    </row>
    <row r="4555" spans="1:12">
      <c r="A4555" t="s">
        <v>264</v>
      </c>
      <c r="B4555" s="10">
        <v>45396</v>
      </c>
      <c r="C4555" s="18">
        <f t="shared" si="71"/>
        <v>4</v>
      </c>
      <c r="D4555" t="s">
        <v>196</v>
      </c>
      <c r="E4555">
        <v>4876950</v>
      </c>
      <c r="F4555" t="s">
        <v>8</v>
      </c>
      <c r="G4555" t="s">
        <v>202</v>
      </c>
      <c r="H4555" t="s">
        <v>254</v>
      </c>
      <c r="I4555" s="4">
        <v>37817.880799999999</v>
      </c>
      <c r="J4555" s="4">
        <v>1021082.7816</v>
      </c>
      <c r="K4555" s="4">
        <v>-50884.523999999998</v>
      </c>
      <c r="L4555" s="4">
        <v>27</v>
      </c>
    </row>
    <row r="4556" spans="1:12">
      <c r="A4556" t="s">
        <v>264</v>
      </c>
      <c r="B4556" s="10">
        <v>45397</v>
      </c>
      <c r="C4556" s="18">
        <f t="shared" si="71"/>
        <v>4</v>
      </c>
      <c r="D4556" t="s">
        <v>196</v>
      </c>
      <c r="E4556">
        <v>4871600</v>
      </c>
      <c r="F4556" t="s">
        <v>8</v>
      </c>
      <c r="G4556" t="s">
        <v>204</v>
      </c>
      <c r="H4556" t="s">
        <v>221</v>
      </c>
      <c r="I4556" s="4">
        <v>25253.800799999997</v>
      </c>
      <c r="J4556" s="4">
        <v>505076.01599999995</v>
      </c>
      <c r="K4556" s="4">
        <v>-25128.16</v>
      </c>
      <c r="L4556" s="4">
        <v>20</v>
      </c>
    </row>
    <row r="4557" spans="1:12">
      <c r="A4557" t="s">
        <v>264</v>
      </c>
      <c r="B4557" s="10">
        <v>45397</v>
      </c>
      <c r="C4557" s="18">
        <f t="shared" si="71"/>
        <v>4</v>
      </c>
      <c r="D4557" t="s">
        <v>196</v>
      </c>
      <c r="E4557">
        <v>4871600</v>
      </c>
      <c r="F4557" t="s">
        <v>8</v>
      </c>
      <c r="G4557" t="s">
        <v>204</v>
      </c>
      <c r="H4557" t="s">
        <v>220</v>
      </c>
      <c r="I4557" s="4">
        <v>37817.880799999999</v>
      </c>
      <c r="J4557" s="4">
        <v>378178.80799999996</v>
      </c>
      <c r="K4557" s="4">
        <v>-18846.12</v>
      </c>
      <c r="L4557" s="4">
        <v>10</v>
      </c>
    </row>
    <row r="4558" spans="1:12">
      <c r="A4558" t="s">
        <v>264</v>
      </c>
      <c r="B4558" s="10">
        <v>45397</v>
      </c>
      <c r="C4558" s="18">
        <f t="shared" si="71"/>
        <v>4</v>
      </c>
      <c r="D4558" t="s">
        <v>196</v>
      </c>
      <c r="E4558">
        <v>4878874</v>
      </c>
      <c r="F4558" t="s">
        <v>8</v>
      </c>
      <c r="G4558" t="s">
        <v>204</v>
      </c>
      <c r="H4558" t="s">
        <v>219</v>
      </c>
      <c r="I4558" s="4">
        <v>44099.9208</v>
      </c>
      <c r="J4558" s="4">
        <v>132299.76240000001</v>
      </c>
      <c r="K4558" s="4">
        <v>-5653.8360000000002</v>
      </c>
      <c r="L4558" s="4">
        <v>3</v>
      </c>
    </row>
    <row r="4559" spans="1:12">
      <c r="A4559" t="s">
        <v>264</v>
      </c>
      <c r="B4559" s="10">
        <v>45397</v>
      </c>
      <c r="C4559" s="18">
        <f t="shared" si="71"/>
        <v>4</v>
      </c>
      <c r="D4559" t="s">
        <v>196</v>
      </c>
      <c r="E4559">
        <v>4872058</v>
      </c>
      <c r="F4559" t="s">
        <v>8</v>
      </c>
      <c r="G4559" t="s">
        <v>202</v>
      </c>
      <c r="H4559" t="s">
        <v>261</v>
      </c>
      <c r="I4559" s="4">
        <v>41587.104800000001</v>
      </c>
      <c r="J4559" s="4">
        <v>1871419.716</v>
      </c>
      <c r="K4559" s="4">
        <v>-93288.293999999994</v>
      </c>
      <c r="L4559" s="4">
        <v>45</v>
      </c>
    </row>
    <row r="4560" spans="1:12">
      <c r="A4560" t="s">
        <v>264</v>
      </c>
      <c r="B4560" s="10">
        <v>45397</v>
      </c>
      <c r="C4560" s="18">
        <f t="shared" si="71"/>
        <v>4</v>
      </c>
      <c r="D4560" t="s">
        <v>196</v>
      </c>
      <c r="E4560">
        <v>4872058</v>
      </c>
      <c r="F4560" t="s">
        <v>8</v>
      </c>
      <c r="G4560" t="s">
        <v>202</v>
      </c>
      <c r="H4560" t="s">
        <v>256</v>
      </c>
      <c r="I4560" s="4">
        <v>64202.448800000006</v>
      </c>
      <c r="J4560" s="4">
        <v>64202.448800000006</v>
      </c>
      <c r="K4560" s="4">
        <v>-3203.8404</v>
      </c>
      <c r="L4560" s="4">
        <v>1</v>
      </c>
    </row>
    <row r="4561" spans="1:12">
      <c r="A4561" t="s">
        <v>264</v>
      </c>
      <c r="B4561" s="10">
        <v>45397</v>
      </c>
      <c r="C4561" s="18">
        <f t="shared" si="71"/>
        <v>4</v>
      </c>
      <c r="D4561" t="s">
        <v>196</v>
      </c>
      <c r="E4561">
        <v>4872068</v>
      </c>
      <c r="F4561" t="s">
        <v>8</v>
      </c>
      <c r="G4561" t="s">
        <v>203</v>
      </c>
      <c r="H4561" t="s">
        <v>242</v>
      </c>
      <c r="I4561" s="4">
        <v>100638.28079999999</v>
      </c>
      <c r="J4561" s="4">
        <v>603829.68479999993</v>
      </c>
      <c r="K4561" s="4">
        <v>-26007.645599999996</v>
      </c>
      <c r="L4561" s="4">
        <v>6</v>
      </c>
    </row>
    <row r="4562" spans="1:12">
      <c r="A4562" t="s">
        <v>264</v>
      </c>
      <c r="B4562" s="10">
        <v>45397</v>
      </c>
      <c r="C4562" s="18">
        <f t="shared" si="71"/>
        <v>4</v>
      </c>
      <c r="D4562" t="s">
        <v>196</v>
      </c>
      <c r="E4562">
        <v>4872190</v>
      </c>
      <c r="F4562" t="s">
        <v>8</v>
      </c>
      <c r="G4562" t="s">
        <v>203</v>
      </c>
      <c r="H4562" t="s">
        <v>243</v>
      </c>
      <c r="I4562" s="4">
        <v>100638.28079999999</v>
      </c>
      <c r="J4562" s="4">
        <v>1006382.808</v>
      </c>
      <c r="K4562" s="4">
        <v>-43346.076000000001</v>
      </c>
      <c r="L4562" s="4">
        <v>10</v>
      </c>
    </row>
    <row r="4563" spans="1:12">
      <c r="A4563" t="s">
        <v>264</v>
      </c>
      <c r="B4563" s="10">
        <v>45397</v>
      </c>
      <c r="C4563" s="18">
        <f t="shared" si="71"/>
        <v>4</v>
      </c>
      <c r="D4563" t="s">
        <v>196</v>
      </c>
      <c r="E4563">
        <v>4872190</v>
      </c>
      <c r="F4563" t="s">
        <v>8</v>
      </c>
      <c r="G4563" t="s">
        <v>203</v>
      </c>
      <c r="H4563" t="s">
        <v>242</v>
      </c>
      <c r="I4563" s="4">
        <v>100638.28079999999</v>
      </c>
      <c r="J4563" s="4">
        <v>1006382.808</v>
      </c>
      <c r="K4563" s="4">
        <v>-43346.076000000001</v>
      </c>
      <c r="L4563" s="4">
        <v>10</v>
      </c>
    </row>
    <row r="4564" spans="1:12">
      <c r="A4564" t="s">
        <v>264</v>
      </c>
      <c r="B4564" s="10">
        <v>45397</v>
      </c>
      <c r="C4564" s="18">
        <f t="shared" si="71"/>
        <v>4</v>
      </c>
      <c r="D4564" t="s">
        <v>196</v>
      </c>
      <c r="E4564">
        <v>4872190</v>
      </c>
      <c r="F4564" t="s">
        <v>8</v>
      </c>
      <c r="G4564" t="s">
        <v>203</v>
      </c>
      <c r="H4564" t="s">
        <v>236</v>
      </c>
      <c r="I4564" s="4">
        <v>100638.28079999999</v>
      </c>
      <c r="J4564" s="4">
        <v>1006382.808</v>
      </c>
      <c r="K4564" s="4">
        <v>-43346.076000000001</v>
      </c>
      <c r="L4564" s="4">
        <v>10</v>
      </c>
    </row>
    <row r="4565" spans="1:12">
      <c r="A4565" t="s">
        <v>264</v>
      </c>
      <c r="B4565" s="10">
        <v>45397</v>
      </c>
      <c r="C4565" s="18">
        <f t="shared" si="71"/>
        <v>4</v>
      </c>
      <c r="D4565" t="s">
        <v>196</v>
      </c>
      <c r="E4565">
        <v>4872190</v>
      </c>
      <c r="F4565" t="s">
        <v>8</v>
      </c>
      <c r="G4565" t="s">
        <v>203</v>
      </c>
      <c r="H4565" t="s">
        <v>228</v>
      </c>
      <c r="I4565" s="4">
        <v>100638.28079999999</v>
      </c>
      <c r="J4565" s="4">
        <v>1006382.808</v>
      </c>
      <c r="K4565" s="4">
        <v>-43346.076000000001</v>
      </c>
      <c r="L4565" s="4">
        <v>10</v>
      </c>
    </row>
    <row r="4566" spans="1:12">
      <c r="A4566" t="s">
        <v>264</v>
      </c>
      <c r="B4566" s="10">
        <v>45397</v>
      </c>
      <c r="C4566" s="18">
        <f t="shared" si="71"/>
        <v>4</v>
      </c>
      <c r="D4566" t="s">
        <v>196</v>
      </c>
      <c r="E4566">
        <v>4872190</v>
      </c>
      <c r="F4566" t="s">
        <v>8</v>
      </c>
      <c r="G4566" t="s">
        <v>203</v>
      </c>
      <c r="H4566" t="s">
        <v>227</v>
      </c>
      <c r="I4566" s="4">
        <v>100638.28079999999</v>
      </c>
      <c r="J4566" s="4">
        <v>2012765.6159999999</v>
      </c>
      <c r="K4566" s="4">
        <v>-86692.152000000002</v>
      </c>
      <c r="L4566" s="4">
        <v>20</v>
      </c>
    </row>
    <row r="4567" spans="1:12">
      <c r="A4567" t="s">
        <v>264</v>
      </c>
      <c r="B4567" s="10">
        <v>45397</v>
      </c>
      <c r="C4567" s="18">
        <f t="shared" si="71"/>
        <v>4</v>
      </c>
      <c r="D4567" t="s">
        <v>196</v>
      </c>
      <c r="E4567">
        <v>4872190</v>
      </c>
      <c r="F4567" t="s">
        <v>8</v>
      </c>
      <c r="G4567" t="s">
        <v>203</v>
      </c>
      <c r="H4567" t="s">
        <v>226</v>
      </c>
      <c r="I4567" s="4">
        <v>100638.28079999999</v>
      </c>
      <c r="J4567" s="4">
        <v>2012765.6159999999</v>
      </c>
      <c r="K4567" s="4">
        <v>-86692.152000000002</v>
      </c>
      <c r="L4567" s="4">
        <v>20</v>
      </c>
    </row>
    <row r="4568" spans="1:12">
      <c r="A4568" t="s">
        <v>264</v>
      </c>
      <c r="B4568" s="10">
        <v>45397</v>
      </c>
      <c r="C4568" s="18">
        <f t="shared" si="71"/>
        <v>4</v>
      </c>
      <c r="D4568" t="s">
        <v>196</v>
      </c>
      <c r="E4568">
        <v>4872190</v>
      </c>
      <c r="F4568" t="s">
        <v>8</v>
      </c>
      <c r="G4568" t="s">
        <v>203</v>
      </c>
      <c r="H4568" t="s">
        <v>223</v>
      </c>
      <c r="I4568" s="4">
        <v>100638.28079999999</v>
      </c>
      <c r="J4568" s="4">
        <v>2012765.6159999999</v>
      </c>
      <c r="K4568" s="4">
        <v>-86692.152000000002</v>
      </c>
      <c r="L4568" s="4">
        <v>20</v>
      </c>
    </row>
    <row r="4569" spans="1:12">
      <c r="A4569" t="s">
        <v>264</v>
      </c>
      <c r="B4569" s="10">
        <v>45397</v>
      </c>
      <c r="C4569" s="18">
        <f t="shared" si="71"/>
        <v>4</v>
      </c>
      <c r="D4569" t="s">
        <v>196</v>
      </c>
      <c r="E4569">
        <v>4872190</v>
      </c>
      <c r="F4569" t="s">
        <v>8</v>
      </c>
      <c r="G4569" t="s">
        <v>203</v>
      </c>
      <c r="H4569" t="s">
        <v>244</v>
      </c>
      <c r="I4569" s="4">
        <v>125766.4408</v>
      </c>
      <c r="J4569" s="4">
        <v>1257664.4080000001</v>
      </c>
      <c r="K4569" s="4">
        <v>-56538.36</v>
      </c>
      <c r="L4569" s="4">
        <v>10</v>
      </c>
    </row>
    <row r="4570" spans="1:12">
      <c r="A4570" t="s">
        <v>264</v>
      </c>
      <c r="B4570" s="10">
        <v>45397</v>
      </c>
      <c r="C4570" s="18">
        <f t="shared" si="71"/>
        <v>4</v>
      </c>
      <c r="D4570" t="s">
        <v>196</v>
      </c>
      <c r="E4570">
        <v>4872190</v>
      </c>
      <c r="F4570" t="s">
        <v>8</v>
      </c>
      <c r="G4570" t="s">
        <v>203</v>
      </c>
      <c r="H4570" t="s">
        <v>241</v>
      </c>
      <c r="I4570" s="4">
        <v>125766.4408</v>
      </c>
      <c r="J4570" s="4">
        <v>2515328.8160000001</v>
      </c>
      <c r="K4570" s="4">
        <v>-113076.72</v>
      </c>
      <c r="L4570" s="4">
        <v>20</v>
      </c>
    </row>
    <row r="4571" spans="1:12">
      <c r="A4571" t="s">
        <v>264</v>
      </c>
      <c r="B4571" s="10">
        <v>45397</v>
      </c>
      <c r="C4571" s="18">
        <f t="shared" si="71"/>
        <v>4</v>
      </c>
      <c r="D4571" t="s">
        <v>196</v>
      </c>
      <c r="E4571">
        <v>4872190</v>
      </c>
      <c r="F4571" t="s">
        <v>8</v>
      </c>
      <c r="G4571" t="s">
        <v>203</v>
      </c>
      <c r="H4571" t="s">
        <v>235</v>
      </c>
      <c r="I4571" s="4">
        <v>125766.4408</v>
      </c>
      <c r="J4571" s="4">
        <v>628832.20400000003</v>
      </c>
      <c r="K4571" s="4">
        <v>-28269.18</v>
      </c>
      <c r="L4571" s="4">
        <v>5</v>
      </c>
    </row>
    <row r="4572" spans="1:12">
      <c r="A4572" t="s">
        <v>264</v>
      </c>
      <c r="B4572" s="10">
        <v>45397</v>
      </c>
      <c r="C4572" s="18">
        <f t="shared" si="71"/>
        <v>4</v>
      </c>
      <c r="D4572" t="s">
        <v>196</v>
      </c>
      <c r="E4572">
        <v>4872190</v>
      </c>
      <c r="F4572" t="s">
        <v>8</v>
      </c>
      <c r="G4572" t="s">
        <v>203</v>
      </c>
      <c r="H4572" t="s">
        <v>231</v>
      </c>
      <c r="I4572" s="4">
        <v>125766.4408</v>
      </c>
      <c r="J4572" s="4">
        <v>628832.20400000003</v>
      </c>
      <c r="K4572" s="4">
        <v>-28269.18</v>
      </c>
      <c r="L4572" s="4">
        <v>5</v>
      </c>
    </row>
    <row r="4573" spans="1:12">
      <c r="A4573" t="s">
        <v>264</v>
      </c>
      <c r="B4573" s="10">
        <v>45397</v>
      </c>
      <c r="C4573" s="18">
        <f t="shared" si="71"/>
        <v>4</v>
      </c>
      <c r="D4573" t="s">
        <v>196</v>
      </c>
      <c r="E4573">
        <v>4872190</v>
      </c>
      <c r="F4573" t="s">
        <v>8</v>
      </c>
      <c r="G4573" t="s">
        <v>205</v>
      </c>
      <c r="H4573" t="s">
        <v>246</v>
      </c>
      <c r="I4573" s="4">
        <v>5967.9380000000001</v>
      </c>
      <c r="J4573" s="4">
        <v>3580762.8000000003</v>
      </c>
      <c r="K4573" s="4">
        <v>-188461.2</v>
      </c>
      <c r="L4573" s="4">
        <v>600</v>
      </c>
    </row>
    <row r="4574" spans="1:12">
      <c r="A4574" t="s">
        <v>264</v>
      </c>
      <c r="B4574" s="10">
        <v>45397</v>
      </c>
      <c r="C4574" s="18">
        <f t="shared" si="71"/>
        <v>4</v>
      </c>
      <c r="D4574" t="s">
        <v>196</v>
      </c>
      <c r="E4574">
        <v>4872190</v>
      </c>
      <c r="F4574" t="s">
        <v>8</v>
      </c>
      <c r="G4574" t="s">
        <v>205</v>
      </c>
      <c r="H4574" t="s">
        <v>247</v>
      </c>
      <c r="I4574" s="4">
        <v>8355.1131999999998</v>
      </c>
      <c r="J4574" s="4">
        <v>5013067.92</v>
      </c>
      <c r="K4574" s="4">
        <v>-263845.68</v>
      </c>
      <c r="L4574" s="4">
        <v>600</v>
      </c>
    </row>
    <row r="4575" spans="1:12">
      <c r="A4575" t="s">
        <v>264</v>
      </c>
      <c r="B4575" s="10">
        <v>45397</v>
      </c>
      <c r="C4575" s="18">
        <f t="shared" si="71"/>
        <v>4</v>
      </c>
      <c r="D4575" t="s">
        <v>196</v>
      </c>
      <c r="E4575">
        <v>4872070</v>
      </c>
      <c r="F4575" t="s">
        <v>8</v>
      </c>
      <c r="G4575" t="s">
        <v>203</v>
      </c>
      <c r="H4575" t="s">
        <v>244</v>
      </c>
      <c r="I4575" s="4">
        <v>125766.4408</v>
      </c>
      <c r="J4575" s="4">
        <v>251532.88159999999</v>
      </c>
      <c r="K4575" s="4">
        <v>-11307.672</v>
      </c>
      <c r="L4575" s="4">
        <v>2</v>
      </c>
    </row>
    <row r="4576" spans="1:12">
      <c r="A4576" t="s">
        <v>264</v>
      </c>
      <c r="B4576" s="10">
        <v>45397</v>
      </c>
      <c r="C4576" s="18">
        <f t="shared" si="71"/>
        <v>4</v>
      </c>
      <c r="D4576" t="s">
        <v>196</v>
      </c>
      <c r="E4576">
        <v>4877306</v>
      </c>
      <c r="F4576" t="s">
        <v>8</v>
      </c>
      <c r="G4576" t="s">
        <v>203</v>
      </c>
      <c r="H4576" t="s">
        <v>243</v>
      </c>
      <c r="I4576" s="4">
        <v>100638.28079999999</v>
      </c>
      <c r="J4576" s="4">
        <v>201276.56159999999</v>
      </c>
      <c r="K4576" s="4">
        <v>-8669.2151999999987</v>
      </c>
      <c r="L4576" s="4">
        <v>2</v>
      </c>
    </row>
    <row r="4577" spans="1:12">
      <c r="A4577" t="s">
        <v>264</v>
      </c>
      <c r="B4577" s="10">
        <v>45398</v>
      </c>
      <c r="C4577" s="18">
        <f t="shared" si="71"/>
        <v>4</v>
      </c>
      <c r="D4577" t="s">
        <v>196</v>
      </c>
      <c r="E4577">
        <v>4872156</v>
      </c>
      <c r="F4577" t="s">
        <v>8</v>
      </c>
      <c r="G4577" t="s">
        <v>204</v>
      </c>
      <c r="H4577" t="s">
        <v>219</v>
      </c>
      <c r="I4577" s="4">
        <v>44099.9208</v>
      </c>
      <c r="J4577" s="4">
        <v>1014298.1784</v>
      </c>
      <c r="K4577" s="4">
        <v>-43346.076000000001</v>
      </c>
      <c r="L4577" s="4">
        <v>23</v>
      </c>
    </row>
    <row r="4578" spans="1:12">
      <c r="A4578" t="s">
        <v>264</v>
      </c>
      <c r="B4578" s="10">
        <v>45398</v>
      </c>
      <c r="C4578" s="18">
        <f t="shared" si="71"/>
        <v>4</v>
      </c>
      <c r="D4578" t="s">
        <v>196</v>
      </c>
      <c r="E4578">
        <v>4872156</v>
      </c>
      <c r="F4578" t="s">
        <v>8</v>
      </c>
      <c r="G4578" t="s">
        <v>204</v>
      </c>
      <c r="H4578" t="s">
        <v>213</v>
      </c>
      <c r="I4578" s="4">
        <v>119484.4008</v>
      </c>
      <c r="J4578" s="4">
        <v>5974220.04</v>
      </c>
      <c r="K4578" s="4">
        <v>-298396.90000000002</v>
      </c>
      <c r="L4578" s="4">
        <v>50</v>
      </c>
    </row>
    <row r="4579" spans="1:12">
      <c r="A4579" t="s">
        <v>264</v>
      </c>
      <c r="B4579" s="10">
        <v>45398</v>
      </c>
      <c r="C4579" s="18">
        <f t="shared" si="71"/>
        <v>4</v>
      </c>
      <c r="D4579" t="s">
        <v>196</v>
      </c>
      <c r="E4579">
        <v>4879214</v>
      </c>
      <c r="F4579" t="s">
        <v>8</v>
      </c>
      <c r="G4579" t="s">
        <v>202</v>
      </c>
      <c r="H4579" t="s">
        <v>256</v>
      </c>
      <c r="I4579" s="4">
        <v>64202.448800000006</v>
      </c>
      <c r="J4579" s="4">
        <v>1926073.4640000002</v>
      </c>
      <c r="K4579" s="4">
        <v>-96115.212</v>
      </c>
      <c r="L4579" s="4">
        <v>30</v>
      </c>
    </row>
    <row r="4580" spans="1:12">
      <c r="A4580" t="s">
        <v>264</v>
      </c>
      <c r="B4580" s="10">
        <v>45398</v>
      </c>
      <c r="C4580" s="18">
        <f t="shared" si="71"/>
        <v>4</v>
      </c>
      <c r="D4580" t="s">
        <v>196</v>
      </c>
      <c r="E4580">
        <v>4874586</v>
      </c>
      <c r="F4580" t="s">
        <v>8</v>
      </c>
      <c r="G4580" t="s">
        <v>204</v>
      </c>
      <c r="H4580" t="s">
        <v>215</v>
      </c>
      <c r="I4580" s="4">
        <v>75510.12079999999</v>
      </c>
      <c r="J4580" s="4">
        <v>1208161.9327999998</v>
      </c>
      <c r="K4580" s="4">
        <v>-60307.583999999995</v>
      </c>
      <c r="L4580" s="4">
        <v>16</v>
      </c>
    </row>
    <row r="4581" spans="1:12">
      <c r="A4581" t="s">
        <v>264</v>
      </c>
      <c r="B4581" s="10">
        <v>45398</v>
      </c>
      <c r="C4581" s="18">
        <f t="shared" si="71"/>
        <v>4</v>
      </c>
      <c r="D4581" t="s">
        <v>196</v>
      </c>
      <c r="E4581">
        <v>4873723</v>
      </c>
      <c r="F4581" t="s">
        <v>8</v>
      </c>
      <c r="G4581" t="s">
        <v>202</v>
      </c>
      <c r="H4581" t="s">
        <v>254</v>
      </c>
      <c r="I4581" s="4">
        <v>37817.880799999999</v>
      </c>
      <c r="J4581" s="4">
        <v>945447.02</v>
      </c>
      <c r="K4581" s="4">
        <v>-47115.3</v>
      </c>
      <c r="L4581" s="4">
        <v>25</v>
      </c>
    </row>
    <row r="4582" spans="1:12">
      <c r="A4582" t="s">
        <v>264</v>
      </c>
      <c r="B4582" s="10">
        <v>45398</v>
      </c>
      <c r="C4582" s="18">
        <f t="shared" si="71"/>
        <v>4</v>
      </c>
      <c r="D4582" t="s">
        <v>196</v>
      </c>
      <c r="E4582">
        <v>4873128</v>
      </c>
      <c r="F4582" t="s">
        <v>8</v>
      </c>
      <c r="G4582" t="s">
        <v>204</v>
      </c>
      <c r="H4582" t="s">
        <v>221</v>
      </c>
      <c r="I4582" s="4">
        <v>25253.800799999997</v>
      </c>
      <c r="J4582" s="4">
        <v>1010152.0319999999</v>
      </c>
      <c r="K4582" s="4">
        <v>-50256.32</v>
      </c>
      <c r="L4582" s="4">
        <v>40</v>
      </c>
    </row>
    <row r="4583" spans="1:12">
      <c r="A4583" t="s">
        <v>264</v>
      </c>
      <c r="B4583" s="10">
        <v>45398</v>
      </c>
      <c r="C4583" s="18">
        <f t="shared" si="71"/>
        <v>4</v>
      </c>
      <c r="D4583" t="s">
        <v>196</v>
      </c>
      <c r="E4583">
        <v>4873128</v>
      </c>
      <c r="F4583" t="s">
        <v>8</v>
      </c>
      <c r="G4583" t="s">
        <v>204</v>
      </c>
      <c r="H4583" t="s">
        <v>220</v>
      </c>
      <c r="I4583" s="4">
        <v>37817.880799999999</v>
      </c>
      <c r="J4583" s="4">
        <v>1134536.4239999999</v>
      </c>
      <c r="K4583" s="4">
        <v>-56538.36</v>
      </c>
      <c r="L4583" s="4">
        <v>30</v>
      </c>
    </row>
    <row r="4584" spans="1:12">
      <c r="A4584" t="s">
        <v>264</v>
      </c>
      <c r="B4584" s="10">
        <v>45398</v>
      </c>
      <c r="C4584" s="18">
        <f t="shared" si="71"/>
        <v>4</v>
      </c>
      <c r="D4584" t="s">
        <v>196</v>
      </c>
      <c r="E4584">
        <v>4873455</v>
      </c>
      <c r="F4584" t="s">
        <v>8</v>
      </c>
      <c r="G4584" t="s">
        <v>205</v>
      </c>
      <c r="H4584" t="s">
        <v>210</v>
      </c>
      <c r="I4584" s="4">
        <v>7538.4479999999994</v>
      </c>
      <c r="J4584" s="4">
        <v>226153.43999999997</v>
      </c>
      <c r="K4584" s="4">
        <v>-11307.672</v>
      </c>
      <c r="L4584" s="4">
        <v>30</v>
      </c>
    </row>
    <row r="4585" spans="1:12">
      <c r="A4585" t="s">
        <v>264</v>
      </c>
      <c r="B4585" s="10">
        <v>45398</v>
      </c>
      <c r="C4585" s="18">
        <f t="shared" si="71"/>
        <v>4</v>
      </c>
      <c r="D4585" t="s">
        <v>196</v>
      </c>
      <c r="E4585">
        <v>4873455</v>
      </c>
      <c r="F4585" t="s">
        <v>8</v>
      </c>
      <c r="G4585" t="s">
        <v>205</v>
      </c>
      <c r="H4585" t="s">
        <v>211</v>
      </c>
      <c r="I4585" s="4">
        <v>5151.2727999999997</v>
      </c>
      <c r="J4585" s="4">
        <v>154538.18399999998</v>
      </c>
      <c r="K4585" s="4">
        <v>-7538.4479999999994</v>
      </c>
      <c r="L4585" s="4">
        <v>30</v>
      </c>
    </row>
    <row r="4586" spans="1:12">
      <c r="A4586" t="s">
        <v>264</v>
      </c>
      <c r="B4586" s="10">
        <v>45398</v>
      </c>
      <c r="C4586" s="18">
        <f t="shared" si="71"/>
        <v>4</v>
      </c>
      <c r="D4586" t="s">
        <v>196</v>
      </c>
      <c r="E4586">
        <v>4872141</v>
      </c>
      <c r="F4586" t="s">
        <v>8</v>
      </c>
      <c r="G4586" t="s">
        <v>203</v>
      </c>
      <c r="H4586" t="s">
        <v>225</v>
      </c>
      <c r="I4586" s="4">
        <v>100638.28079999999</v>
      </c>
      <c r="J4586" s="4">
        <v>2012765.6159999999</v>
      </c>
      <c r="K4586" s="4">
        <v>-86692.152000000002</v>
      </c>
      <c r="L4586" s="4">
        <v>20</v>
      </c>
    </row>
    <row r="4587" spans="1:12">
      <c r="A4587" t="s">
        <v>264</v>
      </c>
      <c r="B4587" s="10">
        <v>45398</v>
      </c>
      <c r="C4587" s="18">
        <f t="shared" si="71"/>
        <v>4</v>
      </c>
      <c r="D4587" t="s">
        <v>196</v>
      </c>
      <c r="E4587">
        <v>4872141</v>
      </c>
      <c r="F4587" t="s">
        <v>8</v>
      </c>
      <c r="G4587" t="s">
        <v>203</v>
      </c>
      <c r="H4587" t="s">
        <v>235</v>
      </c>
      <c r="I4587" s="4">
        <v>125766.4408</v>
      </c>
      <c r="J4587" s="4">
        <v>1257664.4080000001</v>
      </c>
      <c r="K4587" s="4">
        <v>-56538.36</v>
      </c>
      <c r="L4587" s="4">
        <v>10</v>
      </c>
    </row>
    <row r="4588" spans="1:12">
      <c r="A4588" t="s">
        <v>264</v>
      </c>
      <c r="B4588" s="10">
        <v>45398</v>
      </c>
      <c r="C4588" s="18">
        <f t="shared" si="71"/>
        <v>4</v>
      </c>
      <c r="D4588" t="s">
        <v>196</v>
      </c>
      <c r="E4588">
        <v>4872141</v>
      </c>
      <c r="F4588" t="s">
        <v>8</v>
      </c>
      <c r="G4588" t="s">
        <v>203</v>
      </c>
      <c r="H4588" t="s">
        <v>231</v>
      </c>
      <c r="I4588" s="4">
        <v>125766.4408</v>
      </c>
      <c r="J4588" s="4">
        <v>1257664.4080000001</v>
      </c>
      <c r="K4588" s="4">
        <v>-56538.36</v>
      </c>
      <c r="L4588" s="4">
        <v>10</v>
      </c>
    </row>
    <row r="4589" spans="1:12">
      <c r="A4589" t="s">
        <v>264</v>
      </c>
      <c r="B4589" s="10">
        <v>45398</v>
      </c>
      <c r="C4589" s="18">
        <f t="shared" si="71"/>
        <v>4</v>
      </c>
      <c r="D4589" t="s">
        <v>196</v>
      </c>
      <c r="E4589">
        <v>4872141</v>
      </c>
      <c r="F4589" t="s">
        <v>8</v>
      </c>
      <c r="G4589" t="s">
        <v>203</v>
      </c>
      <c r="H4589" t="s">
        <v>229</v>
      </c>
      <c r="I4589" s="4">
        <v>125766.4408</v>
      </c>
      <c r="J4589" s="4">
        <v>2515328.8160000001</v>
      </c>
      <c r="K4589" s="4">
        <v>-113076.72</v>
      </c>
      <c r="L4589" s="4">
        <v>20</v>
      </c>
    </row>
    <row r="4590" spans="1:12">
      <c r="A4590" t="s">
        <v>264</v>
      </c>
      <c r="B4590" s="10">
        <v>45398</v>
      </c>
      <c r="C4590" s="18">
        <f t="shared" si="71"/>
        <v>4</v>
      </c>
      <c r="D4590" t="s">
        <v>196</v>
      </c>
      <c r="E4590">
        <v>4875779</v>
      </c>
      <c r="F4590" t="s">
        <v>8</v>
      </c>
      <c r="G4590" t="s">
        <v>204</v>
      </c>
      <c r="H4590" t="s">
        <v>219</v>
      </c>
      <c r="I4590" s="4">
        <v>44099.9208</v>
      </c>
      <c r="J4590" s="4">
        <v>1499397.3071999999</v>
      </c>
      <c r="K4590" s="4">
        <v>-64076.807999999997</v>
      </c>
      <c r="L4590" s="4">
        <v>34</v>
      </c>
    </row>
    <row r="4591" spans="1:12">
      <c r="A4591" t="s">
        <v>264</v>
      </c>
      <c r="B4591" s="10">
        <v>45398</v>
      </c>
      <c r="C4591" s="18">
        <f t="shared" si="71"/>
        <v>4</v>
      </c>
      <c r="D4591" t="s">
        <v>196</v>
      </c>
      <c r="E4591">
        <v>4875779</v>
      </c>
      <c r="F4591" t="s">
        <v>8</v>
      </c>
      <c r="G4591" t="s">
        <v>204</v>
      </c>
      <c r="H4591" t="s">
        <v>220</v>
      </c>
      <c r="I4591" s="4">
        <v>37817.880799999999</v>
      </c>
      <c r="J4591" s="4">
        <v>264725.16560000001</v>
      </c>
      <c r="K4591" s="4">
        <v>-13192.284</v>
      </c>
      <c r="L4591" s="4">
        <v>7</v>
      </c>
    </row>
    <row r="4592" spans="1:12">
      <c r="A4592" t="s">
        <v>264</v>
      </c>
      <c r="B4592" s="10">
        <v>45399</v>
      </c>
      <c r="C4592" s="18">
        <f t="shared" si="71"/>
        <v>4</v>
      </c>
      <c r="D4592" t="s">
        <v>196</v>
      </c>
      <c r="E4592">
        <v>4871600</v>
      </c>
      <c r="F4592" t="s">
        <v>8</v>
      </c>
      <c r="G4592" t="s">
        <v>204</v>
      </c>
      <c r="H4592" t="s">
        <v>212</v>
      </c>
      <c r="I4592" s="4">
        <v>62946.040799999995</v>
      </c>
      <c r="J4592" s="4">
        <v>-314730.20399999997</v>
      </c>
      <c r="K4592" s="4">
        <v>9423.06</v>
      </c>
      <c r="L4592" s="4">
        <v>-5</v>
      </c>
    </row>
    <row r="4593" spans="1:12">
      <c r="A4593" t="s">
        <v>264</v>
      </c>
      <c r="B4593" s="10">
        <v>45399</v>
      </c>
      <c r="C4593" s="18">
        <f t="shared" si="71"/>
        <v>4</v>
      </c>
      <c r="D4593" t="s">
        <v>196</v>
      </c>
      <c r="E4593">
        <v>4876503</v>
      </c>
      <c r="F4593" t="s">
        <v>8</v>
      </c>
      <c r="G4593" t="s">
        <v>205</v>
      </c>
      <c r="H4593" t="s">
        <v>211</v>
      </c>
      <c r="I4593" s="4">
        <v>5151.2727999999997</v>
      </c>
      <c r="J4593" s="4">
        <v>515127.27999999997</v>
      </c>
      <c r="K4593" s="4">
        <v>-25128.16</v>
      </c>
      <c r="L4593" s="4">
        <v>100</v>
      </c>
    </row>
    <row r="4594" spans="1:12">
      <c r="A4594" t="s">
        <v>264</v>
      </c>
      <c r="B4594" s="10">
        <v>45399</v>
      </c>
      <c r="C4594" s="18">
        <f t="shared" si="71"/>
        <v>4</v>
      </c>
      <c r="D4594" t="s">
        <v>196</v>
      </c>
      <c r="E4594">
        <v>4878874</v>
      </c>
      <c r="F4594" t="s">
        <v>8</v>
      </c>
      <c r="G4594" t="s">
        <v>206</v>
      </c>
      <c r="H4594" t="s">
        <v>249</v>
      </c>
      <c r="I4594" s="4">
        <v>17715.352800000001</v>
      </c>
      <c r="J4594" s="4">
        <v>3543070.56</v>
      </c>
      <c r="K4594" s="4">
        <v>-351794.24</v>
      </c>
      <c r="L4594" s="4">
        <v>200</v>
      </c>
    </row>
    <row r="4595" spans="1:12">
      <c r="A4595" t="s">
        <v>264</v>
      </c>
      <c r="B4595" s="10">
        <v>45399</v>
      </c>
      <c r="C4595" s="18">
        <f t="shared" si="71"/>
        <v>4</v>
      </c>
      <c r="D4595" t="s">
        <v>196</v>
      </c>
      <c r="E4595">
        <v>4872058</v>
      </c>
      <c r="F4595" t="s">
        <v>8</v>
      </c>
      <c r="G4595" t="s">
        <v>202</v>
      </c>
      <c r="H4595" t="s">
        <v>261</v>
      </c>
      <c r="I4595" s="4">
        <v>41587.104800000001</v>
      </c>
      <c r="J4595" s="4">
        <v>-1871419.716</v>
      </c>
      <c r="K4595" s="4">
        <v>93288.293999999994</v>
      </c>
      <c r="L4595" s="4">
        <v>-45</v>
      </c>
    </row>
    <row r="4596" spans="1:12">
      <c r="A4596" t="s">
        <v>264</v>
      </c>
      <c r="B4596" s="10">
        <v>45399</v>
      </c>
      <c r="C4596" s="18">
        <f t="shared" si="71"/>
        <v>4</v>
      </c>
      <c r="D4596" t="s">
        <v>196</v>
      </c>
      <c r="E4596">
        <v>4872058</v>
      </c>
      <c r="F4596" t="s">
        <v>8</v>
      </c>
      <c r="G4596" t="s">
        <v>202</v>
      </c>
      <c r="H4596" t="s">
        <v>254</v>
      </c>
      <c r="I4596" s="4">
        <v>37817.880799999999</v>
      </c>
      <c r="J4596" s="4">
        <v>1701804.6359999999</v>
      </c>
      <c r="K4596" s="4">
        <v>-84807.54</v>
      </c>
      <c r="L4596" s="4">
        <v>45</v>
      </c>
    </row>
    <row r="4597" spans="1:12">
      <c r="A4597" t="s">
        <v>264</v>
      </c>
      <c r="B4597" s="10">
        <v>45399</v>
      </c>
      <c r="C4597" s="18">
        <f t="shared" si="71"/>
        <v>4</v>
      </c>
      <c r="D4597" t="s">
        <v>196</v>
      </c>
      <c r="E4597">
        <v>4872571</v>
      </c>
      <c r="F4597" t="s">
        <v>8</v>
      </c>
      <c r="G4597" t="s">
        <v>203</v>
      </c>
      <c r="H4597" t="s">
        <v>236</v>
      </c>
      <c r="I4597" s="4">
        <v>100638.28079999999</v>
      </c>
      <c r="J4597" s="4">
        <v>1006382.808</v>
      </c>
      <c r="K4597" s="4">
        <v>-43346.076000000001</v>
      </c>
      <c r="L4597" s="4">
        <v>10</v>
      </c>
    </row>
    <row r="4598" spans="1:12">
      <c r="A4598" t="s">
        <v>264</v>
      </c>
      <c r="B4598" s="10">
        <v>45399</v>
      </c>
      <c r="C4598" s="18">
        <f t="shared" si="71"/>
        <v>4</v>
      </c>
      <c r="D4598" t="s">
        <v>196</v>
      </c>
      <c r="E4598">
        <v>4872571</v>
      </c>
      <c r="F4598" t="s">
        <v>8</v>
      </c>
      <c r="G4598" t="s">
        <v>203</v>
      </c>
      <c r="H4598" t="s">
        <v>228</v>
      </c>
      <c r="I4598" s="4">
        <v>100638.28079999999</v>
      </c>
      <c r="J4598" s="4">
        <v>1006382.808</v>
      </c>
      <c r="K4598" s="4">
        <v>-43346.076000000001</v>
      </c>
      <c r="L4598" s="4">
        <v>10</v>
      </c>
    </row>
    <row r="4599" spans="1:12">
      <c r="A4599" t="s">
        <v>264</v>
      </c>
      <c r="B4599" s="10">
        <v>45399</v>
      </c>
      <c r="C4599" s="18">
        <f t="shared" si="71"/>
        <v>4</v>
      </c>
      <c r="D4599" t="s">
        <v>196</v>
      </c>
      <c r="E4599">
        <v>4872571</v>
      </c>
      <c r="F4599" t="s">
        <v>8</v>
      </c>
      <c r="G4599" t="s">
        <v>203</v>
      </c>
      <c r="H4599" t="s">
        <v>227</v>
      </c>
      <c r="I4599" s="4">
        <v>100638.28079999999</v>
      </c>
      <c r="J4599" s="4">
        <v>1006382.808</v>
      </c>
      <c r="K4599" s="4">
        <v>-43346.076000000001</v>
      </c>
      <c r="L4599" s="4">
        <v>10</v>
      </c>
    </row>
    <row r="4600" spans="1:12">
      <c r="A4600" t="s">
        <v>264</v>
      </c>
      <c r="B4600" s="10">
        <v>45399</v>
      </c>
      <c r="C4600" s="18">
        <f t="shared" si="71"/>
        <v>4</v>
      </c>
      <c r="D4600" t="s">
        <v>196</v>
      </c>
      <c r="E4600">
        <v>4872571</v>
      </c>
      <c r="F4600" t="s">
        <v>8</v>
      </c>
      <c r="G4600" t="s">
        <v>203</v>
      </c>
      <c r="H4600" t="s">
        <v>223</v>
      </c>
      <c r="I4600" s="4">
        <v>100638.28079999999</v>
      </c>
      <c r="J4600" s="4">
        <v>1006382.808</v>
      </c>
      <c r="K4600" s="4">
        <v>-43346.076000000001</v>
      </c>
      <c r="L4600" s="4">
        <v>10</v>
      </c>
    </row>
    <row r="4601" spans="1:12">
      <c r="A4601" t="s">
        <v>264</v>
      </c>
      <c r="B4601" s="10">
        <v>45399</v>
      </c>
      <c r="C4601" s="18">
        <f t="shared" si="71"/>
        <v>4</v>
      </c>
      <c r="D4601" t="s">
        <v>196</v>
      </c>
      <c r="E4601">
        <v>4872571</v>
      </c>
      <c r="F4601" t="s">
        <v>8</v>
      </c>
      <c r="G4601" t="s">
        <v>203</v>
      </c>
      <c r="H4601" t="s">
        <v>235</v>
      </c>
      <c r="I4601" s="4">
        <v>125766.4408</v>
      </c>
      <c r="J4601" s="4">
        <v>1257664.4080000001</v>
      </c>
      <c r="K4601" s="4">
        <v>-56538.36</v>
      </c>
      <c r="L4601" s="4">
        <v>10</v>
      </c>
    </row>
    <row r="4602" spans="1:12">
      <c r="A4602" t="s">
        <v>264</v>
      </c>
      <c r="B4602" s="10">
        <v>45399</v>
      </c>
      <c r="C4602" s="18">
        <f t="shared" si="71"/>
        <v>4</v>
      </c>
      <c r="D4602" t="s">
        <v>196</v>
      </c>
      <c r="E4602">
        <v>4872571</v>
      </c>
      <c r="F4602" t="s">
        <v>8</v>
      </c>
      <c r="G4602" t="s">
        <v>203</v>
      </c>
      <c r="H4602" t="s">
        <v>231</v>
      </c>
      <c r="I4602" s="4">
        <v>125766.4408</v>
      </c>
      <c r="J4602" s="4">
        <v>1257664.4080000001</v>
      </c>
      <c r="K4602" s="4">
        <v>-56538.36</v>
      </c>
      <c r="L4602" s="4">
        <v>10</v>
      </c>
    </row>
    <row r="4603" spans="1:12">
      <c r="A4603" t="s">
        <v>264</v>
      </c>
      <c r="B4603" s="10">
        <v>45399</v>
      </c>
      <c r="C4603" s="18">
        <f t="shared" si="71"/>
        <v>4</v>
      </c>
      <c r="D4603" t="s">
        <v>196</v>
      </c>
      <c r="E4603">
        <v>4872571</v>
      </c>
      <c r="F4603" t="s">
        <v>8</v>
      </c>
      <c r="G4603" t="s">
        <v>203</v>
      </c>
      <c r="H4603" t="s">
        <v>229</v>
      </c>
      <c r="I4603" s="4">
        <v>125766.4408</v>
      </c>
      <c r="J4603" s="4">
        <v>1006131.5264</v>
      </c>
      <c r="K4603" s="4">
        <v>-45230.688000000002</v>
      </c>
      <c r="L4603" s="4">
        <v>8</v>
      </c>
    </row>
    <row r="4604" spans="1:12">
      <c r="A4604" t="s">
        <v>264</v>
      </c>
      <c r="B4604" s="10">
        <v>45399</v>
      </c>
      <c r="C4604" s="18">
        <f t="shared" si="71"/>
        <v>4</v>
      </c>
      <c r="D4604" t="s">
        <v>196</v>
      </c>
      <c r="E4604">
        <v>4872208</v>
      </c>
      <c r="F4604" t="s">
        <v>8</v>
      </c>
      <c r="G4604" t="s">
        <v>203</v>
      </c>
      <c r="H4604" t="s">
        <v>228</v>
      </c>
      <c r="I4604" s="4">
        <v>100638.28079999999</v>
      </c>
      <c r="J4604" s="4">
        <v>2012765.6159999999</v>
      </c>
      <c r="K4604" s="4">
        <v>-86692.152000000002</v>
      </c>
      <c r="L4604" s="4">
        <v>20</v>
      </c>
    </row>
    <row r="4605" spans="1:12">
      <c r="A4605" t="s">
        <v>264</v>
      </c>
      <c r="B4605" s="10">
        <v>45399</v>
      </c>
      <c r="C4605" s="18">
        <f t="shared" si="71"/>
        <v>4</v>
      </c>
      <c r="D4605" t="s">
        <v>196</v>
      </c>
      <c r="E4605">
        <v>4872208</v>
      </c>
      <c r="F4605" t="s">
        <v>8</v>
      </c>
      <c r="G4605" t="s">
        <v>203</v>
      </c>
      <c r="H4605" t="s">
        <v>227</v>
      </c>
      <c r="I4605" s="4">
        <v>100638.28079999999</v>
      </c>
      <c r="J4605" s="4">
        <v>2012765.6159999999</v>
      </c>
      <c r="K4605" s="4">
        <v>-86692.152000000002</v>
      </c>
      <c r="L4605" s="4">
        <v>20</v>
      </c>
    </row>
    <row r="4606" spans="1:12">
      <c r="A4606" t="s">
        <v>264</v>
      </c>
      <c r="B4606" s="10">
        <v>45399</v>
      </c>
      <c r="C4606" s="18">
        <f t="shared" si="71"/>
        <v>4</v>
      </c>
      <c r="D4606" t="s">
        <v>196</v>
      </c>
      <c r="E4606">
        <v>4872208</v>
      </c>
      <c r="F4606" t="s">
        <v>8</v>
      </c>
      <c r="G4606" t="s">
        <v>203</v>
      </c>
      <c r="H4606" t="s">
        <v>226</v>
      </c>
      <c r="I4606" s="4">
        <v>100638.28079999999</v>
      </c>
      <c r="J4606" s="4">
        <v>2012765.6159999999</v>
      </c>
      <c r="K4606" s="4">
        <v>-86692.152000000002</v>
      </c>
      <c r="L4606" s="4">
        <v>20</v>
      </c>
    </row>
    <row r="4607" spans="1:12">
      <c r="A4607" t="s">
        <v>264</v>
      </c>
      <c r="B4607" s="10">
        <v>45399</v>
      </c>
      <c r="C4607" s="18">
        <f t="shared" si="71"/>
        <v>4</v>
      </c>
      <c r="D4607" t="s">
        <v>196</v>
      </c>
      <c r="E4607">
        <v>4872208</v>
      </c>
      <c r="F4607" t="s">
        <v>8</v>
      </c>
      <c r="G4607" t="s">
        <v>203</v>
      </c>
      <c r="H4607" t="s">
        <v>223</v>
      </c>
      <c r="I4607" s="4">
        <v>100638.28079999999</v>
      </c>
      <c r="J4607" s="4">
        <v>2012765.6159999999</v>
      </c>
      <c r="K4607" s="4">
        <v>-86692.152000000002</v>
      </c>
      <c r="L4607" s="4">
        <v>20</v>
      </c>
    </row>
    <row r="4608" spans="1:12">
      <c r="A4608" t="s">
        <v>264</v>
      </c>
      <c r="B4608" s="10">
        <v>45399</v>
      </c>
      <c r="C4608" s="18">
        <f t="shared" si="71"/>
        <v>4</v>
      </c>
      <c r="D4608" t="s">
        <v>196</v>
      </c>
      <c r="E4608">
        <v>4872208</v>
      </c>
      <c r="F4608" t="s">
        <v>8</v>
      </c>
      <c r="G4608" t="s">
        <v>203</v>
      </c>
      <c r="H4608" t="s">
        <v>244</v>
      </c>
      <c r="I4608" s="4">
        <v>125766.4408</v>
      </c>
      <c r="J4608" s="4">
        <v>2515328.8160000001</v>
      </c>
      <c r="K4608" s="4">
        <v>-113076.72</v>
      </c>
      <c r="L4608" s="4">
        <v>20</v>
      </c>
    </row>
    <row r="4609" spans="1:12">
      <c r="A4609" t="s">
        <v>264</v>
      </c>
      <c r="B4609" s="10">
        <v>45399</v>
      </c>
      <c r="C4609" s="18">
        <f t="shared" si="71"/>
        <v>4</v>
      </c>
      <c r="D4609" t="s">
        <v>196</v>
      </c>
      <c r="E4609">
        <v>4872208</v>
      </c>
      <c r="F4609" t="s">
        <v>8</v>
      </c>
      <c r="G4609" t="s">
        <v>203</v>
      </c>
      <c r="H4609" t="s">
        <v>241</v>
      </c>
      <c r="I4609" s="4">
        <v>125766.4408</v>
      </c>
      <c r="J4609" s="4">
        <v>2515328.8160000001</v>
      </c>
      <c r="K4609" s="4">
        <v>-113076.72</v>
      </c>
      <c r="L4609" s="4">
        <v>20</v>
      </c>
    </row>
    <row r="4610" spans="1:12">
      <c r="A4610" t="s">
        <v>264</v>
      </c>
      <c r="B4610" s="10">
        <v>45399</v>
      </c>
      <c r="C4610" s="18">
        <f t="shared" ref="C4610:C4673" si="72">MONTH(B4610)</f>
        <v>4</v>
      </c>
      <c r="D4610" t="s">
        <v>196</v>
      </c>
      <c r="E4610">
        <v>4872208</v>
      </c>
      <c r="F4610" t="s">
        <v>8</v>
      </c>
      <c r="G4610" t="s">
        <v>203</v>
      </c>
      <c r="H4610" t="s">
        <v>235</v>
      </c>
      <c r="I4610" s="4">
        <v>125766.4408</v>
      </c>
      <c r="J4610" s="4">
        <v>2515328.8160000001</v>
      </c>
      <c r="K4610" s="4">
        <v>-113076.72</v>
      </c>
      <c r="L4610" s="4">
        <v>20</v>
      </c>
    </row>
    <row r="4611" spans="1:12">
      <c r="A4611" t="s">
        <v>264</v>
      </c>
      <c r="B4611" s="10">
        <v>45399</v>
      </c>
      <c r="C4611" s="18">
        <f t="shared" si="72"/>
        <v>4</v>
      </c>
      <c r="D4611" t="s">
        <v>196</v>
      </c>
      <c r="E4611">
        <v>4876759</v>
      </c>
      <c r="F4611" t="s">
        <v>8</v>
      </c>
      <c r="G4611" t="s">
        <v>203</v>
      </c>
      <c r="H4611" t="s">
        <v>243</v>
      </c>
      <c r="I4611" s="4">
        <v>100638.28079999999</v>
      </c>
      <c r="J4611" s="4">
        <v>603829.68479999993</v>
      </c>
      <c r="K4611" s="4">
        <v>-26007.645599999996</v>
      </c>
      <c r="L4611" s="4">
        <v>6</v>
      </c>
    </row>
    <row r="4612" spans="1:12">
      <c r="A4612" t="s">
        <v>264</v>
      </c>
      <c r="B4612" s="10">
        <v>45399</v>
      </c>
      <c r="C4612" s="18">
        <f t="shared" si="72"/>
        <v>4</v>
      </c>
      <c r="D4612" t="s">
        <v>196</v>
      </c>
      <c r="E4612">
        <v>4876759</v>
      </c>
      <c r="F4612" t="s">
        <v>8</v>
      </c>
      <c r="G4612" t="s">
        <v>203</v>
      </c>
      <c r="H4612" t="s">
        <v>242</v>
      </c>
      <c r="I4612" s="4">
        <v>100638.28079999999</v>
      </c>
      <c r="J4612" s="4">
        <v>603829.68479999993</v>
      </c>
      <c r="K4612" s="4">
        <v>-26007.645599999996</v>
      </c>
      <c r="L4612" s="4">
        <v>6</v>
      </c>
    </row>
    <row r="4613" spans="1:12">
      <c r="A4613" t="s">
        <v>264</v>
      </c>
      <c r="B4613" s="10">
        <v>45399</v>
      </c>
      <c r="C4613" s="18">
        <f t="shared" si="72"/>
        <v>4</v>
      </c>
      <c r="D4613" t="s">
        <v>196</v>
      </c>
      <c r="E4613">
        <v>4876759</v>
      </c>
      <c r="F4613" t="s">
        <v>8</v>
      </c>
      <c r="G4613" t="s">
        <v>203</v>
      </c>
      <c r="H4613" t="s">
        <v>240</v>
      </c>
      <c r="I4613" s="4">
        <v>100638.28079999999</v>
      </c>
      <c r="J4613" s="4">
        <v>603829.68479999993</v>
      </c>
      <c r="K4613" s="4">
        <v>-26007.645599999996</v>
      </c>
      <c r="L4613" s="4">
        <v>6</v>
      </c>
    </row>
    <row r="4614" spans="1:12">
      <c r="A4614" t="s">
        <v>264</v>
      </c>
      <c r="B4614" s="10">
        <v>45399</v>
      </c>
      <c r="C4614" s="18">
        <f t="shared" si="72"/>
        <v>4</v>
      </c>
      <c r="D4614" t="s">
        <v>196</v>
      </c>
      <c r="E4614">
        <v>4876759</v>
      </c>
      <c r="F4614" t="s">
        <v>8</v>
      </c>
      <c r="G4614" t="s">
        <v>203</v>
      </c>
      <c r="H4614" t="s">
        <v>236</v>
      </c>
      <c r="I4614" s="4">
        <v>100638.28079999999</v>
      </c>
      <c r="J4614" s="4">
        <v>603829.68479999993</v>
      </c>
      <c r="K4614" s="4">
        <v>-26007.645599999996</v>
      </c>
      <c r="L4614" s="4">
        <v>6</v>
      </c>
    </row>
    <row r="4615" spans="1:12">
      <c r="A4615" t="s">
        <v>264</v>
      </c>
      <c r="B4615" s="10">
        <v>45399</v>
      </c>
      <c r="C4615" s="18">
        <f t="shared" si="72"/>
        <v>4</v>
      </c>
      <c r="D4615" t="s">
        <v>196</v>
      </c>
      <c r="E4615">
        <v>4876759</v>
      </c>
      <c r="F4615" t="s">
        <v>8</v>
      </c>
      <c r="G4615" t="s">
        <v>203</v>
      </c>
      <c r="H4615" t="s">
        <v>228</v>
      </c>
      <c r="I4615" s="4">
        <v>100638.28079999999</v>
      </c>
      <c r="J4615" s="4">
        <v>603829.68479999993</v>
      </c>
      <c r="K4615" s="4">
        <v>-26007.645599999996</v>
      </c>
      <c r="L4615" s="4">
        <v>6</v>
      </c>
    </row>
    <row r="4616" spans="1:12">
      <c r="A4616" t="s">
        <v>264</v>
      </c>
      <c r="B4616" s="10">
        <v>45399</v>
      </c>
      <c r="C4616" s="18">
        <f t="shared" si="72"/>
        <v>4</v>
      </c>
      <c r="D4616" t="s">
        <v>196</v>
      </c>
      <c r="E4616">
        <v>4876759</v>
      </c>
      <c r="F4616" t="s">
        <v>8</v>
      </c>
      <c r="G4616" t="s">
        <v>203</v>
      </c>
      <c r="H4616" t="s">
        <v>244</v>
      </c>
      <c r="I4616" s="4">
        <v>125766.4408</v>
      </c>
      <c r="J4616" s="4">
        <v>628832.20400000003</v>
      </c>
      <c r="K4616" s="4">
        <v>-28269.18</v>
      </c>
      <c r="L4616" s="4">
        <v>5</v>
      </c>
    </row>
    <row r="4617" spans="1:12">
      <c r="A4617" t="s">
        <v>264</v>
      </c>
      <c r="B4617" s="10">
        <v>45399</v>
      </c>
      <c r="C4617" s="18">
        <f t="shared" si="72"/>
        <v>4</v>
      </c>
      <c r="D4617" t="s">
        <v>196</v>
      </c>
      <c r="E4617">
        <v>4876759</v>
      </c>
      <c r="F4617" t="s">
        <v>8</v>
      </c>
      <c r="G4617" t="s">
        <v>203</v>
      </c>
      <c r="H4617" t="s">
        <v>241</v>
      </c>
      <c r="I4617" s="4">
        <v>125766.4408</v>
      </c>
      <c r="J4617" s="4">
        <v>628832.20400000003</v>
      </c>
      <c r="K4617" s="4">
        <v>-28269.18</v>
      </c>
      <c r="L4617" s="4">
        <v>5</v>
      </c>
    </row>
    <row r="4618" spans="1:12">
      <c r="A4618" t="s">
        <v>264</v>
      </c>
      <c r="B4618" s="10">
        <v>45399</v>
      </c>
      <c r="C4618" s="18">
        <f t="shared" si="72"/>
        <v>4</v>
      </c>
      <c r="D4618" t="s">
        <v>196</v>
      </c>
      <c r="E4618">
        <v>4876759</v>
      </c>
      <c r="F4618" t="s">
        <v>8</v>
      </c>
      <c r="G4618" t="s">
        <v>203</v>
      </c>
      <c r="H4618" t="s">
        <v>235</v>
      </c>
      <c r="I4618" s="4">
        <v>125766.4408</v>
      </c>
      <c r="J4618" s="4">
        <v>628832.20400000003</v>
      </c>
      <c r="K4618" s="4">
        <v>-28269.18</v>
      </c>
      <c r="L4618" s="4">
        <v>5</v>
      </c>
    </row>
    <row r="4619" spans="1:12">
      <c r="A4619" t="s">
        <v>264</v>
      </c>
      <c r="B4619" s="10">
        <v>45399</v>
      </c>
      <c r="C4619" s="18">
        <f t="shared" si="72"/>
        <v>4</v>
      </c>
      <c r="D4619" t="s">
        <v>196</v>
      </c>
      <c r="E4619">
        <v>4876759</v>
      </c>
      <c r="F4619" t="s">
        <v>8</v>
      </c>
      <c r="G4619" t="s">
        <v>203</v>
      </c>
      <c r="H4619" t="s">
        <v>231</v>
      </c>
      <c r="I4619" s="4">
        <v>125766.4408</v>
      </c>
      <c r="J4619" s="4">
        <v>628832.20400000003</v>
      </c>
      <c r="K4619" s="4">
        <v>-28269.18</v>
      </c>
      <c r="L4619" s="4">
        <v>5</v>
      </c>
    </row>
    <row r="4620" spans="1:12">
      <c r="A4620" t="s">
        <v>264</v>
      </c>
      <c r="B4620" s="10">
        <v>45399</v>
      </c>
      <c r="C4620" s="18">
        <f t="shared" si="72"/>
        <v>4</v>
      </c>
      <c r="D4620" t="s">
        <v>196</v>
      </c>
      <c r="E4620">
        <v>4875372</v>
      </c>
      <c r="F4620" t="s">
        <v>8</v>
      </c>
      <c r="G4620" t="s">
        <v>202</v>
      </c>
      <c r="H4620" t="s">
        <v>258</v>
      </c>
      <c r="I4620" s="4">
        <v>37817.880799999999</v>
      </c>
      <c r="J4620" s="4">
        <v>1890894.04</v>
      </c>
      <c r="K4620" s="4">
        <v>-94230.6</v>
      </c>
      <c r="L4620" s="4">
        <v>50</v>
      </c>
    </row>
    <row r="4621" spans="1:12">
      <c r="A4621" t="s">
        <v>264</v>
      </c>
      <c r="B4621" s="10">
        <v>45399</v>
      </c>
      <c r="C4621" s="18">
        <f t="shared" si="72"/>
        <v>4</v>
      </c>
      <c r="D4621" t="s">
        <v>196</v>
      </c>
      <c r="E4621">
        <v>4872210</v>
      </c>
      <c r="F4621" t="s">
        <v>8</v>
      </c>
      <c r="G4621" t="s">
        <v>203</v>
      </c>
      <c r="H4621" t="s">
        <v>229</v>
      </c>
      <c r="I4621" s="4">
        <v>125766.4408</v>
      </c>
      <c r="J4621" s="4">
        <v>251532.88159999999</v>
      </c>
      <c r="K4621" s="4">
        <v>-11307.672</v>
      </c>
      <c r="L4621" s="4">
        <v>2</v>
      </c>
    </row>
    <row r="4622" spans="1:12">
      <c r="A4622" t="s">
        <v>264</v>
      </c>
      <c r="B4622" s="10">
        <v>45399</v>
      </c>
      <c r="C4622" s="18">
        <f t="shared" si="72"/>
        <v>4</v>
      </c>
      <c r="D4622" t="s">
        <v>196</v>
      </c>
      <c r="E4622">
        <v>4877306</v>
      </c>
      <c r="F4622" t="s">
        <v>8</v>
      </c>
      <c r="G4622" t="s">
        <v>203</v>
      </c>
      <c r="H4622" t="s">
        <v>242</v>
      </c>
      <c r="I4622" s="4">
        <v>100638.28079999999</v>
      </c>
      <c r="J4622" s="4">
        <v>201276.56159999999</v>
      </c>
      <c r="K4622" s="4">
        <v>-8669.2151999999987</v>
      </c>
      <c r="L4622" s="4">
        <v>2</v>
      </c>
    </row>
    <row r="4623" spans="1:12">
      <c r="A4623" t="s">
        <v>264</v>
      </c>
      <c r="B4623" s="10">
        <v>45399</v>
      </c>
      <c r="C4623" s="18">
        <f t="shared" si="72"/>
        <v>4</v>
      </c>
      <c r="D4623" t="s">
        <v>196</v>
      </c>
      <c r="E4623">
        <v>4877306</v>
      </c>
      <c r="F4623" t="s">
        <v>8</v>
      </c>
      <c r="G4623" t="s">
        <v>203</v>
      </c>
      <c r="H4623" t="s">
        <v>240</v>
      </c>
      <c r="I4623" s="4">
        <v>100638.28079999999</v>
      </c>
      <c r="J4623" s="4">
        <v>201276.56159999999</v>
      </c>
      <c r="K4623" s="4">
        <v>-8669.2151999999987</v>
      </c>
      <c r="L4623" s="4">
        <v>2</v>
      </c>
    </row>
    <row r="4624" spans="1:12">
      <c r="A4624" t="s">
        <v>264</v>
      </c>
      <c r="B4624" s="10">
        <v>45399</v>
      </c>
      <c r="C4624" s="18">
        <f t="shared" si="72"/>
        <v>4</v>
      </c>
      <c r="D4624" t="s">
        <v>196</v>
      </c>
      <c r="E4624">
        <v>4877306</v>
      </c>
      <c r="F4624" t="s">
        <v>8</v>
      </c>
      <c r="G4624" t="s">
        <v>203</v>
      </c>
      <c r="H4624" t="s">
        <v>227</v>
      </c>
      <c r="I4624" s="4">
        <v>100638.28079999999</v>
      </c>
      <c r="J4624" s="4">
        <v>201276.56159999999</v>
      </c>
      <c r="K4624" s="4">
        <v>-8669.2151999999987</v>
      </c>
      <c r="L4624" s="4">
        <v>2</v>
      </c>
    </row>
    <row r="4625" spans="1:12">
      <c r="A4625" t="s">
        <v>264</v>
      </c>
      <c r="B4625" s="10">
        <v>45399</v>
      </c>
      <c r="C4625" s="18">
        <f t="shared" si="72"/>
        <v>4</v>
      </c>
      <c r="D4625" t="s">
        <v>196</v>
      </c>
      <c r="E4625">
        <v>4877306</v>
      </c>
      <c r="F4625" t="s">
        <v>8</v>
      </c>
      <c r="G4625" t="s">
        <v>203</v>
      </c>
      <c r="H4625" t="s">
        <v>224</v>
      </c>
      <c r="I4625" s="4">
        <v>100638.28079999999</v>
      </c>
      <c r="J4625" s="4">
        <v>201276.56159999999</v>
      </c>
      <c r="K4625" s="4">
        <v>-8669.2151999999987</v>
      </c>
      <c r="L4625" s="4">
        <v>2</v>
      </c>
    </row>
    <row r="4626" spans="1:12">
      <c r="A4626" t="s">
        <v>264</v>
      </c>
      <c r="B4626" s="10">
        <v>45399</v>
      </c>
      <c r="C4626" s="18">
        <f t="shared" si="72"/>
        <v>4</v>
      </c>
      <c r="D4626" t="s">
        <v>196</v>
      </c>
      <c r="E4626">
        <v>4877306</v>
      </c>
      <c r="F4626" t="s">
        <v>8</v>
      </c>
      <c r="G4626" t="s">
        <v>203</v>
      </c>
      <c r="H4626" t="s">
        <v>223</v>
      </c>
      <c r="I4626" s="4">
        <v>100638.28079999999</v>
      </c>
      <c r="J4626" s="4">
        <v>100638.28079999999</v>
      </c>
      <c r="K4626" s="4">
        <v>-4334.6075999999994</v>
      </c>
      <c r="L4626" s="4">
        <v>1</v>
      </c>
    </row>
    <row r="4627" spans="1:12">
      <c r="A4627" t="s">
        <v>264</v>
      </c>
      <c r="B4627" s="10">
        <v>45399</v>
      </c>
      <c r="C4627" s="18">
        <f t="shared" si="72"/>
        <v>4</v>
      </c>
      <c r="D4627" t="s">
        <v>196</v>
      </c>
      <c r="E4627">
        <v>4872200</v>
      </c>
      <c r="F4627" t="s">
        <v>8</v>
      </c>
      <c r="G4627" t="s">
        <v>203</v>
      </c>
      <c r="H4627" t="s">
        <v>242</v>
      </c>
      <c r="I4627" s="4">
        <v>100638.28079999999</v>
      </c>
      <c r="J4627" s="4">
        <v>503191.40399999998</v>
      </c>
      <c r="K4627" s="4">
        <v>-21673.038</v>
      </c>
      <c r="L4627" s="4">
        <v>5</v>
      </c>
    </row>
    <row r="4628" spans="1:12">
      <c r="A4628" t="s">
        <v>264</v>
      </c>
      <c r="B4628" s="10">
        <v>45399</v>
      </c>
      <c r="C4628" s="18">
        <f t="shared" si="72"/>
        <v>4</v>
      </c>
      <c r="D4628" t="s">
        <v>196</v>
      </c>
      <c r="E4628">
        <v>4872200</v>
      </c>
      <c r="F4628" t="s">
        <v>8</v>
      </c>
      <c r="G4628" t="s">
        <v>203</v>
      </c>
      <c r="H4628" t="s">
        <v>240</v>
      </c>
      <c r="I4628" s="4">
        <v>100638.28079999999</v>
      </c>
      <c r="J4628" s="4">
        <v>503191.40399999998</v>
      </c>
      <c r="K4628" s="4">
        <v>-21673.038</v>
      </c>
      <c r="L4628" s="4">
        <v>5</v>
      </c>
    </row>
    <row r="4629" spans="1:12">
      <c r="A4629" t="s">
        <v>264</v>
      </c>
      <c r="B4629" s="10">
        <v>45399</v>
      </c>
      <c r="C4629" s="18">
        <f t="shared" si="72"/>
        <v>4</v>
      </c>
      <c r="D4629" t="s">
        <v>196</v>
      </c>
      <c r="E4629">
        <v>4872200</v>
      </c>
      <c r="F4629" t="s">
        <v>8</v>
      </c>
      <c r="G4629" t="s">
        <v>203</v>
      </c>
      <c r="H4629" t="s">
        <v>236</v>
      </c>
      <c r="I4629" s="4">
        <v>100638.28079999999</v>
      </c>
      <c r="J4629" s="4">
        <v>503191.40399999998</v>
      </c>
      <c r="K4629" s="4">
        <v>-21673.038</v>
      </c>
      <c r="L4629" s="4">
        <v>5</v>
      </c>
    </row>
    <row r="4630" spans="1:12">
      <c r="A4630" t="s">
        <v>264</v>
      </c>
      <c r="B4630" s="10">
        <v>45399</v>
      </c>
      <c r="C4630" s="18">
        <f t="shared" si="72"/>
        <v>4</v>
      </c>
      <c r="D4630" t="s">
        <v>196</v>
      </c>
      <c r="E4630">
        <v>4872200</v>
      </c>
      <c r="F4630" t="s">
        <v>8</v>
      </c>
      <c r="G4630" t="s">
        <v>203</v>
      </c>
      <c r="H4630" t="s">
        <v>237</v>
      </c>
      <c r="I4630" s="4">
        <v>125766.4408</v>
      </c>
      <c r="J4630" s="4">
        <v>628832.20400000003</v>
      </c>
      <c r="K4630" s="4">
        <v>-28269.18</v>
      </c>
      <c r="L4630" s="4">
        <v>5</v>
      </c>
    </row>
    <row r="4631" spans="1:12">
      <c r="A4631" t="s">
        <v>264</v>
      </c>
      <c r="B4631" s="10">
        <v>45399</v>
      </c>
      <c r="C4631" s="18">
        <f t="shared" si="72"/>
        <v>4</v>
      </c>
      <c r="D4631" t="s">
        <v>196</v>
      </c>
      <c r="E4631">
        <v>4872200</v>
      </c>
      <c r="F4631" t="s">
        <v>8</v>
      </c>
      <c r="G4631" t="s">
        <v>203</v>
      </c>
      <c r="H4631" t="s">
        <v>235</v>
      </c>
      <c r="I4631" s="4">
        <v>125766.4408</v>
      </c>
      <c r="J4631" s="4">
        <v>628832.20400000003</v>
      </c>
      <c r="K4631" s="4">
        <v>-28269.18</v>
      </c>
      <c r="L4631" s="4">
        <v>5</v>
      </c>
    </row>
    <row r="4632" spans="1:12">
      <c r="A4632" t="s">
        <v>264</v>
      </c>
      <c r="B4632" s="10">
        <v>45399</v>
      </c>
      <c r="C4632" s="18">
        <f t="shared" si="72"/>
        <v>4</v>
      </c>
      <c r="D4632" t="s">
        <v>196</v>
      </c>
      <c r="E4632">
        <v>4872200</v>
      </c>
      <c r="F4632" t="s">
        <v>8</v>
      </c>
      <c r="G4632" t="s">
        <v>203</v>
      </c>
      <c r="H4632" t="s">
        <v>229</v>
      </c>
      <c r="I4632" s="4">
        <v>125766.4408</v>
      </c>
      <c r="J4632" s="4">
        <v>1257664.4080000001</v>
      </c>
      <c r="K4632" s="4">
        <v>-56538.36</v>
      </c>
      <c r="L4632" s="4">
        <v>10</v>
      </c>
    </row>
    <row r="4633" spans="1:12">
      <c r="A4633" t="s">
        <v>264</v>
      </c>
      <c r="B4633" s="10">
        <v>45400</v>
      </c>
      <c r="C4633" s="18">
        <f t="shared" si="72"/>
        <v>4</v>
      </c>
      <c r="D4633" t="s">
        <v>196</v>
      </c>
      <c r="E4633">
        <v>4871600</v>
      </c>
      <c r="F4633" t="s">
        <v>8</v>
      </c>
      <c r="G4633" t="s">
        <v>204</v>
      </c>
      <c r="H4633" t="s">
        <v>218</v>
      </c>
      <c r="I4633" s="4">
        <v>71740.896800000002</v>
      </c>
      <c r="J4633" s="4">
        <v>430445.38080000004</v>
      </c>
      <c r="K4633" s="4">
        <v>-21484.576799999999</v>
      </c>
      <c r="L4633" s="4">
        <v>6</v>
      </c>
    </row>
    <row r="4634" spans="1:12">
      <c r="A4634" t="s">
        <v>264</v>
      </c>
      <c r="B4634" s="10">
        <v>45400</v>
      </c>
      <c r="C4634" s="18">
        <f t="shared" si="72"/>
        <v>4</v>
      </c>
      <c r="D4634" t="s">
        <v>196</v>
      </c>
      <c r="E4634">
        <v>4871600</v>
      </c>
      <c r="F4634" t="s">
        <v>8</v>
      </c>
      <c r="G4634" t="s">
        <v>204</v>
      </c>
      <c r="H4634" t="s">
        <v>221</v>
      </c>
      <c r="I4634" s="4">
        <v>25253.800799999997</v>
      </c>
      <c r="J4634" s="4">
        <v>101015.20319999999</v>
      </c>
      <c r="K4634" s="4">
        <v>-5025.6320000000005</v>
      </c>
      <c r="L4634" s="4">
        <v>4</v>
      </c>
    </row>
    <row r="4635" spans="1:12">
      <c r="A4635" t="s">
        <v>264</v>
      </c>
      <c r="B4635" s="10">
        <v>45400</v>
      </c>
      <c r="C4635" s="18">
        <f t="shared" si="72"/>
        <v>4</v>
      </c>
      <c r="D4635" t="s">
        <v>196</v>
      </c>
      <c r="E4635">
        <v>4874006</v>
      </c>
      <c r="F4635" t="s">
        <v>8</v>
      </c>
      <c r="G4635" t="s">
        <v>203</v>
      </c>
      <c r="H4635" t="s">
        <v>242</v>
      </c>
      <c r="I4635" s="4">
        <v>100638.28079999999</v>
      </c>
      <c r="J4635" s="4">
        <v>2012765.6159999999</v>
      </c>
      <c r="K4635" s="4">
        <v>-86692.152000000002</v>
      </c>
      <c r="L4635" s="4">
        <v>20</v>
      </c>
    </row>
    <row r="4636" spans="1:12">
      <c r="A4636" t="s">
        <v>264</v>
      </c>
      <c r="B4636" s="10">
        <v>45400</v>
      </c>
      <c r="C4636" s="18">
        <f t="shared" si="72"/>
        <v>4</v>
      </c>
      <c r="D4636" t="s">
        <v>196</v>
      </c>
      <c r="E4636">
        <v>4874006</v>
      </c>
      <c r="F4636" t="s">
        <v>8</v>
      </c>
      <c r="G4636" t="s">
        <v>203</v>
      </c>
      <c r="H4636" t="s">
        <v>240</v>
      </c>
      <c r="I4636" s="4">
        <v>100638.28079999999</v>
      </c>
      <c r="J4636" s="4">
        <v>1509574.2119999998</v>
      </c>
      <c r="K4636" s="4">
        <v>-65019.113999999994</v>
      </c>
      <c r="L4636" s="4">
        <v>15</v>
      </c>
    </row>
    <row r="4637" spans="1:12">
      <c r="A4637" t="s">
        <v>264</v>
      </c>
      <c r="B4637" s="10">
        <v>45400</v>
      </c>
      <c r="C4637" s="18">
        <f t="shared" si="72"/>
        <v>4</v>
      </c>
      <c r="D4637" t="s">
        <v>196</v>
      </c>
      <c r="E4637">
        <v>4874006</v>
      </c>
      <c r="F4637" t="s">
        <v>8</v>
      </c>
      <c r="G4637" t="s">
        <v>203</v>
      </c>
      <c r="H4637" t="s">
        <v>236</v>
      </c>
      <c r="I4637" s="4">
        <v>100638.28079999999</v>
      </c>
      <c r="J4637" s="4">
        <v>1006382.808</v>
      </c>
      <c r="K4637" s="4">
        <v>-43346.076000000001</v>
      </c>
      <c r="L4637" s="4">
        <v>10</v>
      </c>
    </row>
    <row r="4638" spans="1:12">
      <c r="A4638" t="s">
        <v>264</v>
      </c>
      <c r="B4638" s="10">
        <v>45400</v>
      </c>
      <c r="C4638" s="18">
        <f t="shared" si="72"/>
        <v>4</v>
      </c>
      <c r="D4638" t="s">
        <v>196</v>
      </c>
      <c r="E4638">
        <v>4874006</v>
      </c>
      <c r="F4638" t="s">
        <v>8</v>
      </c>
      <c r="G4638" t="s">
        <v>203</v>
      </c>
      <c r="H4638" t="s">
        <v>228</v>
      </c>
      <c r="I4638" s="4">
        <v>100638.28079999999</v>
      </c>
      <c r="J4638" s="4">
        <v>3019148.4239999996</v>
      </c>
      <c r="K4638" s="4">
        <v>-130038.22799999999</v>
      </c>
      <c r="L4638" s="4">
        <v>30</v>
      </c>
    </row>
    <row r="4639" spans="1:12">
      <c r="A4639" t="s">
        <v>264</v>
      </c>
      <c r="B4639" s="10">
        <v>45400</v>
      </c>
      <c r="C4639" s="18">
        <f t="shared" si="72"/>
        <v>4</v>
      </c>
      <c r="D4639" t="s">
        <v>196</v>
      </c>
      <c r="E4639">
        <v>4874006</v>
      </c>
      <c r="F4639" t="s">
        <v>8</v>
      </c>
      <c r="G4639" t="s">
        <v>203</v>
      </c>
      <c r="H4639" t="s">
        <v>226</v>
      </c>
      <c r="I4639" s="4">
        <v>100638.28079999999</v>
      </c>
      <c r="J4639" s="4">
        <v>1509574.2119999998</v>
      </c>
      <c r="K4639" s="4">
        <v>-65019.113999999994</v>
      </c>
      <c r="L4639" s="4">
        <v>15</v>
      </c>
    </row>
    <row r="4640" spans="1:12">
      <c r="A4640" t="s">
        <v>264</v>
      </c>
      <c r="B4640" s="10">
        <v>45400</v>
      </c>
      <c r="C4640" s="18">
        <f t="shared" si="72"/>
        <v>4</v>
      </c>
      <c r="D4640" t="s">
        <v>196</v>
      </c>
      <c r="E4640">
        <v>4872068</v>
      </c>
      <c r="F4640" t="s">
        <v>8</v>
      </c>
      <c r="G4640" t="s">
        <v>203</v>
      </c>
      <c r="H4640" t="s">
        <v>242</v>
      </c>
      <c r="I4640" s="4">
        <v>100638.28079999999</v>
      </c>
      <c r="J4640" s="4">
        <v>603829.68479999993</v>
      </c>
      <c r="K4640" s="4">
        <v>-26007.645599999996</v>
      </c>
      <c r="L4640" s="4">
        <v>6</v>
      </c>
    </row>
    <row r="4641" spans="1:12">
      <c r="A4641" t="s">
        <v>264</v>
      </c>
      <c r="B4641" s="10">
        <v>45400</v>
      </c>
      <c r="C4641" s="18">
        <f t="shared" si="72"/>
        <v>4</v>
      </c>
      <c r="D4641" t="s">
        <v>196</v>
      </c>
      <c r="E4641">
        <v>4872068</v>
      </c>
      <c r="F4641" t="s">
        <v>8</v>
      </c>
      <c r="G4641" t="s">
        <v>203</v>
      </c>
      <c r="H4641" t="s">
        <v>240</v>
      </c>
      <c r="I4641" s="4">
        <v>100638.28079999999</v>
      </c>
      <c r="J4641" s="4">
        <v>603829.68479999993</v>
      </c>
      <c r="K4641" s="4">
        <v>-26007.645599999996</v>
      </c>
      <c r="L4641" s="4">
        <v>6</v>
      </c>
    </row>
    <row r="4642" spans="1:12">
      <c r="A4642" t="s">
        <v>264</v>
      </c>
      <c r="B4642" s="10">
        <v>45400</v>
      </c>
      <c r="C4642" s="18">
        <f t="shared" si="72"/>
        <v>4</v>
      </c>
      <c r="D4642" t="s">
        <v>196</v>
      </c>
      <c r="E4642">
        <v>4872068</v>
      </c>
      <c r="F4642" t="s">
        <v>8</v>
      </c>
      <c r="G4642" t="s">
        <v>203</v>
      </c>
      <c r="H4642" t="s">
        <v>236</v>
      </c>
      <c r="I4642" s="4">
        <v>100638.28079999999</v>
      </c>
      <c r="J4642" s="4">
        <v>603829.68479999993</v>
      </c>
      <c r="K4642" s="4">
        <v>-26007.645599999996</v>
      </c>
      <c r="L4642" s="4">
        <v>6</v>
      </c>
    </row>
    <row r="4643" spans="1:12">
      <c r="A4643" t="s">
        <v>264</v>
      </c>
      <c r="B4643" s="10">
        <v>45400</v>
      </c>
      <c r="C4643" s="18">
        <f t="shared" si="72"/>
        <v>4</v>
      </c>
      <c r="D4643" t="s">
        <v>196</v>
      </c>
      <c r="E4643">
        <v>4872068</v>
      </c>
      <c r="F4643" t="s">
        <v>8</v>
      </c>
      <c r="G4643" t="s">
        <v>203</v>
      </c>
      <c r="H4643" t="s">
        <v>228</v>
      </c>
      <c r="I4643" s="4">
        <v>100638.28079999999</v>
      </c>
      <c r="J4643" s="4">
        <v>603829.68479999993</v>
      </c>
      <c r="K4643" s="4">
        <v>-26007.645599999996</v>
      </c>
      <c r="L4643" s="4">
        <v>6</v>
      </c>
    </row>
    <row r="4644" spans="1:12">
      <c r="A4644" t="s">
        <v>264</v>
      </c>
      <c r="B4644" s="10">
        <v>45400</v>
      </c>
      <c r="C4644" s="18">
        <f t="shared" si="72"/>
        <v>4</v>
      </c>
      <c r="D4644" t="s">
        <v>196</v>
      </c>
      <c r="E4644">
        <v>4872068</v>
      </c>
      <c r="F4644" t="s">
        <v>8</v>
      </c>
      <c r="G4644" t="s">
        <v>203</v>
      </c>
      <c r="H4644" t="s">
        <v>227</v>
      </c>
      <c r="I4644" s="4">
        <v>100638.28079999999</v>
      </c>
      <c r="J4644" s="4">
        <v>603829.68479999993</v>
      </c>
      <c r="K4644" s="4">
        <v>-26007.645599999996</v>
      </c>
      <c r="L4644" s="4">
        <v>6</v>
      </c>
    </row>
    <row r="4645" spans="1:12">
      <c r="A4645" t="s">
        <v>264</v>
      </c>
      <c r="B4645" s="10">
        <v>45400</v>
      </c>
      <c r="C4645" s="18">
        <f t="shared" si="72"/>
        <v>4</v>
      </c>
      <c r="D4645" t="s">
        <v>196</v>
      </c>
      <c r="E4645">
        <v>4872068</v>
      </c>
      <c r="F4645" t="s">
        <v>8</v>
      </c>
      <c r="G4645" t="s">
        <v>203</v>
      </c>
      <c r="H4645" t="s">
        <v>226</v>
      </c>
      <c r="I4645" s="4">
        <v>100638.28079999999</v>
      </c>
      <c r="J4645" s="4">
        <v>603829.68479999993</v>
      </c>
      <c r="K4645" s="4">
        <v>-26007.645599999996</v>
      </c>
      <c r="L4645" s="4">
        <v>6</v>
      </c>
    </row>
    <row r="4646" spans="1:12">
      <c r="A4646" t="s">
        <v>264</v>
      </c>
      <c r="B4646" s="10">
        <v>45400</v>
      </c>
      <c r="C4646" s="18">
        <f t="shared" si="72"/>
        <v>4</v>
      </c>
      <c r="D4646" t="s">
        <v>196</v>
      </c>
      <c r="E4646">
        <v>4872068</v>
      </c>
      <c r="F4646" t="s">
        <v>8</v>
      </c>
      <c r="G4646" t="s">
        <v>203</v>
      </c>
      <c r="H4646" t="s">
        <v>223</v>
      </c>
      <c r="I4646" s="4">
        <v>100638.28079999999</v>
      </c>
      <c r="J4646" s="4">
        <v>603829.68479999993</v>
      </c>
      <c r="K4646" s="4">
        <v>-26007.645599999996</v>
      </c>
      <c r="L4646" s="4">
        <v>6</v>
      </c>
    </row>
    <row r="4647" spans="1:12">
      <c r="A4647" t="s">
        <v>264</v>
      </c>
      <c r="B4647" s="10">
        <v>45400</v>
      </c>
      <c r="C4647" s="18">
        <f t="shared" si="72"/>
        <v>4</v>
      </c>
      <c r="D4647" t="s">
        <v>196</v>
      </c>
      <c r="E4647">
        <v>4872068</v>
      </c>
      <c r="F4647" t="s">
        <v>8</v>
      </c>
      <c r="G4647" t="s">
        <v>203</v>
      </c>
      <c r="H4647" t="s">
        <v>244</v>
      </c>
      <c r="I4647" s="4">
        <v>125766.4408</v>
      </c>
      <c r="J4647" s="4">
        <v>754598.64480000001</v>
      </c>
      <c r="K4647" s="4">
        <v>-33923.016000000003</v>
      </c>
      <c r="L4647" s="4">
        <v>6</v>
      </c>
    </row>
    <row r="4648" spans="1:12">
      <c r="A4648" t="s">
        <v>264</v>
      </c>
      <c r="B4648" s="10">
        <v>45400</v>
      </c>
      <c r="C4648" s="18">
        <f t="shared" si="72"/>
        <v>4</v>
      </c>
      <c r="D4648" t="s">
        <v>196</v>
      </c>
      <c r="E4648">
        <v>4872068</v>
      </c>
      <c r="F4648" t="s">
        <v>8</v>
      </c>
      <c r="G4648" t="s">
        <v>203</v>
      </c>
      <c r="H4648" t="s">
        <v>241</v>
      </c>
      <c r="I4648" s="4">
        <v>125766.4408</v>
      </c>
      <c r="J4648" s="4">
        <v>754598.64480000001</v>
      </c>
      <c r="K4648" s="4">
        <v>-33923.016000000003</v>
      </c>
      <c r="L4648" s="4">
        <v>6</v>
      </c>
    </row>
    <row r="4649" spans="1:12">
      <c r="A4649" t="s">
        <v>264</v>
      </c>
      <c r="B4649" s="10">
        <v>45400</v>
      </c>
      <c r="C4649" s="18">
        <f t="shared" si="72"/>
        <v>4</v>
      </c>
      <c r="D4649" t="s">
        <v>196</v>
      </c>
      <c r="E4649">
        <v>4872068</v>
      </c>
      <c r="F4649" t="s">
        <v>8</v>
      </c>
      <c r="G4649" t="s">
        <v>203</v>
      </c>
      <c r="H4649" t="s">
        <v>235</v>
      </c>
      <c r="I4649" s="4">
        <v>125766.4408</v>
      </c>
      <c r="J4649" s="4">
        <v>754598.64480000001</v>
      </c>
      <c r="K4649" s="4">
        <v>-33923.016000000003</v>
      </c>
      <c r="L4649" s="4">
        <v>6</v>
      </c>
    </row>
    <row r="4650" spans="1:12">
      <c r="A4650" t="s">
        <v>264</v>
      </c>
      <c r="B4650" s="10">
        <v>45400</v>
      </c>
      <c r="C4650" s="18">
        <f t="shared" si="72"/>
        <v>4</v>
      </c>
      <c r="D4650" t="s">
        <v>196</v>
      </c>
      <c r="E4650">
        <v>4872571</v>
      </c>
      <c r="F4650" t="s">
        <v>8</v>
      </c>
      <c r="G4650" t="s">
        <v>203</v>
      </c>
      <c r="H4650" t="s">
        <v>243</v>
      </c>
      <c r="I4650" s="4">
        <v>100638.28079999999</v>
      </c>
      <c r="J4650" s="4">
        <v>1006382.808</v>
      </c>
      <c r="K4650" s="4">
        <v>-43346.076000000001</v>
      </c>
      <c r="L4650" s="4">
        <v>10</v>
      </c>
    </row>
    <row r="4651" spans="1:12">
      <c r="A4651" t="s">
        <v>264</v>
      </c>
      <c r="B4651" s="10">
        <v>45400</v>
      </c>
      <c r="C4651" s="18">
        <f t="shared" si="72"/>
        <v>4</v>
      </c>
      <c r="D4651" t="s">
        <v>196</v>
      </c>
      <c r="E4651">
        <v>4872571</v>
      </c>
      <c r="F4651" t="s">
        <v>8</v>
      </c>
      <c r="G4651" t="s">
        <v>203</v>
      </c>
      <c r="H4651" t="s">
        <v>242</v>
      </c>
      <c r="I4651" s="4">
        <v>100638.28079999999</v>
      </c>
      <c r="J4651" s="4">
        <v>1006382.808</v>
      </c>
      <c r="K4651" s="4">
        <v>-43346.076000000001</v>
      </c>
      <c r="L4651" s="4">
        <v>10</v>
      </c>
    </row>
    <row r="4652" spans="1:12">
      <c r="A4652" t="s">
        <v>264</v>
      </c>
      <c r="B4652" s="10">
        <v>45400</v>
      </c>
      <c r="C4652" s="18">
        <f t="shared" si="72"/>
        <v>4</v>
      </c>
      <c r="D4652" t="s">
        <v>196</v>
      </c>
      <c r="E4652">
        <v>4872571</v>
      </c>
      <c r="F4652" t="s">
        <v>8</v>
      </c>
      <c r="G4652" t="s">
        <v>203</v>
      </c>
      <c r="H4652" t="s">
        <v>240</v>
      </c>
      <c r="I4652" s="4">
        <v>100638.28079999999</v>
      </c>
      <c r="J4652" s="4">
        <v>1006382.808</v>
      </c>
      <c r="K4652" s="4">
        <v>-43346.076000000001</v>
      </c>
      <c r="L4652" s="4">
        <v>10</v>
      </c>
    </row>
    <row r="4653" spans="1:12">
      <c r="A4653" t="s">
        <v>264</v>
      </c>
      <c r="B4653" s="10">
        <v>45400</v>
      </c>
      <c r="C4653" s="18">
        <f t="shared" si="72"/>
        <v>4</v>
      </c>
      <c r="D4653" t="s">
        <v>196</v>
      </c>
      <c r="E4653">
        <v>4872571</v>
      </c>
      <c r="F4653" t="s">
        <v>8</v>
      </c>
      <c r="G4653" t="s">
        <v>203</v>
      </c>
      <c r="H4653" t="s">
        <v>227</v>
      </c>
      <c r="I4653" s="4">
        <v>100638.28079999999</v>
      </c>
      <c r="J4653" s="4">
        <v>1006382.808</v>
      </c>
      <c r="K4653" s="4">
        <v>-43346.076000000001</v>
      </c>
      <c r="L4653" s="4">
        <v>10</v>
      </c>
    </row>
    <row r="4654" spans="1:12">
      <c r="A4654" t="s">
        <v>264</v>
      </c>
      <c r="B4654" s="10">
        <v>45400</v>
      </c>
      <c r="C4654" s="18">
        <f t="shared" si="72"/>
        <v>4</v>
      </c>
      <c r="D4654" t="s">
        <v>196</v>
      </c>
      <c r="E4654">
        <v>4872156</v>
      </c>
      <c r="F4654" t="s">
        <v>8</v>
      </c>
      <c r="G4654" t="s">
        <v>204</v>
      </c>
      <c r="H4654" t="s">
        <v>215</v>
      </c>
      <c r="I4654" s="4">
        <v>75510.12079999999</v>
      </c>
      <c r="J4654" s="4">
        <v>3775506.0399999996</v>
      </c>
      <c r="K4654" s="4">
        <v>-188461.2</v>
      </c>
      <c r="L4654" s="4">
        <v>50</v>
      </c>
    </row>
    <row r="4655" spans="1:12">
      <c r="A4655" t="s">
        <v>264</v>
      </c>
      <c r="B4655" s="10">
        <v>45400</v>
      </c>
      <c r="C4655" s="18">
        <f t="shared" si="72"/>
        <v>4</v>
      </c>
      <c r="D4655" t="s">
        <v>196</v>
      </c>
      <c r="E4655">
        <v>4875440</v>
      </c>
      <c r="F4655" t="s">
        <v>8</v>
      </c>
      <c r="G4655" t="s">
        <v>204</v>
      </c>
      <c r="H4655" t="s">
        <v>215</v>
      </c>
      <c r="I4655" s="4">
        <v>75510.12079999999</v>
      </c>
      <c r="J4655" s="4">
        <v>3775506.0399999996</v>
      </c>
      <c r="K4655" s="4">
        <v>-188461.2</v>
      </c>
      <c r="L4655" s="4">
        <v>50</v>
      </c>
    </row>
    <row r="4656" spans="1:12">
      <c r="A4656" t="s">
        <v>264</v>
      </c>
      <c r="B4656" s="10">
        <v>45400</v>
      </c>
      <c r="C4656" s="18">
        <f t="shared" si="72"/>
        <v>4</v>
      </c>
      <c r="D4656" t="s">
        <v>196</v>
      </c>
      <c r="E4656">
        <v>4872163</v>
      </c>
      <c r="F4656" t="s">
        <v>8</v>
      </c>
      <c r="G4656" t="s">
        <v>203</v>
      </c>
      <c r="H4656" t="s">
        <v>243</v>
      </c>
      <c r="I4656" s="4">
        <v>100638.28079999999</v>
      </c>
      <c r="J4656" s="4">
        <v>1610212.4927999999</v>
      </c>
      <c r="K4656" s="4">
        <v>-69353.72159999999</v>
      </c>
      <c r="L4656" s="4">
        <v>16</v>
      </c>
    </row>
    <row r="4657" spans="1:12">
      <c r="A4657" t="s">
        <v>264</v>
      </c>
      <c r="B4657" s="10">
        <v>45400</v>
      </c>
      <c r="C4657" s="18">
        <f t="shared" si="72"/>
        <v>4</v>
      </c>
      <c r="D4657" t="s">
        <v>196</v>
      </c>
      <c r="E4657">
        <v>4872163</v>
      </c>
      <c r="F4657" t="s">
        <v>8</v>
      </c>
      <c r="G4657" t="s">
        <v>203</v>
      </c>
      <c r="H4657" t="s">
        <v>242</v>
      </c>
      <c r="I4657" s="4">
        <v>100638.28079999999</v>
      </c>
      <c r="J4657" s="4">
        <v>301914.84239999996</v>
      </c>
      <c r="K4657" s="4">
        <v>-13003.822799999998</v>
      </c>
      <c r="L4657" s="4">
        <v>3</v>
      </c>
    </row>
    <row r="4658" spans="1:12">
      <c r="A4658" t="s">
        <v>264</v>
      </c>
      <c r="B4658" s="10">
        <v>45400</v>
      </c>
      <c r="C4658" s="18">
        <f t="shared" si="72"/>
        <v>4</v>
      </c>
      <c r="D4658" t="s">
        <v>196</v>
      </c>
      <c r="E4658">
        <v>4872163</v>
      </c>
      <c r="F4658" t="s">
        <v>8</v>
      </c>
      <c r="G4658" t="s">
        <v>203</v>
      </c>
      <c r="H4658" t="s">
        <v>236</v>
      </c>
      <c r="I4658" s="4">
        <v>100638.28079999999</v>
      </c>
      <c r="J4658" s="4">
        <v>503191.40399999998</v>
      </c>
      <c r="K4658" s="4">
        <v>-21673.038</v>
      </c>
      <c r="L4658" s="4">
        <v>5</v>
      </c>
    </row>
    <row r="4659" spans="1:12">
      <c r="A4659" t="s">
        <v>264</v>
      </c>
      <c r="B4659" s="10">
        <v>45400</v>
      </c>
      <c r="C4659" s="18">
        <f t="shared" si="72"/>
        <v>4</v>
      </c>
      <c r="D4659" t="s">
        <v>196</v>
      </c>
      <c r="E4659">
        <v>4872163</v>
      </c>
      <c r="F4659" t="s">
        <v>8</v>
      </c>
      <c r="G4659" t="s">
        <v>203</v>
      </c>
      <c r="H4659" t="s">
        <v>228</v>
      </c>
      <c r="I4659" s="4">
        <v>100638.28079999999</v>
      </c>
      <c r="J4659" s="4">
        <v>4025531.2319999998</v>
      </c>
      <c r="K4659" s="4">
        <v>-173384.304</v>
      </c>
      <c r="L4659" s="4">
        <v>40</v>
      </c>
    </row>
    <row r="4660" spans="1:12">
      <c r="A4660" t="s">
        <v>264</v>
      </c>
      <c r="B4660" s="10">
        <v>45400</v>
      </c>
      <c r="C4660" s="18">
        <f t="shared" si="72"/>
        <v>4</v>
      </c>
      <c r="D4660" t="s">
        <v>196</v>
      </c>
      <c r="E4660">
        <v>4872163</v>
      </c>
      <c r="F4660" t="s">
        <v>8</v>
      </c>
      <c r="G4660" t="s">
        <v>203</v>
      </c>
      <c r="H4660" t="s">
        <v>227</v>
      </c>
      <c r="I4660" s="4">
        <v>100638.28079999999</v>
      </c>
      <c r="J4660" s="4">
        <v>4629360.9167999998</v>
      </c>
      <c r="K4660" s="4">
        <v>-199391.94959999999</v>
      </c>
      <c r="L4660" s="4">
        <v>46</v>
      </c>
    </row>
    <row r="4661" spans="1:12">
      <c r="A4661" t="s">
        <v>264</v>
      </c>
      <c r="B4661" s="10">
        <v>45400</v>
      </c>
      <c r="C4661" s="18">
        <f t="shared" si="72"/>
        <v>4</v>
      </c>
      <c r="D4661" t="s">
        <v>196</v>
      </c>
      <c r="E4661">
        <v>4872163</v>
      </c>
      <c r="F4661" t="s">
        <v>8</v>
      </c>
      <c r="G4661" t="s">
        <v>203</v>
      </c>
      <c r="H4661" t="s">
        <v>226</v>
      </c>
      <c r="I4661" s="4">
        <v>100638.28079999999</v>
      </c>
      <c r="J4661" s="4">
        <v>1107021.0888</v>
      </c>
      <c r="K4661" s="4">
        <v>-47680.683599999997</v>
      </c>
      <c r="L4661" s="4">
        <v>11</v>
      </c>
    </row>
    <row r="4662" spans="1:12">
      <c r="A4662" t="s">
        <v>264</v>
      </c>
      <c r="B4662" s="10">
        <v>45400</v>
      </c>
      <c r="C4662" s="18">
        <f t="shared" si="72"/>
        <v>4</v>
      </c>
      <c r="D4662" t="s">
        <v>196</v>
      </c>
      <c r="E4662">
        <v>4872163</v>
      </c>
      <c r="F4662" t="s">
        <v>8</v>
      </c>
      <c r="G4662" t="s">
        <v>203</v>
      </c>
      <c r="H4662" t="s">
        <v>224</v>
      </c>
      <c r="I4662" s="4">
        <v>100638.28079999999</v>
      </c>
      <c r="J4662" s="4">
        <v>201276.56159999999</v>
      </c>
      <c r="K4662" s="4">
        <v>-8669.2151999999987</v>
      </c>
      <c r="L4662" s="4">
        <v>2</v>
      </c>
    </row>
    <row r="4663" spans="1:12">
      <c r="A4663" t="s">
        <v>264</v>
      </c>
      <c r="B4663" s="10">
        <v>45400</v>
      </c>
      <c r="C4663" s="18">
        <f t="shared" si="72"/>
        <v>4</v>
      </c>
      <c r="D4663" t="s">
        <v>196</v>
      </c>
      <c r="E4663">
        <v>4872163</v>
      </c>
      <c r="F4663" t="s">
        <v>8</v>
      </c>
      <c r="G4663" t="s">
        <v>203</v>
      </c>
      <c r="H4663" t="s">
        <v>223</v>
      </c>
      <c r="I4663" s="4">
        <v>100638.28079999999</v>
      </c>
      <c r="J4663" s="4">
        <v>4025531.2319999998</v>
      </c>
      <c r="K4663" s="4">
        <v>-173384.304</v>
      </c>
      <c r="L4663" s="4">
        <v>40</v>
      </c>
    </row>
    <row r="4664" spans="1:12">
      <c r="A4664" t="s">
        <v>264</v>
      </c>
      <c r="B4664" s="10">
        <v>45400</v>
      </c>
      <c r="C4664" s="18">
        <f t="shared" si="72"/>
        <v>4</v>
      </c>
      <c r="D4664" t="s">
        <v>196</v>
      </c>
      <c r="E4664">
        <v>4872163</v>
      </c>
      <c r="F4664" t="s">
        <v>8</v>
      </c>
      <c r="G4664" t="s">
        <v>203</v>
      </c>
      <c r="H4664" t="s">
        <v>244</v>
      </c>
      <c r="I4664" s="4">
        <v>125766.4408</v>
      </c>
      <c r="J4664" s="4">
        <v>2515328.8160000001</v>
      </c>
      <c r="K4664" s="4">
        <v>-113076.72</v>
      </c>
      <c r="L4664" s="4">
        <v>20</v>
      </c>
    </row>
    <row r="4665" spans="1:12">
      <c r="A4665" t="s">
        <v>264</v>
      </c>
      <c r="B4665" s="10">
        <v>45400</v>
      </c>
      <c r="C4665" s="18">
        <f t="shared" si="72"/>
        <v>4</v>
      </c>
      <c r="D4665" t="s">
        <v>196</v>
      </c>
      <c r="E4665">
        <v>4872163</v>
      </c>
      <c r="F4665" t="s">
        <v>8</v>
      </c>
      <c r="G4665" t="s">
        <v>203</v>
      </c>
      <c r="H4665" t="s">
        <v>241</v>
      </c>
      <c r="I4665" s="4">
        <v>125766.4408</v>
      </c>
      <c r="J4665" s="4">
        <v>3647226.7831999999</v>
      </c>
      <c r="K4665" s="4">
        <v>-163961.24400000001</v>
      </c>
      <c r="L4665" s="4">
        <v>29</v>
      </c>
    </row>
    <row r="4666" spans="1:12">
      <c r="A4666" t="s">
        <v>264</v>
      </c>
      <c r="B4666" s="10">
        <v>45400</v>
      </c>
      <c r="C4666" s="18">
        <f t="shared" si="72"/>
        <v>4</v>
      </c>
      <c r="D4666" t="s">
        <v>196</v>
      </c>
      <c r="E4666">
        <v>4872163</v>
      </c>
      <c r="F4666" t="s">
        <v>8</v>
      </c>
      <c r="G4666" t="s">
        <v>203</v>
      </c>
      <c r="H4666" t="s">
        <v>237</v>
      </c>
      <c r="I4666" s="4">
        <v>125766.4408</v>
      </c>
      <c r="J4666" s="4">
        <v>125766.4408</v>
      </c>
      <c r="K4666" s="4">
        <v>-5653.8360000000002</v>
      </c>
      <c r="L4666" s="4">
        <v>1</v>
      </c>
    </row>
    <row r="4667" spans="1:12">
      <c r="A4667" t="s">
        <v>264</v>
      </c>
      <c r="B4667" s="10">
        <v>45400</v>
      </c>
      <c r="C4667" s="18">
        <f t="shared" si="72"/>
        <v>4</v>
      </c>
      <c r="D4667" t="s">
        <v>196</v>
      </c>
      <c r="E4667">
        <v>4872163</v>
      </c>
      <c r="F4667" t="s">
        <v>8</v>
      </c>
      <c r="G4667" t="s">
        <v>203</v>
      </c>
      <c r="H4667" t="s">
        <v>235</v>
      </c>
      <c r="I4667" s="4">
        <v>125766.4408</v>
      </c>
      <c r="J4667" s="4">
        <v>2515328.8160000001</v>
      </c>
      <c r="K4667" s="4">
        <v>-113076.72</v>
      </c>
      <c r="L4667" s="4">
        <v>20</v>
      </c>
    </row>
    <row r="4668" spans="1:12">
      <c r="A4668" t="s">
        <v>264</v>
      </c>
      <c r="B4668" s="10">
        <v>45400</v>
      </c>
      <c r="C4668" s="18">
        <f t="shared" si="72"/>
        <v>4</v>
      </c>
      <c r="D4668" t="s">
        <v>196</v>
      </c>
      <c r="E4668">
        <v>4872163</v>
      </c>
      <c r="F4668" t="s">
        <v>8</v>
      </c>
      <c r="G4668" t="s">
        <v>203</v>
      </c>
      <c r="H4668" t="s">
        <v>231</v>
      </c>
      <c r="I4668" s="4">
        <v>125766.4408</v>
      </c>
      <c r="J4668" s="4">
        <v>503065.76319999999</v>
      </c>
      <c r="K4668" s="4">
        <v>-22615.344000000001</v>
      </c>
      <c r="L4668" s="4">
        <v>4</v>
      </c>
    </row>
    <row r="4669" spans="1:12">
      <c r="A4669" t="s">
        <v>264</v>
      </c>
      <c r="B4669" s="10">
        <v>45400</v>
      </c>
      <c r="C4669" s="18">
        <f t="shared" si="72"/>
        <v>4</v>
      </c>
      <c r="D4669" t="s">
        <v>196</v>
      </c>
      <c r="E4669">
        <v>4877306</v>
      </c>
      <c r="F4669" t="s">
        <v>8</v>
      </c>
      <c r="G4669" t="s">
        <v>203</v>
      </c>
      <c r="H4669" t="s">
        <v>242</v>
      </c>
      <c r="I4669" s="4">
        <v>100638.28079999999</v>
      </c>
      <c r="J4669" s="4">
        <v>1006382.808</v>
      </c>
      <c r="K4669" s="4">
        <v>-43346.076000000001</v>
      </c>
      <c r="L4669" s="4">
        <v>10</v>
      </c>
    </row>
    <row r="4670" spans="1:12">
      <c r="A4670" t="s">
        <v>264</v>
      </c>
      <c r="B4670" s="10">
        <v>45400</v>
      </c>
      <c r="C4670" s="18">
        <f t="shared" si="72"/>
        <v>4</v>
      </c>
      <c r="D4670" t="s">
        <v>196</v>
      </c>
      <c r="E4670">
        <v>4877306</v>
      </c>
      <c r="F4670" t="s">
        <v>8</v>
      </c>
      <c r="G4670" t="s">
        <v>206</v>
      </c>
      <c r="H4670" t="s">
        <v>251</v>
      </c>
      <c r="I4670" s="4">
        <v>19223.042399999998</v>
      </c>
      <c r="J4670" s="4">
        <v>1922304.2399999998</v>
      </c>
      <c r="K4670" s="4">
        <v>-201025.28</v>
      </c>
      <c r="L4670" s="4">
        <v>100</v>
      </c>
    </row>
    <row r="4671" spans="1:12">
      <c r="A4671" t="s">
        <v>264</v>
      </c>
      <c r="B4671" s="10">
        <v>45401</v>
      </c>
      <c r="C4671" s="18">
        <f t="shared" si="72"/>
        <v>4</v>
      </c>
      <c r="D4671" t="s">
        <v>196</v>
      </c>
      <c r="E4671">
        <v>4874006</v>
      </c>
      <c r="F4671" t="s">
        <v>8</v>
      </c>
      <c r="G4671" t="s">
        <v>203</v>
      </c>
      <c r="H4671" t="s">
        <v>240</v>
      </c>
      <c r="I4671" s="4">
        <v>100638.28079999999</v>
      </c>
      <c r="J4671" s="4">
        <v>-100638.28079999999</v>
      </c>
      <c r="K4671" s="4">
        <v>4334.6075999999994</v>
      </c>
      <c r="L4671" s="4">
        <v>-1</v>
      </c>
    </row>
    <row r="4672" spans="1:12">
      <c r="A4672" t="s">
        <v>264</v>
      </c>
      <c r="B4672" s="10">
        <v>45401</v>
      </c>
      <c r="C4672" s="18">
        <f t="shared" si="72"/>
        <v>4</v>
      </c>
      <c r="D4672" t="s">
        <v>196</v>
      </c>
      <c r="E4672">
        <v>4874006</v>
      </c>
      <c r="F4672" t="s">
        <v>8</v>
      </c>
      <c r="G4672" t="s">
        <v>203</v>
      </c>
      <c r="H4672" t="s">
        <v>228</v>
      </c>
      <c r="I4672" s="4">
        <v>100638.28079999999</v>
      </c>
      <c r="J4672" s="4">
        <v>402553.12319999997</v>
      </c>
      <c r="K4672" s="4">
        <v>-17338.430399999997</v>
      </c>
      <c r="L4672" s="4">
        <v>4</v>
      </c>
    </row>
    <row r="4673" spans="1:12">
      <c r="A4673" t="s">
        <v>264</v>
      </c>
      <c r="B4673" s="10">
        <v>45401</v>
      </c>
      <c r="C4673" s="18">
        <f t="shared" si="72"/>
        <v>4</v>
      </c>
      <c r="D4673" t="s">
        <v>196</v>
      </c>
      <c r="E4673">
        <v>4874006</v>
      </c>
      <c r="F4673" t="s">
        <v>8</v>
      </c>
      <c r="G4673" t="s">
        <v>203</v>
      </c>
      <c r="H4673" t="s">
        <v>226</v>
      </c>
      <c r="I4673" s="4">
        <v>100638.28079999999</v>
      </c>
      <c r="J4673" s="4">
        <v>100638.28079999999</v>
      </c>
      <c r="K4673" s="4">
        <v>-4334.6075999999994</v>
      </c>
      <c r="L4673" s="4">
        <v>1</v>
      </c>
    </row>
    <row r="4674" spans="1:12">
      <c r="A4674" t="s">
        <v>264</v>
      </c>
      <c r="B4674" s="10">
        <v>45401</v>
      </c>
      <c r="C4674" s="18">
        <f t="shared" ref="C4674:C4737" si="73">MONTH(B4674)</f>
        <v>4</v>
      </c>
      <c r="D4674" t="s">
        <v>196</v>
      </c>
      <c r="E4674">
        <v>4874006</v>
      </c>
      <c r="F4674" t="s">
        <v>8</v>
      </c>
      <c r="G4674" t="s">
        <v>203</v>
      </c>
      <c r="H4674" t="s">
        <v>223</v>
      </c>
      <c r="I4674" s="4">
        <v>100638.28079999999</v>
      </c>
      <c r="J4674" s="4">
        <v>402553.12319999997</v>
      </c>
      <c r="K4674" s="4">
        <v>-17338.430399999997</v>
      </c>
      <c r="L4674" s="4">
        <v>4</v>
      </c>
    </row>
    <row r="4675" spans="1:12">
      <c r="A4675" t="s">
        <v>264</v>
      </c>
      <c r="B4675" s="10">
        <v>45401</v>
      </c>
      <c r="C4675" s="18">
        <f t="shared" si="73"/>
        <v>4</v>
      </c>
      <c r="D4675" t="s">
        <v>196</v>
      </c>
      <c r="E4675">
        <v>4872571</v>
      </c>
      <c r="F4675" t="s">
        <v>8</v>
      </c>
      <c r="G4675" t="s">
        <v>204</v>
      </c>
      <c r="H4675" t="s">
        <v>215</v>
      </c>
      <c r="I4675" s="4">
        <v>75510.12079999999</v>
      </c>
      <c r="J4675" s="4">
        <v>528570.84559999988</v>
      </c>
      <c r="K4675" s="4">
        <v>-26384.567999999999</v>
      </c>
      <c r="L4675" s="4">
        <v>7</v>
      </c>
    </row>
    <row r="4676" spans="1:12">
      <c r="A4676" t="s">
        <v>264</v>
      </c>
      <c r="B4676" s="10">
        <v>45401</v>
      </c>
      <c r="C4676" s="18">
        <f t="shared" si="73"/>
        <v>4</v>
      </c>
      <c r="D4676" t="s">
        <v>196</v>
      </c>
      <c r="E4676">
        <v>4872571</v>
      </c>
      <c r="F4676" t="s">
        <v>8</v>
      </c>
      <c r="G4676" t="s">
        <v>202</v>
      </c>
      <c r="H4676" t="s">
        <v>254</v>
      </c>
      <c r="I4676" s="4">
        <v>37817.880799999999</v>
      </c>
      <c r="J4676" s="4">
        <v>3781788.08</v>
      </c>
      <c r="K4676" s="4">
        <v>-188461.2</v>
      </c>
      <c r="L4676" s="4">
        <v>100</v>
      </c>
    </row>
    <row r="4677" spans="1:12">
      <c r="A4677" t="s">
        <v>264</v>
      </c>
      <c r="B4677" s="10">
        <v>45401</v>
      </c>
      <c r="C4677" s="18">
        <f t="shared" si="73"/>
        <v>4</v>
      </c>
      <c r="D4677" t="s">
        <v>196</v>
      </c>
      <c r="E4677">
        <v>4878748</v>
      </c>
      <c r="F4677" t="s">
        <v>8</v>
      </c>
      <c r="G4677" t="s">
        <v>204</v>
      </c>
      <c r="H4677" t="s">
        <v>212</v>
      </c>
      <c r="I4677" s="4">
        <v>62946.040799999995</v>
      </c>
      <c r="J4677" s="4">
        <v>629460.40799999994</v>
      </c>
      <c r="K4677" s="4">
        <v>-18846.12</v>
      </c>
      <c r="L4677" s="4">
        <v>10</v>
      </c>
    </row>
    <row r="4678" spans="1:12">
      <c r="A4678" t="s">
        <v>264</v>
      </c>
      <c r="B4678" s="10">
        <v>45401</v>
      </c>
      <c r="C4678" s="18">
        <f t="shared" si="73"/>
        <v>4</v>
      </c>
      <c r="D4678" t="s">
        <v>196</v>
      </c>
      <c r="E4678">
        <v>4871657</v>
      </c>
      <c r="F4678" t="s">
        <v>8</v>
      </c>
      <c r="G4678" t="s">
        <v>202</v>
      </c>
      <c r="H4678" t="s">
        <v>261</v>
      </c>
      <c r="I4678" s="4">
        <v>41587.104800000001</v>
      </c>
      <c r="J4678" s="4">
        <v>831742.09600000002</v>
      </c>
      <c r="K4678" s="4">
        <v>-41461.464</v>
      </c>
      <c r="L4678" s="4">
        <v>20</v>
      </c>
    </row>
    <row r="4679" spans="1:12">
      <c r="A4679" t="s">
        <v>264</v>
      </c>
      <c r="B4679" s="10">
        <v>45401</v>
      </c>
      <c r="C4679" s="18">
        <f t="shared" si="73"/>
        <v>4</v>
      </c>
      <c r="D4679" t="s">
        <v>196</v>
      </c>
      <c r="E4679">
        <v>4872203</v>
      </c>
      <c r="F4679" t="s">
        <v>8</v>
      </c>
      <c r="G4679" t="s">
        <v>202</v>
      </c>
      <c r="H4679" t="s">
        <v>256</v>
      </c>
      <c r="I4679" s="4">
        <v>64202.448800000006</v>
      </c>
      <c r="J4679" s="4">
        <v>1091441.6296000001</v>
      </c>
      <c r="K4679" s="4">
        <v>-54465.286800000002</v>
      </c>
      <c r="L4679" s="4">
        <v>17</v>
      </c>
    </row>
    <row r="4680" spans="1:12">
      <c r="A4680" t="s">
        <v>264</v>
      </c>
      <c r="B4680" s="10">
        <v>45401</v>
      </c>
      <c r="C4680" s="18">
        <f t="shared" si="73"/>
        <v>4</v>
      </c>
      <c r="D4680" t="s">
        <v>196</v>
      </c>
      <c r="E4680">
        <v>4872163</v>
      </c>
      <c r="F4680" t="s">
        <v>8</v>
      </c>
      <c r="G4680" t="s">
        <v>203</v>
      </c>
      <c r="H4680" t="s">
        <v>242</v>
      </c>
      <c r="I4680" s="4">
        <v>100638.28079999999</v>
      </c>
      <c r="J4680" s="4">
        <v>-100638.28079999999</v>
      </c>
      <c r="K4680" s="4">
        <v>4334.6075999999994</v>
      </c>
      <c r="L4680" s="4">
        <v>-1</v>
      </c>
    </row>
    <row r="4681" spans="1:12">
      <c r="A4681" t="s">
        <v>264</v>
      </c>
      <c r="B4681" s="10">
        <v>45401</v>
      </c>
      <c r="C4681" s="18">
        <f t="shared" si="73"/>
        <v>4</v>
      </c>
      <c r="D4681" t="s">
        <v>196</v>
      </c>
      <c r="E4681">
        <v>4872163</v>
      </c>
      <c r="F4681" t="s">
        <v>8</v>
      </c>
      <c r="G4681" t="s">
        <v>203</v>
      </c>
      <c r="H4681" t="s">
        <v>236</v>
      </c>
      <c r="I4681" s="4">
        <v>100638.28079999999</v>
      </c>
      <c r="J4681" s="4">
        <v>-100638.28079999999</v>
      </c>
      <c r="K4681" s="4">
        <v>4334.6075999999994</v>
      </c>
      <c r="L4681" s="4">
        <v>-1</v>
      </c>
    </row>
    <row r="4682" spans="1:12">
      <c r="A4682" t="s">
        <v>264</v>
      </c>
      <c r="B4682" s="10">
        <v>45401</v>
      </c>
      <c r="C4682" s="18">
        <f t="shared" si="73"/>
        <v>4</v>
      </c>
      <c r="D4682" t="s">
        <v>196</v>
      </c>
      <c r="E4682">
        <v>4872163</v>
      </c>
      <c r="F4682" t="s">
        <v>8</v>
      </c>
      <c r="G4682" t="s">
        <v>203</v>
      </c>
      <c r="H4682" t="s">
        <v>226</v>
      </c>
      <c r="I4682" s="4">
        <v>100638.28079999999</v>
      </c>
      <c r="J4682" s="4">
        <v>-301914.84239999996</v>
      </c>
      <c r="K4682" s="4">
        <v>13003.822799999998</v>
      </c>
      <c r="L4682" s="4">
        <v>-3</v>
      </c>
    </row>
    <row r="4683" spans="1:12">
      <c r="A4683" t="s">
        <v>264</v>
      </c>
      <c r="B4683" s="10">
        <v>45401</v>
      </c>
      <c r="C4683" s="18">
        <f t="shared" si="73"/>
        <v>4</v>
      </c>
      <c r="D4683" t="s">
        <v>196</v>
      </c>
      <c r="E4683">
        <v>4876759</v>
      </c>
      <c r="F4683" t="s">
        <v>8</v>
      </c>
      <c r="G4683" t="s">
        <v>202</v>
      </c>
      <c r="H4683" t="s">
        <v>254</v>
      </c>
      <c r="I4683" s="4">
        <v>37817.880799999999</v>
      </c>
      <c r="J4683" s="4">
        <v>189089.40399999998</v>
      </c>
      <c r="K4683" s="4">
        <v>-9423.06</v>
      </c>
      <c r="L4683" s="4">
        <v>5</v>
      </c>
    </row>
    <row r="4684" spans="1:12">
      <c r="A4684" t="s">
        <v>264</v>
      </c>
      <c r="B4684" s="10">
        <v>45401</v>
      </c>
      <c r="C4684" s="18">
        <f t="shared" si="73"/>
        <v>4</v>
      </c>
      <c r="D4684" t="s">
        <v>196</v>
      </c>
      <c r="E4684">
        <v>4875779</v>
      </c>
      <c r="F4684" t="s">
        <v>8</v>
      </c>
      <c r="G4684" t="s">
        <v>204</v>
      </c>
      <c r="H4684" t="s">
        <v>219</v>
      </c>
      <c r="I4684" s="4">
        <v>44099.9208</v>
      </c>
      <c r="J4684" s="4">
        <v>44099.9208</v>
      </c>
      <c r="K4684" s="4">
        <v>-1884.6119999999999</v>
      </c>
      <c r="L4684" s="4">
        <v>1</v>
      </c>
    </row>
    <row r="4685" spans="1:12">
      <c r="A4685" t="s">
        <v>264</v>
      </c>
      <c r="B4685" s="10">
        <v>45401</v>
      </c>
      <c r="C4685" s="18">
        <f t="shared" si="73"/>
        <v>4</v>
      </c>
      <c r="D4685" t="s">
        <v>196</v>
      </c>
      <c r="E4685">
        <v>4877306</v>
      </c>
      <c r="F4685" t="s">
        <v>8</v>
      </c>
      <c r="G4685" t="s">
        <v>203</v>
      </c>
      <c r="H4685" t="s">
        <v>223</v>
      </c>
      <c r="I4685" s="4">
        <v>100638.28079999999</v>
      </c>
      <c r="J4685" s="4">
        <v>100638.28079999999</v>
      </c>
      <c r="K4685" s="4">
        <v>-4334.6075999999994</v>
      </c>
      <c r="L4685" s="4">
        <v>1</v>
      </c>
    </row>
    <row r="4686" spans="1:12">
      <c r="A4686" t="s">
        <v>264</v>
      </c>
      <c r="B4686" s="10">
        <v>45402</v>
      </c>
      <c r="C4686" s="18">
        <f t="shared" si="73"/>
        <v>4</v>
      </c>
      <c r="D4686" t="s">
        <v>196</v>
      </c>
      <c r="E4686">
        <v>4872571</v>
      </c>
      <c r="F4686" t="s">
        <v>8</v>
      </c>
      <c r="G4686" t="s">
        <v>204</v>
      </c>
      <c r="H4686" t="s">
        <v>216</v>
      </c>
      <c r="I4686" s="4">
        <v>113202.36079999999</v>
      </c>
      <c r="J4686" s="4">
        <v>1132023.608</v>
      </c>
      <c r="K4686" s="4">
        <v>-56538.36</v>
      </c>
      <c r="L4686" s="4">
        <v>10</v>
      </c>
    </row>
    <row r="4687" spans="1:12">
      <c r="A4687" t="s">
        <v>264</v>
      </c>
      <c r="B4687" s="10">
        <v>45402</v>
      </c>
      <c r="C4687" s="18">
        <f t="shared" si="73"/>
        <v>4</v>
      </c>
      <c r="D4687" t="s">
        <v>196</v>
      </c>
      <c r="E4687">
        <v>4873570</v>
      </c>
      <c r="F4687" t="s">
        <v>8</v>
      </c>
      <c r="G4687" t="s">
        <v>203</v>
      </c>
      <c r="H4687" t="s">
        <v>238</v>
      </c>
      <c r="I4687" s="4">
        <v>95606.36675999999</v>
      </c>
      <c r="J4687" s="4">
        <v>573638.20055999991</v>
      </c>
      <c r="K4687" s="4">
        <v>-26007.645599999996</v>
      </c>
      <c r="L4687" s="4">
        <v>6</v>
      </c>
    </row>
    <row r="4688" spans="1:12">
      <c r="A4688" t="s">
        <v>264</v>
      </c>
      <c r="B4688" s="10">
        <v>45402</v>
      </c>
      <c r="C4688" s="18">
        <f t="shared" si="73"/>
        <v>4</v>
      </c>
      <c r="D4688" t="s">
        <v>196</v>
      </c>
      <c r="E4688">
        <v>4873570</v>
      </c>
      <c r="F4688" t="s">
        <v>8</v>
      </c>
      <c r="G4688" t="s">
        <v>203</v>
      </c>
      <c r="H4688" t="s">
        <v>226</v>
      </c>
      <c r="I4688" s="4">
        <v>100638.28079999999</v>
      </c>
      <c r="J4688" s="4">
        <v>201276.56159999999</v>
      </c>
      <c r="K4688" s="4">
        <v>-8669.2151999999987</v>
      </c>
      <c r="L4688" s="4">
        <v>2</v>
      </c>
    </row>
    <row r="4689" spans="1:12">
      <c r="A4689" t="s">
        <v>264</v>
      </c>
      <c r="B4689" s="10">
        <v>45402</v>
      </c>
      <c r="C4689" s="18">
        <f t="shared" si="73"/>
        <v>4</v>
      </c>
      <c r="D4689" t="s">
        <v>196</v>
      </c>
      <c r="E4689">
        <v>4873570</v>
      </c>
      <c r="F4689" t="s">
        <v>8</v>
      </c>
      <c r="G4689" t="s">
        <v>203</v>
      </c>
      <c r="H4689" t="s">
        <v>225</v>
      </c>
      <c r="I4689" s="4">
        <v>100638.28079999999</v>
      </c>
      <c r="J4689" s="4">
        <v>603829.68479999993</v>
      </c>
      <c r="K4689" s="4">
        <v>-26007.645599999996</v>
      </c>
      <c r="L4689" s="4">
        <v>6</v>
      </c>
    </row>
    <row r="4690" spans="1:12">
      <c r="A4690" t="s">
        <v>264</v>
      </c>
      <c r="B4690" s="10">
        <v>45402</v>
      </c>
      <c r="C4690" s="18">
        <f t="shared" si="73"/>
        <v>4</v>
      </c>
      <c r="D4690" t="s">
        <v>196</v>
      </c>
      <c r="E4690">
        <v>4873570</v>
      </c>
      <c r="F4690" t="s">
        <v>8</v>
      </c>
      <c r="G4690" t="s">
        <v>203</v>
      </c>
      <c r="H4690" t="s">
        <v>223</v>
      </c>
      <c r="I4690" s="4">
        <v>100638.28079999999</v>
      </c>
      <c r="J4690" s="4">
        <v>402553.12319999997</v>
      </c>
      <c r="K4690" s="4">
        <v>-17338.430399999997</v>
      </c>
      <c r="L4690" s="4">
        <v>4</v>
      </c>
    </row>
    <row r="4691" spans="1:12">
      <c r="A4691" t="s">
        <v>264</v>
      </c>
      <c r="B4691" s="10">
        <v>45402</v>
      </c>
      <c r="C4691" s="18">
        <f t="shared" si="73"/>
        <v>4</v>
      </c>
      <c r="D4691" t="s">
        <v>196</v>
      </c>
      <c r="E4691">
        <v>4873570</v>
      </c>
      <c r="F4691" t="s">
        <v>8</v>
      </c>
      <c r="G4691" t="s">
        <v>203</v>
      </c>
      <c r="H4691" t="s">
        <v>244</v>
      </c>
      <c r="I4691" s="4">
        <v>125766.4408</v>
      </c>
      <c r="J4691" s="4">
        <v>1257664.4080000001</v>
      </c>
      <c r="K4691" s="4">
        <v>-56538.36</v>
      </c>
      <c r="L4691" s="4">
        <v>10</v>
      </c>
    </row>
    <row r="4692" spans="1:12">
      <c r="A4692" t="s">
        <v>264</v>
      </c>
      <c r="B4692" s="10">
        <v>45402</v>
      </c>
      <c r="C4692" s="18">
        <f t="shared" si="73"/>
        <v>4</v>
      </c>
      <c r="D4692" t="s">
        <v>196</v>
      </c>
      <c r="E4692">
        <v>4873570</v>
      </c>
      <c r="F4692" t="s">
        <v>8</v>
      </c>
      <c r="G4692" t="s">
        <v>203</v>
      </c>
      <c r="H4692" t="s">
        <v>235</v>
      </c>
      <c r="I4692" s="4">
        <v>125766.4408</v>
      </c>
      <c r="J4692" s="4">
        <v>1257664.4080000001</v>
      </c>
      <c r="K4692" s="4">
        <v>-56538.36</v>
      </c>
      <c r="L4692" s="4">
        <v>10</v>
      </c>
    </row>
    <row r="4693" spans="1:12">
      <c r="A4693" t="s">
        <v>264</v>
      </c>
      <c r="B4693" s="10">
        <v>45402</v>
      </c>
      <c r="C4693" s="18">
        <f t="shared" si="73"/>
        <v>4</v>
      </c>
      <c r="D4693" t="s">
        <v>196</v>
      </c>
      <c r="E4693">
        <v>4877269</v>
      </c>
      <c r="F4693" t="s">
        <v>8</v>
      </c>
      <c r="G4693" t="s">
        <v>204</v>
      </c>
      <c r="H4693" t="s">
        <v>212</v>
      </c>
      <c r="I4693" s="4">
        <v>62946.040799999995</v>
      </c>
      <c r="J4693" s="4">
        <v>1258920.8159999999</v>
      </c>
      <c r="K4693" s="4">
        <v>-37692.239999999998</v>
      </c>
      <c r="L4693" s="4">
        <v>20</v>
      </c>
    </row>
    <row r="4694" spans="1:12">
      <c r="A4694" t="s">
        <v>264</v>
      </c>
      <c r="B4694" s="10">
        <v>45402</v>
      </c>
      <c r="C4694" s="18">
        <f t="shared" si="73"/>
        <v>4</v>
      </c>
      <c r="D4694" t="s">
        <v>196</v>
      </c>
      <c r="E4694">
        <v>4878748</v>
      </c>
      <c r="F4694" t="s">
        <v>8</v>
      </c>
      <c r="G4694" t="s">
        <v>204</v>
      </c>
      <c r="H4694" t="s">
        <v>218</v>
      </c>
      <c r="I4694" s="4">
        <v>71740.896800000002</v>
      </c>
      <c r="J4694" s="4">
        <v>717408.96799999999</v>
      </c>
      <c r="K4694" s="4">
        <v>-35807.628000000004</v>
      </c>
      <c r="L4694" s="4">
        <v>10</v>
      </c>
    </row>
    <row r="4695" spans="1:12">
      <c r="A4695" t="s">
        <v>264</v>
      </c>
      <c r="B4695" s="10">
        <v>45402</v>
      </c>
      <c r="C4695" s="18">
        <f t="shared" si="73"/>
        <v>4</v>
      </c>
      <c r="D4695" t="s">
        <v>196</v>
      </c>
      <c r="E4695">
        <v>4878748</v>
      </c>
      <c r="F4695" t="s">
        <v>8</v>
      </c>
      <c r="G4695" t="s">
        <v>204</v>
      </c>
      <c r="H4695" t="s">
        <v>214</v>
      </c>
      <c r="I4695" s="4">
        <v>119484.4008</v>
      </c>
      <c r="J4695" s="4">
        <v>1433812.8096</v>
      </c>
      <c r="K4695" s="4">
        <v>-71615.256000000008</v>
      </c>
      <c r="L4695" s="4">
        <v>12</v>
      </c>
    </row>
    <row r="4696" spans="1:12">
      <c r="A4696" t="s">
        <v>264</v>
      </c>
      <c r="B4696" s="10">
        <v>45402</v>
      </c>
      <c r="C4696" s="18">
        <f t="shared" si="73"/>
        <v>4</v>
      </c>
      <c r="D4696" t="s">
        <v>196</v>
      </c>
      <c r="E4696">
        <v>4878748</v>
      </c>
      <c r="F4696" t="s">
        <v>8</v>
      </c>
      <c r="G4696" t="s">
        <v>204</v>
      </c>
      <c r="H4696" t="s">
        <v>220</v>
      </c>
      <c r="I4696" s="4">
        <v>37817.880799999999</v>
      </c>
      <c r="J4696" s="4">
        <v>264725.16560000001</v>
      </c>
      <c r="K4696" s="4">
        <v>-13192.284</v>
      </c>
      <c r="L4696" s="4">
        <v>7</v>
      </c>
    </row>
    <row r="4697" spans="1:12">
      <c r="A4697" t="s">
        <v>264</v>
      </c>
      <c r="B4697" s="10">
        <v>45402</v>
      </c>
      <c r="C4697" s="18">
        <f t="shared" si="73"/>
        <v>4</v>
      </c>
      <c r="D4697" t="s">
        <v>196</v>
      </c>
      <c r="E4697">
        <v>4878748</v>
      </c>
      <c r="F4697" t="s">
        <v>8</v>
      </c>
      <c r="G4697" t="s">
        <v>204</v>
      </c>
      <c r="H4697" t="s">
        <v>212</v>
      </c>
      <c r="I4697" s="4">
        <v>62946.040799999995</v>
      </c>
      <c r="J4697" s="4">
        <v>629460.40799999994</v>
      </c>
      <c r="K4697" s="4">
        <v>-18846.12</v>
      </c>
      <c r="L4697" s="4">
        <v>10</v>
      </c>
    </row>
    <row r="4698" spans="1:12">
      <c r="A4698" t="s">
        <v>264</v>
      </c>
      <c r="B4698" s="10">
        <v>45402</v>
      </c>
      <c r="C4698" s="18">
        <f t="shared" si="73"/>
        <v>4</v>
      </c>
      <c r="D4698" t="s">
        <v>196</v>
      </c>
      <c r="E4698">
        <v>4872200</v>
      </c>
      <c r="F4698" t="s">
        <v>8</v>
      </c>
      <c r="G4698" t="s">
        <v>203</v>
      </c>
      <c r="H4698" t="s">
        <v>242</v>
      </c>
      <c r="I4698" s="4">
        <v>100638.28079999999</v>
      </c>
      <c r="J4698" s="4">
        <v>100638.28079999999</v>
      </c>
      <c r="K4698" s="4">
        <v>-4334.6075999999994</v>
      </c>
      <c r="L4698" s="4">
        <v>1</v>
      </c>
    </row>
    <row r="4699" spans="1:12">
      <c r="A4699" t="s">
        <v>264</v>
      </c>
      <c r="B4699" s="10">
        <v>45402</v>
      </c>
      <c r="C4699" s="18">
        <f t="shared" si="73"/>
        <v>4</v>
      </c>
      <c r="D4699" t="s">
        <v>196</v>
      </c>
      <c r="E4699">
        <v>4872200</v>
      </c>
      <c r="F4699" t="s">
        <v>8</v>
      </c>
      <c r="G4699" t="s">
        <v>203</v>
      </c>
      <c r="H4699" t="s">
        <v>240</v>
      </c>
      <c r="I4699" s="4">
        <v>100638.28079999999</v>
      </c>
      <c r="J4699" s="4">
        <v>100638.28079999999</v>
      </c>
      <c r="K4699" s="4">
        <v>-4334.6075999999994</v>
      </c>
      <c r="L4699" s="4">
        <v>1</v>
      </c>
    </row>
    <row r="4700" spans="1:12">
      <c r="A4700" t="s">
        <v>264</v>
      </c>
      <c r="B4700" s="10">
        <v>45402</v>
      </c>
      <c r="C4700" s="18">
        <f t="shared" si="73"/>
        <v>4</v>
      </c>
      <c r="D4700" t="s">
        <v>196</v>
      </c>
      <c r="E4700">
        <v>4872200</v>
      </c>
      <c r="F4700" t="s">
        <v>8</v>
      </c>
      <c r="G4700" t="s">
        <v>203</v>
      </c>
      <c r="H4700" t="s">
        <v>236</v>
      </c>
      <c r="I4700" s="4">
        <v>100638.28079999999</v>
      </c>
      <c r="J4700" s="4">
        <v>100638.28079999999</v>
      </c>
      <c r="K4700" s="4">
        <v>-4334.6075999999994</v>
      </c>
      <c r="L4700" s="4">
        <v>1</v>
      </c>
    </row>
    <row r="4701" spans="1:12">
      <c r="A4701" t="s">
        <v>264</v>
      </c>
      <c r="B4701" s="10">
        <v>45403</v>
      </c>
      <c r="C4701" s="18">
        <f t="shared" si="73"/>
        <v>4</v>
      </c>
      <c r="D4701" t="s">
        <v>196</v>
      </c>
      <c r="E4701">
        <v>4876950</v>
      </c>
      <c r="F4701" t="s">
        <v>8</v>
      </c>
      <c r="G4701" t="s">
        <v>203</v>
      </c>
      <c r="H4701" t="s">
        <v>244</v>
      </c>
      <c r="I4701" s="4">
        <v>125766.4408</v>
      </c>
      <c r="J4701" s="4">
        <v>503065.76319999999</v>
      </c>
      <c r="K4701" s="4">
        <v>-22615.344000000001</v>
      </c>
      <c r="L4701" s="4">
        <v>4</v>
      </c>
    </row>
    <row r="4702" spans="1:12">
      <c r="A4702" t="s">
        <v>264</v>
      </c>
      <c r="B4702" s="10">
        <v>45403</v>
      </c>
      <c r="C4702" s="18">
        <f t="shared" si="73"/>
        <v>4</v>
      </c>
      <c r="D4702" t="s">
        <v>196</v>
      </c>
      <c r="E4702">
        <v>4878748</v>
      </c>
      <c r="F4702" t="s">
        <v>8</v>
      </c>
      <c r="G4702" t="s">
        <v>204</v>
      </c>
      <c r="H4702" t="s">
        <v>221</v>
      </c>
      <c r="I4702" s="4">
        <v>25253.800799999997</v>
      </c>
      <c r="J4702" s="4">
        <v>505076.01599999995</v>
      </c>
      <c r="K4702" s="4">
        <v>-25128.16</v>
      </c>
      <c r="L4702" s="4">
        <v>20</v>
      </c>
    </row>
    <row r="4703" spans="1:12">
      <c r="A4703" t="s">
        <v>264</v>
      </c>
      <c r="B4703" s="10">
        <v>45403</v>
      </c>
      <c r="C4703" s="18">
        <f t="shared" si="73"/>
        <v>4</v>
      </c>
      <c r="D4703" t="s">
        <v>196</v>
      </c>
      <c r="E4703">
        <v>4878748</v>
      </c>
      <c r="F4703" t="s">
        <v>8</v>
      </c>
      <c r="G4703" t="s">
        <v>204</v>
      </c>
      <c r="H4703" t="s">
        <v>220</v>
      </c>
      <c r="I4703" s="4">
        <v>37817.880799999999</v>
      </c>
      <c r="J4703" s="4">
        <v>756357.61599999992</v>
      </c>
      <c r="K4703" s="4">
        <v>-37692.239999999998</v>
      </c>
      <c r="L4703" s="4">
        <v>20</v>
      </c>
    </row>
    <row r="4704" spans="1:12">
      <c r="A4704" t="s">
        <v>264</v>
      </c>
      <c r="B4704" s="10">
        <v>45403</v>
      </c>
      <c r="C4704" s="18">
        <f t="shared" si="73"/>
        <v>4</v>
      </c>
      <c r="D4704" t="s">
        <v>196</v>
      </c>
      <c r="E4704">
        <v>4874586</v>
      </c>
      <c r="F4704" t="s">
        <v>8</v>
      </c>
      <c r="G4704" t="s">
        <v>202</v>
      </c>
      <c r="H4704" t="s">
        <v>261</v>
      </c>
      <c r="I4704" s="4">
        <v>41587.104800000001</v>
      </c>
      <c r="J4704" s="4">
        <v>415871.04800000001</v>
      </c>
      <c r="K4704" s="4">
        <v>-20730.732</v>
      </c>
      <c r="L4704" s="4">
        <v>10</v>
      </c>
    </row>
    <row r="4705" spans="1:12">
      <c r="A4705" t="s">
        <v>264</v>
      </c>
      <c r="B4705" s="10">
        <v>45403</v>
      </c>
      <c r="C4705" s="18">
        <f t="shared" si="73"/>
        <v>4</v>
      </c>
      <c r="D4705" t="s">
        <v>196</v>
      </c>
      <c r="E4705">
        <v>4873723</v>
      </c>
      <c r="F4705" t="s">
        <v>8</v>
      </c>
      <c r="G4705" t="s">
        <v>204</v>
      </c>
      <c r="H4705" t="s">
        <v>212</v>
      </c>
      <c r="I4705" s="4">
        <v>62946.040799999995</v>
      </c>
      <c r="J4705" s="4">
        <v>251784.16319999998</v>
      </c>
      <c r="K4705" s="4">
        <v>-7538.4479999999994</v>
      </c>
      <c r="L4705" s="4">
        <v>4</v>
      </c>
    </row>
    <row r="4706" spans="1:12">
      <c r="A4706" t="s">
        <v>264</v>
      </c>
      <c r="B4706" s="10">
        <v>45403</v>
      </c>
      <c r="C4706" s="18">
        <f t="shared" si="73"/>
        <v>4</v>
      </c>
      <c r="D4706" t="s">
        <v>196</v>
      </c>
      <c r="E4706">
        <v>4876759</v>
      </c>
      <c r="F4706" t="s">
        <v>8</v>
      </c>
      <c r="G4706" t="s">
        <v>202</v>
      </c>
      <c r="H4706" t="s">
        <v>261</v>
      </c>
      <c r="I4706" s="4">
        <v>41587.104800000001</v>
      </c>
      <c r="J4706" s="4">
        <v>623806.57200000004</v>
      </c>
      <c r="K4706" s="4">
        <v>-31096.098000000002</v>
      </c>
      <c r="L4706" s="4">
        <v>15</v>
      </c>
    </row>
    <row r="4707" spans="1:12">
      <c r="A4707" t="s">
        <v>264</v>
      </c>
      <c r="B4707" s="10">
        <v>45403</v>
      </c>
      <c r="C4707" s="18">
        <f t="shared" si="73"/>
        <v>4</v>
      </c>
      <c r="D4707" t="s">
        <v>196</v>
      </c>
      <c r="E4707">
        <v>4876759</v>
      </c>
      <c r="F4707" t="s">
        <v>8</v>
      </c>
      <c r="G4707" t="s">
        <v>202</v>
      </c>
      <c r="H4707" t="s">
        <v>258</v>
      </c>
      <c r="I4707" s="4">
        <v>37817.880799999999</v>
      </c>
      <c r="J4707" s="4">
        <v>567268.21199999994</v>
      </c>
      <c r="K4707" s="4">
        <v>-28269.18</v>
      </c>
      <c r="L4707" s="4">
        <v>15</v>
      </c>
    </row>
    <row r="4708" spans="1:12">
      <c r="A4708" t="s">
        <v>264</v>
      </c>
      <c r="B4708" s="10">
        <v>45403</v>
      </c>
      <c r="C4708" s="18">
        <f t="shared" si="73"/>
        <v>4</v>
      </c>
      <c r="D4708" t="s">
        <v>196</v>
      </c>
      <c r="E4708">
        <v>4876759</v>
      </c>
      <c r="F4708" t="s">
        <v>8</v>
      </c>
      <c r="G4708" t="s">
        <v>202</v>
      </c>
      <c r="H4708" t="s">
        <v>254</v>
      </c>
      <c r="I4708" s="4">
        <v>37817.880799999999</v>
      </c>
      <c r="J4708" s="4">
        <v>378178.80799999996</v>
      </c>
      <c r="K4708" s="4">
        <v>-18846.12</v>
      </c>
      <c r="L4708" s="4">
        <v>10</v>
      </c>
    </row>
    <row r="4709" spans="1:12">
      <c r="A4709" t="s">
        <v>264</v>
      </c>
      <c r="B4709" s="10">
        <v>45404</v>
      </c>
      <c r="C4709" s="18">
        <f t="shared" si="73"/>
        <v>4</v>
      </c>
      <c r="D4709" t="s">
        <v>196</v>
      </c>
      <c r="E4709">
        <v>4878874</v>
      </c>
      <c r="F4709" t="s">
        <v>8</v>
      </c>
      <c r="G4709" t="s">
        <v>206</v>
      </c>
      <c r="H4709" t="s">
        <v>209</v>
      </c>
      <c r="I4709" s="4">
        <v>17715.352800000001</v>
      </c>
      <c r="J4709" s="4">
        <v>1771535.28</v>
      </c>
      <c r="K4709" s="4">
        <v>-175897.12</v>
      </c>
      <c r="L4709" s="4">
        <v>100</v>
      </c>
    </row>
    <row r="4710" spans="1:12">
      <c r="A4710" t="s">
        <v>264</v>
      </c>
      <c r="B4710" s="10">
        <v>45404</v>
      </c>
      <c r="C4710" s="18">
        <f t="shared" si="73"/>
        <v>4</v>
      </c>
      <c r="D4710" t="s">
        <v>196</v>
      </c>
      <c r="E4710">
        <v>4875440</v>
      </c>
      <c r="F4710" t="s">
        <v>8</v>
      </c>
      <c r="G4710" t="s">
        <v>203</v>
      </c>
      <c r="H4710" t="s">
        <v>238</v>
      </c>
      <c r="I4710" s="4">
        <v>95606.36675999999</v>
      </c>
      <c r="J4710" s="4">
        <v>191212.73351999998</v>
      </c>
      <c r="K4710" s="4">
        <v>-8669.2151999999987</v>
      </c>
      <c r="L4710" s="4">
        <v>2</v>
      </c>
    </row>
    <row r="4711" spans="1:12">
      <c r="A4711" t="s">
        <v>264</v>
      </c>
      <c r="B4711" s="10">
        <v>45404</v>
      </c>
      <c r="C4711" s="18">
        <f t="shared" si="73"/>
        <v>4</v>
      </c>
      <c r="D4711" t="s">
        <v>196</v>
      </c>
      <c r="E4711">
        <v>4875440</v>
      </c>
      <c r="F4711" t="s">
        <v>8</v>
      </c>
      <c r="G4711" t="s">
        <v>203</v>
      </c>
      <c r="H4711" t="s">
        <v>228</v>
      </c>
      <c r="I4711" s="4">
        <v>100638.28079999999</v>
      </c>
      <c r="J4711" s="4">
        <v>603829.68479999993</v>
      </c>
      <c r="K4711" s="4">
        <v>-26007.645599999996</v>
      </c>
      <c r="L4711" s="4">
        <v>6</v>
      </c>
    </row>
    <row r="4712" spans="1:12">
      <c r="A4712" t="s">
        <v>264</v>
      </c>
      <c r="B4712" s="10">
        <v>45404</v>
      </c>
      <c r="C4712" s="18">
        <f t="shared" si="73"/>
        <v>4</v>
      </c>
      <c r="D4712" t="s">
        <v>196</v>
      </c>
      <c r="E4712">
        <v>4875440</v>
      </c>
      <c r="F4712" t="s">
        <v>8</v>
      </c>
      <c r="G4712" t="s">
        <v>203</v>
      </c>
      <c r="H4712" t="s">
        <v>225</v>
      </c>
      <c r="I4712" s="4">
        <v>100638.28079999999</v>
      </c>
      <c r="J4712" s="4">
        <v>603829.68479999993</v>
      </c>
      <c r="K4712" s="4">
        <v>-26007.645599999996</v>
      </c>
      <c r="L4712" s="4">
        <v>6</v>
      </c>
    </row>
    <row r="4713" spans="1:12">
      <c r="A4713" t="s">
        <v>264</v>
      </c>
      <c r="B4713" s="10">
        <v>45404</v>
      </c>
      <c r="C4713" s="18">
        <f t="shared" si="73"/>
        <v>4</v>
      </c>
      <c r="D4713" t="s">
        <v>196</v>
      </c>
      <c r="E4713">
        <v>4875440</v>
      </c>
      <c r="F4713" t="s">
        <v>8</v>
      </c>
      <c r="G4713" t="s">
        <v>203</v>
      </c>
      <c r="H4713" t="s">
        <v>223</v>
      </c>
      <c r="I4713" s="4">
        <v>100638.28079999999</v>
      </c>
      <c r="J4713" s="4">
        <v>603829.68479999993</v>
      </c>
      <c r="K4713" s="4">
        <v>-26007.645599999996</v>
      </c>
      <c r="L4713" s="4">
        <v>6</v>
      </c>
    </row>
    <row r="4714" spans="1:12">
      <c r="A4714" t="s">
        <v>264</v>
      </c>
      <c r="B4714" s="10">
        <v>45404</v>
      </c>
      <c r="C4714" s="18">
        <f t="shared" si="73"/>
        <v>4</v>
      </c>
      <c r="D4714" t="s">
        <v>196</v>
      </c>
      <c r="E4714">
        <v>4875440</v>
      </c>
      <c r="F4714" t="s">
        <v>8</v>
      </c>
      <c r="G4714" t="s">
        <v>203</v>
      </c>
      <c r="H4714" t="s">
        <v>244</v>
      </c>
      <c r="I4714" s="4">
        <v>125766.4408</v>
      </c>
      <c r="J4714" s="4">
        <v>628832.20400000003</v>
      </c>
      <c r="K4714" s="4">
        <v>-28269.18</v>
      </c>
      <c r="L4714" s="4">
        <v>5</v>
      </c>
    </row>
    <row r="4715" spans="1:12">
      <c r="A4715" t="s">
        <v>264</v>
      </c>
      <c r="B4715" s="10">
        <v>45404</v>
      </c>
      <c r="C4715" s="18">
        <f t="shared" si="73"/>
        <v>4</v>
      </c>
      <c r="D4715" t="s">
        <v>196</v>
      </c>
      <c r="E4715">
        <v>4875440</v>
      </c>
      <c r="F4715" t="s">
        <v>8</v>
      </c>
      <c r="G4715" t="s">
        <v>203</v>
      </c>
      <c r="H4715" t="s">
        <v>235</v>
      </c>
      <c r="I4715" s="4">
        <v>125766.4408</v>
      </c>
      <c r="J4715" s="4">
        <v>628832.20400000003</v>
      </c>
      <c r="K4715" s="4">
        <v>-28269.18</v>
      </c>
      <c r="L4715" s="4">
        <v>5</v>
      </c>
    </row>
    <row r="4716" spans="1:12">
      <c r="A4716" t="s">
        <v>264</v>
      </c>
      <c r="B4716" s="10">
        <v>45405</v>
      </c>
      <c r="C4716" s="18">
        <f t="shared" si="73"/>
        <v>4</v>
      </c>
      <c r="D4716" t="s">
        <v>196</v>
      </c>
      <c r="E4716">
        <v>4872158</v>
      </c>
      <c r="F4716" t="s">
        <v>8</v>
      </c>
      <c r="G4716" t="s">
        <v>203</v>
      </c>
      <c r="H4716" t="s">
        <v>238</v>
      </c>
      <c r="I4716" s="4">
        <v>95606.36675999999</v>
      </c>
      <c r="J4716" s="4">
        <v>1912127.3351999999</v>
      </c>
      <c r="K4716" s="4">
        <v>-86692.152000000002</v>
      </c>
      <c r="L4716" s="4">
        <v>20</v>
      </c>
    </row>
    <row r="4717" spans="1:12">
      <c r="A4717" t="s">
        <v>264</v>
      </c>
      <c r="B4717" s="10">
        <v>45405</v>
      </c>
      <c r="C4717" s="18">
        <f t="shared" si="73"/>
        <v>4</v>
      </c>
      <c r="D4717" t="s">
        <v>196</v>
      </c>
      <c r="E4717">
        <v>4872158</v>
      </c>
      <c r="F4717" t="s">
        <v>8</v>
      </c>
      <c r="G4717" t="s">
        <v>203</v>
      </c>
      <c r="H4717" t="s">
        <v>244</v>
      </c>
      <c r="I4717" s="4">
        <v>125766.4408</v>
      </c>
      <c r="J4717" s="4">
        <v>1257664.4080000001</v>
      </c>
      <c r="K4717" s="4">
        <v>-56538.36</v>
      </c>
      <c r="L4717" s="4">
        <v>10</v>
      </c>
    </row>
    <row r="4718" spans="1:12">
      <c r="A4718" t="s">
        <v>264</v>
      </c>
      <c r="B4718" s="10">
        <v>45405</v>
      </c>
      <c r="C4718" s="18">
        <f t="shared" si="73"/>
        <v>4</v>
      </c>
      <c r="D4718" t="s">
        <v>196</v>
      </c>
      <c r="E4718">
        <v>4873723</v>
      </c>
      <c r="F4718" t="s">
        <v>8</v>
      </c>
      <c r="G4718" t="s">
        <v>204</v>
      </c>
      <c r="H4718" t="s">
        <v>221</v>
      </c>
      <c r="I4718" s="4">
        <v>25253.800799999997</v>
      </c>
      <c r="J4718" s="4">
        <v>126269.00399999999</v>
      </c>
      <c r="K4718" s="4">
        <v>-6282.04</v>
      </c>
      <c r="L4718" s="4">
        <v>5</v>
      </c>
    </row>
    <row r="4719" spans="1:12">
      <c r="A4719" t="s">
        <v>264</v>
      </c>
      <c r="B4719" s="10">
        <v>45405</v>
      </c>
      <c r="C4719" s="18">
        <f t="shared" si="73"/>
        <v>4</v>
      </c>
      <c r="D4719" t="s">
        <v>196</v>
      </c>
      <c r="E4719">
        <v>4873723</v>
      </c>
      <c r="F4719" t="s">
        <v>8</v>
      </c>
      <c r="G4719" t="s">
        <v>204</v>
      </c>
      <c r="H4719" t="s">
        <v>220</v>
      </c>
      <c r="I4719" s="4">
        <v>37817.880799999999</v>
      </c>
      <c r="J4719" s="4">
        <v>189089.40399999998</v>
      </c>
      <c r="K4719" s="4">
        <v>-9423.06</v>
      </c>
      <c r="L4719" s="4">
        <v>5</v>
      </c>
    </row>
    <row r="4720" spans="1:12">
      <c r="A4720" t="s">
        <v>264</v>
      </c>
      <c r="B4720" s="10">
        <v>45405</v>
      </c>
      <c r="C4720" s="18">
        <f t="shared" si="73"/>
        <v>4</v>
      </c>
      <c r="D4720" t="s">
        <v>196</v>
      </c>
      <c r="E4720">
        <v>4877306</v>
      </c>
      <c r="F4720" t="s">
        <v>8</v>
      </c>
      <c r="G4720" t="s">
        <v>203</v>
      </c>
      <c r="H4720" t="s">
        <v>238</v>
      </c>
      <c r="I4720" s="4">
        <v>95606.36675999999</v>
      </c>
      <c r="J4720" s="4">
        <v>382425.46703999996</v>
      </c>
      <c r="K4720" s="4">
        <v>-17338.430399999997</v>
      </c>
      <c r="L4720" s="4">
        <v>4</v>
      </c>
    </row>
    <row r="4721" spans="1:12">
      <c r="A4721" t="s">
        <v>264</v>
      </c>
      <c r="B4721" s="10">
        <v>45406</v>
      </c>
      <c r="C4721" s="18">
        <f t="shared" si="73"/>
        <v>4</v>
      </c>
      <c r="D4721" t="s">
        <v>196</v>
      </c>
      <c r="E4721">
        <v>4878825</v>
      </c>
      <c r="F4721" t="s">
        <v>8</v>
      </c>
      <c r="G4721" t="s">
        <v>202</v>
      </c>
      <c r="H4721" t="s">
        <v>261</v>
      </c>
      <c r="I4721" s="4">
        <v>41587.104800000001</v>
      </c>
      <c r="J4721" s="4">
        <v>41587.104800000001</v>
      </c>
      <c r="K4721" s="4">
        <v>-2073.0732000000003</v>
      </c>
      <c r="L4721" s="4">
        <v>1</v>
      </c>
    </row>
    <row r="4722" spans="1:12">
      <c r="A4722" t="s">
        <v>264</v>
      </c>
      <c r="B4722" s="10">
        <v>45406</v>
      </c>
      <c r="C4722" s="18">
        <f t="shared" si="73"/>
        <v>4</v>
      </c>
      <c r="D4722" t="s">
        <v>196</v>
      </c>
      <c r="E4722">
        <v>4873723</v>
      </c>
      <c r="F4722" t="s">
        <v>8</v>
      </c>
      <c r="G4722" t="s">
        <v>204</v>
      </c>
      <c r="H4722" t="s">
        <v>219</v>
      </c>
      <c r="I4722" s="4">
        <v>44099.9208</v>
      </c>
      <c r="J4722" s="4">
        <v>440999.20799999998</v>
      </c>
      <c r="K4722" s="4">
        <v>-18846.12</v>
      </c>
      <c r="L4722" s="4">
        <v>10</v>
      </c>
    </row>
    <row r="4723" spans="1:12">
      <c r="A4723" t="s">
        <v>264</v>
      </c>
      <c r="B4723" s="10">
        <v>45406</v>
      </c>
      <c r="C4723" s="18">
        <f t="shared" si="73"/>
        <v>4</v>
      </c>
      <c r="D4723" t="s">
        <v>196</v>
      </c>
      <c r="E4723">
        <v>4873723</v>
      </c>
      <c r="F4723" t="s">
        <v>8</v>
      </c>
      <c r="G4723" t="s">
        <v>204</v>
      </c>
      <c r="H4723" t="s">
        <v>215</v>
      </c>
      <c r="I4723" s="4">
        <v>75510.12079999999</v>
      </c>
      <c r="J4723" s="4">
        <v>302040.48319999996</v>
      </c>
      <c r="K4723" s="4">
        <v>-15076.895999999999</v>
      </c>
      <c r="L4723" s="4">
        <v>4</v>
      </c>
    </row>
    <row r="4724" spans="1:12">
      <c r="A4724" t="s">
        <v>264</v>
      </c>
      <c r="B4724" s="10">
        <v>45406</v>
      </c>
      <c r="C4724" s="18">
        <f t="shared" si="73"/>
        <v>4</v>
      </c>
      <c r="D4724" t="s">
        <v>196</v>
      </c>
      <c r="E4724">
        <v>4872203</v>
      </c>
      <c r="F4724" t="s">
        <v>8</v>
      </c>
      <c r="G4724" t="s">
        <v>203</v>
      </c>
      <c r="H4724" t="s">
        <v>245</v>
      </c>
      <c r="I4724" s="4">
        <v>100638.28079999999</v>
      </c>
      <c r="J4724" s="4">
        <v>2012765.6159999999</v>
      </c>
      <c r="K4724" s="4">
        <v>-86692.152000000002</v>
      </c>
      <c r="L4724" s="4">
        <v>20</v>
      </c>
    </row>
    <row r="4725" spans="1:12">
      <c r="A4725" t="s">
        <v>264</v>
      </c>
      <c r="B4725" s="10">
        <v>45406</v>
      </c>
      <c r="C4725" s="18">
        <f t="shared" si="73"/>
        <v>4</v>
      </c>
      <c r="D4725" t="s">
        <v>196</v>
      </c>
      <c r="E4725">
        <v>4872203</v>
      </c>
      <c r="F4725" t="s">
        <v>8</v>
      </c>
      <c r="G4725" t="s">
        <v>203</v>
      </c>
      <c r="H4725" t="s">
        <v>238</v>
      </c>
      <c r="I4725" s="4">
        <v>95606.36675999999</v>
      </c>
      <c r="J4725" s="4">
        <v>1912127.3351999999</v>
      </c>
      <c r="K4725" s="4">
        <v>-86692.152000000002</v>
      </c>
      <c r="L4725" s="4">
        <v>20</v>
      </c>
    </row>
    <row r="4726" spans="1:12">
      <c r="A4726" t="s">
        <v>264</v>
      </c>
      <c r="B4726" s="10">
        <v>45406</v>
      </c>
      <c r="C4726" s="18">
        <f t="shared" si="73"/>
        <v>4</v>
      </c>
      <c r="D4726" t="s">
        <v>196</v>
      </c>
      <c r="E4726">
        <v>4872203</v>
      </c>
      <c r="F4726" t="s">
        <v>8</v>
      </c>
      <c r="G4726" t="s">
        <v>203</v>
      </c>
      <c r="H4726" t="s">
        <v>228</v>
      </c>
      <c r="I4726" s="4">
        <v>100638.28079999999</v>
      </c>
      <c r="J4726" s="4">
        <v>3019148.4239999996</v>
      </c>
      <c r="K4726" s="4">
        <v>-130038.22799999999</v>
      </c>
      <c r="L4726" s="4">
        <v>30</v>
      </c>
    </row>
    <row r="4727" spans="1:12">
      <c r="A4727" t="s">
        <v>264</v>
      </c>
      <c r="B4727" s="10">
        <v>45406</v>
      </c>
      <c r="C4727" s="18">
        <f t="shared" si="73"/>
        <v>4</v>
      </c>
      <c r="D4727" t="s">
        <v>196</v>
      </c>
      <c r="E4727">
        <v>4872203</v>
      </c>
      <c r="F4727" t="s">
        <v>8</v>
      </c>
      <c r="G4727" t="s">
        <v>203</v>
      </c>
      <c r="H4727" t="s">
        <v>225</v>
      </c>
      <c r="I4727" s="4">
        <v>100638.28079999999</v>
      </c>
      <c r="J4727" s="4">
        <v>2012765.6159999999</v>
      </c>
      <c r="K4727" s="4">
        <v>-86692.152000000002</v>
      </c>
      <c r="L4727" s="4">
        <v>20</v>
      </c>
    </row>
    <row r="4728" spans="1:12">
      <c r="A4728" t="s">
        <v>264</v>
      </c>
      <c r="B4728" s="10">
        <v>45406</v>
      </c>
      <c r="C4728" s="18">
        <f t="shared" si="73"/>
        <v>4</v>
      </c>
      <c r="D4728" t="s">
        <v>196</v>
      </c>
      <c r="E4728">
        <v>4872203</v>
      </c>
      <c r="F4728" t="s">
        <v>8</v>
      </c>
      <c r="G4728" t="s">
        <v>203</v>
      </c>
      <c r="H4728" t="s">
        <v>223</v>
      </c>
      <c r="I4728" s="4">
        <v>100638.28079999999</v>
      </c>
      <c r="J4728" s="4">
        <v>2012765.6159999999</v>
      </c>
      <c r="K4728" s="4">
        <v>-86692.152000000002</v>
      </c>
      <c r="L4728" s="4">
        <v>20</v>
      </c>
    </row>
    <row r="4729" spans="1:12">
      <c r="A4729" t="s">
        <v>264</v>
      </c>
      <c r="B4729" s="10">
        <v>45406</v>
      </c>
      <c r="C4729" s="18">
        <f t="shared" si="73"/>
        <v>4</v>
      </c>
      <c r="D4729" t="s">
        <v>196</v>
      </c>
      <c r="E4729">
        <v>4872203</v>
      </c>
      <c r="F4729" t="s">
        <v>8</v>
      </c>
      <c r="G4729" t="s">
        <v>203</v>
      </c>
      <c r="H4729" t="s">
        <v>244</v>
      </c>
      <c r="I4729" s="4">
        <v>125766.4408</v>
      </c>
      <c r="J4729" s="4">
        <v>1131897.9672000001</v>
      </c>
      <c r="K4729" s="4">
        <v>-50884.523999999998</v>
      </c>
      <c r="L4729" s="4">
        <v>9</v>
      </c>
    </row>
    <row r="4730" spans="1:12">
      <c r="A4730" t="s">
        <v>264</v>
      </c>
      <c r="B4730" s="10">
        <v>45406</v>
      </c>
      <c r="C4730" s="18">
        <f t="shared" si="73"/>
        <v>4</v>
      </c>
      <c r="D4730" t="s">
        <v>196</v>
      </c>
      <c r="E4730">
        <v>4876759</v>
      </c>
      <c r="F4730" t="s">
        <v>8</v>
      </c>
      <c r="G4730" t="s">
        <v>204</v>
      </c>
      <c r="H4730" t="s">
        <v>214</v>
      </c>
      <c r="I4730" s="4">
        <v>119484.4008</v>
      </c>
      <c r="J4730" s="4">
        <v>955875.20640000002</v>
      </c>
      <c r="K4730" s="4">
        <v>-47743.504000000001</v>
      </c>
      <c r="L4730" s="4">
        <v>8</v>
      </c>
    </row>
    <row r="4731" spans="1:12">
      <c r="A4731" t="s">
        <v>264</v>
      </c>
      <c r="B4731" s="10">
        <v>45406</v>
      </c>
      <c r="C4731" s="18">
        <f t="shared" si="73"/>
        <v>4</v>
      </c>
      <c r="D4731" t="s">
        <v>196</v>
      </c>
      <c r="E4731">
        <v>4877306</v>
      </c>
      <c r="F4731" t="s">
        <v>8</v>
      </c>
      <c r="G4731" t="s">
        <v>203</v>
      </c>
      <c r="H4731" t="s">
        <v>238</v>
      </c>
      <c r="I4731" s="4">
        <v>95606.36675999999</v>
      </c>
      <c r="J4731" s="4">
        <v>191212.73351999998</v>
      </c>
      <c r="K4731" s="4">
        <v>-8669.2151999999987</v>
      </c>
      <c r="L4731" s="4">
        <v>2</v>
      </c>
    </row>
    <row r="4732" spans="1:12">
      <c r="A4732" t="s">
        <v>264</v>
      </c>
      <c r="B4732" s="10">
        <v>45407</v>
      </c>
      <c r="C4732" s="18">
        <f t="shared" si="73"/>
        <v>4</v>
      </c>
      <c r="D4732" t="s">
        <v>196</v>
      </c>
      <c r="E4732">
        <v>4878952</v>
      </c>
      <c r="F4732" t="s">
        <v>8</v>
      </c>
      <c r="G4732" t="s">
        <v>202</v>
      </c>
      <c r="H4732" t="s">
        <v>261</v>
      </c>
      <c r="I4732" s="4">
        <v>41587.104800000001</v>
      </c>
      <c r="J4732" s="4">
        <v>582219.46720000007</v>
      </c>
      <c r="K4732" s="4">
        <v>-29023.024799999999</v>
      </c>
      <c r="L4732" s="4">
        <v>14</v>
      </c>
    </row>
    <row r="4733" spans="1:12">
      <c r="A4733" t="s">
        <v>264</v>
      </c>
      <c r="B4733" s="10">
        <v>45407</v>
      </c>
      <c r="C4733" s="18">
        <f t="shared" si="73"/>
        <v>4</v>
      </c>
      <c r="D4733" t="s">
        <v>196</v>
      </c>
      <c r="E4733">
        <v>4878952</v>
      </c>
      <c r="F4733" t="s">
        <v>8</v>
      </c>
      <c r="G4733" t="s">
        <v>202</v>
      </c>
      <c r="H4733" t="s">
        <v>258</v>
      </c>
      <c r="I4733" s="4">
        <v>37817.880799999999</v>
      </c>
      <c r="J4733" s="4">
        <v>226907.28479999999</v>
      </c>
      <c r="K4733" s="4">
        <v>-11307.672</v>
      </c>
      <c r="L4733" s="4">
        <v>6</v>
      </c>
    </row>
    <row r="4734" spans="1:12">
      <c r="A4734" t="s">
        <v>264</v>
      </c>
      <c r="B4734" s="10">
        <v>45407</v>
      </c>
      <c r="C4734" s="18">
        <f t="shared" si="73"/>
        <v>4</v>
      </c>
      <c r="D4734" t="s">
        <v>196</v>
      </c>
      <c r="E4734">
        <v>4878952</v>
      </c>
      <c r="F4734" t="s">
        <v>8</v>
      </c>
      <c r="G4734" t="s">
        <v>202</v>
      </c>
      <c r="H4734" t="s">
        <v>256</v>
      </c>
      <c r="I4734" s="4">
        <v>64202.448800000006</v>
      </c>
      <c r="J4734" s="4">
        <v>642024.48800000001</v>
      </c>
      <c r="K4734" s="4">
        <v>-32038.403999999999</v>
      </c>
      <c r="L4734" s="4">
        <v>10</v>
      </c>
    </row>
    <row r="4735" spans="1:12">
      <c r="A4735" t="s">
        <v>264</v>
      </c>
      <c r="B4735" s="10">
        <v>45407</v>
      </c>
      <c r="C4735" s="18">
        <f t="shared" si="73"/>
        <v>4</v>
      </c>
      <c r="D4735" t="s">
        <v>196</v>
      </c>
      <c r="E4735">
        <v>4878874</v>
      </c>
      <c r="F4735" t="s">
        <v>8</v>
      </c>
      <c r="G4735" t="s">
        <v>206</v>
      </c>
      <c r="H4735" t="s">
        <v>249</v>
      </c>
      <c r="I4735" s="4">
        <v>17715.352800000001</v>
      </c>
      <c r="J4735" s="4">
        <v>3543070.56</v>
      </c>
      <c r="K4735" s="4">
        <v>-351794.24</v>
      </c>
      <c r="L4735" s="4">
        <v>200</v>
      </c>
    </row>
    <row r="4736" spans="1:12">
      <c r="A4736" t="s">
        <v>264</v>
      </c>
      <c r="B4736" s="10">
        <v>45407</v>
      </c>
      <c r="C4736" s="18">
        <f t="shared" si="73"/>
        <v>4</v>
      </c>
      <c r="D4736" t="s">
        <v>196</v>
      </c>
      <c r="E4736">
        <v>4878748</v>
      </c>
      <c r="F4736" t="s">
        <v>8</v>
      </c>
      <c r="G4736" t="s">
        <v>204</v>
      </c>
      <c r="H4736" t="s">
        <v>214</v>
      </c>
      <c r="I4736" s="4">
        <v>119484.4008</v>
      </c>
      <c r="J4736" s="4">
        <v>1194844.0079999999</v>
      </c>
      <c r="K4736" s="4">
        <v>-59679.38</v>
      </c>
      <c r="L4736" s="4">
        <v>10</v>
      </c>
    </row>
    <row r="4737" spans="1:12">
      <c r="A4737" t="s">
        <v>264</v>
      </c>
      <c r="B4737" s="10">
        <v>45407</v>
      </c>
      <c r="C4737" s="18">
        <f t="shared" si="73"/>
        <v>4</v>
      </c>
      <c r="D4737" t="s">
        <v>196</v>
      </c>
      <c r="E4737">
        <v>4872200</v>
      </c>
      <c r="F4737" t="s">
        <v>8</v>
      </c>
      <c r="G4737" t="s">
        <v>203</v>
      </c>
      <c r="H4737" t="s">
        <v>245</v>
      </c>
      <c r="I4737" s="4">
        <v>100638.28079999999</v>
      </c>
      <c r="J4737" s="4">
        <v>1006382.808</v>
      </c>
      <c r="K4737" s="4">
        <v>-43346.076000000001</v>
      </c>
      <c r="L4737" s="4">
        <v>10</v>
      </c>
    </row>
    <row r="4738" spans="1:12">
      <c r="A4738" t="s">
        <v>264</v>
      </c>
      <c r="B4738" s="10">
        <v>45407</v>
      </c>
      <c r="C4738" s="18">
        <f t="shared" ref="C4738:C4801" si="74">MONTH(B4738)</f>
        <v>4</v>
      </c>
      <c r="D4738" t="s">
        <v>196</v>
      </c>
      <c r="E4738">
        <v>4872200</v>
      </c>
      <c r="F4738" t="s">
        <v>8</v>
      </c>
      <c r="G4738" t="s">
        <v>203</v>
      </c>
      <c r="H4738" t="s">
        <v>228</v>
      </c>
      <c r="I4738" s="4">
        <v>100638.28079999999</v>
      </c>
      <c r="J4738" s="4">
        <v>1006382.808</v>
      </c>
      <c r="K4738" s="4">
        <v>-43346.076000000001</v>
      </c>
      <c r="L4738" s="4">
        <v>10</v>
      </c>
    </row>
    <row r="4739" spans="1:12">
      <c r="A4739" t="s">
        <v>264</v>
      </c>
      <c r="B4739" s="10">
        <v>45407</v>
      </c>
      <c r="C4739" s="18">
        <f t="shared" si="74"/>
        <v>4</v>
      </c>
      <c r="D4739" t="s">
        <v>196</v>
      </c>
      <c r="E4739">
        <v>4872200</v>
      </c>
      <c r="F4739" t="s">
        <v>8</v>
      </c>
      <c r="G4739" t="s">
        <v>203</v>
      </c>
      <c r="H4739" t="s">
        <v>225</v>
      </c>
      <c r="I4739" s="4">
        <v>100638.28079999999</v>
      </c>
      <c r="J4739" s="4">
        <v>2012765.6159999999</v>
      </c>
      <c r="K4739" s="4">
        <v>-86692.152000000002</v>
      </c>
      <c r="L4739" s="4">
        <v>20</v>
      </c>
    </row>
    <row r="4740" spans="1:12">
      <c r="A4740" t="s">
        <v>264</v>
      </c>
      <c r="B4740" s="10">
        <v>45407</v>
      </c>
      <c r="C4740" s="18">
        <f t="shared" si="74"/>
        <v>4</v>
      </c>
      <c r="D4740" t="s">
        <v>196</v>
      </c>
      <c r="E4740">
        <v>4872200</v>
      </c>
      <c r="F4740" t="s">
        <v>8</v>
      </c>
      <c r="G4740" t="s">
        <v>203</v>
      </c>
      <c r="H4740" t="s">
        <v>223</v>
      </c>
      <c r="I4740" s="4">
        <v>100638.28079999999</v>
      </c>
      <c r="J4740" s="4">
        <v>1006382.808</v>
      </c>
      <c r="K4740" s="4">
        <v>-43346.076000000001</v>
      </c>
      <c r="L4740" s="4">
        <v>10</v>
      </c>
    </row>
    <row r="4741" spans="1:12">
      <c r="A4741" t="s">
        <v>264</v>
      </c>
      <c r="B4741" s="10">
        <v>45407</v>
      </c>
      <c r="C4741" s="18">
        <f t="shared" si="74"/>
        <v>4</v>
      </c>
      <c r="D4741" t="s">
        <v>196</v>
      </c>
      <c r="E4741">
        <v>4872200</v>
      </c>
      <c r="F4741" t="s">
        <v>8</v>
      </c>
      <c r="G4741" t="s">
        <v>203</v>
      </c>
      <c r="H4741" t="s">
        <v>235</v>
      </c>
      <c r="I4741" s="4">
        <v>125766.4408</v>
      </c>
      <c r="J4741" s="4">
        <v>628832.20400000003</v>
      </c>
      <c r="K4741" s="4">
        <v>-28269.18</v>
      </c>
      <c r="L4741" s="4">
        <v>5</v>
      </c>
    </row>
    <row r="4742" spans="1:12">
      <c r="A4742" t="s">
        <v>264</v>
      </c>
      <c r="B4742" s="10">
        <v>45408</v>
      </c>
      <c r="C4742" s="18">
        <f t="shared" si="74"/>
        <v>4</v>
      </c>
      <c r="D4742" t="s">
        <v>196</v>
      </c>
      <c r="E4742">
        <v>4872156</v>
      </c>
      <c r="F4742" t="s">
        <v>8</v>
      </c>
      <c r="G4742" t="s">
        <v>205</v>
      </c>
      <c r="H4742" t="s">
        <v>246</v>
      </c>
      <c r="I4742" s="4">
        <v>5967.9380000000001</v>
      </c>
      <c r="J4742" s="4">
        <v>298396.90000000002</v>
      </c>
      <c r="K4742" s="4">
        <v>-15705.1</v>
      </c>
      <c r="L4742" s="4">
        <v>50</v>
      </c>
    </row>
    <row r="4743" spans="1:12">
      <c r="A4743" t="s">
        <v>264</v>
      </c>
      <c r="B4743" s="10">
        <v>45408</v>
      </c>
      <c r="C4743" s="18">
        <f t="shared" si="74"/>
        <v>4</v>
      </c>
      <c r="D4743" t="s">
        <v>196</v>
      </c>
      <c r="E4743">
        <v>4872156</v>
      </c>
      <c r="F4743" t="s">
        <v>8</v>
      </c>
      <c r="G4743" t="s">
        <v>205</v>
      </c>
      <c r="H4743" t="s">
        <v>247</v>
      </c>
      <c r="I4743" s="4">
        <v>8355.1131999999998</v>
      </c>
      <c r="J4743" s="4">
        <v>417755.66</v>
      </c>
      <c r="K4743" s="4">
        <v>-21987.14</v>
      </c>
      <c r="L4743" s="4">
        <v>50</v>
      </c>
    </row>
    <row r="4744" spans="1:12">
      <c r="A4744" t="s">
        <v>264</v>
      </c>
      <c r="B4744" s="10">
        <v>45409</v>
      </c>
      <c r="C4744" s="18">
        <f t="shared" si="74"/>
        <v>4</v>
      </c>
      <c r="D4744" t="s">
        <v>196</v>
      </c>
      <c r="E4744">
        <v>4871600</v>
      </c>
      <c r="F4744" t="s">
        <v>8</v>
      </c>
      <c r="G4744" t="s">
        <v>202</v>
      </c>
      <c r="H4744" t="s">
        <v>256</v>
      </c>
      <c r="I4744" s="4">
        <v>64202.448800000006</v>
      </c>
      <c r="J4744" s="4">
        <v>1284048.976</v>
      </c>
      <c r="K4744" s="4">
        <v>-64076.807999999997</v>
      </c>
      <c r="L4744" s="4">
        <v>20</v>
      </c>
    </row>
    <row r="4745" spans="1:12">
      <c r="A4745" t="s">
        <v>264</v>
      </c>
      <c r="B4745" s="10">
        <v>45409</v>
      </c>
      <c r="C4745" s="18">
        <f t="shared" si="74"/>
        <v>4</v>
      </c>
      <c r="D4745" t="s">
        <v>196</v>
      </c>
      <c r="E4745">
        <v>4872706</v>
      </c>
      <c r="F4745" t="s">
        <v>8</v>
      </c>
      <c r="G4745" t="s">
        <v>204</v>
      </c>
      <c r="H4745" t="s">
        <v>221</v>
      </c>
      <c r="I4745" s="4">
        <v>25253.800799999997</v>
      </c>
      <c r="J4745" s="4">
        <v>252538.00799999997</v>
      </c>
      <c r="K4745" s="4">
        <v>-12564.08</v>
      </c>
      <c r="L4745" s="4">
        <v>10</v>
      </c>
    </row>
    <row r="4746" spans="1:12">
      <c r="A4746" t="s">
        <v>264</v>
      </c>
      <c r="B4746" s="10">
        <v>45409</v>
      </c>
      <c r="C4746" s="18">
        <f t="shared" si="74"/>
        <v>4</v>
      </c>
      <c r="D4746" t="s">
        <v>196</v>
      </c>
      <c r="E4746">
        <v>4872706</v>
      </c>
      <c r="F4746" t="s">
        <v>8</v>
      </c>
      <c r="G4746" t="s">
        <v>204</v>
      </c>
      <c r="H4746" t="s">
        <v>220</v>
      </c>
      <c r="I4746" s="4">
        <v>37817.880799999999</v>
      </c>
      <c r="J4746" s="4">
        <v>378178.80799999996</v>
      </c>
      <c r="K4746" s="4">
        <v>-18846.12</v>
      </c>
      <c r="L4746" s="4">
        <v>10</v>
      </c>
    </row>
    <row r="4747" spans="1:12">
      <c r="A4747" t="s">
        <v>264</v>
      </c>
      <c r="B4747" s="10">
        <v>45409</v>
      </c>
      <c r="C4747" s="18">
        <f t="shared" si="74"/>
        <v>4</v>
      </c>
      <c r="D4747" t="s">
        <v>196</v>
      </c>
      <c r="E4747">
        <v>4872706</v>
      </c>
      <c r="F4747" t="s">
        <v>8</v>
      </c>
      <c r="G4747" t="s">
        <v>204</v>
      </c>
      <c r="H4747" t="s">
        <v>212</v>
      </c>
      <c r="I4747" s="4">
        <v>62946.040799999995</v>
      </c>
      <c r="J4747" s="4">
        <v>503568.32639999996</v>
      </c>
      <c r="K4747" s="4">
        <v>-15076.895999999999</v>
      </c>
      <c r="L4747" s="4">
        <v>8</v>
      </c>
    </row>
    <row r="4748" spans="1:12">
      <c r="A4748" t="s">
        <v>264</v>
      </c>
      <c r="B4748" s="10">
        <v>45409</v>
      </c>
      <c r="C4748" s="18">
        <f t="shared" si="74"/>
        <v>4</v>
      </c>
      <c r="D4748" t="s">
        <v>196</v>
      </c>
      <c r="E4748">
        <v>4876422</v>
      </c>
      <c r="F4748" t="s">
        <v>8</v>
      </c>
      <c r="G4748" t="s">
        <v>203</v>
      </c>
      <c r="H4748" t="s">
        <v>228</v>
      </c>
      <c r="I4748" s="4">
        <v>100638.28079999999</v>
      </c>
      <c r="J4748" s="4">
        <v>603829.68479999993</v>
      </c>
      <c r="K4748" s="4">
        <v>-26007.645599999996</v>
      </c>
      <c r="L4748" s="4">
        <v>6</v>
      </c>
    </row>
    <row r="4749" spans="1:12">
      <c r="A4749" t="s">
        <v>264</v>
      </c>
      <c r="B4749" s="10">
        <v>45409</v>
      </c>
      <c r="C4749" s="18">
        <f t="shared" si="74"/>
        <v>4</v>
      </c>
      <c r="D4749" t="s">
        <v>196</v>
      </c>
      <c r="E4749">
        <v>4876422</v>
      </c>
      <c r="F4749" t="s">
        <v>8</v>
      </c>
      <c r="G4749" t="s">
        <v>203</v>
      </c>
      <c r="H4749" t="s">
        <v>225</v>
      </c>
      <c r="I4749" s="4">
        <v>100638.28079999999</v>
      </c>
      <c r="J4749" s="4">
        <v>1006382.808</v>
      </c>
      <c r="K4749" s="4">
        <v>-43346.076000000001</v>
      </c>
      <c r="L4749" s="4">
        <v>10</v>
      </c>
    </row>
    <row r="4750" spans="1:12">
      <c r="A4750" t="s">
        <v>264</v>
      </c>
      <c r="B4750" s="10">
        <v>45409</v>
      </c>
      <c r="C4750" s="18">
        <f t="shared" si="74"/>
        <v>4</v>
      </c>
      <c r="D4750" t="s">
        <v>196</v>
      </c>
      <c r="E4750">
        <v>4876422</v>
      </c>
      <c r="F4750" t="s">
        <v>8</v>
      </c>
      <c r="G4750" t="s">
        <v>203</v>
      </c>
      <c r="H4750" t="s">
        <v>223</v>
      </c>
      <c r="I4750" s="4">
        <v>100638.28079999999</v>
      </c>
      <c r="J4750" s="4">
        <v>402553.12319999997</v>
      </c>
      <c r="K4750" s="4">
        <v>-17338.430399999997</v>
      </c>
      <c r="L4750" s="4">
        <v>4</v>
      </c>
    </row>
    <row r="4751" spans="1:12">
      <c r="A4751" t="s">
        <v>264</v>
      </c>
      <c r="B4751" s="10">
        <v>45409</v>
      </c>
      <c r="C4751" s="18">
        <f t="shared" si="74"/>
        <v>4</v>
      </c>
      <c r="D4751" t="s">
        <v>196</v>
      </c>
      <c r="E4751">
        <v>4878825</v>
      </c>
      <c r="F4751" t="s">
        <v>8</v>
      </c>
      <c r="G4751" t="s">
        <v>202</v>
      </c>
      <c r="H4751" t="s">
        <v>261</v>
      </c>
      <c r="I4751" s="4">
        <v>41587.104800000001</v>
      </c>
      <c r="J4751" s="4">
        <v>83174.209600000002</v>
      </c>
      <c r="K4751" s="4">
        <v>-4146.1464000000005</v>
      </c>
      <c r="L4751" s="4">
        <v>2</v>
      </c>
    </row>
    <row r="4752" spans="1:12">
      <c r="A4752" t="s">
        <v>264</v>
      </c>
      <c r="B4752" s="10">
        <v>45409</v>
      </c>
      <c r="C4752" s="18">
        <f t="shared" si="74"/>
        <v>4</v>
      </c>
      <c r="D4752" t="s">
        <v>196</v>
      </c>
      <c r="E4752">
        <v>4872162</v>
      </c>
      <c r="F4752" t="s">
        <v>8</v>
      </c>
      <c r="G4752" t="s">
        <v>202</v>
      </c>
      <c r="H4752" t="s">
        <v>261</v>
      </c>
      <c r="I4752" s="4">
        <v>41587.104800000001</v>
      </c>
      <c r="J4752" s="4">
        <v>4158710.48</v>
      </c>
      <c r="K4752" s="4">
        <v>-207307.32</v>
      </c>
      <c r="L4752" s="4">
        <v>100</v>
      </c>
    </row>
    <row r="4753" spans="1:12">
      <c r="A4753" t="s">
        <v>264</v>
      </c>
      <c r="B4753" s="10">
        <v>45409</v>
      </c>
      <c r="C4753" s="18">
        <f t="shared" si="74"/>
        <v>4</v>
      </c>
      <c r="D4753" t="s">
        <v>196</v>
      </c>
      <c r="E4753">
        <v>4872162</v>
      </c>
      <c r="F4753" t="s">
        <v>8</v>
      </c>
      <c r="G4753" t="s">
        <v>202</v>
      </c>
      <c r="H4753" t="s">
        <v>256</v>
      </c>
      <c r="I4753" s="4">
        <v>64202.448800000006</v>
      </c>
      <c r="J4753" s="4">
        <v>642024.48800000001</v>
      </c>
      <c r="K4753" s="4">
        <v>-32038.403999999999</v>
      </c>
      <c r="L4753" s="4">
        <v>10</v>
      </c>
    </row>
    <row r="4754" spans="1:12">
      <c r="A4754" t="s">
        <v>264</v>
      </c>
      <c r="B4754" s="10">
        <v>45409</v>
      </c>
      <c r="C4754" s="18">
        <f t="shared" si="74"/>
        <v>4</v>
      </c>
      <c r="D4754" t="s">
        <v>196</v>
      </c>
      <c r="E4754">
        <v>4872135</v>
      </c>
      <c r="F4754" t="s">
        <v>8</v>
      </c>
      <c r="G4754" t="s">
        <v>203</v>
      </c>
      <c r="H4754" t="s">
        <v>238</v>
      </c>
      <c r="I4754" s="4">
        <v>95606.36675999999</v>
      </c>
      <c r="J4754" s="4">
        <v>1912127.3351999999</v>
      </c>
      <c r="K4754" s="4">
        <v>-86692.152000000002</v>
      </c>
      <c r="L4754" s="4">
        <v>20</v>
      </c>
    </row>
    <row r="4755" spans="1:12">
      <c r="A4755" t="s">
        <v>264</v>
      </c>
      <c r="B4755" s="10">
        <v>45409</v>
      </c>
      <c r="C4755" s="18">
        <f t="shared" si="74"/>
        <v>4</v>
      </c>
      <c r="D4755" t="s">
        <v>196</v>
      </c>
      <c r="E4755">
        <v>4872135</v>
      </c>
      <c r="F4755" t="s">
        <v>8</v>
      </c>
      <c r="G4755" t="s">
        <v>203</v>
      </c>
      <c r="H4755" t="s">
        <v>225</v>
      </c>
      <c r="I4755" s="4">
        <v>100638.28079999999</v>
      </c>
      <c r="J4755" s="4">
        <v>1811489.0543999998</v>
      </c>
      <c r="K4755" s="4">
        <v>-78022.936799999996</v>
      </c>
      <c r="L4755" s="4">
        <v>18</v>
      </c>
    </row>
    <row r="4756" spans="1:12">
      <c r="A4756" t="s">
        <v>264</v>
      </c>
      <c r="B4756" s="10">
        <v>45409</v>
      </c>
      <c r="C4756" s="18">
        <f t="shared" si="74"/>
        <v>4</v>
      </c>
      <c r="D4756" t="s">
        <v>196</v>
      </c>
      <c r="E4756">
        <v>4872135</v>
      </c>
      <c r="F4756" t="s">
        <v>8</v>
      </c>
      <c r="G4756" t="s">
        <v>203</v>
      </c>
      <c r="H4756" t="s">
        <v>223</v>
      </c>
      <c r="I4756" s="4">
        <v>100638.28079999999</v>
      </c>
      <c r="J4756" s="4">
        <v>2012765.6159999999</v>
      </c>
      <c r="K4756" s="4">
        <v>-86692.152000000002</v>
      </c>
      <c r="L4756" s="4">
        <v>20</v>
      </c>
    </row>
    <row r="4757" spans="1:12">
      <c r="A4757" t="s">
        <v>264</v>
      </c>
      <c r="B4757" s="10">
        <v>45409</v>
      </c>
      <c r="C4757" s="18">
        <f t="shared" si="74"/>
        <v>4</v>
      </c>
      <c r="D4757" t="s">
        <v>196</v>
      </c>
      <c r="E4757">
        <v>4872135</v>
      </c>
      <c r="F4757" t="s">
        <v>8</v>
      </c>
      <c r="G4757" t="s">
        <v>203</v>
      </c>
      <c r="H4757" t="s">
        <v>239</v>
      </c>
      <c r="I4757" s="4">
        <v>125766.4408</v>
      </c>
      <c r="J4757" s="4">
        <v>3647226.7831999999</v>
      </c>
      <c r="K4757" s="4">
        <v>-163961.24400000001</v>
      </c>
      <c r="L4757" s="4">
        <v>29</v>
      </c>
    </row>
    <row r="4758" spans="1:12">
      <c r="A4758" t="s">
        <v>264</v>
      </c>
      <c r="B4758" s="10">
        <v>45409</v>
      </c>
      <c r="C4758" s="18">
        <f t="shared" si="74"/>
        <v>4</v>
      </c>
      <c r="D4758" t="s">
        <v>196</v>
      </c>
      <c r="E4758">
        <v>4879230</v>
      </c>
      <c r="F4758" t="s">
        <v>8</v>
      </c>
      <c r="G4758" t="s">
        <v>204</v>
      </c>
      <c r="H4758" t="s">
        <v>218</v>
      </c>
      <c r="I4758" s="4">
        <v>71740.896800000002</v>
      </c>
      <c r="J4758" s="4">
        <v>358704.484</v>
      </c>
      <c r="K4758" s="4">
        <v>-17903.814000000002</v>
      </c>
      <c r="L4758" s="4">
        <v>5</v>
      </c>
    </row>
    <row r="4759" spans="1:12">
      <c r="A4759" t="s">
        <v>264</v>
      </c>
      <c r="B4759" s="10">
        <v>45409</v>
      </c>
      <c r="C4759" s="18">
        <f t="shared" si="74"/>
        <v>4</v>
      </c>
      <c r="D4759" t="s">
        <v>196</v>
      </c>
      <c r="E4759">
        <v>4879230</v>
      </c>
      <c r="F4759" t="s">
        <v>8</v>
      </c>
      <c r="G4759" t="s">
        <v>204</v>
      </c>
      <c r="H4759" t="s">
        <v>214</v>
      </c>
      <c r="I4759" s="4">
        <v>119484.4008</v>
      </c>
      <c r="J4759" s="4">
        <v>955875.20640000002</v>
      </c>
      <c r="K4759" s="4">
        <v>-47743.504000000001</v>
      </c>
      <c r="L4759" s="4">
        <v>8</v>
      </c>
    </row>
    <row r="4760" spans="1:12">
      <c r="A4760" t="s">
        <v>264</v>
      </c>
      <c r="B4760" s="10">
        <v>45410</v>
      </c>
      <c r="C4760" s="18">
        <f t="shared" si="74"/>
        <v>4</v>
      </c>
      <c r="D4760" t="s">
        <v>196</v>
      </c>
      <c r="E4760">
        <v>4871600</v>
      </c>
      <c r="F4760" t="s">
        <v>8</v>
      </c>
      <c r="G4760" t="s">
        <v>203</v>
      </c>
      <c r="H4760" t="s">
        <v>235</v>
      </c>
      <c r="I4760" s="4">
        <v>125766.4408</v>
      </c>
      <c r="J4760" s="4">
        <v>1257664.4080000001</v>
      </c>
      <c r="K4760" s="4">
        <v>-56538.36</v>
      </c>
      <c r="L4760" s="4">
        <v>10</v>
      </c>
    </row>
    <row r="4761" spans="1:12">
      <c r="A4761" t="s">
        <v>264</v>
      </c>
      <c r="B4761" s="10">
        <v>45410</v>
      </c>
      <c r="C4761" s="18">
        <f t="shared" si="74"/>
        <v>4</v>
      </c>
      <c r="D4761" t="s">
        <v>196</v>
      </c>
      <c r="E4761">
        <v>4871600</v>
      </c>
      <c r="F4761" t="s">
        <v>8</v>
      </c>
      <c r="G4761" t="s">
        <v>204</v>
      </c>
      <c r="H4761" t="s">
        <v>212</v>
      </c>
      <c r="I4761" s="4">
        <v>62946.040799999995</v>
      </c>
      <c r="J4761" s="4">
        <v>251784.16319999998</v>
      </c>
      <c r="K4761" s="4">
        <v>-7538.4479999999994</v>
      </c>
      <c r="L4761" s="4">
        <v>4</v>
      </c>
    </row>
    <row r="4762" spans="1:12">
      <c r="A4762" t="s">
        <v>264</v>
      </c>
      <c r="B4762" s="10">
        <v>45410</v>
      </c>
      <c r="C4762" s="18">
        <f t="shared" si="74"/>
        <v>4</v>
      </c>
      <c r="D4762" t="s">
        <v>196</v>
      </c>
      <c r="E4762">
        <v>4878874</v>
      </c>
      <c r="F4762" t="s">
        <v>8</v>
      </c>
      <c r="G4762" t="s">
        <v>202</v>
      </c>
      <c r="H4762" t="s">
        <v>261</v>
      </c>
      <c r="I4762" s="4">
        <v>41587.104800000001</v>
      </c>
      <c r="J4762" s="4">
        <v>207935.524</v>
      </c>
      <c r="K4762" s="4">
        <v>-10365.366</v>
      </c>
      <c r="L4762" s="4">
        <v>5</v>
      </c>
    </row>
    <row r="4763" spans="1:12">
      <c r="A4763" t="s">
        <v>264</v>
      </c>
      <c r="B4763" s="10">
        <v>45410</v>
      </c>
      <c r="C4763" s="18">
        <f t="shared" si="74"/>
        <v>4</v>
      </c>
      <c r="D4763" t="s">
        <v>196</v>
      </c>
      <c r="E4763">
        <v>4874006</v>
      </c>
      <c r="F4763" t="s">
        <v>8</v>
      </c>
      <c r="G4763" t="s">
        <v>204</v>
      </c>
      <c r="H4763" t="s">
        <v>218</v>
      </c>
      <c r="I4763" s="4">
        <v>71740.896800000002</v>
      </c>
      <c r="J4763" s="4">
        <v>2869635.872</v>
      </c>
      <c r="K4763" s="4">
        <v>-143230.51200000002</v>
      </c>
      <c r="L4763" s="4">
        <v>40</v>
      </c>
    </row>
    <row r="4764" spans="1:12">
      <c r="A4764" t="s">
        <v>264</v>
      </c>
      <c r="B4764" s="10">
        <v>45410</v>
      </c>
      <c r="C4764" s="18">
        <f t="shared" si="74"/>
        <v>4</v>
      </c>
      <c r="D4764" t="s">
        <v>196</v>
      </c>
      <c r="E4764">
        <v>4873570</v>
      </c>
      <c r="F4764" t="s">
        <v>8</v>
      </c>
      <c r="G4764" t="s">
        <v>203</v>
      </c>
      <c r="H4764" t="s">
        <v>228</v>
      </c>
      <c r="I4764" s="4">
        <v>100638.28079999999</v>
      </c>
      <c r="J4764" s="4">
        <v>1006382.808</v>
      </c>
      <c r="K4764" s="4">
        <v>-43346.076000000001</v>
      </c>
      <c r="L4764" s="4">
        <v>10</v>
      </c>
    </row>
    <row r="4765" spans="1:12">
      <c r="A4765" t="s">
        <v>264</v>
      </c>
      <c r="B4765" s="10">
        <v>45410</v>
      </c>
      <c r="C4765" s="18">
        <f t="shared" si="74"/>
        <v>4</v>
      </c>
      <c r="D4765" t="s">
        <v>196</v>
      </c>
      <c r="E4765">
        <v>4873570</v>
      </c>
      <c r="F4765" t="s">
        <v>8</v>
      </c>
      <c r="G4765" t="s">
        <v>203</v>
      </c>
      <c r="H4765" t="s">
        <v>223</v>
      </c>
      <c r="I4765" s="4">
        <v>100638.28079999999</v>
      </c>
      <c r="J4765" s="4">
        <v>1006382.808</v>
      </c>
      <c r="K4765" s="4">
        <v>-43346.076000000001</v>
      </c>
      <c r="L4765" s="4">
        <v>10</v>
      </c>
    </row>
    <row r="4766" spans="1:12">
      <c r="A4766" t="s">
        <v>264</v>
      </c>
      <c r="B4766" s="10">
        <v>45410</v>
      </c>
      <c r="C4766" s="18">
        <f t="shared" si="74"/>
        <v>4</v>
      </c>
      <c r="D4766" t="s">
        <v>196</v>
      </c>
      <c r="E4766">
        <v>4873570</v>
      </c>
      <c r="F4766" t="s">
        <v>8</v>
      </c>
      <c r="G4766" t="s">
        <v>203</v>
      </c>
      <c r="H4766" t="s">
        <v>235</v>
      </c>
      <c r="I4766" s="4">
        <v>125766.4408</v>
      </c>
      <c r="J4766" s="4">
        <v>2515328.8160000001</v>
      </c>
      <c r="K4766" s="4">
        <v>-113076.72</v>
      </c>
      <c r="L4766" s="4">
        <v>20</v>
      </c>
    </row>
    <row r="4767" spans="1:12">
      <c r="A4767" t="s">
        <v>264</v>
      </c>
      <c r="B4767" s="10">
        <v>45410</v>
      </c>
      <c r="C4767" s="18">
        <f t="shared" si="74"/>
        <v>4</v>
      </c>
      <c r="D4767" t="s">
        <v>196</v>
      </c>
      <c r="E4767">
        <v>4872189</v>
      </c>
      <c r="F4767" t="s">
        <v>8</v>
      </c>
      <c r="G4767" t="s">
        <v>203</v>
      </c>
      <c r="H4767" t="s">
        <v>245</v>
      </c>
      <c r="I4767" s="4">
        <v>100638.28079999999</v>
      </c>
      <c r="J4767" s="4">
        <v>2012765.6159999999</v>
      </c>
      <c r="K4767" s="4">
        <v>-86692.152000000002</v>
      </c>
      <c r="L4767" s="4">
        <v>20</v>
      </c>
    </row>
    <row r="4768" spans="1:12">
      <c r="A4768" t="s">
        <v>264</v>
      </c>
      <c r="B4768" s="10">
        <v>45410</v>
      </c>
      <c r="C4768" s="18">
        <f t="shared" si="74"/>
        <v>4</v>
      </c>
      <c r="D4768" t="s">
        <v>196</v>
      </c>
      <c r="E4768">
        <v>4872189</v>
      </c>
      <c r="F4768" t="s">
        <v>8</v>
      </c>
      <c r="G4768" t="s">
        <v>203</v>
      </c>
      <c r="H4768" t="s">
        <v>228</v>
      </c>
      <c r="I4768" s="4">
        <v>100638.28079999999</v>
      </c>
      <c r="J4768" s="4">
        <v>2012765.6159999999</v>
      </c>
      <c r="K4768" s="4">
        <v>-86692.152000000002</v>
      </c>
      <c r="L4768" s="4">
        <v>20</v>
      </c>
    </row>
    <row r="4769" spans="1:12">
      <c r="A4769" t="s">
        <v>264</v>
      </c>
      <c r="B4769" s="10">
        <v>45410</v>
      </c>
      <c r="C4769" s="18">
        <f t="shared" si="74"/>
        <v>4</v>
      </c>
      <c r="D4769" t="s">
        <v>196</v>
      </c>
      <c r="E4769">
        <v>4872189</v>
      </c>
      <c r="F4769" t="s">
        <v>8</v>
      </c>
      <c r="G4769" t="s">
        <v>203</v>
      </c>
      <c r="H4769" t="s">
        <v>223</v>
      </c>
      <c r="I4769" s="4">
        <v>100638.28079999999</v>
      </c>
      <c r="J4769" s="4">
        <v>4025531.2319999998</v>
      </c>
      <c r="K4769" s="4">
        <v>-173384.304</v>
      </c>
      <c r="L4769" s="4">
        <v>40</v>
      </c>
    </row>
    <row r="4770" spans="1:12">
      <c r="A4770" t="s">
        <v>264</v>
      </c>
      <c r="B4770" s="10">
        <v>45410</v>
      </c>
      <c r="C4770" s="18">
        <f t="shared" si="74"/>
        <v>4</v>
      </c>
      <c r="D4770" t="s">
        <v>196</v>
      </c>
      <c r="E4770">
        <v>4876950</v>
      </c>
      <c r="F4770" t="s">
        <v>8</v>
      </c>
      <c r="G4770" t="s">
        <v>202</v>
      </c>
      <c r="H4770" t="s">
        <v>256</v>
      </c>
      <c r="I4770" s="4">
        <v>64202.448800000006</v>
      </c>
      <c r="J4770" s="4">
        <v>128404.89760000001</v>
      </c>
      <c r="K4770" s="4">
        <v>-6407.6808000000001</v>
      </c>
      <c r="L4770" s="4">
        <v>2</v>
      </c>
    </row>
    <row r="4771" spans="1:12">
      <c r="A4771" t="s">
        <v>264</v>
      </c>
      <c r="B4771" s="10">
        <v>45410</v>
      </c>
      <c r="C4771" s="18">
        <f t="shared" si="74"/>
        <v>4</v>
      </c>
      <c r="D4771" t="s">
        <v>196</v>
      </c>
      <c r="E4771">
        <v>4876950</v>
      </c>
      <c r="F4771" t="s">
        <v>8</v>
      </c>
      <c r="G4771" t="s">
        <v>202</v>
      </c>
      <c r="H4771" t="s">
        <v>254</v>
      </c>
      <c r="I4771" s="4">
        <v>37817.880799999999</v>
      </c>
      <c r="J4771" s="4">
        <v>189089.40399999998</v>
      </c>
      <c r="K4771" s="4">
        <v>-9423.06</v>
      </c>
      <c r="L4771" s="4">
        <v>5</v>
      </c>
    </row>
    <row r="4772" spans="1:12">
      <c r="A4772" t="s">
        <v>264</v>
      </c>
      <c r="B4772" s="10">
        <v>45410</v>
      </c>
      <c r="C4772" s="18">
        <f t="shared" si="74"/>
        <v>4</v>
      </c>
      <c r="D4772" t="s">
        <v>196</v>
      </c>
      <c r="E4772">
        <v>4874586</v>
      </c>
      <c r="F4772" t="s">
        <v>8</v>
      </c>
      <c r="G4772" t="s">
        <v>202</v>
      </c>
      <c r="H4772" t="s">
        <v>261</v>
      </c>
      <c r="I4772" s="4">
        <v>41587.104800000001</v>
      </c>
      <c r="J4772" s="4">
        <v>4158710.48</v>
      </c>
      <c r="K4772" s="4">
        <v>-207307.32</v>
      </c>
      <c r="L4772" s="4">
        <v>100</v>
      </c>
    </row>
    <row r="4773" spans="1:12">
      <c r="A4773" t="s">
        <v>264</v>
      </c>
      <c r="B4773" s="10">
        <v>45411</v>
      </c>
      <c r="C4773" s="18">
        <f t="shared" si="74"/>
        <v>4</v>
      </c>
      <c r="D4773" t="s">
        <v>196</v>
      </c>
      <c r="E4773">
        <v>4871600</v>
      </c>
      <c r="F4773" t="s">
        <v>8</v>
      </c>
      <c r="G4773" t="s">
        <v>204</v>
      </c>
      <c r="H4773" t="s">
        <v>212</v>
      </c>
      <c r="I4773" s="4">
        <v>62946.040799999995</v>
      </c>
      <c r="J4773" s="4">
        <v>251784.16319999998</v>
      </c>
      <c r="K4773" s="4">
        <v>-7538.4479999999994</v>
      </c>
      <c r="L4773" s="4">
        <v>4</v>
      </c>
    </row>
    <row r="4774" spans="1:12">
      <c r="A4774" t="s">
        <v>264</v>
      </c>
      <c r="B4774" s="10">
        <v>45411</v>
      </c>
      <c r="C4774" s="18">
        <f t="shared" si="74"/>
        <v>4</v>
      </c>
      <c r="D4774" t="s">
        <v>196</v>
      </c>
      <c r="E4774">
        <v>4872706</v>
      </c>
      <c r="F4774" t="s">
        <v>8</v>
      </c>
      <c r="G4774" t="s">
        <v>204</v>
      </c>
      <c r="H4774" t="s">
        <v>213</v>
      </c>
      <c r="I4774" s="4">
        <v>119484.4008</v>
      </c>
      <c r="J4774" s="4">
        <v>358453.20240000001</v>
      </c>
      <c r="K4774" s="4">
        <v>-17903.814000000002</v>
      </c>
      <c r="L4774" s="4">
        <v>3</v>
      </c>
    </row>
    <row r="4775" spans="1:12">
      <c r="A4775" t="s">
        <v>264</v>
      </c>
      <c r="B4775" s="10">
        <v>45411</v>
      </c>
      <c r="C4775" s="18">
        <f t="shared" si="74"/>
        <v>4</v>
      </c>
      <c r="D4775" t="s">
        <v>196</v>
      </c>
      <c r="E4775">
        <v>4877269</v>
      </c>
      <c r="F4775" t="s">
        <v>8</v>
      </c>
      <c r="G4775" t="s">
        <v>204</v>
      </c>
      <c r="H4775" t="s">
        <v>218</v>
      </c>
      <c r="I4775" s="4">
        <v>71740.896800000002</v>
      </c>
      <c r="J4775" s="4">
        <v>1291336.1424</v>
      </c>
      <c r="K4775" s="4">
        <v>-64453.7304</v>
      </c>
      <c r="L4775" s="4">
        <v>18</v>
      </c>
    </row>
    <row r="4776" spans="1:12">
      <c r="A4776" t="s">
        <v>264</v>
      </c>
      <c r="B4776" s="10">
        <v>45411</v>
      </c>
      <c r="C4776" s="18">
        <f t="shared" si="74"/>
        <v>4</v>
      </c>
      <c r="D4776" t="s">
        <v>196</v>
      </c>
      <c r="E4776">
        <v>4872203</v>
      </c>
      <c r="F4776" t="s">
        <v>8</v>
      </c>
      <c r="G4776" t="s">
        <v>204</v>
      </c>
      <c r="H4776" t="s">
        <v>213</v>
      </c>
      <c r="I4776" s="4">
        <v>119484.4008</v>
      </c>
      <c r="J4776" s="4">
        <v>5974220.04</v>
      </c>
      <c r="K4776" s="4">
        <v>-298396.90000000002</v>
      </c>
      <c r="L4776" s="4">
        <v>50</v>
      </c>
    </row>
    <row r="4777" spans="1:12">
      <c r="A4777" t="s">
        <v>264</v>
      </c>
      <c r="B4777" s="10">
        <v>45411</v>
      </c>
      <c r="C4777" s="18">
        <f t="shared" si="74"/>
        <v>4</v>
      </c>
      <c r="D4777" t="s">
        <v>196</v>
      </c>
      <c r="E4777">
        <v>4874664</v>
      </c>
      <c r="F4777" t="s">
        <v>8</v>
      </c>
      <c r="G4777" t="s">
        <v>204</v>
      </c>
      <c r="H4777" t="s">
        <v>216</v>
      </c>
      <c r="I4777" s="4">
        <v>113202.36079999999</v>
      </c>
      <c r="J4777" s="4">
        <v>3396070.824</v>
      </c>
      <c r="K4777" s="4">
        <v>-169615.08</v>
      </c>
      <c r="L4777" s="4">
        <v>30</v>
      </c>
    </row>
    <row r="4778" spans="1:12">
      <c r="A4778" t="s">
        <v>264</v>
      </c>
      <c r="B4778" s="10">
        <v>45411</v>
      </c>
      <c r="C4778" s="18">
        <f t="shared" si="74"/>
        <v>4</v>
      </c>
      <c r="D4778" t="s">
        <v>196</v>
      </c>
      <c r="E4778">
        <v>4874664</v>
      </c>
      <c r="F4778" t="s">
        <v>8</v>
      </c>
      <c r="G4778" t="s">
        <v>204</v>
      </c>
      <c r="H4778" t="s">
        <v>213</v>
      </c>
      <c r="I4778" s="4">
        <v>119484.4008</v>
      </c>
      <c r="J4778" s="4">
        <v>5257313.6352000004</v>
      </c>
      <c r="K4778" s="4">
        <v>-262589.272</v>
      </c>
      <c r="L4778" s="4">
        <v>44</v>
      </c>
    </row>
    <row r="4779" spans="1:12">
      <c r="A4779" t="s">
        <v>264</v>
      </c>
      <c r="B4779" s="10">
        <v>45411</v>
      </c>
      <c r="C4779" s="18">
        <f t="shared" si="74"/>
        <v>4</v>
      </c>
      <c r="D4779" t="s">
        <v>196</v>
      </c>
      <c r="E4779">
        <v>4872205</v>
      </c>
      <c r="F4779" t="s">
        <v>8</v>
      </c>
      <c r="G4779" t="s">
        <v>203</v>
      </c>
      <c r="H4779" t="s">
        <v>245</v>
      </c>
      <c r="I4779" s="4">
        <v>100638.28079999999</v>
      </c>
      <c r="J4779" s="4">
        <v>2012765.6159999999</v>
      </c>
      <c r="K4779" s="4">
        <v>-86692.152000000002</v>
      </c>
      <c r="L4779" s="4">
        <v>20</v>
      </c>
    </row>
    <row r="4780" spans="1:12">
      <c r="A4780" t="s">
        <v>264</v>
      </c>
      <c r="B4780" s="10">
        <v>45411</v>
      </c>
      <c r="C4780" s="18">
        <f t="shared" si="74"/>
        <v>4</v>
      </c>
      <c r="D4780" t="s">
        <v>196</v>
      </c>
      <c r="E4780">
        <v>4872205</v>
      </c>
      <c r="F4780" t="s">
        <v>8</v>
      </c>
      <c r="G4780" t="s">
        <v>203</v>
      </c>
      <c r="H4780" t="s">
        <v>243</v>
      </c>
      <c r="I4780" s="4">
        <v>100638.28079999999</v>
      </c>
      <c r="J4780" s="4">
        <v>2012765.6159999999</v>
      </c>
      <c r="K4780" s="4">
        <v>-86692.152000000002</v>
      </c>
      <c r="L4780" s="4">
        <v>20</v>
      </c>
    </row>
    <row r="4781" spans="1:12">
      <c r="A4781" t="s">
        <v>264</v>
      </c>
      <c r="B4781" s="10">
        <v>45411</v>
      </c>
      <c r="C4781" s="18">
        <f t="shared" si="74"/>
        <v>4</v>
      </c>
      <c r="D4781" t="s">
        <v>196</v>
      </c>
      <c r="E4781">
        <v>4872205</v>
      </c>
      <c r="F4781" t="s">
        <v>8</v>
      </c>
      <c r="G4781" t="s">
        <v>203</v>
      </c>
      <c r="H4781" t="s">
        <v>238</v>
      </c>
      <c r="I4781" s="4">
        <v>95606.36675999999</v>
      </c>
      <c r="J4781" s="4">
        <v>1912127.3351999999</v>
      </c>
      <c r="K4781" s="4">
        <v>-86692.152000000002</v>
      </c>
      <c r="L4781" s="4">
        <v>20</v>
      </c>
    </row>
    <row r="4782" spans="1:12">
      <c r="A4782" t="s">
        <v>264</v>
      </c>
      <c r="B4782" s="10">
        <v>45411</v>
      </c>
      <c r="C4782" s="18">
        <f t="shared" si="74"/>
        <v>4</v>
      </c>
      <c r="D4782" t="s">
        <v>196</v>
      </c>
      <c r="E4782">
        <v>4872205</v>
      </c>
      <c r="F4782" t="s">
        <v>8</v>
      </c>
      <c r="G4782" t="s">
        <v>203</v>
      </c>
      <c r="H4782" t="s">
        <v>228</v>
      </c>
      <c r="I4782" s="4">
        <v>100638.28079999999</v>
      </c>
      <c r="J4782" s="4">
        <v>2012765.6159999999</v>
      </c>
      <c r="K4782" s="4">
        <v>-86692.152000000002</v>
      </c>
      <c r="L4782" s="4">
        <v>20</v>
      </c>
    </row>
    <row r="4783" spans="1:12">
      <c r="A4783" t="s">
        <v>264</v>
      </c>
      <c r="B4783" s="10">
        <v>45411</v>
      </c>
      <c r="C4783" s="18">
        <f t="shared" si="74"/>
        <v>4</v>
      </c>
      <c r="D4783" t="s">
        <v>196</v>
      </c>
      <c r="E4783">
        <v>4872205</v>
      </c>
      <c r="F4783" t="s">
        <v>8</v>
      </c>
      <c r="G4783" t="s">
        <v>203</v>
      </c>
      <c r="H4783" t="s">
        <v>223</v>
      </c>
      <c r="I4783" s="4">
        <v>100638.28079999999</v>
      </c>
      <c r="J4783" s="4">
        <v>3019148.4239999996</v>
      </c>
      <c r="K4783" s="4">
        <v>-130038.22799999999</v>
      </c>
      <c r="L4783" s="4">
        <v>30</v>
      </c>
    </row>
    <row r="4784" spans="1:12">
      <c r="A4784" t="s">
        <v>264</v>
      </c>
      <c r="B4784" s="10">
        <v>45411</v>
      </c>
      <c r="C4784" s="18">
        <f t="shared" si="74"/>
        <v>4</v>
      </c>
      <c r="D4784" t="s">
        <v>196</v>
      </c>
      <c r="E4784">
        <v>4872205</v>
      </c>
      <c r="F4784" t="s">
        <v>8</v>
      </c>
      <c r="G4784" t="s">
        <v>203</v>
      </c>
      <c r="H4784" t="s">
        <v>231</v>
      </c>
      <c r="I4784" s="4">
        <v>125766.4408</v>
      </c>
      <c r="J4784" s="4">
        <v>2012263.0527999999</v>
      </c>
      <c r="K4784" s="4">
        <v>-90461.376000000004</v>
      </c>
      <c r="L4784" s="4">
        <v>16</v>
      </c>
    </row>
    <row r="4785" spans="1:12">
      <c r="A4785" t="s">
        <v>264</v>
      </c>
      <c r="B4785" s="10">
        <v>45412</v>
      </c>
      <c r="C4785" s="18">
        <f t="shared" si="74"/>
        <v>4</v>
      </c>
      <c r="D4785" t="s">
        <v>196</v>
      </c>
      <c r="E4785">
        <v>4878748</v>
      </c>
      <c r="F4785" t="s">
        <v>8</v>
      </c>
      <c r="G4785" t="s">
        <v>204</v>
      </c>
      <c r="H4785" t="s">
        <v>214</v>
      </c>
      <c r="I4785" s="4">
        <v>119484.4008</v>
      </c>
      <c r="J4785" s="4">
        <v>1194844.0079999999</v>
      </c>
      <c r="K4785" s="4">
        <v>-59679.38</v>
      </c>
      <c r="L4785" s="4">
        <v>10</v>
      </c>
    </row>
    <row r="4786" spans="1:12">
      <c r="A4786" t="s">
        <v>264</v>
      </c>
      <c r="B4786" s="10">
        <v>45412</v>
      </c>
      <c r="C4786" s="18">
        <f t="shared" si="74"/>
        <v>4</v>
      </c>
      <c r="D4786" t="s">
        <v>196</v>
      </c>
      <c r="E4786">
        <v>4875440</v>
      </c>
      <c r="F4786" t="s">
        <v>8</v>
      </c>
      <c r="G4786" t="s">
        <v>205</v>
      </c>
      <c r="H4786" t="s">
        <v>246</v>
      </c>
      <c r="I4786" s="4">
        <v>5967.9380000000001</v>
      </c>
      <c r="J4786" s="4">
        <v>298396.90000000002</v>
      </c>
      <c r="K4786" s="4">
        <v>-15705.1</v>
      </c>
      <c r="L4786" s="4">
        <v>50</v>
      </c>
    </row>
    <row r="4787" spans="1:12">
      <c r="A4787" t="s">
        <v>264</v>
      </c>
      <c r="B4787" s="10">
        <v>45412</v>
      </c>
      <c r="C4787" s="18">
        <f t="shared" si="74"/>
        <v>4</v>
      </c>
      <c r="D4787" t="s">
        <v>196</v>
      </c>
      <c r="E4787">
        <v>4875440</v>
      </c>
      <c r="F4787" t="s">
        <v>8</v>
      </c>
      <c r="G4787" t="s">
        <v>205</v>
      </c>
      <c r="H4787" t="s">
        <v>247</v>
      </c>
      <c r="I4787" s="4">
        <v>8355.1131999999998</v>
      </c>
      <c r="J4787" s="4">
        <v>417755.66</v>
      </c>
      <c r="K4787" s="4">
        <v>-21987.14</v>
      </c>
      <c r="L4787" s="4">
        <v>50</v>
      </c>
    </row>
    <row r="4788" spans="1:12">
      <c r="A4788" t="s">
        <v>264</v>
      </c>
      <c r="B4788" s="10">
        <v>45412</v>
      </c>
      <c r="C4788" s="18">
        <f t="shared" si="74"/>
        <v>4</v>
      </c>
      <c r="D4788" t="s">
        <v>196</v>
      </c>
      <c r="E4788">
        <v>4873723</v>
      </c>
      <c r="F4788" t="s">
        <v>8</v>
      </c>
      <c r="G4788" t="s">
        <v>204</v>
      </c>
      <c r="H4788" t="s">
        <v>218</v>
      </c>
      <c r="I4788" s="4">
        <v>71740.896800000002</v>
      </c>
      <c r="J4788" s="4">
        <v>430445.38080000004</v>
      </c>
      <c r="K4788" s="4">
        <v>-21484.576799999999</v>
      </c>
      <c r="L4788" s="4">
        <v>6</v>
      </c>
    </row>
    <row r="4789" spans="1:12">
      <c r="A4789" t="s">
        <v>105</v>
      </c>
      <c r="B4789" s="10">
        <v>45358</v>
      </c>
      <c r="C4789" s="18">
        <f t="shared" si="74"/>
        <v>3</v>
      </c>
      <c r="D4789" t="s">
        <v>186</v>
      </c>
      <c r="E4789">
        <v>6080037</v>
      </c>
      <c r="F4789" t="s">
        <v>8</v>
      </c>
      <c r="G4789" t="s">
        <v>202</v>
      </c>
      <c r="H4789" t="s">
        <v>261</v>
      </c>
      <c r="I4789" s="4">
        <v>41587.104800000001</v>
      </c>
      <c r="J4789" s="4">
        <v>582219.46720000007</v>
      </c>
      <c r="L4789" s="4">
        <v>14</v>
      </c>
    </row>
    <row r="4790" spans="1:12">
      <c r="A4790" t="s">
        <v>105</v>
      </c>
      <c r="B4790" s="10">
        <v>45360</v>
      </c>
      <c r="C4790" s="18">
        <f t="shared" si="74"/>
        <v>3</v>
      </c>
      <c r="D4790" t="s">
        <v>122</v>
      </c>
      <c r="E4790">
        <v>4873223</v>
      </c>
      <c r="F4790" t="s">
        <v>8</v>
      </c>
      <c r="G4790" t="s">
        <v>203</v>
      </c>
      <c r="H4790" t="s">
        <v>242</v>
      </c>
      <c r="I4790" s="4">
        <v>100638.28079999999</v>
      </c>
      <c r="J4790" s="4">
        <v>201276.56159999999</v>
      </c>
      <c r="L4790" s="4">
        <v>2</v>
      </c>
    </row>
    <row r="4791" spans="1:12">
      <c r="A4791" t="s">
        <v>105</v>
      </c>
      <c r="B4791" s="10">
        <v>45360</v>
      </c>
      <c r="C4791" s="18">
        <f t="shared" si="74"/>
        <v>3</v>
      </c>
      <c r="D4791" t="s">
        <v>122</v>
      </c>
      <c r="E4791">
        <v>4873223</v>
      </c>
      <c r="F4791" t="s">
        <v>8</v>
      </c>
      <c r="G4791" t="s">
        <v>203</v>
      </c>
      <c r="H4791" t="s">
        <v>240</v>
      </c>
      <c r="I4791" s="4">
        <v>100638.28079999999</v>
      </c>
      <c r="J4791" s="4">
        <v>201276.56159999999</v>
      </c>
      <c r="L4791" s="4">
        <v>2</v>
      </c>
    </row>
    <row r="4792" spans="1:12">
      <c r="A4792" t="s">
        <v>105</v>
      </c>
      <c r="B4792" s="10">
        <v>45360</v>
      </c>
      <c r="C4792" s="18">
        <f t="shared" si="74"/>
        <v>3</v>
      </c>
      <c r="D4792" t="s">
        <v>122</v>
      </c>
      <c r="E4792">
        <v>4873223</v>
      </c>
      <c r="F4792" t="s">
        <v>8</v>
      </c>
      <c r="G4792" t="s">
        <v>203</v>
      </c>
      <c r="H4792" t="s">
        <v>238</v>
      </c>
      <c r="I4792" s="4">
        <v>95606.36675999999</v>
      </c>
      <c r="J4792" s="4">
        <v>191212.73351999998</v>
      </c>
      <c r="L4792" s="4">
        <v>2</v>
      </c>
    </row>
    <row r="4793" spans="1:12">
      <c r="A4793" t="s">
        <v>105</v>
      </c>
      <c r="B4793" s="10">
        <v>45360</v>
      </c>
      <c r="C4793" s="18">
        <f t="shared" si="74"/>
        <v>3</v>
      </c>
      <c r="D4793" t="s">
        <v>122</v>
      </c>
      <c r="E4793">
        <v>4873223</v>
      </c>
      <c r="F4793" t="s">
        <v>8</v>
      </c>
      <c r="G4793" t="s">
        <v>203</v>
      </c>
      <c r="H4793" t="s">
        <v>227</v>
      </c>
      <c r="I4793" s="4">
        <v>100638.28079999999</v>
      </c>
      <c r="J4793" s="4">
        <v>201276.56159999999</v>
      </c>
      <c r="L4793" s="4">
        <v>2</v>
      </c>
    </row>
    <row r="4794" spans="1:12">
      <c r="A4794" t="s">
        <v>105</v>
      </c>
      <c r="B4794" s="10">
        <v>45360</v>
      </c>
      <c r="C4794" s="18">
        <f t="shared" si="74"/>
        <v>3</v>
      </c>
      <c r="D4794" t="s">
        <v>122</v>
      </c>
      <c r="E4794">
        <v>4873223</v>
      </c>
      <c r="F4794" t="s">
        <v>8</v>
      </c>
      <c r="G4794" t="s">
        <v>203</v>
      </c>
      <c r="H4794" t="s">
        <v>226</v>
      </c>
      <c r="I4794" s="4">
        <v>100638.28079999999</v>
      </c>
      <c r="J4794" s="4">
        <v>201276.56159999999</v>
      </c>
      <c r="L4794" s="4">
        <v>2</v>
      </c>
    </row>
    <row r="4795" spans="1:12">
      <c r="A4795" t="s">
        <v>105</v>
      </c>
      <c r="B4795" s="10">
        <v>45360</v>
      </c>
      <c r="C4795" s="18">
        <f t="shared" si="74"/>
        <v>3</v>
      </c>
      <c r="D4795" t="s">
        <v>122</v>
      </c>
      <c r="E4795">
        <v>4873223</v>
      </c>
      <c r="F4795" t="s">
        <v>8</v>
      </c>
      <c r="G4795" t="s">
        <v>203</v>
      </c>
      <c r="H4795" t="s">
        <v>224</v>
      </c>
      <c r="I4795" s="4">
        <v>100638.28079999999</v>
      </c>
      <c r="J4795" s="4">
        <v>201276.56159999999</v>
      </c>
      <c r="L4795" s="4">
        <v>2</v>
      </c>
    </row>
    <row r="4796" spans="1:12">
      <c r="A4796" t="s">
        <v>105</v>
      </c>
      <c r="B4796" s="10">
        <v>45360</v>
      </c>
      <c r="C4796" s="18">
        <f t="shared" si="74"/>
        <v>3</v>
      </c>
      <c r="D4796" t="s">
        <v>122</v>
      </c>
      <c r="E4796">
        <v>4873223</v>
      </c>
      <c r="F4796" t="s">
        <v>8</v>
      </c>
      <c r="G4796" t="s">
        <v>203</v>
      </c>
      <c r="H4796" t="s">
        <v>223</v>
      </c>
      <c r="I4796" s="4">
        <v>100638.28079999999</v>
      </c>
      <c r="J4796" s="4">
        <v>201276.56159999999</v>
      </c>
      <c r="L4796" s="4">
        <v>2</v>
      </c>
    </row>
    <row r="4797" spans="1:12">
      <c r="A4797" t="s">
        <v>105</v>
      </c>
      <c r="B4797" s="10">
        <v>45366</v>
      </c>
      <c r="C4797" s="18">
        <f t="shared" si="74"/>
        <v>3</v>
      </c>
      <c r="D4797" t="s">
        <v>124</v>
      </c>
      <c r="E4797">
        <v>4874487</v>
      </c>
      <c r="F4797" t="s">
        <v>8</v>
      </c>
      <c r="G4797" t="s">
        <v>204</v>
      </c>
      <c r="H4797" t="s">
        <v>220</v>
      </c>
      <c r="I4797" s="4">
        <v>37817.880799999999</v>
      </c>
      <c r="J4797" s="4">
        <v>226907.28479999999</v>
      </c>
      <c r="L4797" s="4">
        <v>6</v>
      </c>
    </row>
    <row r="4798" spans="1:12">
      <c r="A4798" t="s">
        <v>105</v>
      </c>
      <c r="B4798" s="10">
        <v>45376</v>
      </c>
      <c r="C4798" s="18">
        <f t="shared" si="74"/>
        <v>3</v>
      </c>
      <c r="D4798" t="s">
        <v>129</v>
      </c>
      <c r="E4798">
        <v>4873800</v>
      </c>
      <c r="F4798" t="s">
        <v>8</v>
      </c>
      <c r="G4798" t="s">
        <v>203</v>
      </c>
      <c r="H4798" t="s">
        <v>245</v>
      </c>
      <c r="I4798" s="4">
        <v>100638.28079999999</v>
      </c>
      <c r="J4798" s="4">
        <v>201276.56159999999</v>
      </c>
      <c r="L4798" s="4">
        <v>2</v>
      </c>
    </row>
    <row r="4799" spans="1:12">
      <c r="A4799" t="s">
        <v>105</v>
      </c>
      <c r="B4799" s="10">
        <v>45376</v>
      </c>
      <c r="C4799" s="18">
        <f t="shared" si="74"/>
        <v>3</v>
      </c>
      <c r="D4799" t="s">
        <v>129</v>
      </c>
      <c r="E4799">
        <v>4873800</v>
      </c>
      <c r="F4799" t="s">
        <v>8</v>
      </c>
      <c r="G4799" t="s">
        <v>203</v>
      </c>
      <c r="H4799" t="s">
        <v>227</v>
      </c>
      <c r="I4799" s="4">
        <v>100638.28079999999</v>
      </c>
      <c r="J4799" s="4">
        <v>201276.56159999999</v>
      </c>
      <c r="L4799" s="4">
        <v>2</v>
      </c>
    </row>
    <row r="4800" spans="1:12">
      <c r="A4800" t="s">
        <v>105</v>
      </c>
      <c r="B4800" s="10">
        <v>45376</v>
      </c>
      <c r="C4800" s="18">
        <f t="shared" si="74"/>
        <v>3</v>
      </c>
      <c r="D4800" t="s">
        <v>129</v>
      </c>
      <c r="E4800">
        <v>4873800</v>
      </c>
      <c r="F4800" t="s">
        <v>8</v>
      </c>
      <c r="G4800" t="s">
        <v>203</v>
      </c>
      <c r="H4800" t="s">
        <v>225</v>
      </c>
      <c r="I4800" s="4">
        <v>100638.28079999999</v>
      </c>
      <c r="J4800" s="4">
        <v>201276.56159999999</v>
      </c>
      <c r="L4800" s="4">
        <v>2</v>
      </c>
    </row>
    <row r="4801" spans="1:12">
      <c r="A4801" t="s">
        <v>105</v>
      </c>
      <c r="B4801" s="10">
        <v>45378</v>
      </c>
      <c r="C4801" s="18">
        <f t="shared" si="74"/>
        <v>3</v>
      </c>
      <c r="D4801" t="s">
        <v>120</v>
      </c>
      <c r="E4801">
        <v>4875142</v>
      </c>
      <c r="F4801" t="s">
        <v>8</v>
      </c>
      <c r="G4801" t="s">
        <v>204</v>
      </c>
      <c r="H4801" t="s">
        <v>221</v>
      </c>
      <c r="I4801" s="4">
        <v>25253.800799999997</v>
      </c>
      <c r="J4801" s="4">
        <v>50507.601599999995</v>
      </c>
      <c r="L4801" s="4">
        <v>2</v>
      </c>
    </row>
    <row r="4802" spans="1:12">
      <c r="A4802" t="s">
        <v>105</v>
      </c>
      <c r="B4802" s="10">
        <v>45378</v>
      </c>
      <c r="C4802" s="18">
        <f t="shared" ref="C4802:C4865" si="75">MONTH(B4802)</f>
        <v>3</v>
      </c>
      <c r="D4802" t="s">
        <v>120</v>
      </c>
      <c r="E4802">
        <v>4875142</v>
      </c>
      <c r="F4802" t="s">
        <v>8</v>
      </c>
      <c r="G4802" t="s">
        <v>204</v>
      </c>
      <c r="H4802" t="s">
        <v>220</v>
      </c>
      <c r="I4802" s="4">
        <v>37817.880799999999</v>
      </c>
      <c r="J4802" s="4">
        <v>151271.5232</v>
      </c>
      <c r="L4802" s="4">
        <v>4</v>
      </c>
    </row>
    <row r="4803" spans="1:12">
      <c r="A4803" t="s">
        <v>105</v>
      </c>
      <c r="B4803" s="10">
        <v>45378</v>
      </c>
      <c r="C4803" s="18">
        <f t="shared" si="75"/>
        <v>3</v>
      </c>
      <c r="D4803" t="s">
        <v>120</v>
      </c>
      <c r="E4803">
        <v>4875142</v>
      </c>
      <c r="F4803" t="s">
        <v>8</v>
      </c>
      <c r="G4803" t="s">
        <v>204</v>
      </c>
      <c r="H4803" t="s">
        <v>212</v>
      </c>
      <c r="I4803" s="4">
        <v>62946.040799999995</v>
      </c>
      <c r="J4803" s="4">
        <v>251784.16319999998</v>
      </c>
      <c r="L4803" s="4">
        <v>4</v>
      </c>
    </row>
    <row r="4804" spans="1:12">
      <c r="A4804" t="s">
        <v>105</v>
      </c>
      <c r="B4804" s="10">
        <v>45380</v>
      </c>
      <c r="C4804" s="18">
        <f t="shared" si="75"/>
        <v>3</v>
      </c>
      <c r="D4804" t="s">
        <v>186</v>
      </c>
      <c r="E4804">
        <v>4878993</v>
      </c>
      <c r="F4804" t="s">
        <v>8</v>
      </c>
      <c r="G4804" t="s">
        <v>204</v>
      </c>
      <c r="H4804" t="s">
        <v>213</v>
      </c>
      <c r="I4804" s="4">
        <v>119484.4008</v>
      </c>
      <c r="J4804" s="4">
        <v>2987110.02</v>
      </c>
      <c r="L4804" s="4">
        <v>25</v>
      </c>
    </row>
    <row r="4805" spans="1:12">
      <c r="A4805" t="s">
        <v>105</v>
      </c>
      <c r="B4805" s="10">
        <v>45356</v>
      </c>
      <c r="C4805" s="18">
        <f t="shared" si="75"/>
        <v>3</v>
      </c>
      <c r="D4805" t="s">
        <v>112</v>
      </c>
      <c r="E4805">
        <v>4877617</v>
      </c>
      <c r="F4805" t="s">
        <v>8</v>
      </c>
      <c r="G4805" t="s">
        <v>203</v>
      </c>
      <c r="H4805" t="s">
        <v>227</v>
      </c>
      <c r="I4805" s="4">
        <v>100638.28079999999</v>
      </c>
      <c r="J4805" s="4">
        <v>201276.56159999999</v>
      </c>
      <c r="L4805" s="4">
        <v>2</v>
      </c>
    </row>
    <row r="4806" spans="1:12">
      <c r="A4806" t="s">
        <v>105</v>
      </c>
      <c r="B4806" s="10">
        <v>45356</v>
      </c>
      <c r="C4806" s="18">
        <f t="shared" si="75"/>
        <v>3</v>
      </c>
      <c r="D4806" t="s">
        <v>112</v>
      </c>
      <c r="E4806">
        <v>4877617</v>
      </c>
      <c r="F4806" t="s">
        <v>8</v>
      </c>
      <c r="G4806" t="s">
        <v>203</v>
      </c>
      <c r="H4806" t="s">
        <v>224</v>
      </c>
      <c r="I4806" s="4">
        <v>100638.28079999999</v>
      </c>
      <c r="J4806" s="4">
        <v>201276.56159999999</v>
      </c>
      <c r="L4806" s="4">
        <v>2</v>
      </c>
    </row>
    <row r="4807" spans="1:12">
      <c r="A4807" t="s">
        <v>105</v>
      </c>
      <c r="B4807" s="10">
        <v>45356</v>
      </c>
      <c r="C4807" s="18">
        <f t="shared" si="75"/>
        <v>3</v>
      </c>
      <c r="D4807" t="s">
        <v>112</v>
      </c>
      <c r="E4807">
        <v>4877617</v>
      </c>
      <c r="F4807" t="s">
        <v>8</v>
      </c>
      <c r="G4807" t="s">
        <v>203</v>
      </c>
      <c r="H4807" t="s">
        <v>223</v>
      </c>
      <c r="I4807" s="4">
        <v>100638.28079999999</v>
      </c>
      <c r="J4807" s="4">
        <v>201276.56159999999</v>
      </c>
      <c r="L4807" s="4">
        <v>2</v>
      </c>
    </row>
    <row r="4808" spans="1:12">
      <c r="A4808" t="s">
        <v>105</v>
      </c>
      <c r="B4808" s="10">
        <v>45356</v>
      </c>
      <c r="C4808" s="18">
        <f t="shared" si="75"/>
        <v>3</v>
      </c>
      <c r="D4808" t="s">
        <v>112</v>
      </c>
      <c r="E4808">
        <v>4877617</v>
      </c>
      <c r="F4808" t="s">
        <v>8</v>
      </c>
      <c r="G4808" t="s">
        <v>203</v>
      </c>
      <c r="H4808" t="s">
        <v>222</v>
      </c>
      <c r="I4808" s="4">
        <v>100638.28079999999</v>
      </c>
      <c r="J4808" s="4">
        <v>201276.56159999999</v>
      </c>
      <c r="L4808" s="4">
        <v>2</v>
      </c>
    </row>
    <row r="4809" spans="1:12">
      <c r="A4809" t="s">
        <v>105</v>
      </c>
      <c r="B4809" s="10">
        <v>45356</v>
      </c>
      <c r="C4809" s="18">
        <f t="shared" si="75"/>
        <v>3</v>
      </c>
      <c r="D4809" t="s">
        <v>116</v>
      </c>
      <c r="E4809">
        <v>4878468</v>
      </c>
      <c r="F4809" t="s">
        <v>8</v>
      </c>
      <c r="G4809" t="s">
        <v>203</v>
      </c>
      <c r="H4809" t="s">
        <v>234</v>
      </c>
      <c r="I4809" s="4">
        <v>100638.28079999999</v>
      </c>
      <c r="J4809" s="4">
        <v>201276.56159999999</v>
      </c>
      <c r="L4809" s="4">
        <v>2</v>
      </c>
    </row>
    <row r="4810" spans="1:12">
      <c r="A4810" t="s">
        <v>105</v>
      </c>
      <c r="B4810" s="10">
        <v>45356</v>
      </c>
      <c r="C4810" s="18">
        <f t="shared" si="75"/>
        <v>3</v>
      </c>
      <c r="D4810" t="s">
        <v>116</v>
      </c>
      <c r="E4810">
        <v>4878468</v>
      </c>
      <c r="F4810" t="s">
        <v>8</v>
      </c>
      <c r="G4810" t="s">
        <v>203</v>
      </c>
      <c r="H4810" t="s">
        <v>224</v>
      </c>
      <c r="I4810" s="4">
        <v>100638.28079999999</v>
      </c>
      <c r="J4810" s="4">
        <v>402553.12319999997</v>
      </c>
      <c r="L4810" s="4">
        <v>4</v>
      </c>
    </row>
    <row r="4811" spans="1:12">
      <c r="A4811" t="s">
        <v>105</v>
      </c>
      <c r="B4811" s="10">
        <v>45356</v>
      </c>
      <c r="C4811" s="18">
        <f t="shared" si="75"/>
        <v>3</v>
      </c>
      <c r="D4811" t="s">
        <v>116</v>
      </c>
      <c r="E4811">
        <v>4878468</v>
      </c>
      <c r="F4811" t="s">
        <v>8</v>
      </c>
      <c r="G4811" t="s">
        <v>203</v>
      </c>
      <c r="H4811" t="s">
        <v>223</v>
      </c>
      <c r="I4811" s="4">
        <v>100638.28079999999</v>
      </c>
      <c r="J4811" s="4">
        <v>402553.12319999997</v>
      </c>
      <c r="L4811" s="4">
        <v>4</v>
      </c>
    </row>
    <row r="4812" spans="1:12">
      <c r="A4812" t="s">
        <v>105</v>
      </c>
      <c r="B4812" s="10">
        <v>45356</v>
      </c>
      <c r="C4812" s="18">
        <f t="shared" si="75"/>
        <v>3</v>
      </c>
      <c r="D4812" t="s">
        <v>116</v>
      </c>
      <c r="E4812">
        <v>4878468</v>
      </c>
      <c r="F4812" t="s">
        <v>8</v>
      </c>
      <c r="G4812" t="s">
        <v>203</v>
      </c>
      <c r="H4812" t="s">
        <v>222</v>
      </c>
      <c r="I4812" s="4">
        <v>100638.28079999999</v>
      </c>
      <c r="J4812" s="4">
        <v>201276.56159999999</v>
      </c>
      <c r="L4812" s="4">
        <v>2</v>
      </c>
    </row>
    <row r="4813" spans="1:12">
      <c r="A4813" t="s">
        <v>105</v>
      </c>
      <c r="B4813" s="10">
        <v>45356</v>
      </c>
      <c r="C4813" s="18">
        <f t="shared" si="75"/>
        <v>3</v>
      </c>
      <c r="D4813" t="s">
        <v>116</v>
      </c>
      <c r="E4813">
        <v>4878468</v>
      </c>
      <c r="F4813" t="s">
        <v>8</v>
      </c>
      <c r="G4813" t="s">
        <v>203</v>
      </c>
      <c r="H4813" t="s">
        <v>244</v>
      </c>
      <c r="I4813" s="4">
        <v>125766.4408</v>
      </c>
      <c r="J4813" s="4">
        <v>251532.88159999999</v>
      </c>
      <c r="L4813" s="4">
        <v>2</v>
      </c>
    </row>
    <row r="4814" spans="1:12">
      <c r="A4814" t="s">
        <v>105</v>
      </c>
      <c r="B4814" s="10">
        <v>45356</v>
      </c>
      <c r="C4814" s="18">
        <f t="shared" si="75"/>
        <v>3</v>
      </c>
      <c r="D4814" t="s">
        <v>116</v>
      </c>
      <c r="E4814">
        <v>4878468</v>
      </c>
      <c r="F4814" t="s">
        <v>8</v>
      </c>
      <c r="G4814" t="s">
        <v>203</v>
      </c>
      <c r="H4814" t="s">
        <v>241</v>
      </c>
      <c r="I4814" s="4">
        <v>125766.4408</v>
      </c>
      <c r="J4814" s="4">
        <v>251532.88159999999</v>
      </c>
      <c r="L4814" s="4">
        <v>2</v>
      </c>
    </row>
    <row r="4815" spans="1:12">
      <c r="A4815" t="s">
        <v>105</v>
      </c>
      <c r="B4815" s="10">
        <v>45356</v>
      </c>
      <c r="C4815" s="18">
        <f t="shared" si="75"/>
        <v>3</v>
      </c>
      <c r="D4815" t="s">
        <v>116</v>
      </c>
      <c r="E4815">
        <v>4878468</v>
      </c>
      <c r="F4815" t="s">
        <v>8</v>
      </c>
      <c r="G4815" t="s">
        <v>203</v>
      </c>
      <c r="H4815" t="s">
        <v>237</v>
      </c>
      <c r="I4815" s="4">
        <v>125766.4408</v>
      </c>
      <c r="J4815" s="4">
        <v>251532.88159999999</v>
      </c>
      <c r="L4815" s="4">
        <v>2</v>
      </c>
    </row>
    <row r="4816" spans="1:12">
      <c r="A4816" t="s">
        <v>105</v>
      </c>
      <c r="B4816" s="10">
        <v>45356</v>
      </c>
      <c r="C4816" s="18">
        <f t="shared" si="75"/>
        <v>3</v>
      </c>
      <c r="D4816" t="s">
        <v>116</v>
      </c>
      <c r="E4816">
        <v>4878468</v>
      </c>
      <c r="F4816" t="s">
        <v>8</v>
      </c>
      <c r="G4816" t="s">
        <v>203</v>
      </c>
      <c r="H4816" t="s">
        <v>235</v>
      </c>
      <c r="I4816" s="4">
        <v>125766.4408</v>
      </c>
      <c r="J4816" s="4">
        <v>251532.88159999999</v>
      </c>
      <c r="L4816" s="4">
        <v>2</v>
      </c>
    </row>
    <row r="4817" spans="1:12">
      <c r="A4817" t="s">
        <v>105</v>
      </c>
      <c r="B4817" s="10">
        <v>45356</v>
      </c>
      <c r="C4817" s="18">
        <f t="shared" si="75"/>
        <v>3</v>
      </c>
      <c r="D4817" t="s">
        <v>116</v>
      </c>
      <c r="E4817">
        <v>4878468</v>
      </c>
      <c r="F4817" t="s">
        <v>8</v>
      </c>
      <c r="G4817" t="s">
        <v>203</v>
      </c>
      <c r="H4817" t="s">
        <v>231</v>
      </c>
      <c r="I4817" s="4">
        <v>125766.4408</v>
      </c>
      <c r="J4817" s="4">
        <v>503065.76319999999</v>
      </c>
      <c r="L4817" s="4">
        <v>4</v>
      </c>
    </row>
    <row r="4818" spans="1:12">
      <c r="A4818" t="s">
        <v>105</v>
      </c>
      <c r="B4818" s="10">
        <v>45358</v>
      </c>
      <c r="C4818" s="18">
        <f t="shared" si="75"/>
        <v>3</v>
      </c>
      <c r="D4818" t="s">
        <v>118</v>
      </c>
      <c r="E4818">
        <v>4877628</v>
      </c>
      <c r="F4818" t="s">
        <v>8</v>
      </c>
      <c r="G4818" t="s">
        <v>203</v>
      </c>
      <c r="H4818" t="s">
        <v>243</v>
      </c>
      <c r="I4818" s="4">
        <v>100638.28079999999</v>
      </c>
      <c r="J4818" s="4">
        <v>402553.12319999997</v>
      </c>
      <c r="L4818" s="4">
        <v>4</v>
      </c>
    </row>
    <row r="4819" spans="1:12">
      <c r="A4819" t="s">
        <v>105</v>
      </c>
      <c r="B4819" s="10">
        <v>45358</v>
      </c>
      <c r="C4819" s="18">
        <f t="shared" si="75"/>
        <v>3</v>
      </c>
      <c r="D4819" t="s">
        <v>118</v>
      </c>
      <c r="E4819">
        <v>4877628</v>
      </c>
      <c r="F4819" t="s">
        <v>8</v>
      </c>
      <c r="G4819" t="s">
        <v>203</v>
      </c>
      <c r="H4819" t="s">
        <v>236</v>
      </c>
      <c r="I4819" s="4">
        <v>100638.28079999999</v>
      </c>
      <c r="J4819" s="4">
        <v>402553.12319999997</v>
      </c>
      <c r="L4819" s="4">
        <v>4</v>
      </c>
    </row>
    <row r="4820" spans="1:12">
      <c r="A4820" t="s">
        <v>105</v>
      </c>
      <c r="B4820" s="10">
        <v>45358</v>
      </c>
      <c r="C4820" s="18">
        <f t="shared" si="75"/>
        <v>3</v>
      </c>
      <c r="D4820" t="s">
        <v>118</v>
      </c>
      <c r="E4820">
        <v>4877628</v>
      </c>
      <c r="F4820" t="s">
        <v>8</v>
      </c>
      <c r="G4820" t="s">
        <v>203</v>
      </c>
      <c r="H4820" t="s">
        <v>234</v>
      </c>
      <c r="I4820" s="4">
        <v>100638.28079999999</v>
      </c>
      <c r="J4820" s="4">
        <v>402553.12319999997</v>
      </c>
      <c r="L4820" s="4">
        <v>4</v>
      </c>
    </row>
    <row r="4821" spans="1:12">
      <c r="A4821" t="s">
        <v>105</v>
      </c>
      <c r="B4821" s="10">
        <v>45359</v>
      </c>
      <c r="C4821" s="18">
        <f t="shared" si="75"/>
        <v>3</v>
      </c>
      <c r="D4821" t="s">
        <v>114</v>
      </c>
      <c r="E4821">
        <v>4878067</v>
      </c>
      <c r="F4821" t="s">
        <v>8</v>
      </c>
      <c r="G4821" t="s">
        <v>203</v>
      </c>
      <c r="H4821" t="s">
        <v>245</v>
      </c>
      <c r="I4821" s="4">
        <v>100638.28079999999</v>
      </c>
      <c r="J4821" s="4">
        <v>201276.56159999999</v>
      </c>
      <c r="L4821" s="4">
        <v>2</v>
      </c>
    </row>
    <row r="4822" spans="1:12">
      <c r="A4822" t="s">
        <v>105</v>
      </c>
      <c r="B4822" s="10">
        <v>45359</v>
      </c>
      <c r="C4822" s="18">
        <f t="shared" si="75"/>
        <v>3</v>
      </c>
      <c r="D4822" t="s">
        <v>114</v>
      </c>
      <c r="E4822">
        <v>4878067</v>
      </c>
      <c r="F4822" t="s">
        <v>8</v>
      </c>
      <c r="G4822" t="s">
        <v>203</v>
      </c>
      <c r="H4822" t="s">
        <v>243</v>
      </c>
      <c r="I4822" s="4">
        <v>100638.28079999999</v>
      </c>
      <c r="J4822" s="4">
        <v>201276.56159999999</v>
      </c>
      <c r="L4822" s="4">
        <v>2</v>
      </c>
    </row>
    <row r="4823" spans="1:12">
      <c r="A4823" t="s">
        <v>105</v>
      </c>
      <c r="B4823" s="10">
        <v>45359</v>
      </c>
      <c r="C4823" s="18">
        <f t="shared" si="75"/>
        <v>3</v>
      </c>
      <c r="D4823" t="s">
        <v>114</v>
      </c>
      <c r="E4823">
        <v>4878067</v>
      </c>
      <c r="F4823" t="s">
        <v>8</v>
      </c>
      <c r="G4823" t="s">
        <v>203</v>
      </c>
      <c r="H4823" t="s">
        <v>240</v>
      </c>
      <c r="I4823" s="4">
        <v>100638.28079999999</v>
      </c>
      <c r="J4823" s="4">
        <v>201276.56159999999</v>
      </c>
      <c r="L4823" s="4">
        <v>2</v>
      </c>
    </row>
    <row r="4824" spans="1:12">
      <c r="A4824" t="s">
        <v>105</v>
      </c>
      <c r="B4824" s="10">
        <v>45360</v>
      </c>
      <c r="C4824" s="18">
        <f t="shared" si="75"/>
        <v>3</v>
      </c>
      <c r="D4824" t="s">
        <v>113</v>
      </c>
      <c r="E4824">
        <v>4877640</v>
      </c>
      <c r="F4824" t="s">
        <v>8</v>
      </c>
      <c r="G4824" t="s">
        <v>202</v>
      </c>
      <c r="H4824" t="s">
        <v>255</v>
      </c>
      <c r="I4824" s="4">
        <v>72489.71596799999</v>
      </c>
      <c r="J4824" s="4">
        <v>869876.59161599982</v>
      </c>
      <c r="L4824" s="4">
        <v>12</v>
      </c>
    </row>
    <row r="4825" spans="1:12">
      <c r="A4825" t="s">
        <v>105</v>
      </c>
      <c r="B4825" s="10">
        <v>45360</v>
      </c>
      <c r="C4825" s="18">
        <f t="shared" si="75"/>
        <v>3</v>
      </c>
      <c r="D4825" t="s">
        <v>113</v>
      </c>
      <c r="E4825">
        <v>4877640</v>
      </c>
      <c r="F4825" t="s">
        <v>8</v>
      </c>
      <c r="G4825" t="s">
        <v>202</v>
      </c>
      <c r="H4825" t="s">
        <v>254</v>
      </c>
      <c r="I4825" s="4">
        <v>37817.880799999999</v>
      </c>
      <c r="J4825" s="4">
        <v>756357.61599999992</v>
      </c>
      <c r="L4825" s="4">
        <v>20</v>
      </c>
    </row>
    <row r="4826" spans="1:12">
      <c r="A4826" t="s">
        <v>105</v>
      </c>
      <c r="B4826" s="10">
        <v>45360</v>
      </c>
      <c r="C4826" s="18">
        <f t="shared" si="75"/>
        <v>3</v>
      </c>
      <c r="D4826" t="s">
        <v>109</v>
      </c>
      <c r="E4826">
        <v>4877638</v>
      </c>
      <c r="F4826" t="s">
        <v>8</v>
      </c>
      <c r="G4826" t="s">
        <v>206</v>
      </c>
      <c r="H4826" t="s">
        <v>251</v>
      </c>
      <c r="I4826" s="4">
        <v>19223.042399999998</v>
      </c>
      <c r="J4826" s="4">
        <v>576691.272</v>
      </c>
      <c r="L4826" s="4">
        <v>30</v>
      </c>
    </row>
    <row r="4827" spans="1:12">
      <c r="A4827" t="s">
        <v>105</v>
      </c>
      <c r="B4827" s="10">
        <v>45360</v>
      </c>
      <c r="C4827" s="18">
        <f t="shared" si="75"/>
        <v>3</v>
      </c>
      <c r="D4827" t="s">
        <v>116</v>
      </c>
      <c r="E4827">
        <v>4878432</v>
      </c>
      <c r="F4827" t="s">
        <v>8</v>
      </c>
      <c r="G4827" t="s">
        <v>203</v>
      </c>
      <c r="H4827" t="s">
        <v>245</v>
      </c>
      <c r="I4827" s="4">
        <v>100638.28079999999</v>
      </c>
      <c r="J4827" s="4">
        <v>201276.56159999999</v>
      </c>
      <c r="L4827" s="4">
        <v>2</v>
      </c>
    </row>
    <row r="4828" spans="1:12">
      <c r="A4828" t="s">
        <v>105</v>
      </c>
      <c r="B4828" s="10">
        <v>45360</v>
      </c>
      <c r="C4828" s="18">
        <f t="shared" si="75"/>
        <v>3</v>
      </c>
      <c r="D4828" t="s">
        <v>116</v>
      </c>
      <c r="E4828">
        <v>4878432</v>
      </c>
      <c r="F4828" t="s">
        <v>8</v>
      </c>
      <c r="G4828" t="s">
        <v>203</v>
      </c>
      <c r="H4828" t="s">
        <v>230</v>
      </c>
      <c r="I4828" s="4">
        <v>100638.28079999999</v>
      </c>
      <c r="J4828" s="4">
        <v>201276.56159999999</v>
      </c>
      <c r="L4828" s="4">
        <v>2</v>
      </c>
    </row>
    <row r="4829" spans="1:12">
      <c r="A4829" t="s">
        <v>105</v>
      </c>
      <c r="B4829" s="10">
        <v>45362</v>
      </c>
      <c r="C4829" s="18">
        <f t="shared" si="75"/>
        <v>3</v>
      </c>
      <c r="D4829" t="s">
        <v>110</v>
      </c>
      <c r="E4829">
        <v>4878153</v>
      </c>
      <c r="F4829" t="s">
        <v>8</v>
      </c>
      <c r="G4829" t="s">
        <v>203</v>
      </c>
      <c r="H4829" t="s">
        <v>243</v>
      </c>
      <c r="I4829" s="4">
        <v>100638.28079999999</v>
      </c>
      <c r="J4829" s="4">
        <v>201276.56159999999</v>
      </c>
      <c r="L4829" s="4">
        <v>2</v>
      </c>
    </row>
    <row r="4830" spans="1:12">
      <c r="A4830" t="s">
        <v>105</v>
      </c>
      <c r="B4830" s="10">
        <v>45362</v>
      </c>
      <c r="C4830" s="18">
        <f t="shared" si="75"/>
        <v>3</v>
      </c>
      <c r="D4830" t="s">
        <v>110</v>
      </c>
      <c r="E4830">
        <v>4878153</v>
      </c>
      <c r="F4830" t="s">
        <v>8</v>
      </c>
      <c r="G4830" t="s">
        <v>203</v>
      </c>
      <c r="H4830" t="s">
        <v>242</v>
      </c>
      <c r="I4830" s="4">
        <v>100638.28079999999</v>
      </c>
      <c r="J4830" s="4">
        <v>201276.56159999999</v>
      </c>
      <c r="L4830" s="4">
        <v>2</v>
      </c>
    </row>
    <row r="4831" spans="1:12">
      <c r="A4831" t="s">
        <v>105</v>
      </c>
      <c r="B4831" s="10">
        <v>45362</v>
      </c>
      <c r="C4831" s="18">
        <f t="shared" si="75"/>
        <v>3</v>
      </c>
      <c r="D4831" t="s">
        <v>125</v>
      </c>
      <c r="E4831">
        <v>4879105</v>
      </c>
      <c r="F4831" t="s">
        <v>8</v>
      </c>
      <c r="G4831" t="s">
        <v>203</v>
      </c>
      <c r="H4831" t="s">
        <v>239</v>
      </c>
      <c r="I4831" s="4">
        <v>125766.4408</v>
      </c>
      <c r="J4831" s="4">
        <v>754598.64480000001</v>
      </c>
      <c r="L4831" s="4">
        <v>6</v>
      </c>
    </row>
    <row r="4832" spans="1:12">
      <c r="A4832" t="s">
        <v>105</v>
      </c>
      <c r="B4832" s="10">
        <v>45362</v>
      </c>
      <c r="C4832" s="18">
        <f t="shared" si="75"/>
        <v>3</v>
      </c>
      <c r="D4832" t="s">
        <v>109</v>
      </c>
      <c r="E4832">
        <v>4878203</v>
      </c>
      <c r="F4832" t="s">
        <v>8</v>
      </c>
      <c r="G4832" t="s">
        <v>203</v>
      </c>
      <c r="H4832" t="s">
        <v>236</v>
      </c>
      <c r="I4832" s="4">
        <v>100638.28079999999</v>
      </c>
      <c r="J4832" s="4">
        <v>1006382.808</v>
      </c>
      <c r="L4832" s="4">
        <v>10</v>
      </c>
    </row>
    <row r="4833" spans="1:12">
      <c r="A4833" t="s">
        <v>105</v>
      </c>
      <c r="B4833" s="10">
        <v>45363</v>
      </c>
      <c r="C4833" s="18">
        <f t="shared" si="75"/>
        <v>3</v>
      </c>
      <c r="D4833" t="s">
        <v>116</v>
      </c>
      <c r="E4833">
        <v>4878458</v>
      </c>
      <c r="F4833" t="s">
        <v>8</v>
      </c>
      <c r="G4833" t="s">
        <v>203</v>
      </c>
      <c r="H4833" t="s">
        <v>239</v>
      </c>
      <c r="I4833" s="4">
        <v>125766.4408</v>
      </c>
      <c r="J4833" s="4">
        <v>251532.88159999999</v>
      </c>
      <c r="L4833" s="4">
        <v>2</v>
      </c>
    </row>
    <row r="4834" spans="1:12">
      <c r="A4834" t="s">
        <v>105</v>
      </c>
      <c r="B4834" s="10">
        <v>45363</v>
      </c>
      <c r="C4834" s="18">
        <f t="shared" si="75"/>
        <v>3</v>
      </c>
      <c r="D4834" t="s">
        <v>116</v>
      </c>
      <c r="E4834">
        <v>4878458</v>
      </c>
      <c r="F4834" t="s">
        <v>8</v>
      </c>
      <c r="G4834" t="s">
        <v>203</v>
      </c>
      <c r="H4834" t="s">
        <v>237</v>
      </c>
      <c r="I4834" s="4">
        <v>125766.4408</v>
      </c>
      <c r="J4834" s="4">
        <v>251532.88159999999</v>
      </c>
      <c r="L4834" s="4">
        <v>2</v>
      </c>
    </row>
    <row r="4835" spans="1:12">
      <c r="A4835" t="s">
        <v>105</v>
      </c>
      <c r="B4835" s="10">
        <v>45363</v>
      </c>
      <c r="C4835" s="18">
        <f t="shared" si="75"/>
        <v>3</v>
      </c>
      <c r="D4835" t="s">
        <v>119</v>
      </c>
      <c r="E4835">
        <v>4878297</v>
      </c>
      <c r="F4835" t="s">
        <v>8</v>
      </c>
      <c r="G4835" t="s">
        <v>203</v>
      </c>
      <c r="H4835" t="s">
        <v>224</v>
      </c>
      <c r="I4835" s="4">
        <v>100638.28079999999</v>
      </c>
      <c r="J4835" s="4">
        <v>201276.56159999999</v>
      </c>
      <c r="L4835" s="4">
        <v>2</v>
      </c>
    </row>
    <row r="4836" spans="1:12">
      <c r="A4836" t="s">
        <v>105</v>
      </c>
      <c r="B4836" s="10">
        <v>45363</v>
      </c>
      <c r="C4836" s="18">
        <f t="shared" si="75"/>
        <v>3</v>
      </c>
      <c r="D4836" t="s">
        <v>119</v>
      </c>
      <c r="E4836">
        <v>4878297</v>
      </c>
      <c r="F4836" t="s">
        <v>8</v>
      </c>
      <c r="G4836" t="s">
        <v>203</v>
      </c>
      <c r="H4836" t="s">
        <v>223</v>
      </c>
      <c r="I4836" s="4">
        <v>100638.28079999999</v>
      </c>
      <c r="J4836" s="4">
        <v>201276.56159999999</v>
      </c>
      <c r="L4836" s="4">
        <v>2</v>
      </c>
    </row>
    <row r="4837" spans="1:12">
      <c r="A4837" t="s">
        <v>105</v>
      </c>
      <c r="B4837" s="10">
        <v>45364</v>
      </c>
      <c r="C4837" s="18">
        <f t="shared" si="75"/>
        <v>3</v>
      </c>
      <c r="D4837" t="s">
        <v>116</v>
      </c>
      <c r="E4837">
        <v>4878458</v>
      </c>
      <c r="F4837" t="s">
        <v>8</v>
      </c>
      <c r="G4837" t="s">
        <v>203</v>
      </c>
      <c r="H4837" t="s">
        <v>240</v>
      </c>
      <c r="I4837" s="4">
        <v>100638.28079999999</v>
      </c>
      <c r="J4837" s="4">
        <v>201276.56159999999</v>
      </c>
      <c r="L4837" s="4">
        <v>2</v>
      </c>
    </row>
    <row r="4838" spans="1:12">
      <c r="A4838" t="s">
        <v>105</v>
      </c>
      <c r="B4838" s="10">
        <v>45364</v>
      </c>
      <c r="C4838" s="18">
        <f t="shared" si="75"/>
        <v>3</v>
      </c>
      <c r="D4838" t="s">
        <v>116</v>
      </c>
      <c r="E4838">
        <v>4878458</v>
      </c>
      <c r="F4838" t="s">
        <v>8</v>
      </c>
      <c r="G4838" t="s">
        <v>203</v>
      </c>
      <c r="H4838" t="s">
        <v>238</v>
      </c>
      <c r="I4838" s="4">
        <v>95606.36675999999</v>
      </c>
      <c r="J4838" s="4">
        <v>191212.73351999998</v>
      </c>
      <c r="L4838" s="4">
        <v>2</v>
      </c>
    </row>
    <row r="4839" spans="1:12">
      <c r="A4839" t="s">
        <v>105</v>
      </c>
      <c r="B4839" s="10">
        <v>45366</v>
      </c>
      <c r="C4839" s="18">
        <f t="shared" si="75"/>
        <v>3</v>
      </c>
      <c r="D4839" t="s">
        <v>116</v>
      </c>
      <c r="E4839">
        <v>4878477</v>
      </c>
      <c r="F4839" t="s">
        <v>8</v>
      </c>
      <c r="G4839" t="s">
        <v>203</v>
      </c>
      <c r="H4839" t="s">
        <v>245</v>
      </c>
      <c r="I4839" s="4">
        <v>100638.28079999999</v>
      </c>
      <c r="J4839" s="4">
        <v>201276.56159999999</v>
      </c>
      <c r="L4839" s="4">
        <v>2</v>
      </c>
    </row>
    <row r="4840" spans="1:12">
      <c r="A4840" t="s">
        <v>105</v>
      </c>
      <c r="B4840" s="10">
        <v>45366</v>
      </c>
      <c r="C4840" s="18">
        <f t="shared" si="75"/>
        <v>3</v>
      </c>
      <c r="D4840" t="s">
        <v>116</v>
      </c>
      <c r="E4840">
        <v>4878477</v>
      </c>
      <c r="F4840" t="s">
        <v>8</v>
      </c>
      <c r="G4840" t="s">
        <v>203</v>
      </c>
      <c r="H4840" t="s">
        <v>230</v>
      </c>
      <c r="I4840" s="4">
        <v>100638.28079999999</v>
      </c>
      <c r="J4840" s="4">
        <v>201276.56159999999</v>
      </c>
      <c r="L4840" s="4">
        <v>2</v>
      </c>
    </row>
    <row r="4841" spans="1:12">
      <c r="A4841" t="s">
        <v>105</v>
      </c>
      <c r="B4841" s="10">
        <v>45366</v>
      </c>
      <c r="C4841" s="18">
        <f t="shared" si="75"/>
        <v>3</v>
      </c>
      <c r="D4841" t="s">
        <v>116</v>
      </c>
      <c r="E4841">
        <v>4878477</v>
      </c>
      <c r="F4841" t="s">
        <v>8</v>
      </c>
      <c r="G4841" t="s">
        <v>203</v>
      </c>
      <c r="H4841" t="s">
        <v>223</v>
      </c>
      <c r="I4841" s="4">
        <v>100638.28079999999</v>
      </c>
      <c r="J4841" s="4">
        <v>201276.56159999999</v>
      </c>
      <c r="L4841" s="4">
        <v>2</v>
      </c>
    </row>
    <row r="4842" spans="1:12">
      <c r="A4842" t="s">
        <v>105</v>
      </c>
      <c r="B4842" s="10">
        <v>45366</v>
      </c>
      <c r="C4842" s="18">
        <f t="shared" si="75"/>
        <v>3</v>
      </c>
      <c r="D4842" t="s">
        <v>116</v>
      </c>
      <c r="E4842">
        <v>4878477</v>
      </c>
      <c r="F4842" t="s">
        <v>8</v>
      </c>
      <c r="G4842" t="s">
        <v>203</v>
      </c>
      <c r="H4842" t="s">
        <v>222</v>
      </c>
      <c r="I4842" s="4">
        <v>100638.28079999999</v>
      </c>
      <c r="J4842" s="4">
        <v>201276.56159999999</v>
      </c>
      <c r="L4842" s="4">
        <v>2</v>
      </c>
    </row>
    <row r="4843" spans="1:12">
      <c r="A4843" t="s">
        <v>105</v>
      </c>
      <c r="B4843" s="10">
        <v>45366</v>
      </c>
      <c r="C4843" s="18">
        <f t="shared" si="75"/>
        <v>3</v>
      </c>
      <c r="D4843" t="s">
        <v>116</v>
      </c>
      <c r="E4843">
        <v>4878477</v>
      </c>
      <c r="F4843" t="s">
        <v>8</v>
      </c>
      <c r="G4843" t="s">
        <v>203</v>
      </c>
      <c r="H4843" t="s">
        <v>244</v>
      </c>
      <c r="I4843" s="4">
        <v>125766.4408</v>
      </c>
      <c r="J4843" s="4">
        <v>251532.88159999999</v>
      </c>
      <c r="L4843" s="4">
        <v>2</v>
      </c>
    </row>
    <row r="4844" spans="1:12">
      <c r="A4844" t="s">
        <v>105</v>
      </c>
      <c r="B4844" s="10">
        <v>45367</v>
      </c>
      <c r="C4844" s="18">
        <f t="shared" si="75"/>
        <v>3</v>
      </c>
      <c r="D4844" t="s">
        <v>113</v>
      </c>
      <c r="E4844">
        <v>4877648</v>
      </c>
      <c r="F4844" t="s">
        <v>8</v>
      </c>
      <c r="G4844" t="s">
        <v>203</v>
      </c>
      <c r="H4844" t="s">
        <v>237</v>
      </c>
      <c r="I4844" s="4">
        <v>125766.4408</v>
      </c>
      <c r="J4844" s="4">
        <v>-377299.3224</v>
      </c>
      <c r="L4844" s="4">
        <v>-3</v>
      </c>
    </row>
    <row r="4845" spans="1:12">
      <c r="A4845" t="s">
        <v>105</v>
      </c>
      <c r="B4845" s="10">
        <v>45367</v>
      </c>
      <c r="C4845" s="18">
        <f t="shared" si="75"/>
        <v>3</v>
      </c>
      <c r="D4845" t="s">
        <v>113</v>
      </c>
      <c r="E4845">
        <v>4877648</v>
      </c>
      <c r="F4845" t="s">
        <v>8</v>
      </c>
      <c r="G4845" t="s">
        <v>203</v>
      </c>
      <c r="H4845" t="s">
        <v>235</v>
      </c>
      <c r="I4845" s="4">
        <v>125766.4408</v>
      </c>
      <c r="J4845" s="4">
        <v>-377299.3224</v>
      </c>
      <c r="L4845" s="4">
        <v>-3</v>
      </c>
    </row>
    <row r="4846" spans="1:12">
      <c r="A4846" t="s">
        <v>105</v>
      </c>
      <c r="B4846" s="10">
        <v>45367</v>
      </c>
      <c r="C4846" s="18">
        <f t="shared" si="75"/>
        <v>3</v>
      </c>
      <c r="D4846" t="s">
        <v>113</v>
      </c>
      <c r="E4846">
        <v>4877648</v>
      </c>
      <c r="F4846" t="s">
        <v>8</v>
      </c>
      <c r="G4846" t="s">
        <v>203</v>
      </c>
      <c r="H4846" t="s">
        <v>229</v>
      </c>
      <c r="I4846" s="4">
        <v>125766.4408</v>
      </c>
      <c r="J4846" s="4">
        <v>-377299.3224</v>
      </c>
      <c r="L4846" s="4">
        <v>-3</v>
      </c>
    </row>
    <row r="4847" spans="1:12">
      <c r="A4847" t="s">
        <v>105</v>
      </c>
      <c r="B4847" s="10">
        <v>45367</v>
      </c>
      <c r="C4847" s="18">
        <f t="shared" si="75"/>
        <v>3</v>
      </c>
      <c r="D4847" t="s">
        <v>116</v>
      </c>
      <c r="E4847">
        <v>4878459</v>
      </c>
      <c r="F4847" t="s">
        <v>8</v>
      </c>
      <c r="G4847" t="s">
        <v>203</v>
      </c>
      <c r="H4847" t="s">
        <v>243</v>
      </c>
      <c r="I4847" s="4">
        <v>100638.28079999999</v>
      </c>
      <c r="J4847" s="4">
        <v>-201276.56159999999</v>
      </c>
      <c r="L4847" s="4">
        <v>-2</v>
      </c>
    </row>
    <row r="4848" spans="1:12">
      <c r="A4848" t="s">
        <v>105</v>
      </c>
      <c r="B4848" s="10">
        <v>45367</v>
      </c>
      <c r="C4848" s="18">
        <f t="shared" si="75"/>
        <v>3</v>
      </c>
      <c r="D4848" t="s">
        <v>116</v>
      </c>
      <c r="E4848">
        <v>4878459</v>
      </c>
      <c r="F4848" t="s">
        <v>8</v>
      </c>
      <c r="G4848" t="s">
        <v>203</v>
      </c>
      <c r="H4848" t="s">
        <v>241</v>
      </c>
      <c r="I4848" s="4">
        <v>125766.4408</v>
      </c>
      <c r="J4848" s="4">
        <v>-125766.4408</v>
      </c>
      <c r="L4848" s="4">
        <v>-1</v>
      </c>
    </row>
    <row r="4849" spans="1:12">
      <c r="A4849" t="s">
        <v>105</v>
      </c>
      <c r="B4849" s="10">
        <v>45367</v>
      </c>
      <c r="C4849" s="18">
        <f t="shared" si="75"/>
        <v>3</v>
      </c>
      <c r="D4849" t="s">
        <v>186</v>
      </c>
      <c r="E4849">
        <v>4877644</v>
      </c>
      <c r="F4849" t="s">
        <v>8</v>
      </c>
      <c r="G4849" t="s">
        <v>206</v>
      </c>
      <c r="H4849" t="s">
        <v>248</v>
      </c>
      <c r="I4849" s="4">
        <v>16207.663200000001</v>
      </c>
      <c r="J4849" s="4">
        <v>324153.26400000002</v>
      </c>
      <c r="L4849" s="4">
        <v>20</v>
      </c>
    </row>
    <row r="4850" spans="1:12">
      <c r="A4850" t="s">
        <v>105</v>
      </c>
      <c r="B4850" s="10">
        <v>45367</v>
      </c>
      <c r="C4850" s="18">
        <f t="shared" si="75"/>
        <v>3</v>
      </c>
      <c r="D4850" t="s">
        <v>186</v>
      </c>
      <c r="E4850">
        <v>4877644</v>
      </c>
      <c r="F4850" t="s">
        <v>8</v>
      </c>
      <c r="G4850" t="s">
        <v>206</v>
      </c>
      <c r="H4850" t="s">
        <v>209</v>
      </c>
      <c r="I4850" s="4">
        <v>17715.352800000001</v>
      </c>
      <c r="J4850" s="4">
        <v>354307.05599999998</v>
      </c>
      <c r="L4850" s="4">
        <v>20</v>
      </c>
    </row>
    <row r="4851" spans="1:12">
      <c r="A4851" t="s">
        <v>105</v>
      </c>
      <c r="B4851" s="10">
        <v>45367</v>
      </c>
      <c r="C4851" s="18">
        <f t="shared" si="75"/>
        <v>3</v>
      </c>
      <c r="D4851" t="s">
        <v>186</v>
      </c>
      <c r="E4851">
        <v>4877644</v>
      </c>
      <c r="F4851" t="s">
        <v>8</v>
      </c>
      <c r="G4851" t="s">
        <v>206</v>
      </c>
      <c r="H4851" t="s">
        <v>251</v>
      </c>
      <c r="I4851" s="4">
        <v>19223.042399999998</v>
      </c>
      <c r="J4851" s="4">
        <v>384460.848</v>
      </c>
      <c r="L4851" s="4">
        <v>20</v>
      </c>
    </row>
    <row r="4852" spans="1:12">
      <c r="A4852" t="s">
        <v>105</v>
      </c>
      <c r="B4852" s="10">
        <v>45371</v>
      </c>
      <c r="C4852" s="18">
        <f t="shared" si="75"/>
        <v>3</v>
      </c>
      <c r="D4852" t="s">
        <v>118</v>
      </c>
      <c r="E4852">
        <v>4877626</v>
      </c>
      <c r="F4852" t="s">
        <v>8</v>
      </c>
      <c r="G4852" t="s">
        <v>203</v>
      </c>
      <c r="H4852" t="s">
        <v>240</v>
      </c>
      <c r="I4852" s="4">
        <v>100638.28079999999</v>
      </c>
      <c r="J4852" s="4">
        <v>402553.12319999997</v>
      </c>
      <c r="L4852" s="4">
        <v>4</v>
      </c>
    </row>
    <row r="4853" spans="1:12">
      <c r="A4853" t="s">
        <v>105</v>
      </c>
      <c r="B4853" s="10">
        <v>45376</v>
      </c>
      <c r="C4853" s="18">
        <f t="shared" si="75"/>
        <v>3</v>
      </c>
      <c r="D4853" t="s">
        <v>111</v>
      </c>
      <c r="E4853">
        <v>4878254</v>
      </c>
      <c r="F4853" t="s">
        <v>8</v>
      </c>
      <c r="G4853" t="s">
        <v>203</v>
      </c>
      <c r="H4853" t="s">
        <v>238</v>
      </c>
      <c r="I4853" s="4">
        <v>95606.36675999999</v>
      </c>
      <c r="J4853" s="4">
        <v>191212.73351999998</v>
      </c>
      <c r="L4853" s="4">
        <v>2</v>
      </c>
    </row>
    <row r="4854" spans="1:12">
      <c r="A4854" t="s">
        <v>105</v>
      </c>
      <c r="B4854" s="10">
        <v>45376</v>
      </c>
      <c r="C4854" s="18">
        <f t="shared" si="75"/>
        <v>3</v>
      </c>
      <c r="D4854" t="s">
        <v>111</v>
      </c>
      <c r="E4854">
        <v>4878254</v>
      </c>
      <c r="F4854" t="s">
        <v>8</v>
      </c>
      <c r="G4854" t="s">
        <v>203</v>
      </c>
      <c r="H4854" t="s">
        <v>223</v>
      </c>
      <c r="I4854" s="4">
        <v>100638.28079999999</v>
      </c>
      <c r="J4854" s="4">
        <v>201276.56159999999</v>
      </c>
      <c r="L4854" s="4">
        <v>2</v>
      </c>
    </row>
    <row r="4855" spans="1:12">
      <c r="A4855" t="s">
        <v>105</v>
      </c>
      <c r="B4855" s="10">
        <v>45377</v>
      </c>
      <c r="C4855" s="18">
        <f t="shared" si="75"/>
        <v>3</v>
      </c>
      <c r="D4855" t="s">
        <v>127</v>
      </c>
      <c r="E4855">
        <v>4877930</v>
      </c>
      <c r="F4855" t="s">
        <v>8</v>
      </c>
      <c r="G4855" t="s">
        <v>203</v>
      </c>
      <c r="H4855" t="s">
        <v>232</v>
      </c>
      <c r="I4855" s="4">
        <v>100638.28079999999</v>
      </c>
      <c r="J4855" s="4">
        <v>1006382.808</v>
      </c>
      <c r="L4855" s="4">
        <v>10</v>
      </c>
    </row>
    <row r="4856" spans="1:12">
      <c r="A4856" t="s">
        <v>105</v>
      </c>
      <c r="B4856" s="10">
        <v>45378</v>
      </c>
      <c r="C4856" s="18">
        <f t="shared" si="75"/>
        <v>3</v>
      </c>
      <c r="D4856" t="s">
        <v>113</v>
      </c>
      <c r="E4856">
        <v>4877648</v>
      </c>
      <c r="F4856" t="s">
        <v>8</v>
      </c>
      <c r="G4856" t="s">
        <v>203</v>
      </c>
      <c r="H4856" t="s">
        <v>237</v>
      </c>
      <c r="I4856" s="4">
        <v>125766.4408</v>
      </c>
      <c r="J4856" s="4">
        <v>-377299.3224</v>
      </c>
      <c r="L4856" s="4">
        <v>-3</v>
      </c>
    </row>
    <row r="4857" spans="1:12">
      <c r="A4857" t="s">
        <v>105</v>
      </c>
      <c r="B4857" s="10">
        <v>45378</v>
      </c>
      <c r="C4857" s="18">
        <f t="shared" si="75"/>
        <v>3</v>
      </c>
      <c r="D4857" t="s">
        <v>113</v>
      </c>
      <c r="E4857">
        <v>4877648</v>
      </c>
      <c r="F4857" t="s">
        <v>8</v>
      </c>
      <c r="G4857" t="s">
        <v>203</v>
      </c>
      <c r="H4857" t="s">
        <v>235</v>
      </c>
      <c r="I4857" s="4">
        <v>125766.4408</v>
      </c>
      <c r="J4857" s="4">
        <v>-377299.3224</v>
      </c>
      <c r="L4857" s="4">
        <v>-3</v>
      </c>
    </row>
    <row r="4858" spans="1:12">
      <c r="A4858" t="s">
        <v>105</v>
      </c>
      <c r="B4858" s="10">
        <v>45378</v>
      </c>
      <c r="C4858" s="18">
        <f t="shared" si="75"/>
        <v>3</v>
      </c>
      <c r="D4858" t="s">
        <v>113</v>
      </c>
      <c r="E4858">
        <v>4877648</v>
      </c>
      <c r="F4858" t="s">
        <v>8</v>
      </c>
      <c r="G4858" t="s">
        <v>203</v>
      </c>
      <c r="H4858" t="s">
        <v>229</v>
      </c>
      <c r="I4858" s="4">
        <v>125766.4408</v>
      </c>
      <c r="J4858" s="4">
        <v>-377299.3224</v>
      </c>
      <c r="L4858" s="4">
        <v>-3</v>
      </c>
    </row>
    <row r="4859" spans="1:12">
      <c r="A4859" t="s">
        <v>105</v>
      </c>
      <c r="B4859" s="10">
        <v>45378</v>
      </c>
      <c r="C4859" s="18">
        <f t="shared" si="75"/>
        <v>3</v>
      </c>
      <c r="D4859" t="s">
        <v>111</v>
      </c>
      <c r="E4859">
        <v>4878265</v>
      </c>
      <c r="F4859" t="s">
        <v>8</v>
      </c>
      <c r="G4859" t="s">
        <v>203</v>
      </c>
      <c r="H4859" t="s">
        <v>245</v>
      </c>
      <c r="I4859" s="4">
        <v>100638.28079999999</v>
      </c>
      <c r="J4859" s="4">
        <v>-201276.56159999999</v>
      </c>
      <c r="L4859" s="4">
        <v>-2</v>
      </c>
    </row>
    <row r="4860" spans="1:12">
      <c r="A4860" t="s">
        <v>105</v>
      </c>
      <c r="B4860" s="10">
        <v>45378</v>
      </c>
      <c r="C4860" s="18">
        <f t="shared" si="75"/>
        <v>3</v>
      </c>
      <c r="D4860" t="s">
        <v>111</v>
      </c>
      <c r="E4860">
        <v>4878265</v>
      </c>
      <c r="F4860" t="s">
        <v>8</v>
      </c>
      <c r="G4860" t="s">
        <v>203</v>
      </c>
      <c r="H4860" t="s">
        <v>242</v>
      </c>
      <c r="I4860" s="4">
        <v>100638.28079999999</v>
      </c>
      <c r="J4860" s="4">
        <v>-201276.56159999999</v>
      </c>
      <c r="L4860" s="4">
        <v>-2</v>
      </c>
    </row>
    <row r="4861" spans="1:12">
      <c r="A4861" t="s">
        <v>105</v>
      </c>
      <c r="B4861" s="10">
        <v>45378</v>
      </c>
      <c r="C4861" s="18">
        <f t="shared" si="75"/>
        <v>3</v>
      </c>
      <c r="D4861" t="s">
        <v>111</v>
      </c>
      <c r="E4861">
        <v>4878265</v>
      </c>
      <c r="F4861" t="s">
        <v>8</v>
      </c>
      <c r="G4861" t="s">
        <v>203</v>
      </c>
      <c r="H4861" t="s">
        <v>240</v>
      </c>
      <c r="I4861" s="4">
        <v>100638.28079999999</v>
      </c>
      <c r="J4861" s="4">
        <v>-201276.56159999999</v>
      </c>
      <c r="L4861" s="4">
        <v>-2</v>
      </c>
    </row>
    <row r="4862" spans="1:12">
      <c r="A4862" t="s">
        <v>105</v>
      </c>
      <c r="B4862" s="10">
        <v>45378</v>
      </c>
      <c r="C4862" s="18">
        <f t="shared" si="75"/>
        <v>3</v>
      </c>
      <c r="D4862" t="s">
        <v>111</v>
      </c>
      <c r="E4862">
        <v>4878265</v>
      </c>
      <c r="F4862" t="s">
        <v>8</v>
      </c>
      <c r="G4862" t="s">
        <v>203</v>
      </c>
      <c r="H4862" t="s">
        <v>238</v>
      </c>
      <c r="I4862" s="4">
        <v>95606.36675999999</v>
      </c>
      <c r="J4862" s="4">
        <v>-191212.73351999998</v>
      </c>
      <c r="L4862" s="4">
        <v>-2</v>
      </c>
    </row>
    <row r="4863" spans="1:12">
      <c r="A4863" t="s">
        <v>105</v>
      </c>
      <c r="B4863" s="10">
        <v>45378</v>
      </c>
      <c r="C4863" s="18">
        <f t="shared" si="75"/>
        <v>3</v>
      </c>
      <c r="D4863" t="s">
        <v>111</v>
      </c>
      <c r="E4863">
        <v>4878265</v>
      </c>
      <c r="F4863" t="s">
        <v>8</v>
      </c>
      <c r="G4863" t="s">
        <v>203</v>
      </c>
      <c r="H4863" t="s">
        <v>236</v>
      </c>
      <c r="I4863" s="4">
        <v>100638.28079999999</v>
      </c>
      <c r="J4863" s="4">
        <v>-201276.56159999999</v>
      </c>
      <c r="L4863" s="4">
        <v>-2</v>
      </c>
    </row>
    <row r="4864" spans="1:12">
      <c r="A4864" t="s">
        <v>105</v>
      </c>
      <c r="B4864" s="10">
        <v>45378</v>
      </c>
      <c r="C4864" s="18">
        <f t="shared" si="75"/>
        <v>3</v>
      </c>
      <c r="D4864" t="s">
        <v>111</v>
      </c>
      <c r="E4864">
        <v>4878265</v>
      </c>
      <c r="F4864" t="s">
        <v>8</v>
      </c>
      <c r="G4864" t="s">
        <v>203</v>
      </c>
      <c r="H4864" t="s">
        <v>234</v>
      </c>
      <c r="I4864" s="4">
        <v>100638.28079999999</v>
      </c>
      <c r="J4864" s="4">
        <v>-201276.56159999999</v>
      </c>
      <c r="L4864" s="4">
        <v>-2</v>
      </c>
    </row>
    <row r="4865" spans="1:12">
      <c r="A4865" t="s">
        <v>105</v>
      </c>
      <c r="B4865" s="10">
        <v>45378</v>
      </c>
      <c r="C4865" s="18">
        <f t="shared" si="75"/>
        <v>3</v>
      </c>
      <c r="D4865" t="s">
        <v>111</v>
      </c>
      <c r="E4865">
        <v>4878265</v>
      </c>
      <c r="F4865" t="s">
        <v>8</v>
      </c>
      <c r="G4865" t="s">
        <v>203</v>
      </c>
      <c r="H4865" t="s">
        <v>232</v>
      </c>
      <c r="I4865" s="4">
        <v>100638.28079999999</v>
      </c>
      <c r="J4865" s="4">
        <v>-201276.56159999999</v>
      </c>
      <c r="L4865" s="4">
        <v>-2</v>
      </c>
    </row>
    <row r="4866" spans="1:12">
      <c r="A4866" t="s">
        <v>105</v>
      </c>
      <c r="B4866" s="10">
        <v>45378</v>
      </c>
      <c r="C4866" s="18">
        <f t="shared" ref="C4866:C4929" si="76">MONTH(B4866)</f>
        <v>3</v>
      </c>
      <c r="D4866" t="s">
        <v>111</v>
      </c>
      <c r="E4866">
        <v>4878265</v>
      </c>
      <c r="F4866" t="s">
        <v>8</v>
      </c>
      <c r="G4866" t="s">
        <v>203</v>
      </c>
      <c r="H4866" t="s">
        <v>228</v>
      </c>
      <c r="I4866" s="4">
        <v>100638.28079999999</v>
      </c>
      <c r="J4866" s="4">
        <v>-201276.56159999999</v>
      </c>
      <c r="L4866" s="4">
        <v>-2</v>
      </c>
    </row>
    <row r="4867" spans="1:12">
      <c r="A4867" t="s">
        <v>105</v>
      </c>
      <c r="B4867" s="10">
        <v>45378</v>
      </c>
      <c r="C4867" s="18">
        <f t="shared" si="76"/>
        <v>3</v>
      </c>
      <c r="D4867" t="s">
        <v>111</v>
      </c>
      <c r="E4867">
        <v>4878265</v>
      </c>
      <c r="F4867" t="s">
        <v>8</v>
      </c>
      <c r="G4867" t="s">
        <v>203</v>
      </c>
      <c r="H4867" t="s">
        <v>226</v>
      </c>
      <c r="I4867" s="4">
        <v>100638.28079999999</v>
      </c>
      <c r="J4867" s="4">
        <v>-201276.56159999999</v>
      </c>
      <c r="L4867" s="4">
        <v>-2</v>
      </c>
    </row>
    <row r="4868" spans="1:12">
      <c r="A4868" t="s">
        <v>105</v>
      </c>
      <c r="B4868" s="10">
        <v>45378</v>
      </c>
      <c r="C4868" s="18">
        <f t="shared" si="76"/>
        <v>3</v>
      </c>
      <c r="D4868" t="s">
        <v>111</v>
      </c>
      <c r="E4868">
        <v>4878265</v>
      </c>
      <c r="F4868" t="s">
        <v>8</v>
      </c>
      <c r="G4868" t="s">
        <v>203</v>
      </c>
      <c r="H4868" t="s">
        <v>225</v>
      </c>
      <c r="I4868" s="4">
        <v>100638.28079999999</v>
      </c>
      <c r="J4868" s="4">
        <v>-201276.56159999999</v>
      </c>
      <c r="L4868" s="4">
        <v>-2</v>
      </c>
    </row>
    <row r="4869" spans="1:12">
      <c r="A4869" t="s">
        <v>105</v>
      </c>
      <c r="B4869" s="10">
        <v>45378</v>
      </c>
      <c r="C4869" s="18">
        <f t="shared" si="76"/>
        <v>3</v>
      </c>
      <c r="D4869" t="s">
        <v>111</v>
      </c>
      <c r="E4869">
        <v>4878265</v>
      </c>
      <c r="F4869" t="s">
        <v>8</v>
      </c>
      <c r="G4869" t="s">
        <v>203</v>
      </c>
      <c r="H4869" t="s">
        <v>224</v>
      </c>
      <c r="I4869" s="4">
        <v>100638.28079999999</v>
      </c>
      <c r="J4869" s="4">
        <v>-201276.56159999999</v>
      </c>
      <c r="L4869" s="4">
        <v>-2</v>
      </c>
    </row>
    <row r="4870" spans="1:12">
      <c r="A4870" t="s">
        <v>105</v>
      </c>
      <c r="B4870" s="10">
        <v>45378</v>
      </c>
      <c r="C4870" s="18">
        <f t="shared" si="76"/>
        <v>3</v>
      </c>
      <c r="D4870" t="s">
        <v>111</v>
      </c>
      <c r="E4870">
        <v>4878265</v>
      </c>
      <c r="F4870" t="s">
        <v>8</v>
      </c>
      <c r="G4870" t="s">
        <v>203</v>
      </c>
      <c r="H4870" t="s">
        <v>223</v>
      </c>
      <c r="I4870" s="4">
        <v>100638.28079999999</v>
      </c>
      <c r="J4870" s="4">
        <v>-201276.56159999999</v>
      </c>
      <c r="L4870" s="4">
        <v>-2</v>
      </c>
    </row>
    <row r="4871" spans="1:12">
      <c r="A4871" t="s">
        <v>105</v>
      </c>
      <c r="B4871" s="10">
        <v>45378</v>
      </c>
      <c r="C4871" s="18">
        <f t="shared" si="76"/>
        <v>3</v>
      </c>
      <c r="D4871" t="s">
        <v>111</v>
      </c>
      <c r="E4871">
        <v>4878265</v>
      </c>
      <c r="F4871" t="s">
        <v>8</v>
      </c>
      <c r="G4871" t="s">
        <v>203</v>
      </c>
      <c r="H4871" t="s">
        <v>222</v>
      </c>
      <c r="I4871" s="4">
        <v>100638.28079999999</v>
      </c>
      <c r="J4871" s="4">
        <v>-201276.56159999999</v>
      </c>
      <c r="L4871" s="4">
        <v>-2</v>
      </c>
    </row>
    <row r="4872" spans="1:12">
      <c r="A4872" t="s">
        <v>105</v>
      </c>
      <c r="B4872" s="10">
        <v>45378</v>
      </c>
      <c r="C4872" s="18">
        <f t="shared" si="76"/>
        <v>3</v>
      </c>
      <c r="D4872" t="s">
        <v>111</v>
      </c>
      <c r="E4872">
        <v>4878265</v>
      </c>
      <c r="F4872" t="s">
        <v>8</v>
      </c>
      <c r="G4872" t="s">
        <v>203</v>
      </c>
      <c r="H4872" t="s">
        <v>241</v>
      </c>
      <c r="I4872" s="4">
        <v>125766.4408</v>
      </c>
      <c r="J4872" s="4">
        <v>-125766.4408</v>
      </c>
      <c r="L4872" s="4">
        <v>-1</v>
      </c>
    </row>
    <row r="4873" spans="1:12">
      <c r="A4873" t="s">
        <v>105</v>
      </c>
      <c r="B4873" s="10">
        <v>45378</v>
      </c>
      <c r="C4873" s="18">
        <f t="shared" si="76"/>
        <v>3</v>
      </c>
      <c r="D4873" t="s">
        <v>111</v>
      </c>
      <c r="E4873">
        <v>4878265</v>
      </c>
      <c r="F4873" t="s">
        <v>8</v>
      </c>
      <c r="G4873" t="s">
        <v>203</v>
      </c>
      <c r="H4873" t="s">
        <v>239</v>
      </c>
      <c r="I4873" s="4">
        <v>125766.4408</v>
      </c>
      <c r="J4873" s="4">
        <v>-251532.88159999999</v>
      </c>
      <c r="L4873" s="4">
        <v>-2</v>
      </c>
    </row>
    <row r="4874" spans="1:12">
      <c r="A4874" t="s">
        <v>105</v>
      </c>
      <c r="B4874" s="10">
        <v>45378</v>
      </c>
      <c r="C4874" s="18">
        <f t="shared" si="76"/>
        <v>3</v>
      </c>
      <c r="D4874" t="s">
        <v>111</v>
      </c>
      <c r="E4874">
        <v>4878265</v>
      </c>
      <c r="F4874" t="s">
        <v>8</v>
      </c>
      <c r="G4874" t="s">
        <v>203</v>
      </c>
      <c r="H4874" t="s">
        <v>237</v>
      </c>
      <c r="I4874" s="4">
        <v>125766.4408</v>
      </c>
      <c r="J4874" s="4">
        <v>-125766.4408</v>
      </c>
      <c r="L4874" s="4">
        <v>-1</v>
      </c>
    </row>
    <row r="4875" spans="1:12">
      <c r="A4875" t="s">
        <v>105</v>
      </c>
      <c r="B4875" s="10">
        <v>45378</v>
      </c>
      <c r="C4875" s="18">
        <f t="shared" si="76"/>
        <v>3</v>
      </c>
      <c r="D4875" t="s">
        <v>111</v>
      </c>
      <c r="E4875">
        <v>4878265</v>
      </c>
      <c r="F4875" t="s">
        <v>8</v>
      </c>
      <c r="G4875" t="s">
        <v>203</v>
      </c>
      <c r="H4875" t="s">
        <v>235</v>
      </c>
      <c r="I4875" s="4">
        <v>125766.4408</v>
      </c>
      <c r="J4875" s="4">
        <v>-377299.3224</v>
      </c>
      <c r="L4875" s="4">
        <v>-3</v>
      </c>
    </row>
    <row r="4876" spans="1:12">
      <c r="A4876" t="s">
        <v>105</v>
      </c>
      <c r="B4876" s="10">
        <v>45378</v>
      </c>
      <c r="C4876" s="18">
        <f t="shared" si="76"/>
        <v>3</v>
      </c>
      <c r="D4876" t="s">
        <v>111</v>
      </c>
      <c r="E4876">
        <v>4878265</v>
      </c>
      <c r="F4876" t="s">
        <v>8</v>
      </c>
      <c r="G4876" t="s">
        <v>203</v>
      </c>
      <c r="H4876" t="s">
        <v>233</v>
      </c>
      <c r="I4876" s="4">
        <v>120735.78316800001</v>
      </c>
      <c r="J4876" s="4">
        <v>-241471.56633600002</v>
      </c>
      <c r="L4876" s="4">
        <v>-2</v>
      </c>
    </row>
    <row r="4877" spans="1:12">
      <c r="A4877" t="s">
        <v>105</v>
      </c>
      <c r="B4877" s="10">
        <v>45378</v>
      </c>
      <c r="C4877" s="18">
        <f t="shared" si="76"/>
        <v>3</v>
      </c>
      <c r="D4877" t="s">
        <v>111</v>
      </c>
      <c r="E4877">
        <v>4878265</v>
      </c>
      <c r="F4877" t="s">
        <v>8</v>
      </c>
      <c r="G4877" t="s">
        <v>203</v>
      </c>
      <c r="H4877" t="s">
        <v>231</v>
      </c>
      <c r="I4877" s="4">
        <v>125766.4408</v>
      </c>
      <c r="J4877" s="4">
        <v>-251532.88159999999</v>
      </c>
      <c r="L4877" s="4">
        <v>-2</v>
      </c>
    </row>
    <row r="4878" spans="1:12">
      <c r="A4878" t="s">
        <v>105</v>
      </c>
      <c r="B4878" s="10">
        <v>45378</v>
      </c>
      <c r="C4878" s="18">
        <f t="shared" si="76"/>
        <v>3</v>
      </c>
      <c r="D4878" t="s">
        <v>111</v>
      </c>
      <c r="E4878">
        <v>4878265</v>
      </c>
      <c r="F4878" t="s">
        <v>8</v>
      </c>
      <c r="G4878" t="s">
        <v>203</v>
      </c>
      <c r="H4878" t="s">
        <v>229</v>
      </c>
      <c r="I4878" s="4">
        <v>125766.4408</v>
      </c>
      <c r="J4878" s="4">
        <v>-251532.88159999999</v>
      </c>
      <c r="L4878" s="4">
        <v>-2</v>
      </c>
    </row>
    <row r="4879" spans="1:12">
      <c r="A4879" t="s">
        <v>105</v>
      </c>
      <c r="B4879" s="10">
        <v>45378</v>
      </c>
      <c r="C4879" s="18">
        <f t="shared" si="76"/>
        <v>3</v>
      </c>
      <c r="D4879" t="s">
        <v>116</v>
      </c>
      <c r="E4879">
        <v>4878457</v>
      </c>
      <c r="F4879" t="s">
        <v>8</v>
      </c>
      <c r="G4879" t="s">
        <v>203</v>
      </c>
      <c r="H4879" t="s">
        <v>243</v>
      </c>
      <c r="I4879" s="4">
        <v>100638.28079999999</v>
      </c>
      <c r="J4879" s="4">
        <v>201276.56159999999</v>
      </c>
      <c r="L4879" s="4">
        <v>2</v>
      </c>
    </row>
    <row r="4880" spans="1:12">
      <c r="A4880" t="s">
        <v>105</v>
      </c>
      <c r="B4880" s="10">
        <v>45378</v>
      </c>
      <c r="C4880" s="18">
        <f t="shared" si="76"/>
        <v>3</v>
      </c>
      <c r="D4880" t="s">
        <v>116</v>
      </c>
      <c r="E4880">
        <v>4878457</v>
      </c>
      <c r="F4880" t="s">
        <v>8</v>
      </c>
      <c r="G4880" t="s">
        <v>203</v>
      </c>
      <c r="H4880" t="s">
        <v>223</v>
      </c>
      <c r="I4880" s="4">
        <v>100638.28079999999</v>
      </c>
      <c r="J4880" s="4">
        <v>201276.56159999999</v>
      </c>
      <c r="L4880" s="4">
        <v>2</v>
      </c>
    </row>
    <row r="4881" spans="1:12">
      <c r="A4881" t="s">
        <v>105</v>
      </c>
      <c r="B4881" s="10">
        <v>45378</v>
      </c>
      <c r="C4881" s="18">
        <f t="shared" si="76"/>
        <v>3</v>
      </c>
      <c r="D4881" t="s">
        <v>116</v>
      </c>
      <c r="E4881">
        <v>4878457</v>
      </c>
      <c r="F4881" t="s">
        <v>8</v>
      </c>
      <c r="G4881" t="s">
        <v>203</v>
      </c>
      <c r="H4881" t="s">
        <v>222</v>
      </c>
      <c r="I4881" s="4">
        <v>100638.28079999999</v>
      </c>
      <c r="J4881" s="4">
        <v>201276.56159999999</v>
      </c>
      <c r="L4881" s="4">
        <v>2</v>
      </c>
    </row>
    <row r="4882" spans="1:12">
      <c r="A4882" t="s">
        <v>105</v>
      </c>
      <c r="B4882" s="10">
        <v>45381</v>
      </c>
      <c r="C4882" s="18">
        <f t="shared" si="76"/>
        <v>3</v>
      </c>
      <c r="D4882" t="s">
        <v>114</v>
      </c>
      <c r="E4882">
        <v>4878056</v>
      </c>
      <c r="F4882" t="s">
        <v>8</v>
      </c>
      <c r="G4882" t="s">
        <v>203</v>
      </c>
      <c r="H4882" t="s">
        <v>223</v>
      </c>
      <c r="I4882" s="4">
        <v>100638.28079999999</v>
      </c>
      <c r="J4882" s="4">
        <v>603829.68479999993</v>
      </c>
      <c r="L4882" s="4">
        <v>6</v>
      </c>
    </row>
    <row r="4883" spans="1:12">
      <c r="A4883" t="s">
        <v>105</v>
      </c>
      <c r="B4883" s="10">
        <v>45381</v>
      </c>
      <c r="C4883" s="18">
        <f t="shared" si="76"/>
        <v>3</v>
      </c>
      <c r="D4883" t="s">
        <v>116</v>
      </c>
      <c r="E4883">
        <v>4878457</v>
      </c>
      <c r="F4883" t="s">
        <v>8</v>
      </c>
      <c r="G4883" t="s">
        <v>203</v>
      </c>
      <c r="H4883" t="s">
        <v>240</v>
      </c>
      <c r="I4883" s="4">
        <v>100638.28079999999</v>
      </c>
      <c r="J4883" s="4">
        <v>201276.56159999999</v>
      </c>
      <c r="L4883" s="4">
        <v>2</v>
      </c>
    </row>
    <row r="4884" spans="1:12">
      <c r="A4884" t="s">
        <v>105</v>
      </c>
      <c r="B4884" s="10">
        <v>45381</v>
      </c>
      <c r="C4884" s="18">
        <f t="shared" si="76"/>
        <v>3</v>
      </c>
      <c r="D4884" t="s">
        <v>116</v>
      </c>
      <c r="E4884">
        <v>4878457</v>
      </c>
      <c r="F4884" t="s">
        <v>8</v>
      </c>
      <c r="G4884" t="s">
        <v>203</v>
      </c>
      <c r="H4884" t="s">
        <v>234</v>
      </c>
      <c r="I4884" s="4">
        <v>100638.28079999999</v>
      </c>
      <c r="J4884" s="4">
        <v>201276.56159999999</v>
      </c>
      <c r="L4884" s="4">
        <v>2</v>
      </c>
    </row>
    <row r="4885" spans="1:12">
      <c r="A4885" t="s">
        <v>107</v>
      </c>
      <c r="B4885" s="10">
        <v>45355</v>
      </c>
      <c r="C4885" s="18">
        <f t="shared" si="76"/>
        <v>3</v>
      </c>
      <c r="D4885" t="s">
        <v>140</v>
      </c>
      <c r="E4885">
        <v>4876550</v>
      </c>
      <c r="F4885" t="s">
        <v>8</v>
      </c>
      <c r="G4885" t="s">
        <v>203</v>
      </c>
      <c r="H4885" t="s">
        <v>240</v>
      </c>
      <c r="I4885" s="4">
        <v>100638.28079999999</v>
      </c>
      <c r="J4885" s="4">
        <v>201276.56159999999</v>
      </c>
      <c r="L4885" s="4">
        <v>2</v>
      </c>
    </row>
    <row r="4886" spans="1:12">
      <c r="A4886" t="s">
        <v>107</v>
      </c>
      <c r="B4886" s="10">
        <v>45355</v>
      </c>
      <c r="C4886" s="18">
        <f t="shared" si="76"/>
        <v>3</v>
      </c>
      <c r="D4886" t="s">
        <v>140</v>
      </c>
      <c r="E4886">
        <v>4876550</v>
      </c>
      <c r="F4886" t="s">
        <v>8</v>
      </c>
      <c r="G4886" t="s">
        <v>203</v>
      </c>
      <c r="H4886" t="s">
        <v>236</v>
      </c>
      <c r="I4886" s="4">
        <v>100638.28079999999</v>
      </c>
      <c r="J4886" s="4">
        <v>201276.56159999999</v>
      </c>
      <c r="L4886" s="4">
        <v>2</v>
      </c>
    </row>
    <row r="4887" spans="1:12">
      <c r="A4887" t="s">
        <v>107</v>
      </c>
      <c r="B4887" s="10">
        <v>45355</v>
      </c>
      <c r="C4887" s="18">
        <f t="shared" si="76"/>
        <v>3</v>
      </c>
      <c r="D4887" t="s">
        <v>140</v>
      </c>
      <c r="E4887">
        <v>4876550</v>
      </c>
      <c r="F4887" t="s">
        <v>8</v>
      </c>
      <c r="G4887" t="s">
        <v>203</v>
      </c>
      <c r="H4887" t="s">
        <v>232</v>
      </c>
      <c r="I4887" s="4">
        <v>100638.28079999999</v>
      </c>
      <c r="J4887" s="4">
        <v>201276.56159999999</v>
      </c>
      <c r="L4887" s="4">
        <v>2</v>
      </c>
    </row>
    <row r="4888" spans="1:12">
      <c r="A4888" t="s">
        <v>107</v>
      </c>
      <c r="B4888" s="10">
        <v>45355</v>
      </c>
      <c r="C4888" s="18">
        <f t="shared" si="76"/>
        <v>3</v>
      </c>
      <c r="D4888" t="s">
        <v>140</v>
      </c>
      <c r="E4888">
        <v>4876550</v>
      </c>
      <c r="F4888" t="s">
        <v>8</v>
      </c>
      <c r="G4888" t="s">
        <v>203</v>
      </c>
      <c r="H4888" t="s">
        <v>228</v>
      </c>
      <c r="I4888" s="4">
        <v>100638.28079999999</v>
      </c>
      <c r="J4888" s="4">
        <v>201276.56159999999</v>
      </c>
      <c r="L4888" s="4">
        <v>2</v>
      </c>
    </row>
    <row r="4889" spans="1:12">
      <c r="A4889" t="s">
        <v>107</v>
      </c>
      <c r="B4889" s="10">
        <v>45355</v>
      </c>
      <c r="C4889" s="18">
        <f t="shared" si="76"/>
        <v>3</v>
      </c>
      <c r="D4889" t="s">
        <v>140</v>
      </c>
      <c r="E4889">
        <v>4876550</v>
      </c>
      <c r="F4889" t="s">
        <v>8</v>
      </c>
      <c r="G4889" t="s">
        <v>203</v>
      </c>
      <c r="H4889" t="s">
        <v>241</v>
      </c>
      <c r="I4889" s="4">
        <v>125766.4408</v>
      </c>
      <c r="J4889" s="4">
        <v>125766.4408</v>
      </c>
      <c r="L4889" s="4">
        <v>1</v>
      </c>
    </row>
    <row r="4890" spans="1:12">
      <c r="A4890" t="s">
        <v>107</v>
      </c>
      <c r="B4890" s="10">
        <v>45357</v>
      </c>
      <c r="C4890" s="18">
        <f t="shared" si="76"/>
        <v>3</v>
      </c>
      <c r="D4890" t="s">
        <v>151</v>
      </c>
      <c r="E4890">
        <v>4876098</v>
      </c>
      <c r="F4890" t="s">
        <v>8</v>
      </c>
      <c r="G4890" t="s">
        <v>204</v>
      </c>
      <c r="H4890" t="s">
        <v>215</v>
      </c>
      <c r="I4890" s="4">
        <v>75510.12079999999</v>
      </c>
      <c r="J4890" s="4">
        <v>302040.48319999996</v>
      </c>
      <c r="L4890" s="4">
        <v>4</v>
      </c>
    </row>
    <row r="4891" spans="1:12">
      <c r="A4891" t="s">
        <v>107</v>
      </c>
      <c r="B4891" s="10">
        <v>45357</v>
      </c>
      <c r="C4891" s="18">
        <f t="shared" si="76"/>
        <v>3</v>
      </c>
      <c r="D4891" t="s">
        <v>151</v>
      </c>
      <c r="E4891">
        <v>4876098</v>
      </c>
      <c r="F4891" t="s">
        <v>8</v>
      </c>
      <c r="G4891" t="s">
        <v>204</v>
      </c>
      <c r="H4891" t="s">
        <v>213</v>
      </c>
      <c r="I4891" s="4">
        <v>119484.4008</v>
      </c>
      <c r="J4891" s="4">
        <v>1194844.0079999999</v>
      </c>
      <c r="L4891" s="4">
        <v>10</v>
      </c>
    </row>
    <row r="4892" spans="1:12">
      <c r="A4892" t="s">
        <v>107</v>
      </c>
      <c r="B4892" s="10">
        <v>45358</v>
      </c>
      <c r="C4892" s="18">
        <f t="shared" si="76"/>
        <v>3</v>
      </c>
      <c r="D4892" t="s">
        <v>154</v>
      </c>
      <c r="E4892">
        <v>4878664</v>
      </c>
      <c r="F4892" t="s">
        <v>8</v>
      </c>
      <c r="G4892" t="s">
        <v>203</v>
      </c>
      <c r="H4892" t="s">
        <v>243</v>
      </c>
      <c r="I4892" s="4">
        <v>100638.28079999999</v>
      </c>
      <c r="J4892" s="4">
        <v>402553.12319999997</v>
      </c>
      <c r="L4892" s="4">
        <v>4</v>
      </c>
    </row>
    <row r="4893" spans="1:12">
      <c r="A4893" t="s">
        <v>107</v>
      </c>
      <c r="B4893" s="10">
        <v>45358</v>
      </c>
      <c r="C4893" s="18">
        <f t="shared" si="76"/>
        <v>3</v>
      </c>
      <c r="D4893" t="s">
        <v>154</v>
      </c>
      <c r="E4893">
        <v>4878664</v>
      </c>
      <c r="F4893" t="s">
        <v>8</v>
      </c>
      <c r="G4893" t="s">
        <v>203</v>
      </c>
      <c r="H4893" t="s">
        <v>238</v>
      </c>
      <c r="I4893" s="4">
        <v>95606.36675999999</v>
      </c>
      <c r="J4893" s="4">
        <v>191212.73351999998</v>
      </c>
      <c r="L4893" s="4">
        <v>2</v>
      </c>
    </row>
    <row r="4894" spans="1:12">
      <c r="A4894" t="s">
        <v>107</v>
      </c>
      <c r="B4894" s="10">
        <v>45359</v>
      </c>
      <c r="C4894" s="18">
        <f t="shared" si="76"/>
        <v>3</v>
      </c>
      <c r="D4894" t="s">
        <v>162</v>
      </c>
      <c r="E4894">
        <v>4878776</v>
      </c>
      <c r="F4894" t="s">
        <v>8</v>
      </c>
      <c r="G4894" t="s">
        <v>203</v>
      </c>
      <c r="H4894" t="s">
        <v>232</v>
      </c>
      <c r="I4894" s="4">
        <v>100638.28079999999</v>
      </c>
      <c r="J4894" s="4">
        <v>201276.56159999999</v>
      </c>
      <c r="L4894" s="4">
        <v>2</v>
      </c>
    </row>
    <row r="4895" spans="1:12">
      <c r="A4895" t="s">
        <v>107</v>
      </c>
      <c r="B4895" s="10">
        <v>45359</v>
      </c>
      <c r="C4895" s="18">
        <f t="shared" si="76"/>
        <v>3</v>
      </c>
      <c r="D4895" t="s">
        <v>162</v>
      </c>
      <c r="E4895">
        <v>4878776</v>
      </c>
      <c r="F4895" t="s">
        <v>8</v>
      </c>
      <c r="G4895" t="s">
        <v>203</v>
      </c>
      <c r="H4895" t="s">
        <v>230</v>
      </c>
      <c r="I4895" s="4">
        <v>100638.28079999999</v>
      </c>
      <c r="J4895" s="4">
        <v>201276.56159999999</v>
      </c>
      <c r="L4895" s="4">
        <v>2</v>
      </c>
    </row>
    <row r="4896" spans="1:12">
      <c r="A4896" t="s">
        <v>107</v>
      </c>
      <c r="B4896" s="10">
        <v>45359</v>
      </c>
      <c r="C4896" s="18">
        <f t="shared" si="76"/>
        <v>3</v>
      </c>
      <c r="D4896" t="s">
        <v>162</v>
      </c>
      <c r="E4896">
        <v>4878665</v>
      </c>
      <c r="F4896" t="s">
        <v>8</v>
      </c>
      <c r="G4896" t="s">
        <v>203</v>
      </c>
      <c r="H4896" t="s">
        <v>243</v>
      </c>
      <c r="I4896" s="4">
        <v>100638.28079999999</v>
      </c>
      <c r="J4896" s="4">
        <v>201276.56159999999</v>
      </c>
      <c r="L4896" s="4">
        <v>2</v>
      </c>
    </row>
    <row r="4897" spans="1:12">
      <c r="A4897" t="s">
        <v>107</v>
      </c>
      <c r="B4897" s="10">
        <v>45359</v>
      </c>
      <c r="C4897" s="18">
        <f t="shared" si="76"/>
        <v>3</v>
      </c>
      <c r="D4897" t="s">
        <v>162</v>
      </c>
      <c r="E4897">
        <v>4878665</v>
      </c>
      <c r="F4897" t="s">
        <v>8</v>
      </c>
      <c r="G4897" t="s">
        <v>203</v>
      </c>
      <c r="H4897" t="s">
        <v>240</v>
      </c>
      <c r="I4897" s="4">
        <v>100638.28079999999</v>
      </c>
      <c r="J4897" s="4">
        <v>201276.56159999999</v>
      </c>
      <c r="L4897" s="4">
        <v>2</v>
      </c>
    </row>
    <row r="4898" spans="1:12">
      <c r="A4898" t="s">
        <v>107</v>
      </c>
      <c r="B4898" s="10">
        <v>45359</v>
      </c>
      <c r="C4898" s="18">
        <f t="shared" si="76"/>
        <v>3</v>
      </c>
      <c r="D4898" t="s">
        <v>162</v>
      </c>
      <c r="E4898">
        <v>4878665</v>
      </c>
      <c r="F4898" t="s">
        <v>8</v>
      </c>
      <c r="G4898" t="s">
        <v>203</v>
      </c>
      <c r="H4898" t="s">
        <v>230</v>
      </c>
      <c r="I4898" s="4">
        <v>100638.28079999999</v>
      </c>
      <c r="J4898" s="4">
        <v>201276.56159999999</v>
      </c>
      <c r="L4898" s="4">
        <v>2</v>
      </c>
    </row>
    <row r="4899" spans="1:12">
      <c r="A4899" t="s">
        <v>107</v>
      </c>
      <c r="B4899" s="10">
        <v>45359</v>
      </c>
      <c r="C4899" s="18">
        <f t="shared" si="76"/>
        <v>3</v>
      </c>
      <c r="D4899" t="s">
        <v>162</v>
      </c>
      <c r="E4899">
        <v>4878665</v>
      </c>
      <c r="F4899" t="s">
        <v>8</v>
      </c>
      <c r="G4899" t="s">
        <v>203</v>
      </c>
      <c r="H4899" t="s">
        <v>237</v>
      </c>
      <c r="I4899" s="4">
        <v>125766.4408</v>
      </c>
      <c r="J4899" s="4">
        <v>251532.88159999999</v>
      </c>
      <c r="L4899" s="4">
        <v>2</v>
      </c>
    </row>
    <row r="4900" spans="1:12">
      <c r="A4900" t="s">
        <v>107</v>
      </c>
      <c r="B4900" s="10">
        <v>45360</v>
      </c>
      <c r="C4900" s="18">
        <f t="shared" si="76"/>
        <v>3</v>
      </c>
      <c r="D4900" t="s">
        <v>167</v>
      </c>
      <c r="E4900">
        <v>4875363</v>
      </c>
      <c r="F4900" t="s">
        <v>8</v>
      </c>
      <c r="G4900" t="s">
        <v>203</v>
      </c>
      <c r="H4900" t="s">
        <v>237</v>
      </c>
      <c r="I4900" s="4">
        <v>125766.4408</v>
      </c>
      <c r="J4900" s="4">
        <v>628832.20400000003</v>
      </c>
      <c r="L4900" s="4">
        <v>5</v>
      </c>
    </row>
    <row r="4901" spans="1:12">
      <c r="A4901" t="s">
        <v>107</v>
      </c>
      <c r="B4901" s="10">
        <v>45360</v>
      </c>
      <c r="C4901" s="18">
        <f t="shared" si="76"/>
        <v>3</v>
      </c>
      <c r="D4901" t="s">
        <v>167</v>
      </c>
      <c r="E4901">
        <v>4875363</v>
      </c>
      <c r="F4901" t="s">
        <v>8</v>
      </c>
      <c r="G4901" t="s">
        <v>203</v>
      </c>
      <c r="H4901" t="s">
        <v>233</v>
      </c>
      <c r="I4901" s="4">
        <v>120735.78316800001</v>
      </c>
      <c r="J4901" s="4">
        <v>603678.91584000003</v>
      </c>
      <c r="L4901" s="4">
        <v>5</v>
      </c>
    </row>
    <row r="4902" spans="1:12">
      <c r="A4902" t="s">
        <v>107</v>
      </c>
      <c r="B4902" s="10">
        <v>45360</v>
      </c>
      <c r="C4902" s="18">
        <f t="shared" si="76"/>
        <v>3</v>
      </c>
      <c r="D4902" t="s">
        <v>167</v>
      </c>
      <c r="E4902">
        <v>4876043</v>
      </c>
      <c r="F4902" t="s">
        <v>8</v>
      </c>
      <c r="G4902" t="s">
        <v>203</v>
      </c>
      <c r="H4902" t="s">
        <v>241</v>
      </c>
      <c r="I4902" s="4">
        <v>125766.4408</v>
      </c>
      <c r="J4902" s="4">
        <v>251532.88159999999</v>
      </c>
      <c r="L4902" s="4">
        <v>2</v>
      </c>
    </row>
    <row r="4903" spans="1:12">
      <c r="A4903" t="s">
        <v>107</v>
      </c>
      <c r="B4903" s="10">
        <v>45360</v>
      </c>
      <c r="C4903" s="18">
        <f t="shared" si="76"/>
        <v>3</v>
      </c>
      <c r="D4903" t="s">
        <v>167</v>
      </c>
      <c r="E4903">
        <v>4876043</v>
      </c>
      <c r="F4903" t="s">
        <v>8</v>
      </c>
      <c r="G4903" t="s">
        <v>203</v>
      </c>
      <c r="H4903" t="s">
        <v>237</v>
      </c>
      <c r="I4903" s="4">
        <v>125766.4408</v>
      </c>
      <c r="J4903" s="4">
        <v>251532.88159999999</v>
      </c>
      <c r="L4903" s="4">
        <v>2</v>
      </c>
    </row>
    <row r="4904" spans="1:12">
      <c r="A4904" t="s">
        <v>107</v>
      </c>
      <c r="B4904" s="10">
        <v>45360</v>
      </c>
      <c r="C4904" s="18">
        <f t="shared" si="76"/>
        <v>3</v>
      </c>
      <c r="D4904" t="s">
        <v>171</v>
      </c>
      <c r="E4904">
        <v>6079961</v>
      </c>
      <c r="F4904" t="s">
        <v>8</v>
      </c>
      <c r="G4904" t="s">
        <v>203</v>
      </c>
      <c r="H4904" t="s">
        <v>238</v>
      </c>
      <c r="I4904" s="4">
        <v>95606.36675999999</v>
      </c>
      <c r="J4904" s="4">
        <v>191212.73351999998</v>
      </c>
      <c r="L4904" s="4">
        <v>2</v>
      </c>
    </row>
    <row r="4905" spans="1:12">
      <c r="A4905" t="s">
        <v>107</v>
      </c>
      <c r="B4905" s="10">
        <v>45360</v>
      </c>
      <c r="C4905" s="18">
        <f t="shared" si="76"/>
        <v>3</v>
      </c>
      <c r="D4905" t="s">
        <v>171</v>
      </c>
      <c r="E4905">
        <v>6079961</v>
      </c>
      <c r="F4905" t="s">
        <v>8</v>
      </c>
      <c r="G4905" t="s">
        <v>203</v>
      </c>
      <c r="H4905" t="s">
        <v>232</v>
      </c>
      <c r="I4905" s="4">
        <v>100638.28079999999</v>
      </c>
      <c r="J4905" s="4">
        <v>201276.56159999999</v>
      </c>
      <c r="L4905" s="4">
        <v>2</v>
      </c>
    </row>
    <row r="4906" spans="1:12">
      <c r="A4906" t="s">
        <v>107</v>
      </c>
      <c r="B4906" s="10">
        <v>45360</v>
      </c>
      <c r="C4906" s="18">
        <f t="shared" si="76"/>
        <v>3</v>
      </c>
      <c r="D4906" t="s">
        <v>171</v>
      </c>
      <c r="E4906">
        <v>6079961</v>
      </c>
      <c r="F4906" t="s">
        <v>8</v>
      </c>
      <c r="G4906" t="s">
        <v>203</v>
      </c>
      <c r="H4906" t="s">
        <v>226</v>
      </c>
      <c r="I4906" s="4">
        <v>100638.28079999999</v>
      </c>
      <c r="J4906" s="4">
        <v>201276.56159999999</v>
      </c>
      <c r="L4906" s="4">
        <v>2</v>
      </c>
    </row>
    <row r="4907" spans="1:12">
      <c r="A4907" t="s">
        <v>107</v>
      </c>
      <c r="B4907" s="10">
        <v>45360</v>
      </c>
      <c r="C4907" s="18">
        <f t="shared" si="76"/>
        <v>3</v>
      </c>
      <c r="D4907" t="s">
        <v>171</v>
      </c>
      <c r="E4907">
        <v>6079961</v>
      </c>
      <c r="F4907" t="s">
        <v>8</v>
      </c>
      <c r="G4907" t="s">
        <v>203</v>
      </c>
      <c r="H4907" t="s">
        <v>222</v>
      </c>
      <c r="I4907" s="4">
        <v>100638.28079999999</v>
      </c>
      <c r="J4907" s="4">
        <v>201276.56159999999</v>
      </c>
      <c r="L4907" s="4">
        <v>2</v>
      </c>
    </row>
    <row r="4908" spans="1:12">
      <c r="A4908" t="s">
        <v>107</v>
      </c>
      <c r="B4908" s="10">
        <v>45362</v>
      </c>
      <c r="C4908" s="18">
        <f t="shared" si="76"/>
        <v>3</v>
      </c>
      <c r="D4908" t="s">
        <v>140</v>
      </c>
      <c r="E4908">
        <v>4877412</v>
      </c>
      <c r="F4908" t="s">
        <v>8</v>
      </c>
      <c r="G4908" t="s">
        <v>203</v>
      </c>
      <c r="H4908" t="s">
        <v>240</v>
      </c>
      <c r="I4908" s="4">
        <v>100638.28079999999</v>
      </c>
      <c r="J4908" s="4">
        <v>603829.68479999993</v>
      </c>
      <c r="L4908" s="4">
        <v>6</v>
      </c>
    </row>
    <row r="4909" spans="1:12">
      <c r="A4909" t="s">
        <v>107</v>
      </c>
      <c r="B4909" s="10">
        <v>45362</v>
      </c>
      <c r="C4909" s="18">
        <f t="shared" si="76"/>
        <v>3</v>
      </c>
      <c r="D4909" t="s">
        <v>140</v>
      </c>
      <c r="E4909">
        <v>4877412</v>
      </c>
      <c r="F4909" t="s">
        <v>8</v>
      </c>
      <c r="G4909" t="s">
        <v>203</v>
      </c>
      <c r="H4909" t="s">
        <v>238</v>
      </c>
      <c r="I4909" s="4">
        <v>95606.36675999999</v>
      </c>
      <c r="J4909" s="4">
        <v>573638.20055999991</v>
      </c>
      <c r="L4909" s="4">
        <v>6</v>
      </c>
    </row>
    <row r="4910" spans="1:12">
      <c r="A4910" t="s">
        <v>107</v>
      </c>
      <c r="B4910" s="10">
        <v>45364</v>
      </c>
      <c r="C4910" s="18">
        <f t="shared" si="76"/>
        <v>3</v>
      </c>
      <c r="D4910" t="s">
        <v>189</v>
      </c>
      <c r="E4910">
        <v>4876797</v>
      </c>
      <c r="F4910" t="s">
        <v>8</v>
      </c>
      <c r="G4910" t="s">
        <v>203</v>
      </c>
      <c r="H4910" t="s">
        <v>243</v>
      </c>
      <c r="I4910" s="4">
        <v>100638.28079999999</v>
      </c>
      <c r="J4910" s="4">
        <v>402553.12319999997</v>
      </c>
      <c r="K4910" s="4">
        <v>-18117.40336</v>
      </c>
      <c r="L4910" s="4">
        <v>4</v>
      </c>
    </row>
    <row r="4911" spans="1:12">
      <c r="A4911" t="s">
        <v>107</v>
      </c>
      <c r="B4911" s="10">
        <v>45364</v>
      </c>
      <c r="C4911" s="18">
        <f t="shared" si="76"/>
        <v>3</v>
      </c>
      <c r="D4911" t="s">
        <v>189</v>
      </c>
      <c r="E4911">
        <v>4876797</v>
      </c>
      <c r="F4911" t="s">
        <v>8</v>
      </c>
      <c r="G4911" t="s">
        <v>203</v>
      </c>
      <c r="H4911" t="s">
        <v>240</v>
      </c>
      <c r="I4911" s="4">
        <v>100638.28079999999</v>
      </c>
      <c r="J4911" s="4">
        <v>402553.12319999997</v>
      </c>
      <c r="K4911" s="4">
        <v>-18117.40336</v>
      </c>
      <c r="L4911" s="4">
        <v>4</v>
      </c>
    </row>
    <row r="4912" spans="1:12">
      <c r="A4912" t="s">
        <v>107</v>
      </c>
      <c r="B4912" s="10">
        <v>45364</v>
      </c>
      <c r="C4912" s="18">
        <f t="shared" si="76"/>
        <v>3</v>
      </c>
      <c r="D4912" t="s">
        <v>189</v>
      </c>
      <c r="E4912">
        <v>4876797</v>
      </c>
      <c r="F4912" t="s">
        <v>8</v>
      </c>
      <c r="G4912" t="s">
        <v>203</v>
      </c>
      <c r="H4912" t="s">
        <v>238</v>
      </c>
      <c r="I4912" s="4">
        <v>95606.36675999999</v>
      </c>
      <c r="J4912" s="4">
        <v>764850.93407999992</v>
      </c>
      <c r="K4912" s="4">
        <v>-36234.80672</v>
      </c>
      <c r="L4912" s="4">
        <v>8</v>
      </c>
    </row>
    <row r="4913" spans="1:12">
      <c r="A4913" t="s">
        <v>107</v>
      </c>
      <c r="B4913" s="10">
        <v>45364</v>
      </c>
      <c r="C4913" s="18">
        <f t="shared" si="76"/>
        <v>3</v>
      </c>
      <c r="D4913" t="s">
        <v>189</v>
      </c>
      <c r="E4913">
        <v>4876797</v>
      </c>
      <c r="F4913" t="s">
        <v>8</v>
      </c>
      <c r="G4913" t="s">
        <v>203</v>
      </c>
      <c r="H4913" t="s">
        <v>237</v>
      </c>
      <c r="I4913" s="4">
        <v>125766.4408</v>
      </c>
      <c r="J4913" s="4">
        <v>125766.4408</v>
      </c>
      <c r="K4913" s="4">
        <v>-5848.57924</v>
      </c>
      <c r="L4913" s="4">
        <v>1</v>
      </c>
    </row>
    <row r="4914" spans="1:12">
      <c r="A4914" t="s">
        <v>107</v>
      </c>
      <c r="B4914" s="10">
        <v>45364</v>
      </c>
      <c r="C4914" s="18">
        <f t="shared" si="76"/>
        <v>3</v>
      </c>
      <c r="D4914" t="s">
        <v>189</v>
      </c>
      <c r="E4914">
        <v>4876797</v>
      </c>
      <c r="F4914" t="s">
        <v>8</v>
      </c>
      <c r="G4914" t="s">
        <v>203</v>
      </c>
      <c r="H4914" t="s">
        <v>235</v>
      </c>
      <c r="I4914" s="4">
        <v>125766.4408</v>
      </c>
      <c r="J4914" s="4">
        <v>754598.64480000001</v>
      </c>
      <c r="K4914" s="4">
        <v>-35091.475440000002</v>
      </c>
      <c r="L4914" s="4">
        <v>6</v>
      </c>
    </row>
    <row r="4915" spans="1:12">
      <c r="A4915" t="s">
        <v>107</v>
      </c>
      <c r="B4915" s="10">
        <v>45365</v>
      </c>
      <c r="C4915" s="18">
        <f t="shared" si="76"/>
        <v>3</v>
      </c>
      <c r="D4915" t="s">
        <v>151</v>
      </c>
      <c r="E4915">
        <v>4876098</v>
      </c>
      <c r="F4915" t="s">
        <v>8</v>
      </c>
      <c r="G4915" t="s">
        <v>204</v>
      </c>
      <c r="H4915" t="s">
        <v>217</v>
      </c>
      <c r="I4915" s="4">
        <v>78022.936799999996</v>
      </c>
      <c r="J4915" s="4">
        <v>780229.36800000002</v>
      </c>
      <c r="L4915" s="4">
        <v>10</v>
      </c>
    </row>
    <row r="4916" spans="1:12">
      <c r="A4916" t="s">
        <v>107</v>
      </c>
      <c r="B4916" s="10">
        <v>45365</v>
      </c>
      <c r="C4916" s="18">
        <f t="shared" si="76"/>
        <v>3</v>
      </c>
      <c r="D4916" t="s">
        <v>151</v>
      </c>
      <c r="E4916">
        <v>4876098</v>
      </c>
      <c r="F4916" t="s">
        <v>8</v>
      </c>
      <c r="G4916" t="s">
        <v>204</v>
      </c>
      <c r="H4916" t="s">
        <v>213</v>
      </c>
      <c r="I4916" s="4">
        <v>119484.4008</v>
      </c>
      <c r="J4916" s="4">
        <v>1792266.0120000001</v>
      </c>
      <c r="L4916" s="4">
        <v>15</v>
      </c>
    </row>
    <row r="4917" spans="1:12">
      <c r="A4917" t="s">
        <v>107</v>
      </c>
      <c r="B4917" s="10">
        <v>45365</v>
      </c>
      <c r="C4917" s="18">
        <f t="shared" si="76"/>
        <v>3</v>
      </c>
      <c r="D4917" t="s">
        <v>154</v>
      </c>
      <c r="E4917">
        <v>4876946</v>
      </c>
      <c r="F4917" t="s">
        <v>8</v>
      </c>
      <c r="G4917" t="s">
        <v>203</v>
      </c>
      <c r="H4917" t="s">
        <v>243</v>
      </c>
      <c r="I4917" s="4">
        <v>100638.28079999999</v>
      </c>
      <c r="J4917" s="4">
        <v>1006382.808</v>
      </c>
      <c r="L4917" s="4">
        <v>10</v>
      </c>
    </row>
    <row r="4918" spans="1:12">
      <c r="A4918" t="s">
        <v>107</v>
      </c>
      <c r="B4918" s="10">
        <v>45365</v>
      </c>
      <c r="C4918" s="18">
        <f t="shared" si="76"/>
        <v>3</v>
      </c>
      <c r="D4918" t="s">
        <v>154</v>
      </c>
      <c r="E4918">
        <v>4876946</v>
      </c>
      <c r="F4918" t="s">
        <v>8</v>
      </c>
      <c r="G4918" t="s">
        <v>203</v>
      </c>
      <c r="H4918" t="s">
        <v>240</v>
      </c>
      <c r="I4918" s="4">
        <v>100638.28079999999</v>
      </c>
      <c r="J4918" s="4">
        <v>603829.68479999993</v>
      </c>
      <c r="L4918" s="4">
        <v>6</v>
      </c>
    </row>
    <row r="4919" spans="1:12">
      <c r="A4919" t="s">
        <v>107</v>
      </c>
      <c r="B4919" s="10">
        <v>45365</v>
      </c>
      <c r="C4919" s="18">
        <f t="shared" si="76"/>
        <v>3</v>
      </c>
      <c r="D4919" t="s">
        <v>154</v>
      </c>
      <c r="E4919">
        <v>4876946</v>
      </c>
      <c r="F4919" t="s">
        <v>8</v>
      </c>
      <c r="G4919" t="s">
        <v>203</v>
      </c>
      <c r="H4919" t="s">
        <v>230</v>
      </c>
      <c r="I4919" s="4">
        <v>100638.28079999999</v>
      </c>
      <c r="J4919" s="4">
        <v>805106.24639999995</v>
      </c>
      <c r="L4919" s="4">
        <v>8</v>
      </c>
    </row>
    <row r="4920" spans="1:12">
      <c r="A4920" t="s">
        <v>107</v>
      </c>
      <c r="B4920" s="10">
        <v>45365</v>
      </c>
      <c r="C4920" s="18">
        <f t="shared" si="76"/>
        <v>3</v>
      </c>
      <c r="D4920" t="s">
        <v>154</v>
      </c>
      <c r="E4920">
        <v>4876946</v>
      </c>
      <c r="F4920" t="s">
        <v>8</v>
      </c>
      <c r="G4920" t="s">
        <v>203</v>
      </c>
      <c r="H4920" t="s">
        <v>228</v>
      </c>
      <c r="I4920" s="4">
        <v>100638.28079999999</v>
      </c>
      <c r="J4920" s="4">
        <v>402553.12319999997</v>
      </c>
      <c r="L4920" s="4">
        <v>4</v>
      </c>
    </row>
    <row r="4921" spans="1:12">
      <c r="A4921" t="s">
        <v>107</v>
      </c>
      <c r="B4921" s="10">
        <v>45365</v>
      </c>
      <c r="C4921" s="18">
        <f t="shared" si="76"/>
        <v>3</v>
      </c>
      <c r="D4921" t="s">
        <v>154</v>
      </c>
      <c r="E4921">
        <v>4878664</v>
      </c>
      <c r="F4921" t="s">
        <v>8</v>
      </c>
      <c r="G4921" t="s">
        <v>203</v>
      </c>
      <c r="H4921" t="s">
        <v>242</v>
      </c>
      <c r="I4921" s="4">
        <v>100638.28079999999</v>
      </c>
      <c r="J4921" s="4">
        <v>201276.56159999999</v>
      </c>
      <c r="L4921" s="4">
        <v>2</v>
      </c>
    </row>
    <row r="4922" spans="1:12">
      <c r="A4922" t="s">
        <v>107</v>
      </c>
      <c r="B4922" s="10">
        <v>45365</v>
      </c>
      <c r="C4922" s="18">
        <f t="shared" si="76"/>
        <v>3</v>
      </c>
      <c r="D4922" t="s">
        <v>154</v>
      </c>
      <c r="E4922">
        <v>4878664</v>
      </c>
      <c r="F4922" t="s">
        <v>8</v>
      </c>
      <c r="G4922" t="s">
        <v>203</v>
      </c>
      <c r="H4922" t="s">
        <v>240</v>
      </c>
      <c r="I4922" s="4">
        <v>100638.28079999999</v>
      </c>
      <c r="J4922" s="4">
        <v>402553.12319999997</v>
      </c>
      <c r="L4922" s="4">
        <v>4</v>
      </c>
    </row>
    <row r="4923" spans="1:12">
      <c r="A4923" t="s">
        <v>107</v>
      </c>
      <c r="B4923" s="10">
        <v>45365</v>
      </c>
      <c r="C4923" s="18">
        <f t="shared" si="76"/>
        <v>3</v>
      </c>
      <c r="D4923" t="s">
        <v>154</v>
      </c>
      <c r="E4923">
        <v>4878664</v>
      </c>
      <c r="F4923" t="s">
        <v>8</v>
      </c>
      <c r="G4923" t="s">
        <v>203</v>
      </c>
      <c r="H4923" t="s">
        <v>238</v>
      </c>
      <c r="I4923" s="4">
        <v>95606.36675999999</v>
      </c>
      <c r="J4923" s="4">
        <v>191212.73351999998</v>
      </c>
      <c r="L4923" s="4">
        <v>2</v>
      </c>
    </row>
    <row r="4924" spans="1:12">
      <c r="A4924" t="s">
        <v>107</v>
      </c>
      <c r="B4924" s="10">
        <v>45365</v>
      </c>
      <c r="C4924" s="18">
        <f t="shared" si="76"/>
        <v>3</v>
      </c>
      <c r="D4924" t="s">
        <v>154</v>
      </c>
      <c r="E4924">
        <v>4878664</v>
      </c>
      <c r="F4924" t="s">
        <v>8</v>
      </c>
      <c r="G4924" t="s">
        <v>203</v>
      </c>
      <c r="H4924" t="s">
        <v>234</v>
      </c>
      <c r="I4924" s="4">
        <v>100638.28079999999</v>
      </c>
      <c r="J4924" s="4">
        <v>201276.56159999999</v>
      </c>
      <c r="L4924" s="4">
        <v>2</v>
      </c>
    </row>
    <row r="4925" spans="1:12">
      <c r="A4925" t="s">
        <v>107</v>
      </c>
      <c r="B4925" s="10">
        <v>45365</v>
      </c>
      <c r="C4925" s="18">
        <f t="shared" si="76"/>
        <v>3</v>
      </c>
      <c r="D4925" t="s">
        <v>154</v>
      </c>
      <c r="E4925">
        <v>4878664</v>
      </c>
      <c r="F4925" t="s">
        <v>8</v>
      </c>
      <c r="G4925" t="s">
        <v>203</v>
      </c>
      <c r="H4925" t="s">
        <v>230</v>
      </c>
      <c r="I4925" s="4">
        <v>100638.28079999999</v>
      </c>
      <c r="J4925" s="4">
        <v>402553.12319999997</v>
      </c>
      <c r="L4925" s="4">
        <v>4</v>
      </c>
    </row>
    <row r="4926" spans="1:12">
      <c r="A4926" t="s">
        <v>107</v>
      </c>
      <c r="B4926" s="10">
        <v>45365</v>
      </c>
      <c r="C4926" s="18">
        <f t="shared" si="76"/>
        <v>3</v>
      </c>
      <c r="D4926" t="s">
        <v>154</v>
      </c>
      <c r="E4926">
        <v>4878664</v>
      </c>
      <c r="F4926" t="s">
        <v>8</v>
      </c>
      <c r="G4926" t="s">
        <v>203</v>
      </c>
      <c r="H4926" t="s">
        <v>228</v>
      </c>
      <c r="I4926" s="4">
        <v>100638.28079999999</v>
      </c>
      <c r="J4926" s="4">
        <v>201276.56159999999</v>
      </c>
      <c r="L4926" s="4">
        <v>2</v>
      </c>
    </row>
    <row r="4927" spans="1:12">
      <c r="A4927" t="s">
        <v>107</v>
      </c>
      <c r="B4927" s="10">
        <v>45366</v>
      </c>
      <c r="C4927" s="18">
        <f t="shared" si="76"/>
        <v>3</v>
      </c>
      <c r="D4927" t="s">
        <v>162</v>
      </c>
      <c r="E4927">
        <v>4874112</v>
      </c>
      <c r="F4927" t="s">
        <v>8</v>
      </c>
      <c r="G4927" t="s">
        <v>203</v>
      </c>
      <c r="H4927" t="s">
        <v>232</v>
      </c>
      <c r="I4927" s="4">
        <v>100638.28079999999</v>
      </c>
      <c r="J4927" s="4">
        <v>201276.56159999999</v>
      </c>
      <c r="L4927" s="4">
        <v>2</v>
      </c>
    </row>
    <row r="4928" spans="1:12">
      <c r="A4928" t="s">
        <v>107</v>
      </c>
      <c r="B4928" s="10">
        <v>45366</v>
      </c>
      <c r="C4928" s="18">
        <f t="shared" si="76"/>
        <v>3</v>
      </c>
      <c r="D4928" t="s">
        <v>162</v>
      </c>
      <c r="E4928">
        <v>4874112</v>
      </c>
      <c r="F4928" t="s">
        <v>8</v>
      </c>
      <c r="G4928" t="s">
        <v>203</v>
      </c>
      <c r="H4928" t="s">
        <v>230</v>
      </c>
      <c r="I4928" s="4">
        <v>100638.28079999999</v>
      </c>
      <c r="J4928" s="4">
        <v>402553.12319999997</v>
      </c>
      <c r="L4928" s="4">
        <v>4</v>
      </c>
    </row>
    <row r="4929" spans="1:12">
      <c r="A4929" t="s">
        <v>107</v>
      </c>
      <c r="B4929" s="10">
        <v>45366</v>
      </c>
      <c r="C4929" s="18">
        <f t="shared" si="76"/>
        <v>3</v>
      </c>
      <c r="D4929" t="s">
        <v>162</v>
      </c>
      <c r="E4929">
        <v>4874112</v>
      </c>
      <c r="F4929" t="s">
        <v>8</v>
      </c>
      <c r="G4929" t="s">
        <v>203</v>
      </c>
      <c r="H4929" t="s">
        <v>228</v>
      </c>
      <c r="I4929" s="4">
        <v>100638.28079999999</v>
      </c>
      <c r="J4929" s="4">
        <v>201276.56159999999</v>
      </c>
      <c r="L4929" s="4">
        <v>2</v>
      </c>
    </row>
    <row r="4930" spans="1:12">
      <c r="A4930" t="s">
        <v>107</v>
      </c>
      <c r="B4930" s="10">
        <v>45366</v>
      </c>
      <c r="C4930" s="18">
        <f t="shared" ref="C4930:C4993" si="77">MONTH(B4930)</f>
        <v>3</v>
      </c>
      <c r="D4930" t="s">
        <v>162</v>
      </c>
      <c r="E4930">
        <v>4874112</v>
      </c>
      <c r="F4930" t="s">
        <v>8</v>
      </c>
      <c r="G4930" t="s">
        <v>203</v>
      </c>
      <c r="H4930" t="s">
        <v>226</v>
      </c>
      <c r="I4930" s="4">
        <v>100638.28079999999</v>
      </c>
      <c r="J4930" s="4">
        <v>201276.56159999999</v>
      </c>
      <c r="L4930" s="4">
        <v>2</v>
      </c>
    </row>
    <row r="4931" spans="1:12">
      <c r="A4931" t="s">
        <v>107</v>
      </c>
      <c r="B4931" s="10">
        <v>45366</v>
      </c>
      <c r="C4931" s="18">
        <f t="shared" si="77"/>
        <v>3</v>
      </c>
      <c r="D4931" t="s">
        <v>162</v>
      </c>
      <c r="E4931">
        <v>4874112</v>
      </c>
      <c r="F4931" t="s">
        <v>8</v>
      </c>
      <c r="G4931" t="s">
        <v>203</v>
      </c>
      <c r="H4931" t="s">
        <v>244</v>
      </c>
      <c r="I4931" s="4">
        <v>125766.4408</v>
      </c>
      <c r="J4931" s="4">
        <v>251532.88159999999</v>
      </c>
      <c r="L4931" s="4">
        <v>2</v>
      </c>
    </row>
    <row r="4932" spans="1:12">
      <c r="A4932" t="s">
        <v>107</v>
      </c>
      <c r="B4932" s="10">
        <v>45366</v>
      </c>
      <c r="C4932" s="18">
        <f t="shared" si="77"/>
        <v>3</v>
      </c>
      <c r="D4932" t="s">
        <v>162</v>
      </c>
      <c r="E4932">
        <v>4874112</v>
      </c>
      <c r="F4932" t="s">
        <v>8</v>
      </c>
      <c r="G4932" t="s">
        <v>203</v>
      </c>
      <c r="H4932" t="s">
        <v>233</v>
      </c>
      <c r="I4932" s="4">
        <v>120735.78316800001</v>
      </c>
      <c r="J4932" s="4">
        <v>241471.56633600002</v>
      </c>
      <c r="L4932" s="4">
        <v>2</v>
      </c>
    </row>
    <row r="4933" spans="1:12">
      <c r="A4933" t="s">
        <v>107</v>
      </c>
      <c r="B4933" s="10">
        <v>45366</v>
      </c>
      <c r="C4933" s="18">
        <f t="shared" si="77"/>
        <v>3</v>
      </c>
      <c r="D4933" t="s">
        <v>162</v>
      </c>
      <c r="E4933">
        <v>4874459</v>
      </c>
      <c r="F4933" t="s">
        <v>8</v>
      </c>
      <c r="G4933" t="s">
        <v>203</v>
      </c>
      <c r="H4933" t="s">
        <v>226</v>
      </c>
      <c r="I4933" s="4">
        <v>100638.28079999999</v>
      </c>
      <c r="J4933" s="4">
        <v>201276.56159999999</v>
      </c>
      <c r="L4933" s="4">
        <v>2</v>
      </c>
    </row>
    <row r="4934" spans="1:12">
      <c r="A4934" t="s">
        <v>107</v>
      </c>
      <c r="B4934" s="10">
        <v>45366</v>
      </c>
      <c r="C4934" s="18">
        <f t="shared" si="77"/>
        <v>3</v>
      </c>
      <c r="D4934" t="s">
        <v>162</v>
      </c>
      <c r="E4934">
        <v>4874459</v>
      </c>
      <c r="F4934" t="s">
        <v>8</v>
      </c>
      <c r="G4934" t="s">
        <v>203</v>
      </c>
      <c r="H4934" t="s">
        <v>225</v>
      </c>
      <c r="I4934" s="4">
        <v>100638.28079999999</v>
      </c>
      <c r="J4934" s="4">
        <v>201276.56159999999</v>
      </c>
      <c r="L4934" s="4">
        <v>2</v>
      </c>
    </row>
    <row r="4935" spans="1:12">
      <c r="A4935" t="s">
        <v>107</v>
      </c>
      <c r="B4935" s="10">
        <v>45366</v>
      </c>
      <c r="C4935" s="18">
        <f t="shared" si="77"/>
        <v>3</v>
      </c>
      <c r="D4935" t="s">
        <v>162</v>
      </c>
      <c r="E4935">
        <v>4874459</v>
      </c>
      <c r="F4935" t="s">
        <v>8</v>
      </c>
      <c r="G4935" t="s">
        <v>203</v>
      </c>
      <c r="H4935" t="s">
        <v>244</v>
      </c>
      <c r="I4935" s="4">
        <v>125766.4408</v>
      </c>
      <c r="J4935" s="4">
        <v>251532.88159999999</v>
      </c>
      <c r="L4935" s="4">
        <v>2</v>
      </c>
    </row>
    <row r="4936" spans="1:12">
      <c r="A4936" t="s">
        <v>107</v>
      </c>
      <c r="B4936" s="10">
        <v>45369</v>
      </c>
      <c r="C4936" s="18">
        <f t="shared" si="77"/>
        <v>3</v>
      </c>
      <c r="D4936" t="s">
        <v>183</v>
      </c>
      <c r="E4936">
        <v>4874091</v>
      </c>
      <c r="F4936" t="s">
        <v>8</v>
      </c>
      <c r="G4936" t="s">
        <v>203</v>
      </c>
      <c r="H4936" t="s">
        <v>223</v>
      </c>
      <c r="I4936" s="4">
        <v>100638.28079999999</v>
      </c>
      <c r="J4936" s="4">
        <v>201276.56159999999</v>
      </c>
      <c r="L4936" s="4">
        <v>2</v>
      </c>
    </row>
    <row r="4937" spans="1:12">
      <c r="A4937" t="s">
        <v>107</v>
      </c>
      <c r="B4937" s="10">
        <v>45369</v>
      </c>
      <c r="C4937" s="18">
        <f t="shared" si="77"/>
        <v>3</v>
      </c>
      <c r="D4937" t="s">
        <v>183</v>
      </c>
      <c r="E4937">
        <v>4874091</v>
      </c>
      <c r="F4937" t="s">
        <v>8</v>
      </c>
      <c r="G4937" t="s">
        <v>203</v>
      </c>
      <c r="H4937" t="s">
        <v>222</v>
      </c>
      <c r="I4937" s="4">
        <v>100638.28079999999</v>
      </c>
      <c r="J4937" s="4">
        <v>201276.56159999999</v>
      </c>
      <c r="L4937" s="4">
        <v>2</v>
      </c>
    </row>
    <row r="4938" spans="1:12">
      <c r="A4938" t="s">
        <v>107</v>
      </c>
      <c r="B4938" s="10">
        <v>45370</v>
      </c>
      <c r="C4938" s="18">
        <f t="shared" si="77"/>
        <v>3</v>
      </c>
      <c r="D4938" t="s">
        <v>177</v>
      </c>
      <c r="E4938">
        <v>4877105</v>
      </c>
      <c r="F4938" t="s">
        <v>8</v>
      </c>
      <c r="G4938" t="s">
        <v>205</v>
      </c>
      <c r="H4938" t="s">
        <v>211</v>
      </c>
      <c r="I4938" s="4">
        <v>5151.2727999999997</v>
      </c>
      <c r="J4938" s="4">
        <v>103025.45599999999</v>
      </c>
      <c r="L4938" s="4">
        <v>20</v>
      </c>
    </row>
    <row r="4939" spans="1:12">
      <c r="A4939" t="s">
        <v>107</v>
      </c>
      <c r="B4939" s="10">
        <v>45370</v>
      </c>
      <c r="C4939" s="18">
        <f t="shared" si="77"/>
        <v>3</v>
      </c>
      <c r="D4939" t="s">
        <v>182</v>
      </c>
      <c r="E4939">
        <v>4874538</v>
      </c>
      <c r="F4939" t="s">
        <v>8</v>
      </c>
      <c r="G4939" t="s">
        <v>203</v>
      </c>
      <c r="H4939" t="s">
        <v>245</v>
      </c>
      <c r="I4939" s="4">
        <v>100638.28079999999</v>
      </c>
      <c r="J4939" s="4">
        <v>603829.68479999993</v>
      </c>
      <c r="L4939" s="4">
        <v>6</v>
      </c>
    </row>
    <row r="4940" spans="1:12">
      <c r="A4940" t="s">
        <v>107</v>
      </c>
      <c r="B4940" s="10">
        <v>45370</v>
      </c>
      <c r="C4940" s="18">
        <f t="shared" si="77"/>
        <v>3</v>
      </c>
      <c r="D4940" t="s">
        <v>182</v>
      </c>
      <c r="E4940">
        <v>4874538</v>
      </c>
      <c r="F4940" t="s">
        <v>8</v>
      </c>
      <c r="G4940" t="s">
        <v>203</v>
      </c>
      <c r="H4940" t="s">
        <v>226</v>
      </c>
      <c r="I4940" s="4">
        <v>100638.28079999999</v>
      </c>
      <c r="J4940" s="4">
        <v>603829.68479999993</v>
      </c>
      <c r="L4940" s="4">
        <v>6</v>
      </c>
    </row>
    <row r="4941" spans="1:12">
      <c r="A4941" t="s">
        <v>107</v>
      </c>
      <c r="B4941" s="10">
        <v>45370</v>
      </c>
      <c r="C4941" s="18">
        <f t="shared" si="77"/>
        <v>3</v>
      </c>
      <c r="D4941" t="s">
        <v>182</v>
      </c>
      <c r="E4941">
        <v>4874538</v>
      </c>
      <c r="F4941" t="s">
        <v>8</v>
      </c>
      <c r="G4941" t="s">
        <v>203</v>
      </c>
      <c r="H4941" t="s">
        <v>225</v>
      </c>
      <c r="I4941" s="4">
        <v>100638.28079999999</v>
      </c>
      <c r="J4941" s="4">
        <v>603829.68479999993</v>
      </c>
      <c r="L4941" s="4">
        <v>6</v>
      </c>
    </row>
    <row r="4942" spans="1:12">
      <c r="A4942" t="s">
        <v>107</v>
      </c>
      <c r="B4942" s="10">
        <v>45370</v>
      </c>
      <c r="C4942" s="18">
        <f t="shared" si="77"/>
        <v>3</v>
      </c>
      <c r="D4942" t="s">
        <v>182</v>
      </c>
      <c r="E4942">
        <v>4874538</v>
      </c>
      <c r="F4942" t="s">
        <v>8</v>
      </c>
      <c r="G4942" t="s">
        <v>203</v>
      </c>
      <c r="H4942" t="s">
        <v>244</v>
      </c>
      <c r="I4942" s="4">
        <v>125766.4408</v>
      </c>
      <c r="J4942" s="4">
        <v>251532.88159999999</v>
      </c>
      <c r="L4942" s="4">
        <v>2</v>
      </c>
    </row>
    <row r="4943" spans="1:12">
      <c r="A4943" t="s">
        <v>107</v>
      </c>
      <c r="B4943" s="10">
        <v>45373</v>
      </c>
      <c r="C4943" s="18">
        <f t="shared" si="77"/>
        <v>3</v>
      </c>
      <c r="D4943" t="s">
        <v>162</v>
      </c>
      <c r="E4943">
        <v>4874112</v>
      </c>
      <c r="F4943" t="s">
        <v>8</v>
      </c>
      <c r="G4943" t="s">
        <v>203</v>
      </c>
      <c r="H4943" t="s">
        <v>232</v>
      </c>
      <c r="I4943" s="4">
        <v>100638.28079999999</v>
      </c>
      <c r="J4943" s="4">
        <v>201276.56159999999</v>
      </c>
      <c r="L4943" s="4">
        <v>2</v>
      </c>
    </row>
    <row r="4944" spans="1:12">
      <c r="A4944" t="s">
        <v>107</v>
      </c>
      <c r="B4944" s="10">
        <v>45373</v>
      </c>
      <c r="C4944" s="18">
        <f t="shared" si="77"/>
        <v>3</v>
      </c>
      <c r="D4944" t="s">
        <v>162</v>
      </c>
      <c r="E4944">
        <v>4874112</v>
      </c>
      <c r="F4944" t="s">
        <v>8</v>
      </c>
      <c r="G4944" t="s">
        <v>203</v>
      </c>
      <c r="H4944" t="s">
        <v>228</v>
      </c>
      <c r="I4944" s="4">
        <v>100638.28079999999</v>
      </c>
      <c r="J4944" s="4">
        <v>201276.56159999999</v>
      </c>
      <c r="L4944" s="4">
        <v>2</v>
      </c>
    </row>
    <row r="4945" spans="1:12">
      <c r="A4945" t="s">
        <v>107</v>
      </c>
      <c r="B4945" s="10">
        <v>45373</v>
      </c>
      <c r="C4945" s="18">
        <f t="shared" si="77"/>
        <v>3</v>
      </c>
      <c r="D4945" t="s">
        <v>162</v>
      </c>
      <c r="E4945">
        <v>4874112</v>
      </c>
      <c r="F4945" t="s">
        <v>8</v>
      </c>
      <c r="G4945" t="s">
        <v>203</v>
      </c>
      <c r="H4945" t="s">
        <v>226</v>
      </c>
      <c r="I4945" s="4">
        <v>100638.28079999999</v>
      </c>
      <c r="J4945" s="4">
        <v>201276.56159999999</v>
      </c>
      <c r="L4945" s="4">
        <v>2</v>
      </c>
    </row>
    <row r="4946" spans="1:12">
      <c r="A4946" t="s">
        <v>107</v>
      </c>
      <c r="B4946" s="10">
        <v>45373</v>
      </c>
      <c r="C4946" s="18">
        <f t="shared" si="77"/>
        <v>3</v>
      </c>
      <c r="D4946" t="s">
        <v>162</v>
      </c>
      <c r="E4946">
        <v>4874112</v>
      </c>
      <c r="F4946" t="s">
        <v>8</v>
      </c>
      <c r="G4946" t="s">
        <v>203</v>
      </c>
      <c r="H4946" t="s">
        <v>225</v>
      </c>
      <c r="I4946" s="4">
        <v>100638.28079999999</v>
      </c>
      <c r="J4946" s="4">
        <v>201276.56159999999</v>
      </c>
      <c r="L4946" s="4">
        <v>2</v>
      </c>
    </row>
    <row r="4947" spans="1:12">
      <c r="A4947" t="s">
        <v>107</v>
      </c>
      <c r="B4947" s="10">
        <v>45373</v>
      </c>
      <c r="C4947" s="18">
        <f t="shared" si="77"/>
        <v>3</v>
      </c>
      <c r="D4947" t="s">
        <v>162</v>
      </c>
      <c r="E4947">
        <v>4874112</v>
      </c>
      <c r="F4947" t="s">
        <v>8</v>
      </c>
      <c r="G4947" t="s">
        <v>203</v>
      </c>
      <c r="H4947" t="s">
        <v>237</v>
      </c>
      <c r="I4947" s="4">
        <v>125766.4408</v>
      </c>
      <c r="J4947" s="4">
        <v>503065.76319999999</v>
      </c>
      <c r="L4947" s="4">
        <v>4</v>
      </c>
    </row>
    <row r="4948" spans="1:12">
      <c r="A4948" t="s">
        <v>107</v>
      </c>
      <c r="B4948" s="10">
        <v>45373</v>
      </c>
      <c r="C4948" s="18">
        <f t="shared" si="77"/>
        <v>3</v>
      </c>
      <c r="D4948" t="s">
        <v>162</v>
      </c>
      <c r="E4948">
        <v>4874112</v>
      </c>
      <c r="F4948" t="s">
        <v>8</v>
      </c>
      <c r="G4948" t="s">
        <v>203</v>
      </c>
      <c r="H4948" t="s">
        <v>231</v>
      </c>
      <c r="I4948" s="4">
        <v>125766.4408</v>
      </c>
      <c r="J4948" s="4">
        <v>503065.76319999999</v>
      </c>
      <c r="L4948" s="4">
        <v>4</v>
      </c>
    </row>
    <row r="4949" spans="1:12">
      <c r="A4949" t="s">
        <v>107</v>
      </c>
      <c r="B4949" s="10">
        <v>45373</v>
      </c>
      <c r="C4949" s="18">
        <f t="shared" si="77"/>
        <v>3</v>
      </c>
      <c r="D4949" t="s">
        <v>162</v>
      </c>
      <c r="E4949">
        <v>4874313</v>
      </c>
      <c r="F4949" t="s">
        <v>8</v>
      </c>
      <c r="G4949" t="s">
        <v>203</v>
      </c>
      <c r="H4949" t="s">
        <v>228</v>
      </c>
      <c r="I4949" s="4">
        <v>100638.28079999999</v>
      </c>
      <c r="J4949" s="4">
        <v>201276.56159999999</v>
      </c>
      <c r="L4949" s="4">
        <v>2</v>
      </c>
    </row>
    <row r="4950" spans="1:12">
      <c r="A4950" t="s">
        <v>107</v>
      </c>
      <c r="B4950" s="10">
        <v>45373</v>
      </c>
      <c r="C4950" s="18">
        <f t="shared" si="77"/>
        <v>3</v>
      </c>
      <c r="D4950" t="s">
        <v>162</v>
      </c>
      <c r="E4950">
        <v>4874313</v>
      </c>
      <c r="F4950" t="s">
        <v>8</v>
      </c>
      <c r="G4950" t="s">
        <v>203</v>
      </c>
      <c r="H4950" t="s">
        <v>226</v>
      </c>
      <c r="I4950" s="4">
        <v>100638.28079999999</v>
      </c>
      <c r="J4950" s="4">
        <v>201276.56159999999</v>
      </c>
      <c r="L4950" s="4">
        <v>2</v>
      </c>
    </row>
    <row r="4951" spans="1:12">
      <c r="A4951" t="s">
        <v>107</v>
      </c>
      <c r="B4951" s="10">
        <v>45373</v>
      </c>
      <c r="C4951" s="18">
        <f t="shared" si="77"/>
        <v>3</v>
      </c>
      <c r="D4951" t="s">
        <v>162</v>
      </c>
      <c r="E4951">
        <v>4874313</v>
      </c>
      <c r="F4951" t="s">
        <v>8</v>
      </c>
      <c r="G4951" t="s">
        <v>203</v>
      </c>
      <c r="H4951" t="s">
        <v>225</v>
      </c>
      <c r="I4951" s="4">
        <v>100638.28079999999</v>
      </c>
      <c r="J4951" s="4">
        <v>402553.12319999997</v>
      </c>
      <c r="L4951" s="4">
        <v>4</v>
      </c>
    </row>
    <row r="4952" spans="1:12">
      <c r="A4952" t="s">
        <v>107</v>
      </c>
      <c r="B4952" s="10">
        <v>45373</v>
      </c>
      <c r="C4952" s="18">
        <f t="shared" si="77"/>
        <v>3</v>
      </c>
      <c r="D4952" t="s">
        <v>162</v>
      </c>
      <c r="E4952">
        <v>4874313</v>
      </c>
      <c r="F4952" t="s">
        <v>8</v>
      </c>
      <c r="G4952" t="s">
        <v>203</v>
      </c>
      <c r="H4952" t="s">
        <v>223</v>
      </c>
      <c r="I4952" s="4">
        <v>100638.28079999999</v>
      </c>
      <c r="J4952" s="4">
        <v>201276.56159999999</v>
      </c>
      <c r="L4952" s="4">
        <v>2</v>
      </c>
    </row>
    <row r="4953" spans="1:12">
      <c r="A4953" t="s">
        <v>107</v>
      </c>
      <c r="B4953" s="10">
        <v>45373</v>
      </c>
      <c r="C4953" s="18">
        <f t="shared" si="77"/>
        <v>3</v>
      </c>
      <c r="D4953" t="s">
        <v>162</v>
      </c>
      <c r="E4953">
        <v>4874459</v>
      </c>
      <c r="F4953" t="s">
        <v>8</v>
      </c>
      <c r="G4953" t="s">
        <v>203</v>
      </c>
      <c r="H4953" t="s">
        <v>225</v>
      </c>
      <c r="I4953" s="4">
        <v>100638.28079999999</v>
      </c>
      <c r="J4953" s="4">
        <v>402553.12319999997</v>
      </c>
      <c r="L4953" s="4">
        <v>4</v>
      </c>
    </row>
    <row r="4954" spans="1:12">
      <c r="A4954" t="s">
        <v>107</v>
      </c>
      <c r="B4954" s="10">
        <v>45373</v>
      </c>
      <c r="C4954" s="18">
        <f t="shared" si="77"/>
        <v>3</v>
      </c>
      <c r="D4954" t="s">
        <v>162</v>
      </c>
      <c r="E4954">
        <v>4874459</v>
      </c>
      <c r="F4954" t="s">
        <v>8</v>
      </c>
      <c r="G4954" t="s">
        <v>203</v>
      </c>
      <c r="H4954" t="s">
        <v>229</v>
      </c>
      <c r="I4954" s="4">
        <v>125766.4408</v>
      </c>
      <c r="J4954" s="4">
        <v>377299.3224</v>
      </c>
      <c r="L4954" s="4">
        <v>3</v>
      </c>
    </row>
    <row r="4955" spans="1:12">
      <c r="A4955" t="s">
        <v>107</v>
      </c>
      <c r="B4955" s="10">
        <v>45375</v>
      </c>
      <c r="C4955" s="18">
        <f t="shared" si="77"/>
        <v>3</v>
      </c>
      <c r="D4955" t="s">
        <v>151</v>
      </c>
      <c r="E4955">
        <v>4876098</v>
      </c>
      <c r="F4955" t="s">
        <v>8</v>
      </c>
      <c r="G4955" t="s">
        <v>204</v>
      </c>
      <c r="H4955" t="s">
        <v>219</v>
      </c>
      <c r="I4955" s="4">
        <v>44099.9208</v>
      </c>
      <c r="J4955" s="4">
        <v>220499.60399999999</v>
      </c>
      <c r="L4955" s="4">
        <v>5</v>
      </c>
    </row>
    <row r="4956" spans="1:12">
      <c r="A4956" t="s">
        <v>107</v>
      </c>
      <c r="B4956" s="10">
        <v>45375</v>
      </c>
      <c r="C4956" s="18">
        <f t="shared" si="77"/>
        <v>3</v>
      </c>
      <c r="D4956" t="s">
        <v>151</v>
      </c>
      <c r="E4956">
        <v>4876098</v>
      </c>
      <c r="F4956" t="s">
        <v>8</v>
      </c>
      <c r="G4956" t="s">
        <v>204</v>
      </c>
      <c r="H4956" t="s">
        <v>216</v>
      </c>
      <c r="I4956" s="4">
        <v>113202.36079999999</v>
      </c>
      <c r="J4956" s="4">
        <v>452809.44319999998</v>
      </c>
      <c r="L4956" s="4">
        <v>4</v>
      </c>
    </row>
    <row r="4957" spans="1:12">
      <c r="A4957" t="s">
        <v>107</v>
      </c>
      <c r="B4957" s="10">
        <v>45376</v>
      </c>
      <c r="C4957" s="18">
        <f t="shared" si="77"/>
        <v>3</v>
      </c>
      <c r="D4957" t="s">
        <v>140</v>
      </c>
      <c r="E4957">
        <v>4877412</v>
      </c>
      <c r="F4957" t="s">
        <v>8</v>
      </c>
      <c r="G4957" t="s">
        <v>203</v>
      </c>
      <c r="H4957" t="s">
        <v>232</v>
      </c>
      <c r="I4957" s="4">
        <v>100638.28079999999</v>
      </c>
      <c r="J4957" s="4">
        <v>603829.68479999993</v>
      </c>
      <c r="L4957" s="4">
        <v>6</v>
      </c>
    </row>
    <row r="4958" spans="1:12">
      <c r="A4958" t="s">
        <v>107</v>
      </c>
      <c r="B4958" s="10">
        <v>45376</v>
      </c>
      <c r="C4958" s="18">
        <f t="shared" si="77"/>
        <v>3</v>
      </c>
      <c r="D4958" t="s">
        <v>140</v>
      </c>
      <c r="E4958">
        <v>4877412</v>
      </c>
      <c r="F4958" t="s">
        <v>8</v>
      </c>
      <c r="G4958" t="s">
        <v>203</v>
      </c>
      <c r="H4958" t="s">
        <v>222</v>
      </c>
      <c r="I4958" s="4">
        <v>100638.28079999999</v>
      </c>
      <c r="J4958" s="4">
        <v>603829.68479999993</v>
      </c>
      <c r="L4958" s="4">
        <v>6</v>
      </c>
    </row>
    <row r="4959" spans="1:12">
      <c r="A4959" t="s">
        <v>107</v>
      </c>
      <c r="B4959" s="10">
        <v>45377</v>
      </c>
      <c r="C4959" s="18">
        <f t="shared" si="77"/>
        <v>3</v>
      </c>
      <c r="D4959" t="s">
        <v>177</v>
      </c>
      <c r="E4959">
        <v>4878586</v>
      </c>
      <c r="F4959" t="s">
        <v>8</v>
      </c>
      <c r="G4959" t="s">
        <v>203</v>
      </c>
      <c r="H4959" t="s">
        <v>232</v>
      </c>
      <c r="I4959" s="4">
        <v>100638.28079999999</v>
      </c>
      <c r="J4959" s="4">
        <v>201276.56159999999</v>
      </c>
      <c r="L4959" s="4">
        <v>2</v>
      </c>
    </row>
    <row r="4960" spans="1:12">
      <c r="A4960" t="s">
        <v>107</v>
      </c>
      <c r="B4960" s="10">
        <v>45377</v>
      </c>
      <c r="C4960" s="18">
        <f t="shared" si="77"/>
        <v>3</v>
      </c>
      <c r="D4960" t="s">
        <v>177</v>
      </c>
      <c r="E4960">
        <v>4878586</v>
      </c>
      <c r="F4960" t="s">
        <v>8</v>
      </c>
      <c r="G4960" t="s">
        <v>203</v>
      </c>
      <c r="H4960" t="s">
        <v>226</v>
      </c>
      <c r="I4960" s="4">
        <v>100638.28079999999</v>
      </c>
      <c r="J4960" s="4">
        <v>201276.56159999999</v>
      </c>
      <c r="L4960" s="4">
        <v>2</v>
      </c>
    </row>
    <row r="4961" spans="1:12">
      <c r="A4961" t="s">
        <v>107</v>
      </c>
      <c r="B4961" s="10">
        <v>45377</v>
      </c>
      <c r="C4961" s="18">
        <f t="shared" si="77"/>
        <v>3</v>
      </c>
      <c r="D4961" t="s">
        <v>177</v>
      </c>
      <c r="E4961">
        <v>4878586</v>
      </c>
      <c r="F4961" t="s">
        <v>8</v>
      </c>
      <c r="G4961" t="s">
        <v>203</v>
      </c>
      <c r="H4961" t="s">
        <v>225</v>
      </c>
      <c r="I4961" s="4">
        <v>100638.28079999999</v>
      </c>
      <c r="J4961" s="4">
        <v>201276.56159999999</v>
      </c>
      <c r="L4961" s="4">
        <v>2</v>
      </c>
    </row>
    <row r="4962" spans="1:12">
      <c r="A4962" t="s">
        <v>107</v>
      </c>
      <c r="B4962" s="10">
        <v>45377</v>
      </c>
      <c r="C4962" s="18">
        <f t="shared" si="77"/>
        <v>3</v>
      </c>
      <c r="D4962" t="s">
        <v>177</v>
      </c>
      <c r="E4962">
        <v>4878586</v>
      </c>
      <c r="F4962" t="s">
        <v>8</v>
      </c>
      <c r="G4962" t="s">
        <v>203</v>
      </c>
      <c r="H4962" t="s">
        <v>223</v>
      </c>
      <c r="I4962" s="4">
        <v>100638.28079999999</v>
      </c>
      <c r="J4962" s="4">
        <v>201276.56159999999</v>
      </c>
      <c r="L4962" s="4">
        <v>2</v>
      </c>
    </row>
    <row r="4963" spans="1:12">
      <c r="A4963" t="s">
        <v>107</v>
      </c>
      <c r="B4963" s="10">
        <v>45377</v>
      </c>
      <c r="C4963" s="18">
        <f t="shared" si="77"/>
        <v>3</v>
      </c>
      <c r="D4963" t="s">
        <v>177</v>
      </c>
      <c r="E4963">
        <v>4878586</v>
      </c>
      <c r="F4963" t="s">
        <v>8</v>
      </c>
      <c r="G4963" t="s">
        <v>203</v>
      </c>
      <c r="H4963" t="s">
        <v>222</v>
      </c>
      <c r="I4963" s="4">
        <v>100638.28079999999</v>
      </c>
      <c r="J4963" s="4">
        <v>402553.12319999997</v>
      </c>
      <c r="L4963" s="4">
        <v>4</v>
      </c>
    </row>
    <row r="4964" spans="1:12">
      <c r="A4964" t="s">
        <v>107</v>
      </c>
      <c r="B4964" s="10">
        <v>45377</v>
      </c>
      <c r="C4964" s="18">
        <f t="shared" si="77"/>
        <v>3</v>
      </c>
      <c r="D4964" t="s">
        <v>177</v>
      </c>
      <c r="E4964">
        <v>4878586</v>
      </c>
      <c r="F4964" t="s">
        <v>8</v>
      </c>
      <c r="G4964" t="s">
        <v>203</v>
      </c>
      <c r="H4964" t="s">
        <v>237</v>
      </c>
      <c r="I4964" s="4">
        <v>125766.4408</v>
      </c>
      <c r="J4964" s="4">
        <v>251532.88159999999</v>
      </c>
      <c r="L4964" s="4">
        <v>2</v>
      </c>
    </row>
    <row r="4965" spans="1:12">
      <c r="A4965" t="s">
        <v>107</v>
      </c>
      <c r="B4965" s="10">
        <v>45377</v>
      </c>
      <c r="C4965" s="18">
        <f t="shared" si="77"/>
        <v>3</v>
      </c>
      <c r="D4965" t="s">
        <v>177</v>
      </c>
      <c r="E4965">
        <v>4875541</v>
      </c>
      <c r="F4965" t="s">
        <v>8</v>
      </c>
      <c r="G4965" t="s">
        <v>203</v>
      </c>
      <c r="H4965" t="s">
        <v>232</v>
      </c>
      <c r="I4965" s="4">
        <v>100638.28079999999</v>
      </c>
      <c r="J4965" s="4">
        <v>402553.12319999997</v>
      </c>
      <c r="L4965" s="4">
        <v>4</v>
      </c>
    </row>
    <row r="4966" spans="1:12">
      <c r="A4966" t="s">
        <v>107</v>
      </c>
      <c r="B4966" s="10">
        <v>45377</v>
      </c>
      <c r="C4966" s="18">
        <f t="shared" si="77"/>
        <v>3</v>
      </c>
      <c r="D4966" t="s">
        <v>177</v>
      </c>
      <c r="E4966">
        <v>4875541</v>
      </c>
      <c r="F4966" t="s">
        <v>8</v>
      </c>
      <c r="G4966" t="s">
        <v>203</v>
      </c>
      <c r="H4966" t="s">
        <v>228</v>
      </c>
      <c r="I4966" s="4">
        <v>100638.28079999999</v>
      </c>
      <c r="J4966" s="4">
        <v>402553.12319999997</v>
      </c>
      <c r="L4966" s="4">
        <v>4</v>
      </c>
    </row>
    <row r="4967" spans="1:12">
      <c r="A4967" t="s">
        <v>107</v>
      </c>
      <c r="B4967" s="10">
        <v>45377</v>
      </c>
      <c r="C4967" s="18">
        <f t="shared" si="77"/>
        <v>3</v>
      </c>
      <c r="D4967" t="s">
        <v>177</v>
      </c>
      <c r="E4967">
        <v>4875541</v>
      </c>
      <c r="F4967" t="s">
        <v>8</v>
      </c>
      <c r="G4967" t="s">
        <v>203</v>
      </c>
      <c r="H4967" t="s">
        <v>226</v>
      </c>
      <c r="I4967" s="4">
        <v>100638.28079999999</v>
      </c>
      <c r="J4967" s="4">
        <v>402553.12319999997</v>
      </c>
      <c r="L4967" s="4">
        <v>4</v>
      </c>
    </row>
    <row r="4968" spans="1:12">
      <c r="A4968" t="s">
        <v>107</v>
      </c>
      <c r="B4968" s="10">
        <v>45377</v>
      </c>
      <c r="C4968" s="18">
        <f t="shared" si="77"/>
        <v>3</v>
      </c>
      <c r="D4968" t="s">
        <v>177</v>
      </c>
      <c r="E4968">
        <v>4875541</v>
      </c>
      <c r="F4968" t="s">
        <v>8</v>
      </c>
      <c r="G4968" t="s">
        <v>203</v>
      </c>
      <c r="H4968" t="s">
        <v>225</v>
      </c>
      <c r="I4968" s="4">
        <v>100638.28079999999</v>
      </c>
      <c r="J4968" s="4">
        <v>201276.56159999999</v>
      </c>
      <c r="L4968" s="4">
        <v>2</v>
      </c>
    </row>
    <row r="4969" spans="1:12">
      <c r="A4969" t="s">
        <v>107</v>
      </c>
      <c r="B4969" s="10">
        <v>45377</v>
      </c>
      <c r="C4969" s="18">
        <f t="shared" si="77"/>
        <v>3</v>
      </c>
      <c r="D4969" t="s">
        <v>177</v>
      </c>
      <c r="E4969">
        <v>4875541</v>
      </c>
      <c r="F4969" t="s">
        <v>8</v>
      </c>
      <c r="G4969" t="s">
        <v>203</v>
      </c>
      <c r="H4969" t="s">
        <v>223</v>
      </c>
      <c r="I4969" s="4">
        <v>100638.28079999999</v>
      </c>
      <c r="J4969" s="4">
        <v>201276.56159999999</v>
      </c>
      <c r="L4969" s="4">
        <v>2</v>
      </c>
    </row>
    <row r="4970" spans="1:12">
      <c r="A4970" t="s">
        <v>107</v>
      </c>
      <c r="B4970" s="10">
        <v>45377</v>
      </c>
      <c r="C4970" s="18">
        <f t="shared" si="77"/>
        <v>3</v>
      </c>
      <c r="D4970" t="s">
        <v>177</v>
      </c>
      <c r="E4970">
        <v>4875541</v>
      </c>
      <c r="F4970" t="s">
        <v>8</v>
      </c>
      <c r="G4970" t="s">
        <v>203</v>
      </c>
      <c r="H4970" t="s">
        <v>222</v>
      </c>
      <c r="I4970" s="4">
        <v>100638.28079999999</v>
      </c>
      <c r="J4970" s="4">
        <v>402553.12319999997</v>
      </c>
      <c r="L4970" s="4">
        <v>4</v>
      </c>
    </row>
    <row r="4971" spans="1:12">
      <c r="A4971" t="s">
        <v>107</v>
      </c>
      <c r="B4971" s="10">
        <v>45377</v>
      </c>
      <c r="C4971" s="18">
        <f t="shared" si="77"/>
        <v>3</v>
      </c>
      <c r="D4971" t="s">
        <v>177</v>
      </c>
      <c r="E4971">
        <v>4875541</v>
      </c>
      <c r="F4971" t="s">
        <v>8</v>
      </c>
      <c r="G4971" t="s">
        <v>203</v>
      </c>
      <c r="H4971" t="s">
        <v>237</v>
      </c>
      <c r="I4971" s="4">
        <v>125766.4408</v>
      </c>
      <c r="J4971" s="4">
        <v>251532.88159999999</v>
      </c>
      <c r="L4971" s="4">
        <v>2</v>
      </c>
    </row>
    <row r="4972" spans="1:12">
      <c r="A4972" t="s">
        <v>107</v>
      </c>
      <c r="B4972" s="10">
        <v>45377</v>
      </c>
      <c r="C4972" s="18">
        <f t="shared" si="77"/>
        <v>3</v>
      </c>
      <c r="D4972" t="s">
        <v>177</v>
      </c>
      <c r="E4972">
        <v>4875541</v>
      </c>
      <c r="F4972" t="s">
        <v>8</v>
      </c>
      <c r="G4972" t="s">
        <v>203</v>
      </c>
      <c r="H4972" t="s">
        <v>231</v>
      </c>
      <c r="I4972" s="4">
        <v>125766.4408</v>
      </c>
      <c r="J4972" s="4">
        <v>251532.88159999999</v>
      </c>
      <c r="L4972" s="4">
        <v>2</v>
      </c>
    </row>
    <row r="4973" spans="1:12">
      <c r="A4973" t="s">
        <v>107</v>
      </c>
      <c r="B4973" s="10">
        <v>45378</v>
      </c>
      <c r="C4973" s="18">
        <f t="shared" si="77"/>
        <v>3</v>
      </c>
      <c r="D4973" t="s">
        <v>183</v>
      </c>
      <c r="E4973">
        <v>4874373</v>
      </c>
      <c r="F4973" t="s">
        <v>8</v>
      </c>
      <c r="G4973" t="s">
        <v>202</v>
      </c>
      <c r="H4973" t="s">
        <v>259</v>
      </c>
      <c r="I4973" s="4">
        <v>30279.432800000002</v>
      </c>
      <c r="J4973" s="4">
        <v>4874988.6808000002</v>
      </c>
      <c r="K4973" s="4">
        <v>-243749.43404000002</v>
      </c>
      <c r="L4973" s="4">
        <v>161</v>
      </c>
    </row>
    <row r="4974" spans="1:12">
      <c r="A4974" t="s">
        <v>107</v>
      </c>
      <c r="B4974" s="10">
        <v>45378</v>
      </c>
      <c r="C4974" s="18">
        <f t="shared" si="77"/>
        <v>3</v>
      </c>
      <c r="D4974" t="s">
        <v>183</v>
      </c>
      <c r="E4974">
        <v>4874373</v>
      </c>
      <c r="F4974" t="s">
        <v>8</v>
      </c>
      <c r="G4974" t="s">
        <v>202</v>
      </c>
      <c r="H4974" t="s">
        <v>258</v>
      </c>
      <c r="I4974" s="4">
        <v>37817.880799999999</v>
      </c>
      <c r="J4974" s="4">
        <v>3781788.08</v>
      </c>
      <c r="K4974" s="4">
        <v>-189089.40400000001</v>
      </c>
      <c r="L4974" s="4">
        <v>100</v>
      </c>
    </row>
    <row r="4975" spans="1:12">
      <c r="A4975" t="s">
        <v>107</v>
      </c>
      <c r="B4975" s="10">
        <v>45380</v>
      </c>
      <c r="C4975" s="18">
        <f t="shared" si="77"/>
        <v>3</v>
      </c>
      <c r="D4975" t="s">
        <v>162</v>
      </c>
      <c r="E4975">
        <v>4876712</v>
      </c>
      <c r="F4975" t="s">
        <v>8</v>
      </c>
      <c r="G4975" t="s">
        <v>203</v>
      </c>
      <c r="H4975" t="s">
        <v>228</v>
      </c>
      <c r="I4975" s="4">
        <v>100638.28079999999</v>
      </c>
      <c r="J4975" s="4">
        <v>201276.56159999999</v>
      </c>
      <c r="L4975" s="4">
        <v>2</v>
      </c>
    </row>
    <row r="4976" spans="1:12">
      <c r="A4976" t="s">
        <v>107</v>
      </c>
      <c r="B4976" s="10">
        <v>45380</v>
      </c>
      <c r="C4976" s="18">
        <f t="shared" si="77"/>
        <v>3</v>
      </c>
      <c r="D4976" t="s">
        <v>162</v>
      </c>
      <c r="E4976">
        <v>4876712</v>
      </c>
      <c r="F4976" t="s">
        <v>8</v>
      </c>
      <c r="G4976" t="s">
        <v>203</v>
      </c>
      <c r="H4976" t="s">
        <v>224</v>
      </c>
      <c r="I4976" s="4">
        <v>100638.28079999999</v>
      </c>
      <c r="J4976" s="4">
        <v>201276.56159999999</v>
      </c>
      <c r="L4976" s="4">
        <v>2</v>
      </c>
    </row>
    <row r="4977" spans="1:12">
      <c r="A4977" t="s">
        <v>107</v>
      </c>
      <c r="B4977" s="10">
        <v>45380</v>
      </c>
      <c r="C4977" s="18">
        <f t="shared" si="77"/>
        <v>3</v>
      </c>
      <c r="D4977" t="s">
        <v>162</v>
      </c>
      <c r="E4977">
        <v>4876712</v>
      </c>
      <c r="F4977" t="s">
        <v>8</v>
      </c>
      <c r="G4977" t="s">
        <v>203</v>
      </c>
      <c r="H4977" t="s">
        <v>223</v>
      </c>
      <c r="I4977" s="4">
        <v>100638.28079999999</v>
      </c>
      <c r="J4977" s="4">
        <v>201276.56159999999</v>
      </c>
      <c r="L4977" s="4">
        <v>2</v>
      </c>
    </row>
    <row r="4978" spans="1:12">
      <c r="A4978" t="s">
        <v>107</v>
      </c>
      <c r="B4978" s="10">
        <v>45380</v>
      </c>
      <c r="C4978" s="18">
        <f t="shared" si="77"/>
        <v>3</v>
      </c>
      <c r="D4978" t="s">
        <v>162</v>
      </c>
      <c r="E4978">
        <v>4876712</v>
      </c>
      <c r="F4978" t="s">
        <v>8</v>
      </c>
      <c r="G4978" t="s">
        <v>203</v>
      </c>
      <c r="H4978" t="s">
        <v>222</v>
      </c>
      <c r="I4978" s="4">
        <v>100638.28079999999</v>
      </c>
      <c r="J4978" s="4">
        <v>201276.56159999999</v>
      </c>
      <c r="L4978" s="4">
        <v>2</v>
      </c>
    </row>
    <row r="4979" spans="1:12">
      <c r="A4979" t="s">
        <v>107</v>
      </c>
      <c r="B4979" s="10">
        <v>45380</v>
      </c>
      <c r="C4979" s="18">
        <f t="shared" si="77"/>
        <v>3</v>
      </c>
      <c r="D4979" t="s">
        <v>162</v>
      </c>
      <c r="E4979">
        <v>4876712</v>
      </c>
      <c r="F4979" t="s">
        <v>8</v>
      </c>
      <c r="G4979" t="s">
        <v>203</v>
      </c>
      <c r="H4979" t="s">
        <v>237</v>
      </c>
      <c r="I4979" s="4">
        <v>125766.4408</v>
      </c>
      <c r="J4979" s="4">
        <v>251532.88159999999</v>
      </c>
      <c r="L4979" s="4">
        <v>2</v>
      </c>
    </row>
    <row r="4980" spans="1:12">
      <c r="A4980" t="s">
        <v>107</v>
      </c>
      <c r="B4980" s="10">
        <v>45380</v>
      </c>
      <c r="C4980" s="18">
        <f t="shared" si="77"/>
        <v>3</v>
      </c>
      <c r="D4980" t="s">
        <v>162</v>
      </c>
      <c r="E4980">
        <v>4876712</v>
      </c>
      <c r="F4980" t="s">
        <v>8</v>
      </c>
      <c r="G4980" t="s">
        <v>203</v>
      </c>
      <c r="H4980" t="s">
        <v>231</v>
      </c>
      <c r="I4980" s="4">
        <v>125766.4408</v>
      </c>
      <c r="J4980" s="4">
        <v>251532.88159999999</v>
      </c>
      <c r="L4980" s="4">
        <v>2</v>
      </c>
    </row>
    <row r="4981" spans="1:12">
      <c r="A4981" t="s">
        <v>107</v>
      </c>
      <c r="B4981" s="10">
        <v>45380</v>
      </c>
      <c r="C4981" s="18">
        <f t="shared" si="77"/>
        <v>3</v>
      </c>
      <c r="D4981" t="s">
        <v>162</v>
      </c>
      <c r="E4981">
        <v>4874391</v>
      </c>
      <c r="F4981" t="s">
        <v>8</v>
      </c>
      <c r="G4981" t="s">
        <v>203</v>
      </c>
      <c r="H4981" t="s">
        <v>232</v>
      </c>
      <c r="I4981" s="4">
        <v>100638.28079999999</v>
      </c>
      <c r="J4981" s="4">
        <v>402553.12319999997</v>
      </c>
      <c r="L4981" s="4">
        <v>4</v>
      </c>
    </row>
    <row r="4982" spans="1:12">
      <c r="A4982" t="s">
        <v>107</v>
      </c>
      <c r="B4982" s="10">
        <v>45380</v>
      </c>
      <c r="C4982" s="18">
        <f t="shared" si="77"/>
        <v>3</v>
      </c>
      <c r="D4982" t="s">
        <v>162</v>
      </c>
      <c r="E4982">
        <v>4874391</v>
      </c>
      <c r="F4982" t="s">
        <v>8</v>
      </c>
      <c r="G4982" t="s">
        <v>203</v>
      </c>
      <c r="H4982" t="s">
        <v>228</v>
      </c>
      <c r="I4982" s="4">
        <v>100638.28079999999</v>
      </c>
      <c r="J4982" s="4">
        <v>402553.12319999997</v>
      </c>
      <c r="L4982" s="4">
        <v>4</v>
      </c>
    </row>
    <row r="4983" spans="1:12">
      <c r="A4983" t="s">
        <v>107</v>
      </c>
      <c r="B4983" s="10">
        <v>45380</v>
      </c>
      <c r="C4983" s="18">
        <f t="shared" si="77"/>
        <v>3</v>
      </c>
      <c r="D4983" t="s">
        <v>162</v>
      </c>
      <c r="E4983">
        <v>4874391</v>
      </c>
      <c r="F4983" t="s">
        <v>8</v>
      </c>
      <c r="G4983" t="s">
        <v>203</v>
      </c>
      <c r="H4983" t="s">
        <v>223</v>
      </c>
      <c r="I4983" s="4">
        <v>100638.28079999999</v>
      </c>
      <c r="J4983" s="4">
        <v>402553.12319999997</v>
      </c>
      <c r="L4983" s="4">
        <v>4</v>
      </c>
    </row>
    <row r="4984" spans="1:12">
      <c r="A4984" t="s">
        <v>107</v>
      </c>
      <c r="B4984" s="10">
        <v>45381</v>
      </c>
      <c r="C4984" s="18">
        <f t="shared" si="77"/>
        <v>3</v>
      </c>
      <c r="D4984" t="s">
        <v>151</v>
      </c>
      <c r="E4984">
        <v>4876098</v>
      </c>
      <c r="F4984" t="s">
        <v>8</v>
      </c>
      <c r="G4984" t="s">
        <v>204</v>
      </c>
      <c r="H4984" t="s">
        <v>219</v>
      </c>
      <c r="I4984" s="4">
        <v>44099.9208</v>
      </c>
      <c r="J4984" s="4">
        <v>881998.41599999997</v>
      </c>
      <c r="L4984" s="4">
        <v>20</v>
      </c>
    </row>
    <row r="4985" spans="1:12">
      <c r="A4985" t="s">
        <v>107</v>
      </c>
      <c r="B4985" s="10">
        <v>45381</v>
      </c>
      <c r="C4985" s="18">
        <f t="shared" si="77"/>
        <v>3</v>
      </c>
      <c r="D4985" t="s">
        <v>151</v>
      </c>
      <c r="E4985">
        <v>4876098</v>
      </c>
      <c r="F4985" t="s">
        <v>8</v>
      </c>
      <c r="G4985" t="s">
        <v>204</v>
      </c>
      <c r="H4985" t="s">
        <v>218</v>
      </c>
      <c r="I4985" s="4">
        <v>71740.896800000002</v>
      </c>
      <c r="J4985" s="4">
        <v>1219595.2456</v>
      </c>
      <c r="L4985" s="4">
        <v>17</v>
      </c>
    </row>
    <row r="4986" spans="1:12">
      <c r="A4986" t="s">
        <v>107</v>
      </c>
      <c r="B4986" s="10">
        <v>45381</v>
      </c>
      <c r="C4986" s="18">
        <f t="shared" si="77"/>
        <v>3</v>
      </c>
      <c r="D4986" t="s">
        <v>151</v>
      </c>
      <c r="E4986">
        <v>4876098</v>
      </c>
      <c r="F4986" t="s">
        <v>8</v>
      </c>
      <c r="G4986" t="s">
        <v>204</v>
      </c>
      <c r="H4986" t="s">
        <v>217</v>
      </c>
      <c r="I4986" s="4">
        <v>78022.936799999996</v>
      </c>
      <c r="J4986" s="4">
        <v>1326389.9256</v>
      </c>
      <c r="L4986" s="4">
        <v>17</v>
      </c>
    </row>
    <row r="4987" spans="1:12">
      <c r="A4987" t="s">
        <v>107</v>
      </c>
      <c r="B4987" s="10">
        <v>45381</v>
      </c>
      <c r="C4987" s="18">
        <f t="shared" si="77"/>
        <v>3</v>
      </c>
      <c r="D4987" t="s">
        <v>151</v>
      </c>
      <c r="E4987">
        <v>4876098</v>
      </c>
      <c r="F4987" t="s">
        <v>8</v>
      </c>
      <c r="G4987" t="s">
        <v>204</v>
      </c>
      <c r="H4987" t="s">
        <v>216</v>
      </c>
      <c r="I4987" s="4">
        <v>113202.36079999999</v>
      </c>
      <c r="J4987" s="4">
        <v>4188487.3495999998</v>
      </c>
      <c r="L4987" s="4">
        <v>37</v>
      </c>
    </row>
    <row r="4988" spans="1:12">
      <c r="A4988" t="s">
        <v>107</v>
      </c>
      <c r="B4988" s="10">
        <v>45381</v>
      </c>
      <c r="C4988" s="18">
        <f t="shared" si="77"/>
        <v>3</v>
      </c>
      <c r="D4988" t="s">
        <v>151</v>
      </c>
      <c r="E4988">
        <v>4876098</v>
      </c>
      <c r="F4988" t="s">
        <v>8</v>
      </c>
      <c r="G4988" t="s">
        <v>204</v>
      </c>
      <c r="H4988" t="s">
        <v>220</v>
      </c>
      <c r="I4988" s="4">
        <v>37817.880799999999</v>
      </c>
      <c r="J4988" s="4">
        <v>1512715.2319999998</v>
      </c>
      <c r="L4988" s="4">
        <v>40</v>
      </c>
    </row>
    <row r="4989" spans="1:12">
      <c r="A4989" t="s">
        <v>107</v>
      </c>
      <c r="B4989" s="10">
        <v>45381</v>
      </c>
      <c r="C4989" s="18">
        <f t="shared" si="77"/>
        <v>3</v>
      </c>
      <c r="D4989" t="s">
        <v>151</v>
      </c>
      <c r="E4989">
        <v>4876098</v>
      </c>
      <c r="F4989" t="s">
        <v>8</v>
      </c>
      <c r="G4989" t="s">
        <v>202</v>
      </c>
      <c r="H4989" t="s">
        <v>257</v>
      </c>
      <c r="I4989" s="4">
        <v>56664.000799999994</v>
      </c>
      <c r="J4989" s="4">
        <v>5666400.0799999991</v>
      </c>
      <c r="L4989" s="4">
        <v>100</v>
      </c>
    </row>
    <row r="4990" spans="1:12">
      <c r="A4990" t="s">
        <v>93</v>
      </c>
      <c r="B4990" s="10">
        <v>45353</v>
      </c>
      <c r="C4990" s="18">
        <f t="shared" si="77"/>
        <v>3</v>
      </c>
      <c r="D4990" t="s">
        <v>184</v>
      </c>
      <c r="E4990">
        <v>4874206</v>
      </c>
      <c r="F4990" t="s">
        <v>90</v>
      </c>
      <c r="G4990" t="s">
        <v>203</v>
      </c>
      <c r="H4990" t="s">
        <v>242</v>
      </c>
      <c r="I4990" s="4">
        <v>100638.28079999999</v>
      </c>
      <c r="J4990" s="4">
        <v>603829.68479999993</v>
      </c>
      <c r="L4990" s="4">
        <v>6</v>
      </c>
    </row>
    <row r="4991" spans="1:12">
      <c r="A4991" t="s">
        <v>93</v>
      </c>
      <c r="B4991" s="10">
        <v>45353</v>
      </c>
      <c r="C4991" s="18">
        <f t="shared" si="77"/>
        <v>3</v>
      </c>
      <c r="D4991" t="s">
        <v>184</v>
      </c>
      <c r="E4991">
        <v>4874206</v>
      </c>
      <c r="F4991" t="s">
        <v>90</v>
      </c>
      <c r="G4991" t="s">
        <v>203</v>
      </c>
      <c r="H4991" t="s">
        <v>238</v>
      </c>
      <c r="I4991" s="4">
        <v>95606.36675999999</v>
      </c>
      <c r="J4991" s="4">
        <v>573638.20055999991</v>
      </c>
      <c r="L4991" s="4">
        <v>6</v>
      </c>
    </row>
    <row r="4992" spans="1:12">
      <c r="A4992" t="s">
        <v>93</v>
      </c>
      <c r="B4992" s="10">
        <v>45353</v>
      </c>
      <c r="C4992" s="18">
        <f t="shared" si="77"/>
        <v>3</v>
      </c>
      <c r="D4992" t="s">
        <v>184</v>
      </c>
      <c r="E4992">
        <v>4874206</v>
      </c>
      <c r="F4992" t="s">
        <v>90</v>
      </c>
      <c r="G4992" t="s">
        <v>203</v>
      </c>
      <c r="H4992" t="s">
        <v>236</v>
      </c>
      <c r="I4992" s="4">
        <v>100638.28079999999</v>
      </c>
      <c r="J4992" s="4">
        <v>603829.68479999993</v>
      </c>
      <c r="L4992" s="4">
        <v>6</v>
      </c>
    </row>
    <row r="4993" spans="1:12">
      <c r="A4993" t="s">
        <v>93</v>
      </c>
      <c r="B4993" s="10">
        <v>45353</v>
      </c>
      <c r="C4993" s="18">
        <f t="shared" si="77"/>
        <v>3</v>
      </c>
      <c r="D4993" t="s">
        <v>184</v>
      </c>
      <c r="E4993">
        <v>4874206</v>
      </c>
      <c r="F4993" t="s">
        <v>90</v>
      </c>
      <c r="G4993" t="s">
        <v>203</v>
      </c>
      <c r="H4993" t="s">
        <v>239</v>
      </c>
      <c r="I4993" s="4">
        <v>125766.4408</v>
      </c>
      <c r="J4993" s="4">
        <v>754598.64480000001</v>
      </c>
      <c r="L4993" s="4">
        <v>6</v>
      </c>
    </row>
    <row r="4994" spans="1:12">
      <c r="A4994" t="s">
        <v>93</v>
      </c>
      <c r="B4994" s="10">
        <v>45353</v>
      </c>
      <c r="C4994" s="18">
        <f t="shared" ref="C4994:C5057" si="78">MONTH(B4994)</f>
        <v>3</v>
      </c>
      <c r="D4994" t="s">
        <v>184</v>
      </c>
      <c r="E4994">
        <v>4874206</v>
      </c>
      <c r="F4994" t="s">
        <v>90</v>
      </c>
      <c r="G4994" t="s">
        <v>203</v>
      </c>
      <c r="H4994" t="s">
        <v>233</v>
      </c>
      <c r="I4994" s="4">
        <v>120735.78316800001</v>
      </c>
      <c r="J4994" s="4">
        <v>482943.13267200004</v>
      </c>
      <c r="L4994" s="4">
        <v>4</v>
      </c>
    </row>
    <row r="4995" spans="1:12">
      <c r="A4995" t="s">
        <v>93</v>
      </c>
      <c r="B4995" s="10">
        <v>45369</v>
      </c>
      <c r="C4995" s="18">
        <f t="shared" si="78"/>
        <v>3</v>
      </c>
      <c r="D4995" t="s">
        <v>184</v>
      </c>
      <c r="E4995">
        <v>4873703</v>
      </c>
      <c r="F4995" t="s">
        <v>90</v>
      </c>
      <c r="G4995" t="s">
        <v>203</v>
      </c>
      <c r="H4995" t="s">
        <v>240</v>
      </c>
      <c r="I4995" s="4">
        <v>100638.28079999999</v>
      </c>
      <c r="J4995" s="4">
        <v>201276.56159999999</v>
      </c>
      <c r="L4995" s="4">
        <v>2</v>
      </c>
    </row>
    <row r="4996" spans="1:12">
      <c r="A4996" t="s">
        <v>93</v>
      </c>
      <c r="B4996" s="10">
        <v>45369</v>
      </c>
      <c r="C4996" s="18">
        <f t="shared" si="78"/>
        <v>3</v>
      </c>
      <c r="D4996" t="s">
        <v>184</v>
      </c>
      <c r="E4996">
        <v>4873703</v>
      </c>
      <c r="F4996" t="s">
        <v>90</v>
      </c>
      <c r="G4996" t="s">
        <v>203</v>
      </c>
      <c r="H4996" t="s">
        <v>223</v>
      </c>
      <c r="I4996" s="4">
        <v>100638.28079999999</v>
      </c>
      <c r="J4996" s="4">
        <v>201276.56159999999</v>
      </c>
      <c r="L4996" s="4">
        <v>2</v>
      </c>
    </row>
    <row r="4997" spans="1:12">
      <c r="A4997" t="s">
        <v>95</v>
      </c>
      <c r="B4997" s="10">
        <v>45355</v>
      </c>
      <c r="C4997" s="18">
        <f t="shared" si="78"/>
        <v>3</v>
      </c>
      <c r="D4997" t="s">
        <v>188</v>
      </c>
      <c r="E4997">
        <v>4877018</v>
      </c>
      <c r="F4997" t="s">
        <v>89</v>
      </c>
      <c r="G4997" t="s">
        <v>203</v>
      </c>
      <c r="H4997" t="s">
        <v>222</v>
      </c>
      <c r="I4997" s="4">
        <v>100638.28079999999</v>
      </c>
      <c r="J4997" s="4">
        <v>2012765.6159999999</v>
      </c>
      <c r="L4997" s="4">
        <v>20</v>
      </c>
    </row>
    <row r="4998" spans="1:12">
      <c r="A4998" t="s">
        <v>95</v>
      </c>
      <c r="B4998" s="10">
        <v>45355</v>
      </c>
      <c r="C4998" s="18">
        <f t="shared" si="78"/>
        <v>3</v>
      </c>
      <c r="D4998" t="s">
        <v>188</v>
      </c>
      <c r="E4998">
        <v>4877018</v>
      </c>
      <c r="F4998" t="s">
        <v>89</v>
      </c>
      <c r="G4998" t="s">
        <v>203</v>
      </c>
      <c r="H4998" t="s">
        <v>229</v>
      </c>
      <c r="I4998" s="4">
        <v>125766.4408</v>
      </c>
      <c r="J4998" s="4">
        <v>2515328.8160000001</v>
      </c>
      <c r="L4998" s="4">
        <v>20</v>
      </c>
    </row>
    <row r="4999" spans="1:12">
      <c r="A4999" t="s">
        <v>95</v>
      </c>
      <c r="B4999" s="10">
        <v>45355</v>
      </c>
      <c r="C4999" s="18">
        <f t="shared" si="78"/>
        <v>3</v>
      </c>
      <c r="D4999" t="s">
        <v>188</v>
      </c>
      <c r="E4999">
        <v>4878770</v>
      </c>
      <c r="F4999" t="s">
        <v>90</v>
      </c>
      <c r="G4999" t="s">
        <v>203</v>
      </c>
      <c r="H4999" t="s">
        <v>229</v>
      </c>
      <c r="I4999" s="4">
        <v>125766.4408</v>
      </c>
      <c r="J4999" s="4">
        <v>503065.76319999999</v>
      </c>
      <c r="L4999" s="4">
        <v>4</v>
      </c>
    </row>
    <row r="5000" spans="1:12">
      <c r="A5000" t="s">
        <v>95</v>
      </c>
      <c r="B5000" s="10">
        <v>45363</v>
      </c>
      <c r="C5000" s="18">
        <f t="shared" si="78"/>
        <v>3</v>
      </c>
      <c r="D5000" t="s">
        <v>188</v>
      </c>
      <c r="E5000">
        <v>4876754</v>
      </c>
      <c r="F5000" t="s">
        <v>8</v>
      </c>
      <c r="G5000" t="s">
        <v>203</v>
      </c>
      <c r="H5000" t="s">
        <v>223</v>
      </c>
      <c r="I5000" s="4">
        <v>100638.28079999999</v>
      </c>
      <c r="J5000" s="4">
        <v>503191.40399999998</v>
      </c>
      <c r="L5000" s="4">
        <v>5</v>
      </c>
    </row>
    <row r="5001" spans="1:12">
      <c r="A5001" t="s">
        <v>95</v>
      </c>
      <c r="B5001" s="10">
        <v>45365</v>
      </c>
      <c r="C5001" s="18">
        <f t="shared" si="78"/>
        <v>3</v>
      </c>
      <c r="D5001" t="s">
        <v>188</v>
      </c>
      <c r="E5001">
        <v>4877327</v>
      </c>
      <c r="F5001" t="s">
        <v>90</v>
      </c>
      <c r="G5001" t="s">
        <v>203</v>
      </c>
      <c r="H5001" t="s">
        <v>230</v>
      </c>
      <c r="I5001" s="4">
        <v>100638.28079999999</v>
      </c>
      <c r="J5001" s="4">
        <v>201276.56159999999</v>
      </c>
      <c r="L5001" s="4">
        <v>2</v>
      </c>
    </row>
    <row r="5002" spans="1:12">
      <c r="A5002" t="s">
        <v>95</v>
      </c>
      <c r="B5002" s="10">
        <v>45365</v>
      </c>
      <c r="C5002" s="18">
        <f t="shared" si="78"/>
        <v>3</v>
      </c>
      <c r="D5002" t="s">
        <v>188</v>
      </c>
      <c r="E5002">
        <v>4878040</v>
      </c>
      <c r="F5002" t="s">
        <v>88</v>
      </c>
      <c r="G5002" t="s">
        <v>203</v>
      </c>
      <c r="H5002" t="s">
        <v>229</v>
      </c>
      <c r="I5002" s="4">
        <v>125766.4408</v>
      </c>
      <c r="J5002" s="4">
        <v>125766.4408</v>
      </c>
      <c r="L5002" s="4">
        <v>1</v>
      </c>
    </row>
    <row r="5003" spans="1:12">
      <c r="A5003" t="s">
        <v>95</v>
      </c>
      <c r="B5003" s="10">
        <v>45367</v>
      </c>
      <c r="C5003" s="18">
        <f t="shared" si="78"/>
        <v>3</v>
      </c>
      <c r="D5003" t="s">
        <v>188</v>
      </c>
      <c r="E5003">
        <v>4876241</v>
      </c>
      <c r="F5003" t="s">
        <v>89</v>
      </c>
      <c r="G5003" t="s">
        <v>203</v>
      </c>
      <c r="H5003" t="s">
        <v>230</v>
      </c>
      <c r="I5003" s="4">
        <v>100638.28079999999</v>
      </c>
      <c r="J5003" s="4">
        <v>1006382.808</v>
      </c>
      <c r="L5003" s="4">
        <v>10</v>
      </c>
    </row>
    <row r="5004" spans="1:12">
      <c r="A5004" t="s">
        <v>95</v>
      </c>
      <c r="B5004" s="10">
        <v>45368</v>
      </c>
      <c r="C5004" s="18">
        <f t="shared" si="78"/>
        <v>3</v>
      </c>
      <c r="D5004" t="s">
        <v>188</v>
      </c>
      <c r="E5004">
        <v>4878670</v>
      </c>
      <c r="F5004" t="s">
        <v>90</v>
      </c>
      <c r="G5004" t="s">
        <v>203</v>
      </c>
      <c r="H5004" t="s">
        <v>222</v>
      </c>
      <c r="I5004" s="4">
        <v>100638.28079999999</v>
      </c>
      <c r="J5004" s="4">
        <v>201276.56159999999</v>
      </c>
      <c r="L5004" s="4">
        <v>2</v>
      </c>
    </row>
    <row r="5005" spans="1:12">
      <c r="A5005" t="s">
        <v>95</v>
      </c>
      <c r="B5005" s="10">
        <v>45368</v>
      </c>
      <c r="C5005" s="18">
        <f t="shared" si="78"/>
        <v>3</v>
      </c>
      <c r="D5005" t="s">
        <v>188</v>
      </c>
      <c r="E5005">
        <v>4878670</v>
      </c>
      <c r="F5005" t="s">
        <v>90</v>
      </c>
      <c r="G5005" t="s">
        <v>203</v>
      </c>
      <c r="H5005" t="s">
        <v>229</v>
      </c>
      <c r="I5005" s="4">
        <v>125766.4408</v>
      </c>
      <c r="J5005" s="4">
        <v>251532.88159999999</v>
      </c>
      <c r="L5005" s="4">
        <v>2</v>
      </c>
    </row>
    <row r="5006" spans="1:12">
      <c r="A5006" t="s">
        <v>95</v>
      </c>
      <c r="B5006" s="10">
        <v>45368</v>
      </c>
      <c r="C5006" s="18">
        <f t="shared" si="78"/>
        <v>3</v>
      </c>
      <c r="D5006" t="s">
        <v>188</v>
      </c>
      <c r="E5006">
        <v>4876081</v>
      </c>
      <c r="F5006" t="s">
        <v>87</v>
      </c>
      <c r="G5006" t="s">
        <v>203</v>
      </c>
      <c r="H5006" t="s">
        <v>225</v>
      </c>
      <c r="I5006" s="4">
        <v>100638.28079999999</v>
      </c>
      <c r="J5006" s="4">
        <v>201276.56159999999</v>
      </c>
      <c r="L5006" s="4">
        <v>2</v>
      </c>
    </row>
    <row r="5007" spans="1:12">
      <c r="A5007" t="s">
        <v>95</v>
      </c>
      <c r="B5007" s="10">
        <v>45368</v>
      </c>
      <c r="C5007" s="18">
        <f t="shared" si="78"/>
        <v>3</v>
      </c>
      <c r="D5007" t="s">
        <v>188</v>
      </c>
      <c r="E5007">
        <v>4876081</v>
      </c>
      <c r="F5007" t="s">
        <v>87</v>
      </c>
      <c r="G5007" t="s">
        <v>203</v>
      </c>
      <c r="H5007" t="s">
        <v>229</v>
      </c>
      <c r="I5007" s="4">
        <v>125766.4408</v>
      </c>
      <c r="J5007" s="4">
        <v>251532.88159999999</v>
      </c>
      <c r="L5007" s="4">
        <v>2</v>
      </c>
    </row>
    <row r="5008" spans="1:12">
      <c r="A5008" t="s">
        <v>95</v>
      </c>
      <c r="B5008" s="10">
        <v>45368</v>
      </c>
      <c r="C5008" s="18">
        <f t="shared" si="78"/>
        <v>3</v>
      </c>
      <c r="D5008" t="s">
        <v>188</v>
      </c>
      <c r="E5008">
        <v>4876604</v>
      </c>
      <c r="F5008" t="s">
        <v>87</v>
      </c>
      <c r="G5008" t="s">
        <v>203</v>
      </c>
      <c r="H5008" t="s">
        <v>227</v>
      </c>
      <c r="I5008" s="4">
        <v>100638.28079999999</v>
      </c>
      <c r="J5008" s="4">
        <v>201276.56159999999</v>
      </c>
      <c r="L5008" s="4">
        <v>2</v>
      </c>
    </row>
    <row r="5009" spans="1:12">
      <c r="A5009" t="s">
        <v>95</v>
      </c>
      <c r="B5009" s="10">
        <v>45369</v>
      </c>
      <c r="C5009" s="18">
        <f t="shared" si="78"/>
        <v>3</v>
      </c>
      <c r="D5009" t="s">
        <v>188</v>
      </c>
      <c r="E5009">
        <v>4876091</v>
      </c>
      <c r="F5009" t="s">
        <v>90</v>
      </c>
      <c r="G5009" t="s">
        <v>203</v>
      </c>
      <c r="H5009" t="s">
        <v>230</v>
      </c>
      <c r="I5009" s="4">
        <v>100638.28079999999</v>
      </c>
      <c r="J5009" s="4">
        <v>402553.12319999997</v>
      </c>
      <c r="L5009" s="4">
        <v>4</v>
      </c>
    </row>
    <row r="5010" spans="1:12">
      <c r="A5010" t="s">
        <v>95</v>
      </c>
      <c r="B5010" s="10">
        <v>45371</v>
      </c>
      <c r="C5010" s="18">
        <f t="shared" si="78"/>
        <v>3</v>
      </c>
      <c r="D5010" t="s">
        <v>188</v>
      </c>
      <c r="E5010">
        <v>4876393</v>
      </c>
      <c r="F5010" t="s">
        <v>87</v>
      </c>
      <c r="G5010" t="s">
        <v>203</v>
      </c>
      <c r="H5010" t="s">
        <v>230</v>
      </c>
      <c r="I5010" s="4">
        <v>100638.28079999999</v>
      </c>
      <c r="J5010" s="4">
        <v>402553.12319999997</v>
      </c>
      <c r="L5010" s="4">
        <v>4</v>
      </c>
    </row>
    <row r="5011" spans="1:12">
      <c r="A5011" t="s">
        <v>95</v>
      </c>
      <c r="B5011" s="10">
        <v>45371</v>
      </c>
      <c r="C5011" s="18">
        <f t="shared" si="78"/>
        <v>3</v>
      </c>
      <c r="D5011" t="s">
        <v>188</v>
      </c>
      <c r="E5011">
        <v>4876784</v>
      </c>
      <c r="F5011" t="s">
        <v>87</v>
      </c>
      <c r="G5011" t="s">
        <v>203</v>
      </c>
      <c r="H5011" t="s">
        <v>232</v>
      </c>
      <c r="I5011" s="4">
        <v>100638.28079999999</v>
      </c>
      <c r="J5011" s="4">
        <v>402553.12319999997</v>
      </c>
      <c r="L5011" s="4">
        <v>4</v>
      </c>
    </row>
    <row r="5012" spans="1:12">
      <c r="A5012" t="s">
        <v>95</v>
      </c>
      <c r="B5012" s="10">
        <v>45371</v>
      </c>
      <c r="C5012" s="18">
        <f t="shared" si="78"/>
        <v>3</v>
      </c>
      <c r="D5012" t="s">
        <v>188</v>
      </c>
      <c r="E5012">
        <v>4878040</v>
      </c>
      <c r="F5012" t="s">
        <v>88</v>
      </c>
      <c r="G5012" t="s">
        <v>203</v>
      </c>
      <c r="H5012" t="s">
        <v>225</v>
      </c>
      <c r="I5012" s="4">
        <v>100638.28079999999</v>
      </c>
      <c r="J5012" s="4">
        <v>805106.24639999995</v>
      </c>
      <c r="L5012" s="4">
        <v>8</v>
      </c>
    </row>
    <row r="5013" spans="1:12">
      <c r="A5013" t="s">
        <v>95</v>
      </c>
      <c r="B5013" s="10">
        <v>45374</v>
      </c>
      <c r="C5013" s="18">
        <f t="shared" si="78"/>
        <v>3</v>
      </c>
      <c r="D5013" t="s">
        <v>188</v>
      </c>
      <c r="E5013">
        <v>4878040</v>
      </c>
      <c r="F5013" t="s">
        <v>88</v>
      </c>
      <c r="G5013" t="s">
        <v>203</v>
      </c>
      <c r="H5013" t="s">
        <v>225</v>
      </c>
      <c r="I5013" s="4">
        <v>100638.28079999999</v>
      </c>
      <c r="J5013" s="4">
        <v>100638.28079999999</v>
      </c>
      <c r="L5013" s="4">
        <v>1</v>
      </c>
    </row>
    <row r="5014" spans="1:12">
      <c r="A5014" t="s">
        <v>95</v>
      </c>
      <c r="B5014" s="10">
        <v>45375</v>
      </c>
      <c r="C5014" s="18">
        <f t="shared" si="78"/>
        <v>3</v>
      </c>
      <c r="D5014" t="s">
        <v>188</v>
      </c>
      <c r="E5014">
        <v>4877327</v>
      </c>
      <c r="F5014" t="s">
        <v>90</v>
      </c>
      <c r="G5014" t="s">
        <v>203</v>
      </c>
      <c r="H5014" t="s">
        <v>238</v>
      </c>
      <c r="I5014" s="4">
        <v>95606.36675999999</v>
      </c>
      <c r="J5014" s="4">
        <v>95606.36675999999</v>
      </c>
      <c r="L5014" s="4">
        <v>1</v>
      </c>
    </row>
    <row r="5015" spans="1:12">
      <c r="A5015" t="s">
        <v>95</v>
      </c>
      <c r="B5015" s="10">
        <v>45377</v>
      </c>
      <c r="C5015" s="18">
        <f t="shared" si="78"/>
        <v>3</v>
      </c>
      <c r="D5015" t="s">
        <v>188</v>
      </c>
      <c r="E5015">
        <v>4878777</v>
      </c>
      <c r="F5015" t="s">
        <v>87</v>
      </c>
      <c r="G5015" t="s">
        <v>203</v>
      </c>
      <c r="H5015" t="s">
        <v>230</v>
      </c>
      <c r="I5015" s="4">
        <v>100638.28079999999</v>
      </c>
      <c r="J5015" s="4">
        <v>201276.56159999999</v>
      </c>
      <c r="L5015" s="4">
        <v>2</v>
      </c>
    </row>
    <row r="5016" spans="1:12">
      <c r="A5016" t="s">
        <v>95</v>
      </c>
      <c r="B5016" s="10">
        <v>45377</v>
      </c>
      <c r="C5016" s="18">
        <f t="shared" si="78"/>
        <v>3</v>
      </c>
      <c r="D5016" t="s">
        <v>188</v>
      </c>
      <c r="E5016">
        <v>4878777</v>
      </c>
      <c r="F5016" t="s">
        <v>87</v>
      </c>
      <c r="G5016" t="s">
        <v>203</v>
      </c>
      <c r="H5016" t="s">
        <v>229</v>
      </c>
      <c r="I5016" s="4">
        <v>125766.4408</v>
      </c>
      <c r="J5016" s="4">
        <v>377299.3224</v>
      </c>
      <c r="L5016" s="4">
        <v>3</v>
      </c>
    </row>
    <row r="5017" spans="1:12">
      <c r="A5017" t="s">
        <v>95</v>
      </c>
      <c r="B5017" s="10">
        <v>45378</v>
      </c>
      <c r="C5017" s="18">
        <f t="shared" si="78"/>
        <v>3</v>
      </c>
      <c r="D5017" t="s">
        <v>188</v>
      </c>
      <c r="E5017">
        <v>4875916</v>
      </c>
      <c r="F5017" t="s">
        <v>89</v>
      </c>
      <c r="G5017" t="s">
        <v>203</v>
      </c>
      <c r="H5017" t="s">
        <v>225</v>
      </c>
      <c r="I5017" s="4">
        <v>100638.28079999999</v>
      </c>
      <c r="J5017" s="4">
        <v>805106.24639999995</v>
      </c>
      <c r="L5017" s="4">
        <v>8</v>
      </c>
    </row>
    <row r="5018" spans="1:12">
      <c r="A5018" t="s">
        <v>95</v>
      </c>
      <c r="B5018" s="10">
        <v>45378</v>
      </c>
      <c r="C5018" s="18">
        <f t="shared" si="78"/>
        <v>3</v>
      </c>
      <c r="D5018" t="s">
        <v>188</v>
      </c>
      <c r="E5018">
        <v>4875916</v>
      </c>
      <c r="F5018" t="s">
        <v>89</v>
      </c>
      <c r="G5018" t="s">
        <v>203</v>
      </c>
      <c r="H5018" t="s">
        <v>229</v>
      </c>
      <c r="I5018" s="4">
        <v>125766.4408</v>
      </c>
      <c r="J5018" s="4">
        <v>503065.76319999999</v>
      </c>
      <c r="L5018" s="4">
        <v>4</v>
      </c>
    </row>
    <row r="5019" spans="1:12">
      <c r="A5019" t="s">
        <v>95</v>
      </c>
      <c r="B5019" s="10">
        <v>45379</v>
      </c>
      <c r="C5019" s="18">
        <f t="shared" si="78"/>
        <v>3</v>
      </c>
      <c r="D5019" t="s">
        <v>188</v>
      </c>
      <c r="E5019">
        <v>4878040</v>
      </c>
      <c r="F5019" t="s">
        <v>88</v>
      </c>
      <c r="G5019" t="s">
        <v>205</v>
      </c>
      <c r="H5019" t="s">
        <v>210</v>
      </c>
      <c r="I5019" s="4">
        <v>7538.4479999999994</v>
      </c>
      <c r="J5019" s="4">
        <v>150768.95999999999</v>
      </c>
      <c r="L5019" s="4">
        <v>20</v>
      </c>
    </row>
    <row r="5020" spans="1:12">
      <c r="A5020" t="s">
        <v>95</v>
      </c>
      <c r="B5020" s="10">
        <v>45379</v>
      </c>
      <c r="C5020" s="18">
        <f t="shared" si="78"/>
        <v>3</v>
      </c>
      <c r="D5020" t="s">
        <v>188</v>
      </c>
      <c r="E5020">
        <v>4878040</v>
      </c>
      <c r="F5020" t="s">
        <v>88</v>
      </c>
      <c r="G5020" t="s">
        <v>205</v>
      </c>
      <c r="H5020" t="s">
        <v>211</v>
      </c>
      <c r="I5020" s="4">
        <v>5151.2727999999997</v>
      </c>
      <c r="J5020" s="4">
        <v>103025.45599999999</v>
      </c>
      <c r="L5020" s="4">
        <v>20</v>
      </c>
    </row>
    <row r="5021" spans="1:12">
      <c r="A5021" t="s">
        <v>95</v>
      </c>
      <c r="B5021" s="10">
        <v>45381</v>
      </c>
      <c r="C5021" s="18">
        <f t="shared" si="78"/>
        <v>3</v>
      </c>
      <c r="D5021" t="s">
        <v>188</v>
      </c>
      <c r="E5021">
        <v>6080107</v>
      </c>
      <c r="F5021" t="s">
        <v>90</v>
      </c>
      <c r="G5021" t="s">
        <v>203</v>
      </c>
      <c r="H5021" t="s">
        <v>225</v>
      </c>
      <c r="I5021" s="4">
        <v>100638.28079999999</v>
      </c>
      <c r="J5021" s="4">
        <v>201276.56159999999</v>
      </c>
      <c r="L5021" s="4">
        <v>2</v>
      </c>
    </row>
    <row r="5022" spans="1:12">
      <c r="A5022" t="s">
        <v>95</v>
      </c>
      <c r="B5022" s="10">
        <v>45381</v>
      </c>
      <c r="C5022" s="18">
        <f t="shared" si="78"/>
        <v>3</v>
      </c>
      <c r="D5022" t="s">
        <v>188</v>
      </c>
      <c r="E5022">
        <v>6080107</v>
      </c>
      <c r="F5022" t="s">
        <v>90</v>
      </c>
      <c r="G5022" t="s">
        <v>203</v>
      </c>
      <c r="H5022" t="s">
        <v>229</v>
      </c>
      <c r="I5022" s="4">
        <v>125766.4408</v>
      </c>
      <c r="J5022" s="4">
        <v>251532.88159999999</v>
      </c>
      <c r="L5022" s="4">
        <v>2</v>
      </c>
    </row>
    <row r="5023" spans="1:12">
      <c r="A5023" t="s">
        <v>95</v>
      </c>
      <c r="B5023" s="10">
        <v>45382</v>
      </c>
      <c r="C5023" s="18">
        <f t="shared" si="78"/>
        <v>3</v>
      </c>
      <c r="D5023" t="s">
        <v>188</v>
      </c>
      <c r="E5023">
        <v>4877018</v>
      </c>
      <c r="F5023" t="s">
        <v>89</v>
      </c>
      <c r="G5023" t="s">
        <v>203</v>
      </c>
      <c r="H5023" t="s">
        <v>225</v>
      </c>
      <c r="I5023" s="4">
        <v>100638.28079999999</v>
      </c>
      <c r="J5023" s="4">
        <v>1610212.4927999999</v>
      </c>
      <c r="L5023" s="4">
        <v>16</v>
      </c>
    </row>
    <row r="5024" spans="1:12">
      <c r="A5024" t="s">
        <v>95</v>
      </c>
      <c r="B5024" s="10">
        <v>45382</v>
      </c>
      <c r="C5024" s="18">
        <f t="shared" si="78"/>
        <v>3</v>
      </c>
      <c r="D5024" t="s">
        <v>188</v>
      </c>
      <c r="E5024">
        <v>4877018</v>
      </c>
      <c r="F5024" t="s">
        <v>89</v>
      </c>
      <c r="G5024" t="s">
        <v>203</v>
      </c>
      <c r="H5024" t="s">
        <v>229</v>
      </c>
      <c r="I5024" s="4">
        <v>125766.4408</v>
      </c>
      <c r="J5024" s="4">
        <v>1509197.2896</v>
      </c>
      <c r="L5024" s="4">
        <v>12</v>
      </c>
    </row>
    <row r="5025" spans="1:12">
      <c r="A5025" t="s">
        <v>95</v>
      </c>
      <c r="B5025" s="10">
        <v>45382</v>
      </c>
      <c r="C5025" s="18">
        <f t="shared" si="78"/>
        <v>3</v>
      </c>
      <c r="D5025" t="s">
        <v>188</v>
      </c>
      <c r="E5025">
        <v>6080198</v>
      </c>
      <c r="F5025" t="s">
        <v>87</v>
      </c>
      <c r="G5025" t="s">
        <v>203</v>
      </c>
      <c r="H5025" t="s">
        <v>225</v>
      </c>
      <c r="I5025" s="4">
        <v>100638.28079999999</v>
      </c>
      <c r="J5025" s="4">
        <v>402553.12319999997</v>
      </c>
      <c r="L5025" s="4">
        <v>4</v>
      </c>
    </row>
    <row r="5026" spans="1:12">
      <c r="A5026" t="s">
        <v>95</v>
      </c>
      <c r="B5026" s="10">
        <v>45382</v>
      </c>
      <c r="C5026" s="18">
        <f t="shared" si="78"/>
        <v>3</v>
      </c>
      <c r="D5026" t="s">
        <v>188</v>
      </c>
      <c r="E5026">
        <v>6080198</v>
      </c>
      <c r="F5026" t="s">
        <v>87</v>
      </c>
      <c r="G5026" t="s">
        <v>203</v>
      </c>
      <c r="H5026" t="s">
        <v>229</v>
      </c>
      <c r="I5026" s="4">
        <v>125766.4408</v>
      </c>
      <c r="J5026" s="4">
        <v>503065.76319999999</v>
      </c>
      <c r="L5026" s="4">
        <v>4</v>
      </c>
    </row>
    <row r="5027" spans="1:12">
      <c r="A5027" t="s">
        <v>95</v>
      </c>
      <c r="B5027" s="10">
        <v>45382</v>
      </c>
      <c r="C5027" s="18">
        <f t="shared" si="78"/>
        <v>3</v>
      </c>
      <c r="D5027" t="s">
        <v>188</v>
      </c>
      <c r="E5027">
        <v>4878830</v>
      </c>
      <c r="F5027" t="s">
        <v>90</v>
      </c>
      <c r="G5027" t="s">
        <v>203</v>
      </c>
      <c r="H5027" t="s">
        <v>225</v>
      </c>
      <c r="I5027" s="4">
        <v>100638.28079999999</v>
      </c>
      <c r="J5027" s="4">
        <v>402553.12319999997</v>
      </c>
      <c r="L5027" s="4">
        <v>4</v>
      </c>
    </row>
    <row r="5028" spans="1:12">
      <c r="A5028" t="s">
        <v>95</v>
      </c>
      <c r="B5028" s="10">
        <v>45382</v>
      </c>
      <c r="C5028" s="18">
        <f t="shared" si="78"/>
        <v>3</v>
      </c>
      <c r="D5028" t="s">
        <v>188</v>
      </c>
      <c r="E5028">
        <v>4878830</v>
      </c>
      <c r="F5028" t="s">
        <v>90</v>
      </c>
      <c r="G5028" t="s">
        <v>203</v>
      </c>
      <c r="H5028" t="s">
        <v>229</v>
      </c>
      <c r="I5028" s="4">
        <v>125766.4408</v>
      </c>
      <c r="J5028" s="4">
        <v>251532.88159999999</v>
      </c>
      <c r="L5028" s="4">
        <v>2</v>
      </c>
    </row>
    <row r="5029" spans="1:12">
      <c r="A5029" t="s">
        <v>106</v>
      </c>
      <c r="B5029" s="10">
        <v>45352</v>
      </c>
      <c r="C5029" s="18">
        <f t="shared" si="78"/>
        <v>3</v>
      </c>
      <c r="D5029" t="s">
        <v>135</v>
      </c>
      <c r="E5029">
        <v>4872839</v>
      </c>
      <c r="F5029" t="s">
        <v>89</v>
      </c>
      <c r="G5029" t="s">
        <v>203</v>
      </c>
      <c r="H5029" t="s">
        <v>237</v>
      </c>
      <c r="I5029" s="4">
        <v>125766.4408</v>
      </c>
      <c r="J5029" s="4">
        <v>-125766.4408</v>
      </c>
      <c r="L5029" s="4">
        <v>-1</v>
      </c>
    </row>
    <row r="5030" spans="1:12">
      <c r="A5030" t="s">
        <v>106</v>
      </c>
      <c r="B5030" s="10">
        <v>45352</v>
      </c>
      <c r="C5030" s="18">
        <f t="shared" si="78"/>
        <v>3</v>
      </c>
      <c r="D5030" t="s">
        <v>135</v>
      </c>
      <c r="E5030">
        <v>4872947</v>
      </c>
      <c r="F5030" t="s">
        <v>88</v>
      </c>
      <c r="G5030" t="s">
        <v>203</v>
      </c>
      <c r="H5030" t="s">
        <v>236</v>
      </c>
      <c r="I5030" s="4">
        <v>100638.28079999999</v>
      </c>
      <c r="J5030" s="4">
        <v>805106.24639999995</v>
      </c>
      <c r="L5030" s="4">
        <v>8</v>
      </c>
    </row>
    <row r="5031" spans="1:12">
      <c r="A5031" t="s">
        <v>106</v>
      </c>
      <c r="B5031" s="10">
        <v>45352</v>
      </c>
      <c r="C5031" s="18">
        <f t="shared" si="78"/>
        <v>3</v>
      </c>
      <c r="D5031" t="s">
        <v>135</v>
      </c>
      <c r="E5031">
        <v>4872947</v>
      </c>
      <c r="F5031" t="s">
        <v>88</v>
      </c>
      <c r="G5031" t="s">
        <v>203</v>
      </c>
      <c r="H5031" t="s">
        <v>226</v>
      </c>
      <c r="I5031" s="4">
        <v>100638.28079999999</v>
      </c>
      <c r="J5031" s="4">
        <v>402553.12319999997</v>
      </c>
      <c r="L5031" s="4">
        <v>4</v>
      </c>
    </row>
    <row r="5032" spans="1:12">
      <c r="A5032" t="s">
        <v>106</v>
      </c>
      <c r="B5032" s="10">
        <v>45352</v>
      </c>
      <c r="C5032" s="18">
        <f t="shared" si="78"/>
        <v>3</v>
      </c>
      <c r="D5032" t="s">
        <v>135</v>
      </c>
      <c r="E5032">
        <v>4872947</v>
      </c>
      <c r="F5032" t="s">
        <v>88</v>
      </c>
      <c r="G5032" t="s">
        <v>203</v>
      </c>
      <c r="H5032" t="s">
        <v>225</v>
      </c>
      <c r="I5032" s="4">
        <v>100638.28079999999</v>
      </c>
      <c r="J5032" s="4">
        <v>805106.24639999995</v>
      </c>
      <c r="L5032" s="4">
        <v>8</v>
      </c>
    </row>
    <row r="5033" spans="1:12">
      <c r="A5033" t="s">
        <v>106</v>
      </c>
      <c r="B5033" s="10">
        <v>45352</v>
      </c>
      <c r="C5033" s="18">
        <f t="shared" si="78"/>
        <v>3</v>
      </c>
      <c r="D5033" t="s">
        <v>135</v>
      </c>
      <c r="E5033">
        <v>4872947</v>
      </c>
      <c r="F5033" t="s">
        <v>88</v>
      </c>
      <c r="G5033" t="s">
        <v>203</v>
      </c>
      <c r="H5033" t="s">
        <v>241</v>
      </c>
      <c r="I5033" s="4">
        <v>125766.4408</v>
      </c>
      <c r="J5033" s="4">
        <v>628832.20400000003</v>
      </c>
      <c r="L5033" s="4">
        <v>5</v>
      </c>
    </row>
    <row r="5034" spans="1:12">
      <c r="A5034" t="s">
        <v>106</v>
      </c>
      <c r="B5034" s="10">
        <v>45352</v>
      </c>
      <c r="C5034" s="18">
        <f t="shared" si="78"/>
        <v>3</v>
      </c>
      <c r="D5034" t="s">
        <v>135</v>
      </c>
      <c r="E5034">
        <v>4872947</v>
      </c>
      <c r="F5034" t="s">
        <v>88</v>
      </c>
      <c r="G5034" t="s">
        <v>203</v>
      </c>
      <c r="H5034" t="s">
        <v>235</v>
      </c>
      <c r="I5034" s="4">
        <v>125766.4408</v>
      </c>
      <c r="J5034" s="4">
        <v>628832.20400000003</v>
      </c>
      <c r="L5034" s="4">
        <v>5</v>
      </c>
    </row>
    <row r="5035" spans="1:12">
      <c r="A5035" t="s">
        <v>106</v>
      </c>
      <c r="B5035" s="10">
        <v>45352</v>
      </c>
      <c r="C5035" s="18">
        <f t="shared" si="78"/>
        <v>3</v>
      </c>
      <c r="D5035" t="s">
        <v>135</v>
      </c>
      <c r="E5035">
        <v>4872947</v>
      </c>
      <c r="F5035" t="s">
        <v>88</v>
      </c>
      <c r="G5035" t="s">
        <v>203</v>
      </c>
      <c r="H5035" t="s">
        <v>231</v>
      </c>
      <c r="I5035" s="4">
        <v>125766.4408</v>
      </c>
      <c r="J5035" s="4">
        <v>628832.20400000003</v>
      </c>
      <c r="L5035" s="4">
        <v>5</v>
      </c>
    </row>
    <row r="5036" spans="1:12">
      <c r="A5036" t="s">
        <v>106</v>
      </c>
      <c r="B5036" s="10">
        <v>45355</v>
      </c>
      <c r="C5036" s="18">
        <f t="shared" si="78"/>
        <v>3</v>
      </c>
      <c r="D5036" t="s">
        <v>135</v>
      </c>
      <c r="E5036">
        <v>4878582</v>
      </c>
      <c r="F5036" t="s">
        <v>90</v>
      </c>
      <c r="G5036" t="s">
        <v>203</v>
      </c>
      <c r="H5036" t="s">
        <v>235</v>
      </c>
      <c r="I5036" s="4">
        <v>125766.4408</v>
      </c>
      <c r="J5036" s="4">
        <v>377299.3224</v>
      </c>
      <c r="L5036" s="4">
        <v>3</v>
      </c>
    </row>
    <row r="5037" spans="1:12">
      <c r="A5037" t="s">
        <v>106</v>
      </c>
      <c r="B5037" s="10">
        <v>45355</v>
      </c>
      <c r="C5037" s="18">
        <f t="shared" si="78"/>
        <v>3</v>
      </c>
      <c r="D5037" t="s">
        <v>135</v>
      </c>
      <c r="E5037">
        <v>4878582</v>
      </c>
      <c r="F5037" t="s">
        <v>90</v>
      </c>
      <c r="G5037" t="s">
        <v>203</v>
      </c>
      <c r="H5037" t="s">
        <v>229</v>
      </c>
      <c r="I5037" s="4">
        <v>125766.4408</v>
      </c>
      <c r="J5037" s="4">
        <v>377299.3224</v>
      </c>
      <c r="L5037" s="4">
        <v>3</v>
      </c>
    </row>
    <row r="5038" spans="1:12">
      <c r="A5038" t="s">
        <v>106</v>
      </c>
      <c r="B5038" s="10">
        <v>45360</v>
      </c>
      <c r="C5038" s="18">
        <f t="shared" si="78"/>
        <v>3</v>
      </c>
      <c r="D5038" t="s">
        <v>135</v>
      </c>
      <c r="E5038">
        <v>4872839</v>
      </c>
      <c r="F5038" t="s">
        <v>89</v>
      </c>
      <c r="G5038" t="s">
        <v>203</v>
      </c>
      <c r="H5038" t="s">
        <v>225</v>
      </c>
      <c r="I5038" s="4">
        <v>100638.28079999999</v>
      </c>
      <c r="J5038" s="4">
        <v>1006382.808</v>
      </c>
      <c r="L5038" s="4">
        <v>10</v>
      </c>
    </row>
    <row r="5039" spans="1:12">
      <c r="A5039" t="s">
        <v>106</v>
      </c>
      <c r="B5039" s="10">
        <v>45360</v>
      </c>
      <c r="C5039" s="18">
        <f t="shared" si="78"/>
        <v>3</v>
      </c>
      <c r="D5039" t="s">
        <v>135</v>
      </c>
      <c r="E5039">
        <v>4872839</v>
      </c>
      <c r="F5039" t="s">
        <v>89</v>
      </c>
      <c r="G5039" t="s">
        <v>203</v>
      </c>
      <c r="H5039" t="s">
        <v>235</v>
      </c>
      <c r="I5039" s="4">
        <v>125766.4408</v>
      </c>
      <c r="J5039" s="4">
        <v>251532.88159999999</v>
      </c>
      <c r="L5039" s="4">
        <v>2</v>
      </c>
    </row>
    <row r="5040" spans="1:12">
      <c r="A5040" t="s">
        <v>106</v>
      </c>
      <c r="B5040" s="10">
        <v>45360</v>
      </c>
      <c r="C5040" s="18">
        <f t="shared" si="78"/>
        <v>3</v>
      </c>
      <c r="D5040" t="s">
        <v>135</v>
      </c>
      <c r="E5040">
        <v>4872839</v>
      </c>
      <c r="F5040" t="s">
        <v>89</v>
      </c>
      <c r="G5040" t="s">
        <v>203</v>
      </c>
      <c r="H5040" t="s">
        <v>231</v>
      </c>
      <c r="I5040" s="4">
        <v>125766.4408</v>
      </c>
      <c r="J5040" s="4">
        <v>503065.76319999999</v>
      </c>
      <c r="L5040" s="4">
        <v>4</v>
      </c>
    </row>
    <row r="5041" spans="1:12">
      <c r="A5041" t="s">
        <v>106</v>
      </c>
      <c r="B5041" s="10">
        <v>45360</v>
      </c>
      <c r="C5041" s="18">
        <f t="shared" si="78"/>
        <v>3</v>
      </c>
      <c r="D5041" t="s">
        <v>135</v>
      </c>
      <c r="E5041">
        <v>4873659</v>
      </c>
      <c r="F5041" t="s">
        <v>89</v>
      </c>
      <c r="G5041" t="s">
        <v>203</v>
      </c>
      <c r="H5041" t="s">
        <v>243</v>
      </c>
      <c r="I5041" s="4">
        <v>100638.28079999999</v>
      </c>
      <c r="J5041" s="4">
        <v>402553.12319999997</v>
      </c>
      <c r="L5041" s="4">
        <v>4</v>
      </c>
    </row>
    <row r="5042" spans="1:12">
      <c r="A5042" t="s">
        <v>106</v>
      </c>
      <c r="B5042" s="10">
        <v>45360</v>
      </c>
      <c r="C5042" s="18">
        <f t="shared" si="78"/>
        <v>3</v>
      </c>
      <c r="D5042" t="s">
        <v>135</v>
      </c>
      <c r="E5042">
        <v>4873659</v>
      </c>
      <c r="F5042" t="s">
        <v>89</v>
      </c>
      <c r="G5042" t="s">
        <v>203</v>
      </c>
      <c r="H5042" t="s">
        <v>242</v>
      </c>
      <c r="I5042" s="4">
        <v>100638.28079999999</v>
      </c>
      <c r="J5042" s="4">
        <v>402553.12319999997</v>
      </c>
      <c r="L5042" s="4">
        <v>4</v>
      </c>
    </row>
    <row r="5043" spans="1:12">
      <c r="A5043" t="s">
        <v>106</v>
      </c>
      <c r="B5043" s="10">
        <v>45360</v>
      </c>
      <c r="C5043" s="18">
        <f t="shared" si="78"/>
        <v>3</v>
      </c>
      <c r="D5043" t="s">
        <v>135</v>
      </c>
      <c r="E5043">
        <v>4873659</v>
      </c>
      <c r="F5043" t="s">
        <v>89</v>
      </c>
      <c r="G5043" t="s">
        <v>203</v>
      </c>
      <c r="H5043" t="s">
        <v>227</v>
      </c>
      <c r="I5043" s="4">
        <v>100638.28079999999</v>
      </c>
      <c r="J5043" s="4">
        <v>402553.12319999997</v>
      </c>
      <c r="L5043" s="4">
        <v>4</v>
      </c>
    </row>
    <row r="5044" spans="1:12">
      <c r="A5044" t="s">
        <v>106</v>
      </c>
      <c r="B5044" s="10">
        <v>45360</v>
      </c>
      <c r="C5044" s="18">
        <f t="shared" si="78"/>
        <v>3</v>
      </c>
      <c r="D5044" t="s">
        <v>135</v>
      </c>
      <c r="E5044">
        <v>4873659</v>
      </c>
      <c r="F5044" t="s">
        <v>89</v>
      </c>
      <c r="G5044" t="s">
        <v>203</v>
      </c>
      <c r="H5044" t="s">
        <v>224</v>
      </c>
      <c r="I5044" s="4">
        <v>100638.28079999999</v>
      </c>
      <c r="J5044" s="4">
        <v>402553.12319999997</v>
      </c>
      <c r="L5044" s="4">
        <v>4</v>
      </c>
    </row>
    <row r="5045" spans="1:12">
      <c r="A5045" t="s">
        <v>106</v>
      </c>
      <c r="B5045" s="10">
        <v>45360</v>
      </c>
      <c r="C5045" s="18">
        <f t="shared" si="78"/>
        <v>3</v>
      </c>
      <c r="D5045" t="s">
        <v>135</v>
      </c>
      <c r="E5045">
        <v>4873659</v>
      </c>
      <c r="F5045" t="s">
        <v>89</v>
      </c>
      <c r="G5045" t="s">
        <v>203</v>
      </c>
      <c r="H5045" t="s">
        <v>223</v>
      </c>
      <c r="I5045" s="4">
        <v>100638.28079999999</v>
      </c>
      <c r="J5045" s="4">
        <v>402553.12319999997</v>
      </c>
      <c r="L5045" s="4">
        <v>4</v>
      </c>
    </row>
    <row r="5046" spans="1:12">
      <c r="A5046" t="s">
        <v>106</v>
      </c>
      <c r="B5046" s="10">
        <v>45360</v>
      </c>
      <c r="C5046" s="18">
        <f t="shared" si="78"/>
        <v>3</v>
      </c>
      <c r="D5046" t="s">
        <v>135</v>
      </c>
      <c r="E5046">
        <v>4873659</v>
      </c>
      <c r="F5046" t="s">
        <v>89</v>
      </c>
      <c r="G5046" t="s">
        <v>203</v>
      </c>
      <c r="H5046" t="s">
        <v>241</v>
      </c>
      <c r="I5046" s="4">
        <v>125766.4408</v>
      </c>
      <c r="J5046" s="4">
        <v>125766.4408</v>
      </c>
      <c r="L5046" s="4">
        <v>1</v>
      </c>
    </row>
    <row r="5047" spans="1:12">
      <c r="A5047" t="s">
        <v>106</v>
      </c>
      <c r="B5047" s="10">
        <v>45360</v>
      </c>
      <c r="C5047" s="18">
        <f t="shared" si="78"/>
        <v>3</v>
      </c>
      <c r="D5047" t="s">
        <v>135</v>
      </c>
      <c r="E5047">
        <v>4873659</v>
      </c>
      <c r="F5047" t="s">
        <v>89</v>
      </c>
      <c r="G5047" t="s">
        <v>203</v>
      </c>
      <c r="H5047" t="s">
        <v>231</v>
      </c>
      <c r="I5047" s="4">
        <v>125766.4408</v>
      </c>
      <c r="J5047" s="4">
        <v>125766.4408</v>
      </c>
      <c r="L5047" s="4">
        <v>1</v>
      </c>
    </row>
    <row r="5048" spans="1:12">
      <c r="A5048" t="s">
        <v>106</v>
      </c>
      <c r="B5048" s="10">
        <v>45360</v>
      </c>
      <c r="C5048" s="18">
        <f t="shared" si="78"/>
        <v>3</v>
      </c>
      <c r="D5048" t="s">
        <v>135</v>
      </c>
      <c r="E5048">
        <v>4873659</v>
      </c>
      <c r="F5048" t="s">
        <v>89</v>
      </c>
      <c r="G5048" t="s">
        <v>203</v>
      </c>
      <c r="H5048" t="s">
        <v>229</v>
      </c>
      <c r="I5048" s="4">
        <v>125766.4408</v>
      </c>
      <c r="J5048" s="4">
        <v>125766.4408</v>
      </c>
      <c r="L5048" s="4">
        <v>1</v>
      </c>
    </row>
    <row r="5049" spans="1:12">
      <c r="A5049" t="s">
        <v>106</v>
      </c>
      <c r="B5049" s="10">
        <v>45360</v>
      </c>
      <c r="C5049" s="18">
        <f t="shared" si="78"/>
        <v>3</v>
      </c>
      <c r="D5049" t="s">
        <v>135</v>
      </c>
      <c r="E5049">
        <v>4872948</v>
      </c>
      <c r="F5049" t="s">
        <v>88</v>
      </c>
      <c r="G5049" t="s">
        <v>203</v>
      </c>
      <c r="H5049" t="s">
        <v>227</v>
      </c>
      <c r="I5049" s="4">
        <v>100638.28079999999</v>
      </c>
      <c r="J5049" s="4">
        <v>402553.12319999997</v>
      </c>
      <c r="L5049" s="4">
        <v>4</v>
      </c>
    </row>
    <row r="5050" spans="1:12">
      <c r="A5050" t="s">
        <v>106</v>
      </c>
      <c r="B5050" s="10">
        <v>45360</v>
      </c>
      <c r="C5050" s="18">
        <f t="shared" si="78"/>
        <v>3</v>
      </c>
      <c r="D5050" t="s">
        <v>135</v>
      </c>
      <c r="E5050">
        <v>4872948</v>
      </c>
      <c r="F5050" t="s">
        <v>88</v>
      </c>
      <c r="G5050" t="s">
        <v>203</v>
      </c>
      <c r="H5050" t="s">
        <v>224</v>
      </c>
      <c r="I5050" s="4">
        <v>100638.28079999999</v>
      </c>
      <c r="J5050" s="4">
        <v>402553.12319999997</v>
      </c>
      <c r="L5050" s="4">
        <v>4</v>
      </c>
    </row>
    <row r="5051" spans="1:12">
      <c r="A5051" t="s">
        <v>106</v>
      </c>
      <c r="B5051" s="10">
        <v>45360</v>
      </c>
      <c r="C5051" s="18">
        <f t="shared" si="78"/>
        <v>3</v>
      </c>
      <c r="D5051" t="s">
        <v>135</v>
      </c>
      <c r="E5051">
        <v>4872953</v>
      </c>
      <c r="F5051" t="s">
        <v>87</v>
      </c>
      <c r="G5051" t="s">
        <v>203</v>
      </c>
      <c r="H5051" t="s">
        <v>245</v>
      </c>
      <c r="I5051" s="4">
        <v>100638.28079999999</v>
      </c>
      <c r="J5051" s="4">
        <v>201276.56159999999</v>
      </c>
      <c r="L5051" s="4">
        <v>2</v>
      </c>
    </row>
    <row r="5052" spans="1:12">
      <c r="A5052" t="s">
        <v>106</v>
      </c>
      <c r="B5052" s="10">
        <v>45360</v>
      </c>
      <c r="C5052" s="18">
        <f t="shared" si="78"/>
        <v>3</v>
      </c>
      <c r="D5052" t="s">
        <v>135</v>
      </c>
      <c r="E5052">
        <v>4872953</v>
      </c>
      <c r="F5052" t="s">
        <v>87</v>
      </c>
      <c r="G5052" t="s">
        <v>203</v>
      </c>
      <c r="H5052" t="s">
        <v>243</v>
      </c>
      <c r="I5052" s="4">
        <v>100638.28079999999</v>
      </c>
      <c r="J5052" s="4">
        <v>201276.56159999999</v>
      </c>
      <c r="L5052" s="4">
        <v>2</v>
      </c>
    </row>
    <row r="5053" spans="1:12">
      <c r="A5053" t="s">
        <v>106</v>
      </c>
      <c r="B5053" s="10">
        <v>45360</v>
      </c>
      <c r="C5053" s="18">
        <f t="shared" si="78"/>
        <v>3</v>
      </c>
      <c r="D5053" t="s">
        <v>135</v>
      </c>
      <c r="E5053">
        <v>4872953</v>
      </c>
      <c r="F5053" t="s">
        <v>87</v>
      </c>
      <c r="G5053" t="s">
        <v>203</v>
      </c>
      <c r="H5053" t="s">
        <v>240</v>
      </c>
      <c r="I5053" s="4">
        <v>100638.28079999999</v>
      </c>
      <c r="J5053" s="4">
        <v>201276.56159999999</v>
      </c>
      <c r="L5053" s="4">
        <v>2</v>
      </c>
    </row>
    <row r="5054" spans="1:12">
      <c r="A5054" t="s">
        <v>106</v>
      </c>
      <c r="B5054" s="10">
        <v>45360</v>
      </c>
      <c r="C5054" s="18">
        <f t="shared" si="78"/>
        <v>3</v>
      </c>
      <c r="D5054" t="s">
        <v>135</v>
      </c>
      <c r="E5054">
        <v>4872953</v>
      </c>
      <c r="F5054" t="s">
        <v>87</v>
      </c>
      <c r="G5054" t="s">
        <v>203</v>
      </c>
      <c r="H5054" t="s">
        <v>238</v>
      </c>
      <c r="I5054" s="4">
        <v>95606.36675999999</v>
      </c>
      <c r="J5054" s="4">
        <v>191212.73351999998</v>
      </c>
      <c r="L5054" s="4">
        <v>2</v>
      </c>
    </row>
    <row r="5055" spans="1:12">
      <c r="A5055" t="s">
        <v>106</v>
      </c>
      <c r="B5055" s="10">
        <v>45360</v>
      </c>
      <c r="C5055" s="18">
        <f t="shared" si="78"/>
        <v>3</v>
      </c>
      <c r="D5055" t="s">
        <v>135</v>
      </c>
      <c r="E5055">
        <v>4872953</v>
      </c>
      <c r="F5055" t="s">
        <v>87</v>
      </c>
      <c r="G5055" t="s">
        <v>203</v>
      </c>
      <c r="H5055" t="s">
        <v>227</v>
      </c>
      <c r="I5055" s="4">
        <v>100638.28079999999</v>
      </c>
      <c r="J5055" s="4">
        <v>201276.56159999999</v>
      </c>
      <c r="L5055" s="4">
        <v>2</v>
      </c>
    </row>
    <row r="5056" spans="1:12">
      <c r="A5056" t="s">
        <v>106</v>
      </c>
      <c r="B5056" s="10">
        <v>45360</v>
      </c>
      <c r="C5056" s="18">
        <f t="shared" si="78"/>
        <v>3</v>
      </c>
      <c r="D5056" t="s">
        <v>135</v>
      </c>
      <c r="E5056">
        <v>4873204</v>
      </c>
      <c r="F5056" t="s">
        <v>88</v>
      </c>
      <c r="G5056" t="s">
        <v>203</v>
      </c>
      <c r="H5056" t="s">
        <v>224</v>
      </c>
      <c r="I5056" s="4">
        <v>100638.28079999999</v>
      </c>
      <c r="J5056" s="4">
        <v>201276.56159999999</v>
      </c>
      <c r="L5056" s="4">
        <v>2</v>
      </c>
    </row>
    <row r="5057" spans="1:12">
      <c r="A5057" t="s">
        <v>106</v>
      </c>
      <c r="B5057" s="10">
        <v>45360</v>
      </c>
      <c r="C5057" s="18">
        <f t="shared" si="78"/>
        <v>3</v>
      </c>
      <c r="D5057" t="s">
        <v>135</v>
      </c>
      <c r="E5057">
        <v>4873204</v>
      </c>
      <c r="F5057" t="s">
        <v>88</v>
      </c>
      <c r="G5057" t="s">
        <v>203</v>
      </c>
      <c r="H5057" t="s">
        <v>223</v>
      </c>
      <c r="I5057" s="4">
        <v>100638.28079999999</v>
      </c>
      <c r="J5057" s="4">
        <v>201276.56159999999</v>
      </c>
      <c r="L5057" s="4">
        <v>2</v>
      </c>
    </row>
    <row r="5058" spans="1:12">
      <c r="A5058" t="s">
        <v>106</v>
      </c>
      <c r="B5058" s="10">
        <v>45360</v>
      </c>
      <c r="C5058" s="18">
        <f t="shared" ref="C5058:C5121" si="79">MONTH(B5058)</f>
        <v>3</v>
      </c>
      <c r="D5058" t="s">
        <v>135</v>
      </c>
      <c r="E5058">
        <v>4873204</v>
      </c>
      <c r="F5058" t="s">
        <v>88</v>
      </c>
      <c r="G5058" t="s">
        <v>203</v>
      </c>
      <c r="H5058" t="s">
        <v>222</v>
      </c>
      <c r="I5058" s="4">
        <v>100638.28079999999</v>
      </c>
      <c r="J5058" s="4">
        <v>201276.56159999999</v>
      </c>
      <c r="L5058" s="4">
        <v>2</v>
      </c>
    </row>
    <row r="5059" spans="1:12">
      <c r="A5059" t="s">
        <v>106</v>
      </c>
      <c r="B5059" s="10">
        <v>45360</v>
      </c>
      <c r="C5059" s="18">
        <f t="shared" si="79"/>
        <v>3</v>
      </c>
      <c r="D5059" t="s">
        <v>135</v>
      </c>
      <c r="E5059">
        <v>4873725</v>
      </c>
      <c r="F5059" t="s">
        <v>90</v>
      </c>
      <c r="G5059" t="s">
        <v>204</v>
      </c>
      <c r="H5059" t="s">
        <v>217</v>
      </c>
      <c r="I5059" s="4">
        <v>78022.936799999996</v>
      </c>
      <c r="J5059" s="4">
        <v>1170344.0519999999</v>
      </c>
      <c r="L5059" s="4">
        <v>15</v>
      </c>
    </row>
    <row r="5060" spans="1:12">
      <c r="A5060" t="s">
        <v>106</v>
      </c>
      <c r="B5060" s="10">
        <v>45360</v>
      </c>
      <c r="C5060" s="18">
        <f t="shared" si="79"/>
        <v>3</v>
      </c>
      <c r="D5060" t="s">
        <v>135</v>
      </c>
      <c r="E5060">
        <v>4873291</v>
      </c>
      <c r="F5060" t="s">
        <v>89</v>
      </c>
      <c r="G5060" t="s">
        <v>203</v>
      </c>
      <c r="H5060" t="s">
        <v>245</v>
      </c>
      <c r="I5060" s="4">
        <v>100638.28079999999</v>
      </c>
      <c r="J5060" s="4">
        <v>402553.12319999997</v>
      </c>
      <c r="L5060" s="4">
        <v>4</v>
      </c>
    </row>
    <row r="5061" spans="1:12">
      <c r="A5061" t="s">
        <v>106</v>
      </c>
      <c r="B5061" s="10">
        <v>45360</v>
      </c>
      <c r="C5061" s="18">
        <f t="shared" si="79"/>
        <v>3</v>
      </c>
      <c r="D5061" t="s">
        <v>135</v>
      </c>
      <c r="E5061">
        <v>4873291</v>
      </c>
      <c r="F5061" t="s">
        <v>89</v>
      </c>
      <c r="G5061" t="s">
        <v>203</v>
      </c>
      <c r="H5061" t="s">
        <v>238</v>
      </c>
      <c r="I5061" s="4">
        <v>95606.36675999999</v>
      </c>
      <c r="J5061" s="4">
        <v>382425.46703999996</v>
      </c>
      <c r="L5061" s="4">
        <v>4</v>
      </c>
    </row>
    <row r="5062" spans="1:12">
      <c r="A5062" t="s">
        <v>106</v>
      </c>
      <c r="B5062" s="10">
        <v>45360</v>
      </c>
      <c r="C5062" s="18">
        <f t="shared" si="79"/>
        <v>3</v>
      </c>
      <c r="D5062" t="s">
        <v>135</v>
      </c>
      <c r="E5062">
        <v>4873291</v>
      </c>
      <c r="F5062" t="s">
        <v>89</v>
      </c>
      <c r="G5062" t="s">
        <v>203</v>
      </c>
      <c r="H5062" t="s">
        <v>232</v>
      </c>
      <c r="I5062" s="4">
        <v>100638.28079999999</v>
      </c>
      <c r="J5062" s="4">
        <v>402553.12319999997</v>
      </c>
      <c r="L5062" s="4">
        <v>4</v>
      </c>
    </row>
    <row r="5063" spans="1:12">
      <c r="A5063" t="s">
        <v>106</v>
      </c>
      <c r="B5063" s="10">
        <v>45360</v>
      </c>
      <c r="C5063" s="18">
        <f t="shared" si="79"/>
        <v>3</v>
      </c>
      <c r="D5063" t="s">
        <v>135</v>
      </c>
      <c r="E5063">
        <v>4873291</v>
      </c>
      <c r="F5063" t="s">
        <v>89</v>
      </c>
      <c r="G5063" t="s">
        <v>203</v>
      </c>
      <c r="H5063" t="s">
        <v>223</v>
      </c>
      <c r="I5063" s="4">
        <v>100638.28079999999</v>
      </c>
      <c r="J5063" s="4">
        <v>402553.12319999997</v>
      </c>
      <c r="L5063" s="4">
        <v>4</v>
      </c>
    </row>
    <row r="5064" spans="1:12">
      <c r="A5064" t="s">
        <v>106</v>
      </c>
      <c r="B5064" s="10">
        <v>45360</v>
      </c>
      <c r="C5064" s="18">
        <f t="shared" si="79"/>
        <v>3</v>
      </c>
      <c r="D5064" t="s">
        <v>135</v>
      </c>
      <c r="E5064">
        <v>4873291</v>
      </c>
      <c r="F5064" t="s">
        <v>89</v>
      </c>
      <c r="G5064" t="s">
        <v>203</v>
      </c>
      <c r="H5064" t="s">
        <v>222</v>
      </c>
      <c r="I5064" s="4">
        <v>100638.28079999999</v>
      </c>
      <c r="J5064" s="4">
        <v>402553.12319999997</v>
      </c>
      <c r="L5064" s="4">
        <v>4</v>
      </c>
    </row>
    <row r="5065" spans="1:12">
      <c r="A5065" t="s">
        <v>106</v>
      </c>
      <c r="B5065" s="10">
        <v>45360</v>
      </c>
      <c r="C5065" s="18">
        <f t="shared" si="79"/>
        <v>3</v>
      </c>
      <c r="D5065" t="s">
        <v>135</v>
      </c>
      <c r="E5065">
        <v>4872585</v>
      </c>
      <c r="F5065" t="s">
        <v>90</v>
      </c>
      <c r="G5065" t="s">
        <v>204</v>
      </c>
      <c r="H5065" t="s">
        <v>219</v>
      </c>
      <c r="I5065" s="4">
        <v>44099.9208</v>
      </c>
      <c r="J5065" s="4">
        <v>44099.9208</v>
      </c>
      <c r="L5065" s="4">
        <v>1</v>
      </c>
    </row>
    <row r="5066" spans="1:12">
      <c r="A5066" t="s">
        <v>106</v>
      </c>
      <c r="B5066" s="10">
        <v>45360</v>
      </c>
      <c r="C5066" s="18">
        <f t="shared" si="79"/>
        <v>3</v>
      </c>
      <c r="D5066" t="s">
        <v>135</v>
      </c>
      <c r="E5066">
        <v>4872585</v>
      </c>
      <c r="F5066" t="s">
        <v>90</v>
      </c>
      <c r="G5066" t="s">
        <v>204</v>
      </c>
      <c r="H5066" t="s">
        <v>218</v>
      </c>
      <c r="I5066" s="4">
        <v>71740.896800000002</v>
      </c>
      <c r="J5066" s="4">
        <v>71740.896800000002</v>
      </c>
      <c r="L5066" s="4">
        <v>1</v>
      </c>
    </row>
    <row r="5067" spans="1:12">
      <c r="A5067" t="s">
        <v>106</v>
      </c>
      <c r="B5067" s="10">
        <v>45360</v>
      </c>
      <c r="C5067" s="18">
        <f t="shared" si="79"/>
        <v>3</v>
      </c>
      <c r="D5067" t="s">
        <v>135</v>
      </c>
      <c r="E5067">
        <v>4872585</v>
      </c>
      <c r="F5067" t="s">
        <v>90</v>
      </c>
      <c r="G5067" t="s">
        <v>204</v>
      </c>
      <c r="H5067" t="s">
        <v>216</v>
      </c>
      <c r="I5067" s="4">
        <v>113202.36079999999</v>
      </c>
      <c r="J5067" s="4">
        <v>113202.36079999999</v>
      </c>
      <c r="L5067" s="4">
        <v>1</v>
      </c>
    </row>
    <row r="5068" spans="1:12">
      <c r="A5068" t="s">
        <v>106</v>
      </c>
      <c r="B5068" s="10">
        <v>45360</v>
      </c>
      <c r="C5068" s="18">
        <f t="shared" si="79"/>
        <v>3</v>
      </c>
      <c r="D5068" t="s">
        <v>135</v>
      </c>
      <c r="E5068">
        <v>4872947</v>
      </c>
      <c r="F5068" t="s">
        <v>88</v>
      </c>
      <c r="G5068" t="s">
        <v>203</v>
      </c>
      <c r="H5068" t="s">
        <v>245</v>
      </c>
      <c r="I5068" s="4">
        <v>100638.28079999999</v>
      </c>
      <c r="J5068" s="4">
        <v>402553.12319999997</v>
      </c>
      <c r="L5068" s="4">
        <v>4</v>
      </c>
    </row>
    <row r="5069" spans="1:12">
      <c r="A5069" t="s">
        <v>106</v>
      </c>
      <c r="B5069" s="10">
        <v>45360</v>
      </c>
      <c r="C5069" s="18">
        <f t="shared" si="79"/>
        <v>3</v>
      </c>
      <c r="D5069" t="s">
        <v>135</v>
      </c>
      <c r="E5069">
        <v>4872947</v>
      </c>
      <c r="F5069" t="s">
        <v>88</v>
      </c>
      <c r="G5069" t="s">
        <v>203</v>
      </c>
      <c r="H5069" t="s">
        <v>243</v>
      </c>
      <c r="I5069" s="4">
        <v>100638.28079999999</v>
      </c>
      <c r="J5069" s="4">
        <v>402553.12319999997</v>
      </c>
      <c r="L5069" s="4">
        <v>4</v>
      </c>
    </row>
    <row r="5070" spans="1:12">
      <c r="A5070" t="s">
        <v>106</v>
      </c>
      <c r="B5070" s="10">
        <v>45360</v>
      </c>
      <c r="C5070" s="18">
        <f t="shared" si="79"/>
        <v>3</v>
      </c>
      <c r="D5070" t="s">
        <v>135</v>
      </c>
      <c r="E5070">
        <v>4872947</v>
      </c>
      <c r="F5070" t="s">
        <v>88</v>
      </c>
      <c r="G5070" t="s">
        <v>203</v>
      </c>
      <c r="H5070" t="s">
        <v>242</v>
      </c>
      <c r="I5070" s="4">
        <v>100638.28079999999</v>
      </c>
      <c r="J5070" s="4">
        <v>201276.56159999999</v>
      </c>
      <c r="L5070" s="4">
        <v>2</v>
      </c>
    </row>
    <row r="5071" spans="1:12">
      <c r="A5071" t="s">
        <v>106</v>
      </c>
      <c r="B5071" s="10">
        <v>45360</v>
      </c>
      <c r="C5071" s="18">
        <f t="shared" si="79"/>
        <v>3</v>
      </c>
      <c r="D5071" t="s">
        <v>135</v>
      </c>
      <c r="E5071">
        <v>4872947</v>
      </c>
      <c r="F5071" t="s">
        <v>88</v>
      </c>
      <c r="G5071" t="s">
        <v>203</v>
      </c>
      <c r="H5071" t="s">
        <v>240</v>
      </c>
      <c r="I5071" s="4">
        <v>100638.28079999999</v>
      </c>
      <c r="J5071" s="4">
        <v>1006382.808</v>
      </c>
      <c r="L5071" s="4">
        <v>10</v>
      </c>
    </row>
    <row r="5072" spans="1:12">
      <c r="A5072" t="s">
        <v>106</v>
      </c>
      <c r="B5072" s="10">
        <v>45360</v>
      </c>
      <c r="C5072" s="18">
        <f t="shared" si="79"/>
        <v>3</v>
      </c>
      <c r="D5072" t="s">
        <v>135</v>
      </c>
      <c r="E5072">
        <v>4872947</v>
      </c>
      <c r="F5072" t="s">
        <v>88</v>
      </c>
      <c r="G5072" t="s">
        <v>204</v>
      </c>
      <c r="H5072" t="s">
        <v>219</v>
      </c>
      <c r="I5072" s="4">
        <v>44099.9208</v>
      </c>
      <c r="J5072" s="4">
        <v>44099.9208</v>
      </c>
      <c r="L5072" s="4">
        <v>1</v>
      </c>
    </row>
    <row r="5073" spans="1:12">
      <c r="A5073" t="s">
        <v>106</v>
      </c>
      <c r="B5073" s="10">
        <v>45360</v>
      </c>
      <c r="C5073" s="18">
        <f t="shared" si="79"/>
        <v>3</v>
      </c>
      <c r="D5073" t="s">
        <v>135</v>
      </c>
      <c r="E5073">
        <v>4872947</v>
      </c>
      <c r="F5073" t="s">
        <v>88</v>
      </c>
      <c r="G5073" t="s">
        <v>204</v>
      </c>
      <c r="H5073" t="s">
        <v>218</v>
      </c>
      <c r="I5073" s="4">
        <v>71740.896800000002</v>
      </c>
      <c r="J5073" s="4">
        <v>71740.896800000002</v>
      </c>
      <c r="L5073" s="4">
        <v>1</v>
      </c>
    </row>
    <row r="5074" spans="1:12">
      <c r="A5074" t="s">
        <v>106</v>
      </c>
      <c r="B5074" s="10">
        <v>45360</v>
      </c>
      <c r="C5074" s="18">
        <f t="shared" si="79"/>
        <v>3</v>
      </c>
      <c r="D5074" t="s">
        <v>135</v>
      </c>
      <c r="E5074">
        <v>4876003</v>
      </c>
      <c r="F5074" t="s">
        <v>89</v>
      </c>
      <c r="G5074" t="s">
        <v>203</v>
      </c>
      <c r="H5074" t="s">
        <v>240</v>
      </c>
      <c r="I5074" s="4">
        <v>100638.28079999999</v>
      </c>
      <c r="J5074" s="4">
        <v>402553.12319999997</v>
      </c>
      <c r="L5074" s="4">
        <v>4</v>
      </c>
    </row>
    <row r="5075" spans="1:12">
      <c r="A5075" t="s">
        <v>106</v>
      </c>
      <c r="B5075" s="10">
        <v>45360</v>
      </c>
      <c r="C5075" s="18">
        <f t="shared" si="79"/>
        <v>3</v>
      </c>
      <c r="D5075" t="s">
        <v>135</v>
      </c>
      <c r="E5075">
        <v>4876003</v>
      </c>
      <c r="F5075" t="s">
        <v>89</v>
      </c>
      <c r="G5075" t="s">
        <v>203</v>
      </c>
      <c r="H5075" t="s">
        <v>238</v>
      </c>
      <c r="I5075" s="4">
        <v>95606.36675999999</v>
      </c>
      <c r="J5075" s="4">
        <v>382425.46703999996</v>
      </c>
      <c r="L5075" s="4">
        <v>4</v>
      </c>
    </row>
    <row r="5076" spans="1:12">
      <c r="A5076" t="s">
        <v>106</v>
      </c>
      <c r="B5076" s="10">
        <v>45360</v>
      </c>
      <c r="C5076" s="18">
        <f t="shared" si="79"/>
        <v>3</v>
      </c>
      <c r="D5076" t="s">
        <v>135</v>
      </c>
      <c r="E5076">
        <v>4876003</v>
      </c>
      <c r="F5076" t="s">
        <v>89</v>
      </c>
      <c r="G5076" t="s">
        <v>203</v>
      </c>
      <c r="H5076" t="s">
        <v>222</v>
      </c>
      <c r="I5076" s="4">
        <v>100638.28079999999</v>
      </c>
      <c r="J5076" s="4">
        <v>402553.12319999997</v>
      </c>
      <c r="L5076" s="4">
        <v>4</v>
      </c>
    </row>
    <row r="5077" spans="1:12">
      <c r="A5077" t="s">
        <v>106</v>
      </c>
      <c r="B5077" s="10">
        <v>45360</v>
      </c>
      <c r="C5077" s="18">
        <f t="shared" si="79"/>
        <v>3</v>
      </c>
      <c r="D5077" t="s">
        <v>135</v>
      </c>
      <c r="E5077">
        <v>4876003</v>
      </c>
      <c r="F5077" t="s">
        <v>89</v>
      </c>
      <c r="G5077" t="s">
        <v>203</v>
      </c>
      <c r="H5077" t="s">
        <v>244</v>
      </c>
      <c r="I5077" s="4">
        <v>125766.4408</v>
      </c>
      <c r="J5077" s="4">
        <v>503065.76319999999</v>
      </c>
      <c r="L5077" s="4">
        <v>4</v>
      </c>
    </row>
    <row r="5078" spans="1:12">
      <c r="A5078" t="s">
        <v>106</v>
      </c>
      <c r="B5078" s="10">
        <v>45360</v>
      </c>
      <c r="C5078" s="18">
        <f t="shared" si="79"/>
        <v>3</v>
      </c>
      <c r="D5078" t="s">
        <v>135</v>
      </c>
      <c r="E5078">
        <v>4874488</v>
      </c>
      <c r="F5078" t="s">
        <v>88</v>
      </c>
      <c r="G5078" t="s">
        <v>203</v>
      </c>
      <c r="H5078" t="s">
        <v>242</v>
      </c>
      <c r="I5078" s="4">
        <v>100638.28079999999</v>
      </c>
      <c r="J5078" s="4">
        <v>402553.12319999997</v>
      </c>
      <c r="L5078" s="4">
        <v>4</v>
      </c>
    </row>
    <row r="5079" spans="1:12">
      <c r="A5079" t="s">
        <v>106</v>
      </c>
      <c r="B5079" s="10">
        <v>45360</v>
      </c>
      <c r="C5079" s="18">
        <f t="shared" si="79"/>
        <v>3</v>
      </c>
      <c r="D5079" t="s">
        <v>135</v>
      </c>
      <c r="E5079">
        <v>4874488</v>
      </c>
      <c r="F5079" t="s">
        <v>88</v>
      </c>
      <c r="G5079" t="s">
        <v>203</v>
      </c>
      <c r="H5079" t="s">
        <v>236</v>
      </c>
      <c r="I5079" s="4">
        <v>100638.28079999999</v>
      </c>
      <c r="J5079" s="4">
        <v>402553.12319999997</v>
      </c>
      <c r="L5079" s="4">
        <v>4</v>
      </c>
    </row>
    <row r="5080" spans="1:12">
      <c r="A5080" t="s">
        <v>106</v>
      </c>
      <c r="B5080" s="10">
        <v>45360</v>
      </c>
      <c r="C5080" s="18">
        <f t="shared" si="79"/>
        <v>3</v>
      </c>
      <c r="D5080" t="s">
        <v>135</v>
      </c>
      <c r="E5080">
        <v>4874488</v>
      </c>
      <c r="F5080" t="s">
        <v>88</v>
      </c>
      <c r="G5080" t="s">
        <v>203</v>
      </c>
      <c r="H5080" t="s">
        <v>228</v>
      </c>
      <c r="I5080" s="4">
        <v>100638.28079999999</v>
      </c>
      <c r="J5080" s="4">
        <v>201276.56159999999</v>
      </c>
      <c r="L5080" s="4">
        <v>2</v>
      </c>
    </row>
    <row r="5081" spans="1:12">
      <c r="A5081" t="s">
        <v>106</v>
      </c>
      <c r="B5081" s="10">
        <v>45362</v>
      </c>
      <c r="C5081" s="18">
        <f t="shared" si="79"/>
        <v>3</v>
      </c>
      <c r="D5081" t="s">
        <v>135</v>
      </c>
      <c r="E5081">
        <v>4872836</v>
      </c>
      <c r="F5081" t="s">
        <v>88</v>
      </c>
      <c r="G5081" t="s">
        <v>203</v>
      </c>
      <c r="H5081" t="s">
        <v>234</v>
      </c>
      <c r="I5081" s="4">
        <v>100638.28079999999</v>
      </c>
      <c r="J5081" s="4">
        <v>1006382.808</v>
      </c>
      <c r="L5081" s="4">
        <v>10</v>
      </c>
    </row>
    <row r="5082" spans="1:12">
      <c r="A5082" t="s">
        <v>106</v>
      </c>
      <c r="B5082" s="10">
        <v>45362</v>
      </c>
      <c r="C5082" s="18">
        <f t="shared" si="79"/>
        <v>3</v>
      </c>
      <c r="D5082" t="s">
        <v>135</v>
      </c>
      <c r="E5082">
        <v>4872836</v>
      </c>
      <c r="F5082" t="s">
        <v>88</v>
      </c>
      <c r="G5082" t="s">
        <v>203</v>
      </c>
      <c r="H5082" t="s">
        <v>230</v>
      </c>
      <c r="I5082" s="4">
        <v>100638.28079999999</v>
      </c>
      <c r="J5082" s="4">
        <v>1006382.808</v>
      </c>
      <c r="L5082" s="4">
        <v>10</v>
      </c>
    </row>
    <row r="5083" spans="1:12">
      <c r="A5083" t="s">
        <v>106</v>
      </c>
      <c r="B5083" s="10">
        <v>45362</v>
      </c>
      <c r="C5083" s="18">
        <f t="shared" si="79"/>
        <v>3</v>
      </c>
      <c r="D5083" t="s">
        <v>135</v>
      </c>
      <c r="E5083">
        <v>4872836</v>
      </c>
      <c r="F5083" t="s">
        <v>88</v>
      </c>
      <c r="G5083" t="s">
        <v>203</v>
      </c>
      <c r="H5083" t="s">
        <v>226</v>
      </c>
      <c r="I5083" s="4">
        <v>100638.28079999999</v>
      </c>
      <c r="J5083" s="4">
        <v>2012765.6159999999</v>
      </c>
      <c r="L5083" s="4">
        <v>20</v>
      </c>
    </row>
    <row r="5084" spans="1:12">
      <c r="A5084" t="s">
        <v>106</v>
      </c>
      <c r="B5084" s="10">
        <v>45371</v>
      </c>
      <c r="C5084" s="18">
        <f t="shared" si="79"/>
        <v>3</v>
      </c>
      <c r="D5084" t="s">
        <v>135</v>
      </c>
      <c r="E5084">
        <v>4872836</v>
      </c>
      <c r="F5084" t="s">
        <v>88</v>
      </c>
      <c r="G5084" t="s">
        <v>203</v>
      </c>
      <c r="H5084" t="s">
        <v>232</v>
      </c>
      <c r="I5084" s="4">
        <v>100638.28079999999</v>
      </c>
      <c r="J5084" s="4">
        <v>805106.24639999995</v>
      </c>
      <c r="L5084" s="4">
        <v>8</v>
      </c>
    </row>
    <row r="5085" spans="1:12">
      <c r="A5085" t="s">
        <v>106</v>
      </c>
      <c r="B5085" s="10">
        <v>45371</v>
      </c>
      <c r="C5085" s="18">
        <f t="shared" si="79"/>
        <v>3</v>
      </c>
      <c r="D5085" t="s">
        <v>135</v>
      </c>
      <c r="E5085">
        <v>4872836</v>
      </c>
      <c r="F5085" t="s">
        <v>88</v>
      </c>
      <c r="G5085" t="s">
        <v>203</v>
      </c>
      <c r="H5085" t="s">
        <v>226</v>
      </c>
      <c r="I5085" s="4">
        <v>100638.28079999999</v>
      </c>
      <c r="J5085" s="4">
        <v>201276.56159999999</v>
      </c>
      <c r="L5085" s="4">
        <v>2</v>
      </c>
    </row>
    <row r="5086" spans="1:12">
      <c r="A5086" t="s">
        <v>264</v>
      </c>
      <c r="B5086" s="10">
        <v>45352</v>
      </c>
      <c r="C5086" s="18">
        <f t="shared" si="79"/>
        <v>3</v>
      </c>
      <c r="D5086" t="s">
        <v>196</v>
      </c>
      <c r="E5086">
        <v>4872011</v>
      </c>
      <c r="F5086" t="s">
        <v>8</v>
      </c>
      <c r="G5086" t="s">
        <v>202</v>
      </c>
      <c r="H5086" t="s">
        <v>261</v>
      </c>
      <c r="I5086" s="4">
        <v>41587.104800000001</v>
      </c>
      <c r="J5086" s="4">
        <v>415871.04800000001</v>
      </c>
      <c r="K5086" s="4">
        <v>-20730.732</v>
      </c>
      <c r="L5086" s="4">
        <v>10</v>
      </c>
    </row>
    <row r="5087" spans="1:12">
      <c r="A5087" t="s">
        <v>264</v>
      </c>
      <c r="B5087" s="10">
        <v>45352</v>
      </c>
      <c r="C5087" s="18">
        <f t="shared" si="79"/>
        <v>3</v>
      </c>
      <c r="D5087" t="s">
        <v>196</v>
      </c>
      <c r="E5087">
        <v>4872141</v>
      </c>
      <c r="F5087" t="s">
        <v>8</v>
      </c>
      <c r="G5087" t="s">
        <v>203</v>
      </c>
      <c r="H5087" t="s">
        <v>225</v>
      </c>
      <c r="I5087" s="4">
        <v>100638.28079999999</v>
      </c>
      <c r="J5087" s="4">
        <v>1006382.808</v>
      </c>
      <c r="K5087" s="4">
        <v>-45230.688000000002</v>
      </c>
      <c r="L5087" s="4">
        <v>10</v>
      </c>
    </row>
    <row r="5088" spans="1:12">
      <c r="A5088" t="s">
        <v>264</v>
      </c>
      <c r="B5088" s="10">
        <v>45352</v>
      </c>
      <c r="C5088" s="18">
        <f t="shared" si="79"/>
        <v>3</v>
      </c>
      <c r="D5088" t="s">
        <v>196</v>
      </c>
      <c r="E5088">
        <v>4872141</v>
      </c>
      <c r="F5088" t="s">
        <v>8</v>
      </c>
      <c r="G5088" t="s">
        <v>203</v>
      </c>
      <c r="H5088" t="s">
        <v>239</v>
      </c>
      <c r="I5088" s="4">
        <v>125766.4408</v>
      </c>
      <c r="J5088" s="4">
        <v>2515328.8160000001</v>
      </c>
      <c r="K5088" s="4">
        <v>-116845.944</v>
      </c>
      <c r="L5088" s="4">
        <v>20</v>
      </c>
    </row>
    <row r="5089" spans="1:12">
      <c r="A5089" t="s">
        <v>264</v>
      </c>
      <c r="B5089" s="10">
        <v>45352</v>
      </c>
      <c r="C5089" s="18">
        <f t="shared" si="79"/>
        <v>3</v>
      </c>
      <c r="D5089" t="s">
        <v>196</v>
      </c>
      <c r="E5089">
        <v>4872141</v>
      </c>
      <c r="F5089" t="s">
        <v>8</v>
      </c>
      <c r="G5089" t="s">
        <v>203</v>
      </c>
      <c r="H5089" t="s">
        <v>231</v>
      </c>
      <c r="I5089" s="4">
        <v>125766.4408</v>
      </c>
      <c r="J5089" s="4">
        <v>1383430.8488</v>
      </c>
      <c r="K5089" s="4">
        <v>-64265.269200000002</v>
      </c>
      <c r="L5089" s="4">
        <v>11</v>
      </c>
    </row>
    <row r="5090" spans="1:12">
      <c r="A5090" t="s">
        <v>264</v>
      </c>
      <c r="B5090" s="10">
        <v>45352</v>
      </c>
      <c r="C5090" s="18">
        <f t="shared" si="79"/>
        <v>3</v>
      </c>
      <c r="D5090" t="s">
        <v>196</v>
      </c>
      <c r="E5090">
        <v>4872141</v>
      </c>
      <c r="F5090" t="s">
        <v>8</v>
      </c>
      <c r="G5090" t="s">
        <v>203</v>
      </c>
      <c r="H5090" t="s">
        <v>229</v>
      </c>
      <c r="I5090" s="4">
        <v>125766.4408</v>
      </c>
      <c r="J5090" s="4">
        <v>3144161.02</v>
      </c>
      <c r="K5090" s="4">
        <v>-146057.43</v>
      </c>
      <c r="L5090" s="4">
        <v>25</v>
      </c>
    </row>
    <row r="5091" spans="1:12">
      <c r="A5091" t="s">
        <v>264</v>
      </c>
      <c r="B5091" s="10">
        <v>45353</v>
      </c>
      <c r="C5091" s="18">
        <f t="shared" si="79"/>
        <v>3</v>
      </c>
      <c r="D5091" t="s">
        <v>196</v>
      </c>
      <c r="E5091">
        <v>4873615</v>
      </c>
      <c r="F5091" t="s">
        <v>8</v>
      </c>
      <c r="G5091" t="s">
        <v>203</v>
      </c>
      <c r="H5091" t="s">
        <v>222</v>
      </c>
      <c r="I5091" s="4">
        <v>100638.28079999999</v>
      </c>
      <c r="J5091" s="4">
        <v>1207659.3695999999</v>
      </c>
      <c r="K5091" s="4">
        <v>-54276.825600000004</v>
      </c>
      <c r="L5091" s="4">
        <v>12</v>
      </c>
    </row>
    <row r="5092" spans="1:12">
      <c r="A5092" t="s">
        <v>264</v>
      </c>
      <c r="B5092" s="10">
        <v>45353</v>
      </c>
      <c r="C5092" s="18">
        <f t="shared" si="79"/>
        <v>3</v>
      </c>
      <c r="D5092" t="s">
        <v>196</v>
      </c>
      <c r="E5092">
        <v>4873121</v>
      </c>
      <c r="F5092" t="s">
        <v>8</v>
      </c>
      <c r="G5092" t="s">
        <v>205</v>
      </c>
      <c r="H5092" t="s">
        <v>211</v>
      </c>
      <c r="I5092" s="4">
        <v>5151.2727999999997</v>
      </c>
      <c r="J5092" s="4">
        <v>1030254.5599999999</v>
      </c>
      <c r="K5092" s="4">
        <v>-50256.32</v>
      </c>
      <c r="L5092" s="4">
        <v>200</v>
      </c>
    </row>
    <row r="5093" spans="1:12">
      <c r="A5093" t="s">
        <v>264</v>
      </c>
      <c r="B5093" s="10">
        <v>45353</v>
      </c>
      <c r="C5093" s="18">
        <f t="shared" si="79"/>
        <v>3</v>
      </c>
      <c r="D5093" t="s">
        <v>196</v>
      </c>
      <c r="E5093">
        <v>4876759</v>
      </c>
      <c r="F5093" t="s">
        <v>8</v>
      </c>
      <c r="G5093" t="s">
        <v>203</v>
      </c>
      <c r="H5093" t="s">
        <v>240</v>
      </c>
      <c r="I5093" s="4">
        <v>100638.28079999999</v>
      </c>
      <c r="J5093" s="4">
        <v>603829.68479999993</v>
      </c>
      <c r="K5093" s="4">
        <v>-27138.412800000002</v>
      </c>
      <c r="L5093" s="4">
        <v>6</v>
      </c>
    </row>
    <row r="5094" spans="1:12">
      <c r="A5094" t="s">
        <v>264</v>
      </c>
      <c r="B5094" s="10">
        <v>45353</v>
      </c>
      <c r="C5094" s="18">
        <f t="shared" si="79"/>
        <v>3</v>
      </c>
      <c r="D5094" t="s">
        <v>196</v>
      </c>
      <c r="E5094">
        <v>4876759</v>
      </c>
      <c r="F5094" t="s">
        <v>8</v>
      </c>
      <c r="G5094" t="s">
        <v>203</v>
      </c>
      <c r="H5094" t="s">
        <v>238</v>
      </c>
      <c r="I5094" s="4">
        <v>95606.36675999999</v>
      </c>
      <c r="J5094" s="4">
        <v>573638.20055999991</v>
      </c>
      <c r="K5094" s="4">
        <v>-27138.412800000002</v>
      </c>
      <c r="L5094" s="4">
        <v>6</v>
      </c>
    </row>
    <row r="5095" spans="1:12">
      <c r="A5095" t="s">
        <v>264</v>
      </c>
      <c r="B5095" s="10">
        <v>45353</v>
      </c>
      <c r="C5095" s="18">
        <f t="shared" si="79"/>
        <v>3</v>
      </c>
      <c r="D5095" t="s">
        <v>196</v>
      </c>
      <c r="E5095">
        <v>4876759</v>
      </c>
      <c r="F5095" t="s">
        <v>8</v>
      </c>
      <c r="G5095" t="s">
        <v>203</v>
      </c>
      <c r="H5095" t="s">
        <v>234</v>
      </c>
      <c r="I5095" s="4">
        <v>100638.28079999999</v>
      </c>
      <c r="J5095" s="4">
        <v>603829.68479999993</v>
      </c>
      <c r="K5095" s="4">
        <v>-27138.412800000002</v>
      </c>
      <c r="L5095" s="4">
        <v>6</v>
      </c>
    </row>
    <row r="5096" spans="1:12">
      <c r="A5096" t="s">
        <v>264</v>
      </c>
      <c r="B5096" s="10">
        <v>45353</v>
      </c>
      <c r="C5096" s="18">
        <f t="shared" si="79"/>
        <v>3</v>
      </c>
      <c r="D5096" t="s">
        <v>196</v>
      </c>
      <c r="E5096">
        <v>4876759</v>
      </c>
      <c r="F5096" t="s">
        <v>8</v>
      </c>
      <c r="G5096" t="s">
        <v>203</v>
      </c>
      <c r="H5096" t="s">
        <v>232</v>
      </c>
      <c r="I5096" s="4">
        <v>100638.28079999999</v>
      </c>
      <c r="J5096" s="4">
        <v>603829.68479999993</v>
      </c>
      <c r="K5096" s="4">
        <v>-27138.412800000002</v>
      </c>
      <c r="L5096" s="4">
        <v>6</v>
      </c>
    </row>
    <row r="5097" spans="1:12">
      <c r="A5097" t="s">
        <v>264</v>
      </c>
      <c r="B5097" s="10">
        <v>45353</v>
      </c>
      <c r="C5097" s="18">
        <f t="shared" si="79"/>
        <v>3</v>
      </c>
      <c r="D5097" t="s">
        <v>196</v>
      </c>
      <c r="E5097">
        <v>4875779</v>
      </c>
      <c r="F5097" t="s">
        <v>8</v>
      </c>
      <c r="G5097" t="s">
        <v>204</v>
      </c>
      <c r="H5097" t="s">
        <v>215</v>
      </c>
      <c r="I5097" s="4">
        <v>75510.12079999999</v>
      </c>
      <c r="J5097" s="4">
        <v>302040.48319999996</v>
      </c>
      <c r="K5097" s="4">
        <v>-15076.895999999999</v>
      </c>
      <c r="L5097" s="4">
        <v>4</v>
      </c>
    </row>
    <row r="5098" spans="1:12">
      <c r="A5098" t="s">
        <v>264</v>
      </c>
      <c r="B5098" s="10">
        <v>45353</v>
      </c>
      <c r="C5098" s="18">
        <f t="shared" si="79"/>
        <v>3</v>
      </c>
      <c r="D5098" t="s">
        <v>196</v>
      </c>
      <c r="E5098">
        <v>4875779</v>
      </c>
      <c r="F5098" t="s">
        <v>8</v>
      </c>
      <c r="G5098" t="s">
        <v>204</v>
      </c>
      <c r="H5098" t="s">
        <v>214</v>
      </c>
      <c r="I5098" s="4">
        <v>119484.4008</v>
      </c>
      <c r="J5098" s="4">
        <v>477937.60320000001</v>
      </c>
      <c r="K5098" s="4">
        <v>-23871.752</v>
      </c>
      <c r="L5098" s="4">
        <v>4</v>
      </c>
    </row>
    <row r="5099" spans="1:12">
      <c r="A5099" t="s">
        <v>264</v>
      </c>
      <c r="B5099" s="10">
        <v>45353</v>
      </c>
      <c r="C5099" s="18">
        <f t="shared" si="79"/>
        <v>3</v>
      </c>
      <c r="D5099" t="s">
        <v>196</v>
      </c>
      <c r="E5099">
        <v>4872205</v>
      </c>
      <c r="F5099" t="s">
        <v>8</v>
      </c>
      <c r="G5099" t="s">
        <v>203</v>
      </c>
      <c r="H5099" t="s">
        <v>245</v>
      </c>
      <c r="I5099" s="4">
        <v>100638.28079999999</v>
      </c>
      <c r="J5099" s="4">
        <v>1006382.808</v>
      </c>
      <c r="K5099" s="4">
        <v>-45230.688000000002</v>
      </c>
      <c r="L5099" s="4">
        <v>10</v>
      </c>
    </row>
    <row r="5100" spans="1:12">
      <c r="A5100" t="s">
        <v>264</v>
      </c>
      <c r="B5100" s="10">
        <v>45353</v>
      </c>
      <c r="C5100" s="18">
        <f t="shared" si="79"/>
        <v>3</v>
      </c>
      <c r="D5100" t="s">
        <v>196</v>
      </c>
      <c r="E5100">
        <v>4872205</v>
      </c>
      <c r="F5100" t="s">
        <v>8</v>
      </c>
      <c r="G5100" t="s">
        <v>203</v>
      </c>
      <c r="H5100" t="s">
        <v>238</v>
      </c>
      <c r="I5100" s="4">
        <v>95606.36675999999</v>
      </c>
      <c r="J5100" s="4">
        <v>1912127.3351999999</v>
      </c>
      <c r="K5100" s="4">
        <v>-90461.376000000004</v>
      </c>
      <c r="L5100" s="4">
        <v>20</v>
      </c>
    </row>
    <row r="5101" spans="1:12">
      <c r="A5101" t="s">
        <v>264</v>
      </c>
      <c r="B5101" s="10">
        <v>45353</v>
      </c>
      <c r="C5101" s="18">
        <f t="shared" si="79"/>
        <v>3</v>
      </c>
      <c r="D5101" t="s">
        <v>196</v>
      </c>
      <c r="E5101">
        <v>4872205</v>
      </c>
      <c r="F5101" t="s">
        <v>8</v>
      </c>
      <c r="G5101" t="s">
        <v>203</v>
      </c>
      <c r="H5101" t="s">
        <v>232</v>
      </c>
      <c r="I5101" s="4">
        <v>100638.28079999999</v>
      </c>
      <c r="J5101" s="4">
        <v>1006382.808</v>
      </c>
      <c r="K5101" s="4">
        <v>-45230.688000000002</v>
      </c>
      <c r="L5101" s="4">
        <v>10</v>
      </c>
    </row>
    <row r="5102" spans="1:12">
      <c r="A5102" t="s">
        <v>264</v>
      </c>
      <c r="B5102" s="10">
        <v>45353</v>
      </c>
      <c r="C5102" s="18">
        <f t="shared" si="79"/>
        <v>3</v>
      </c>
      <c r="D5102" t="s">
        <v>196</v>
      </c>
      <c r="E5102">
        <v>4872205</v>
      </c>
      <c r="F5102" t="s">
        <v>8</v>
      </c>
      <c r="G5102" t="s">
        <v>203</v>
      </c>
      <c r="H5102" t="s">
        <v>227</v>
      </c>
      <c r="I5102" s="4">
        <v>100638.28079999999</v>
      </c>
      <c r="J5102" s="4">
        <v>1006382.808</v>
      </c>
      <c r="K5102" s="4">
        <v>-45230.688000000002</v>
      </c>
      <c r="L5102" s="4">
        <v>10</v>
      </c>
    </row>
    <row r="5103" spans="1:12">
      <c r="A5103" t="s">
        <v>264</v>
      </c>
      <c r="B5103" s="10">
        <v>45353</v>
      </c>
      <c r="C5103" s="18">
        <f t="shared" si="79"/>
        <v>3</v>
      </c>
      <c r="D5103" t="s">
        <v>196</v>
      </c>
      <c r="E5103">
        <v>4872205</v>
      </c>
      <c r="F5103" t="s">
        <v>8</v>
      </c>
      <c r="G5103" t="s">
        <v>203</v>
      </c>
      <c r="H5103" t="s">
        <v>226</v>
      </c>
      <c r="I5103" s="4">
        <v>100638.28079999999</v>
      </c>
      <c r="J5103" s="4">
        <v>2012765.6159999999</v>
      </c>
      <c r="K5103" s="4">
        <v>-90461.376000000004</v>
      </c>
      <c r="L5103" s="4">
        <v>20</v>
      </c>
    </row>
    <row r="5104" spans="1:12">
      <c r="A5104" t="s">
        <v>264</v>
      </c>
      <c r="B5104" s="10">
        <v>45353</v>
      </c>
      <c r="C5104" s="18">
        <f t="shared" si="79"/>
        <v>3</v>
      </c>
      <c r="D5104" t="s">
        <v>196</v>
      </c>
      <c r="E5104">
        <v>4872205</v>
      </c>
      <c r="F5104" t="s">
        <v>8</v>
      </c>
      <c r="G5104" t="s">
        <v>203</v>
      </c>
      <c r="H5104" t="s">
        <v>222</v>
      </c>
      <c r="I5104" s="4">
        <v>100638.28079999999</v>
      </c>
      <c r="J5104" s="4">
        <v>2012765.6159999999</v>
      </c>
      <c r="K5104" s="4">
        <v>-90461.376000000004</v>
      </c>
      <c r="L5104" s="4">
        <v>20</v>
      </c>
    </row>
    <row r="5105" spans="1:12">
      <c r="A5105" t="s">
        <v>264</v>
      </c>
      <c r="B5105" s="10">
        <v>45354</v>
      </c>
      <c r="C5105" s="18">
        <f t="shared" si="79"/>
        <v>3</v>
      </c>
      <c r="D5105" t="s">
        <v>196</v>
      </c>
      <c r="E5105">
        <v>4872158</v>
      </c>
      <c r="F5105" t="s">
        <v>8</v>
      </c>
      <c r="G5105" t="s">
        <v>203</v>
      </c>
      <c r="H5105" t="s">
        <v>245</v>
      </c>
      <c r="I5105" s="4">
        <v>100638.28079999999</v>
      </c>
      <c r="J5105" s="4">
        <v>1006382.808</v>
      </c>
      <c r="K5105" s="4">
        <v>-45230.688000000002</v>
      </c>
      <c r="L5105" s="4">
        <v>10</v>
      </c>
    </row>
    <row r="5106" spans="1:12">
      <c r="A5106" t="s">
        <v>264</v>
      </c>
      <c r="B5106" s="10">
        <v>45354</v>
      </c>
      <c r="C5106" s="18">
        <f t="shared" si="79"/>
        <v>3</v>
      </c>
      <c r="D5106" t="s">
        <v>196</v>
      </c>
      <c r="E5106">
        <v>4872158</v>
      </c>
      <c r="F5106" t="s">
        <v>8</v>
      </c>
      <c r="G5106" t="s">
        <v>203</v>
      </c>
      <c r="H5106" t="s">
        <v>243</v>
      </c>
      <c r="I5106" s="4">
        <v>100638.28079999999</v>
      </c>
      <c r="J5106" s="4">
        <v>402553.12319999997</v>
      </c>
      <c r="K5106" s="4">
        <v>-18092.2752</v>
      </c>
      <c r="L5106" s="4">
        <v>4</v>
      </c>
    </row>
    <row r="5107" spans="1:12">
      <c r="A5107" t="s">
        <v>264</v>
      </c>
      <c r="B5107" s="10">
        <v>45354</v>
      </c>
      <c r="C5107" s="18">
        <f t="shared" si="79"/>
        <v>3</v>
      </c>
      <c r="D5107" t="s">
        <v>196</v>
      </c>
      <c r="E5107">
        <v>4872158</v>
      </c>
      <c r="F5107" t="s">
        <v>8</v>
      </c>
      <c r="G5107" t="s">
        <v>203</v>
      </c>
      <c r="H5107" t="s">
        <v>242</v>
      </c>
      <c r="I5107" s="4">
        <v>100638.28079999999</v>
      </c>
      <c r="J5107" s="4">
        <v>1006382.808</v>
      </c>
      <c r="K5107" s="4">
        <v>-45230.688000000002</v>
      </c>
      <c r="L5107" s="4">
        <v>10</v>
      </c>
    </row>
    <row r="5108" spans="1:12">
      <c r="A5108" t="s">
        <v>264</v>
      </c>
      <c r="B5108" s="10">
        <v>45354</v>
      </c>
      <c r="C5108" s="18">
        <f t="shared" si="79"/>
        <v>3</v>
      </c>
      <c r="D5108" t="s">
        <v>196</v>
      </c>
      <c r="E5108">
        <v>4872158</v>
      </c>
      <c r="F5108" t="s">
        <v>8</v>
      </c>
      <c r="G5108" t="s">
        <v>203</v>
      </c>
      <c r="H5108" t="s">
        <v>240</v>
      </c>
      <c r="I5108" s="4">
        <v>100638.28079999999</v>
      </c>
      <c r="J5108" s="4">
        <v>1006382.808</v>
      </c>
      <c r="K5108" s="4">
        <v>-45230.688000000002</v>
      </c>
      <c r="L5108" s="4">
        <v>10</v>
      </c>
    </row>
    <row r="5109" spans="1:12">
      <c r="A5109" t="s">
        <v>264</v>
      </c>
      <c r="B5109" s="10">
        <v>45354</v>
      </c>
      <c r="C5109" s="18">
        <f t="shared" si="79"/>
        <v>3</v>
      </c>
      <c r="D5109" t="s">
        <v>196</v>
      </c>
      <c r="E5109">
        <v>4872158</v>
      </c>
      <c r="F5109" t="s">
        <v>8</v>
      </c>
      <c r="G5109" t="s">
        <v>203</v>
      </c>
      <c r="H5109" t="s">
        <v>238</v>
      </c>
      <c r="I5109" s="4">
        <v>95606.36675999999</v>
      </c>
      <c r="J5109" s="4">
        <v>956063.66759999993</v>
      </c>
      <c r="K5109" s="4">
        <v>-45230.688000000002</v>
      </c>
      <c r="L5109" s="4">
        <v>10</v>
      </c>
    </row>
    <row r="5110" spans="1:12">
      <c r="A5110" t="s">
        <v>264</v>
      </c>
      <c r="B5110" s="10">
        <v>45354</v>
      </c>
      <c r="C5110" s="18">
        <f t="shared" si="79"/>
        <v>3</v>
      </c>
      <c r="D5110" t="s">
        <v>196</v>
      </c>
      <c r="E5110">
        <v>4872158</v>
      </c>
      <c r="F5110" t="s">
        <v>8</v>
      </c>
      <c r="G5110" t="s">
        <v>203</v>
      </c>
      <c r="H5110" t="s">
        <v>236</v>
      </c>
      <c r="I5110" s="4">
        <v>100638.28079999999</v>
      </c>
      <c r="J5110" s="4">
        <v>402553.12319999997</v>
      </c>
      <c r="K5110" s="4">
        <v>-18092.2752</v>
      </c>
      <c r="L5110" s="4">
        <v>4</v>
      </c>
    </row>
    <row r="5111" spans="1:12">
      <c r="A5111" t="s">
        <v>264</v>
      </c>
      <c r="B5111" s="10">
        <v>45354</v>
      </c>
      <c r="C5111" s="18">
        <f t="shared" si="79"/>
        <v>3</v>
      </c>
      <c r="D5111" t="s">
        <v>196</v>
      </c>
      <c r="E5111">
        <v>4872158</v>
      </c>
      <c r="F5111" t="s">
        <v>8</v>
      </c>
      <c r="G5111" t="s">
        <v>203</v>
      </c>
      <c r="H5111" t="s">
        <v>234</v>
      </c>
      <c r="I5111" s="4">
        <v>100638.28079999999</v>
      </c>
      <c r="J5111" s="4">
        <v>1006382.808</v>
      </c>
      <c r="K5111" s="4">
        <v>-45230.688000000002</v>
      </c>
      <c r="L5111" s="4">
        <v>10</v>
      </c>
    </row>
    <row r="5112" spans="1:12">
      <c r="A5112" t="s">
        <v>264</v>
      </c>
      <c r="B5112" s="10">
        <v>45354</v>
      </c>
      <c r="C5112" s="18">
        <f t="shared" si="79"/>
        <v>3</v>
      </c>
      <c r="D5112" t="s">
        <v>196</v>
      </c>
      <c r="E5112">
        <v>4872158</v>
      </c>
      <c r="F5112" t="s">
        <v>8</v>
      </c>
      <c r="G5112" t="s">
        <v>203</v>
      </c>
      <c r="H5112" t="s">
        <v>230</v>
      </c>
      <c r="I5112" s="4">
        <v>100638.28079999999</v>
      </c>
      <c r="J5112" s="4">
        <v>1006382.808</v>
      </c>
      <c r="K5112" s="4">
        <v>-45230.688000000002</v>
      </c>
      <c r="L5112" s="4">
        <v>10</v>
      </c>
    </row>
    <row r="5113" spans="1:12">
      <c r="A5113" t="s">
        <v>264</v>
      </c>
      <c r="B5113" s="10">
        <v>45354</v>
      </c>
      <c r="C5113" s="18">
        <f t="shared" si="79"/>
        <v>3</v>
      </c>
      <c r="D5113" t="s">
        <v>196</v>
      </c>
      <c r="E5113">
        <v>4872158</v>
      </c>
      <c r="F5113" t="s">
        <v>8</v>
      </c>
      <c r="G5113" t="s">
        <v>203</v>
      </c>
      <c r="H5113" t="s">
        <v>227</v>
      </c>
      <c r="I5113" s="4">
        <v>100638.28079999999</v>
      </c>
      <c r="J5113" s="4">
        <v>1006382.808</v>
      </c>
      <c r="K5113" s="4">
        <v>-45230.688000000002</v>
      </c>
      <c r="L5113" s="4">
        <v>10</v>
      </c>
    </row>
    <row r="5114" spans="1:12">
      <c r="A5114" t="s">
        <v>264</v>
      </c>
      <c r="B5114" s="10">
        <v>45354</v>
      </c>
      <c r="C5114" s="18">
        <f t="shared" si="79"/>
        <v>3</v>
      </c>
      <c r="D5114" t="s">
        <v>196</v>
      </c>
      <c r="E5114">
        <v>4872158</v>
      </c>
      <c r="F5114" t="s">
        <v>8</v>
      </c>
      <c r="G5114" t="s">
        <v>203</v>
      </c>
      <c r="H5114" t="s">
        <v>226</v>
      </c>
      <c r="I5114" s="4">
        <v>100638.28079999999</v>
      </c>
      <c r="J5114" s="4">
        <v>1006382.808</v>
      </c>
      <c r="K5114" s="4">
        <v>-45230.688000000002</v>
      </c>
      <c r="L5114" s="4">
        <v>10</v>
      </c>
    </row>
    <row r="5115" spans="1:12">
      <c r="A5115" t="s">
        <v>264</v>
      </c>
      <c r="B5115" s="10">
        <v>45354</v>
      </c>
      <c r="C5115" s="18">
        <f t="shared" si="79"/>
        <v>3</v>
      </c>
      <c r="D5115" t="s">
        <v>196</v>
      </c>
      <c r="E5115">
        <v>4872158</v>
      </c>
      <c r="F5115" t="s">
        <v>8</v>
      </c>
      <c r="G5115" t="s">
        <v>203</v>
      </c>
      <c r="H5115" t="s">
        <v>225</v>
      </c>
      <c r="I5115" s="4">
        <v>100638.28079999999</v>
      </c>
      <c r="J5115" s="4">
        <v>1006382.808</v>
      </c>
      <c r="K5115" s="4">
        <v>-45230.688000000002</v>
      </c>
      <c r="L5115" s="4">
        <v>10</v>
      </c>
    </row>
    <row r="5116" spans="1:12">
      <c r="A5116" t="s">
        <v>264</v>
      </c>
      <c r="B5116" s="10">
        <v>45354</v>
      </c>
      <c r="C5116" s="18">
        <f t="shared" si="79"/>
        <v>3</v>
      </c>
      <c r="D5116" t="s">
        <v>196</v>
      </c>
      <c r="E5116">
        <v>4872158</v>
      </c>
      <c r="F5116" t="s">
        <v>8</v>
      </c>
      <c r="G5116" t="s">
        <v>203</v>
      </c>
      <c r="H5116" t="s">
        <v>224</v>
      </c>
      <c r="I5116" s="4">
        <v>100638.28079999999</v>
      </c>
      <c r="J5116" s="4">
        <v>1006382.808</v>
      </c>
      <c r="K5116" s="4">
        <v>-45230.688000000002</v>
      </c>
      <c r="L5116" s="4">
        <v>10</v>
      </c>
    </row>
    <row r="5117" spans="1:12">
      <c r="A5117" t="s">
        <v>264</v>
      </c>
      <c r="B5117" s="10">
        <v>45354</v>
      </c>
      <c r="C5117" s="18">
        <f t="shared" si="79"/>
        <v>3</v>
      </c>
      <c r="D5117" t="s">
        <v>196</v>
      </c>
      <c r="E5117">
        <v>4872158</v>
      </c>
      <c r="F5117" t="s">
        <v>8</v>
      </c>
      <c r="G5117" t="s">
        <v>203</v>
      </c>
      <c r="H5117" t="s">
        <v>223</v>
      </c>
      <c r="I5117" s="4">
        <v>100638.28079999999</v>
      </c>
      <c r="J5117" s="4">
        <v>1006382.808</v>
      </c>
      <c r="K5117" s="4">
        <v>-45230.688000000002</v>
      </c>
      <c r="L5117" s="4">
        <v>10</v>
      </c>
    </row>
    <row r="5118" spans="1:12">
      <c r="A5118" t="s">
        <v>264</v>
      </c>
      <c r="B5118" s="10">
        <v>45354</v>
      </c>
      <c r="C5118" s="18">
        <f t="shared" si="79"/>
        <v>3</v>
      </c>
      <c r="D5118" t="s">
        <v>196</v>
      </c>
      <c r="E5118">
        <v>4872158</v>
      </c>
      <c r="F5118" t="s">
        <v>8</v>
      </c>
      <c r="G5118" t="s">
        <v>203</v>
      </c>
      <c r="H5118" t="s">
        <v>222</v>
      </c>
      <c r="I5118" s="4">
        <v>100638.28079999999</v>
      </c>
      <c r="J5118" s="4">
        <v>1006382.808</v>
      </c>
      <c r="K5118" s="4">
        <v>-45230.688000000002</v>
      </c>
      <c r="L5118" s="4">
        <v>10</v>
      </c>
    </row>
    <row r="5119" spans="1:12">
      <c r="A5119" t="s">
        <v>264</v>
      </c>
      <c r="B5119" s="10">
        <v>45354</v>
      </c>
      <c r="C5119" s="18">
        <f t="shared" si="79"/>
        <v>3</v>
      </c>
      <c r="D5119" t="s">
        <v>196</v>
      </c>
      <c r="E5119">
        <v>4872158</v>
      </c>
      <c r="F5119" t="s">
        <v>8</v>
      </c>
      <c r="G5119" t="s">
        <v>204</v>
      </c>
      <c r="H5119" t="s">
        <v>216</v>
      </c>
      <c r="I5119" s="4">
        <v>113202.36079999999</v>
      </c>
      <c r="J5119" s="4">
        <v>3396070.824</v>
      </c>
      <c r="K5119" s="4">
        <v>-169615.08</v>
      </c>
      <c r="L5119" s="4">
        <v>30</v>
      </c>
    </row>
    <row r="5120" spans="1:12">
      <c r="A5120" t="s">
        <v>264</v>
      </c>
      <c r="B5120" s="10">
        <v>45354</v>
      </c>
      <c r="C5120" s="18">
        <f t="shared" si="79"/>
        <v>3</v>
      </c>
      <c r="D5120" t="s">
        <v>196</v>
      </c>
      <c r="E5120">
        <v>4872158</v>
      </c>
      <c r="F5120" t="s">
        <v>8</v>
      </c>
      <c r="G5120" t="s">
        <v>204</v>
      </c>
      <c r="H5120" t="s">
        <v>221</v>
      </c>
      <c r="I5120" s="4">
        <v>25253.800799999997</v>
      </c>
      <c r="J5120" s="4">
        <v>505076.01599999995</v>
      </c>
      <c r="K5120" s="4">
        <v>-25128.16</v>
      </c>
      <c r="L5120" s="4">
        <v>20</v>
      </c>
    </row>
    <row r="5121" spans="1:12">
      <c r="A5121" t="s">
        <v>264</v>
      </c>
      <c r="B5121" s="10">
        <v>45354</v>
      </c>
      <c r="C5121" s="18">
        <f t="shared" si="79"/>
        <v>3</v>
      </c>
      <c r="D5121" t="s">
        <v>196</v>
      </c>
      <c r="E5121">
        <v>4872158</v>
      </c>
      <c r="F5121" t="s">
        <v>8</v>
      </c>
      <c r="G5121" t="s">
        <v>204</v>
      </c>
      <c r="H5121" t="s">
        <v>220</v>
      </c>
      <c r="I5121" s="4">
        <v>37817.880799999999</v>
      </c>
      <c r="J5121" s="4">
        <v>756357.61599999992</v>
      </c>
      <c r="K5121" s="4">
        <v>-37692.239999999998</v>
      </c>
      <c r="L5121" s="4">
        <v>20</v>
      </c>
    </row>
    <row r="5122" spans="1:12">
      <c r="A5122" t="s">
        <v>264</v>
      </c>
      <c r="B5122" s="10">
        <v>45354</v>
      </c>
      <c r="C5122" s="18">
        <f t="shared" ref="C5122:C5185" si="80">MONTH(B5122)</f>
        <v>3</v>
      </c>
      <c r="D5122" t="s">
        <v>196</v>
      </c>
      <c r="E5122">
        <v>4872158</v>
      </c>
      <c r="F5122" t="s">
        <v>8</v>
      </c>
      <c r="G5122" t="s">
        <v>204</v>
      </c>
      <c r="H5122" t="s">
        <v>212</v>
      </c>
      <c r="I5122" s="4">
        <v>62946.040799999995</v>
      </c>
      <c r="J5122" s="4">
        <v>1258920.8159999999</v>
      </c>
      <c r="K5122" s="4">
        <v>-37692.239999999998</v>
      </c>
      <c r="L5122" s="4">
        <v>20</v>
      </c>
    </row>
    <row r="5123" spans="1:12">
      <c r="A5123" t="s">
        <v>264</v>
      </c>
      <c r="B5123" s="10">
        <v>45354</v>
      </c>
      <c r="C5123" s="18">
        <f t="shared" si="80"/>
        <v>3</v>
      </c>
      <c r="D5123" t="s">
        <v>196</v>
      </c>
      <c r="E5123">
        <v>4872189</v>
      </c>
      <c r="F5123" t="s">
        <v>8</v>
      </c>
      <c r="G5123" t="s">
        <v>203</v>
      </c>
      <c r="H5123" t="s">
        <v>234</v>
      </c>
      <c r="I5123" s="4">
        <v>100638.28079999999</v>
      </c>
      <c r="J5123" s="4">
        <v>1006382.808</v>
      </c>
      <c r="K5123" s="4">
        <v>-45230.688000000002</v>
      </c>
      <c r="L5123" s="4">
        <v>10</v>
      </c>
    </row>
    <row r="5124" spans="1:12">
      <c r="A5124" t="s">
        <v>264</v>
      </c>
      <c r="B5124" s="10">
        <v>45354</v>
      </c>
      <c r="C5124" s="18">
        <f t="shared" si="80"/>
        <v>3</v>
      </c>
      <c r="D5124" t="s">
        <v>196</v>
      </c>
      <c r="E5124">
        <v>4872189</v>
      </c>
      <c r="F5124" t="s">
        <v>8</v>
      </c>
      <c r="G5124" t="s">
        <v>203</v>
      </c>
      <c r="H5124" t="s">
        <v>232</v>
      </c>
      <c r="I5124" s="4">
        <v>100638.28079999999</v>
      </c>
      <c r="J5124" s="4">
        <v>1006382.808</v>
      </c>
      <c r="K5124" s="4">
        <v>-45230.688000000002</v>
      </c>
      <c r="L5124" s="4">
        <v>10</v>
      </c>
    </row>
    <row r="5125" spans="1:12">
      <c r="A5125" t="s">
        <v>264</v>
      </c>
      <c r="B5125" s="10">
        <v>45354</v>
      </c>
      <c r="C5125" s="18">
        <f t="shared" si="80"/>
        <v>3</v>
      </c>
      <c r="D5125" t="s">
        <v>196</v>
      </c>
      <c r="E5125">
        <v>4872189</v>
      </c>
      <c r="F5125" t="s">
        <v>8</v>
      </c>
      <c r="G5125" t="s">
        <v>203</v>
      </c>
      <c r="H5125" t="s">
        <v>224</v>
      </c>
      <c r="I5125" s="4">
        <v>100638.28079999999</v>
      </c>
      <c r="J5125" s="4">
        <v>1006382.808</v>
      </c>
      <c r="K5125" s="4">
        <v>-45230.688000000002</v>
      </c>
      <c r="L5125" s="4">
        <v>10</v>
      </c>
    </row>
    <row r="5126" spans="1:12">
      <c r="A5126" t="s">
        <v>264</v>
      </c>
      <c r="B5126" s="10">
        <v>45354</v>
      </c>
      <c r="C5126" s="18">
        <f t="shared" si="80"/>
        <v>3</v>
      </c>
      <c r="D5126" t="s">
        <v>196</v>
      </c>
      <c r="E5126">
        <v>4872189</v>
      </c>
      <c r="F5126" t="s">
        <v>8</v>
      </c>
      <c r="G5126" t="s">
        <v>203</v>
      </c>
      <c r="H5126" t="s">
        <v>223</v>
      </c>
      <c r="I5126" s="4">
        <v>100638.28079999999</v>
      </c>
      <c r="J5126" s="4">
        <v>1006382.808</v>
      </c>
      <c r="K5126" s="4">
        <v>-45230.688000000002</v>
      </c>
      <c r="L5126" s="4">
        <v>10</v>
      </c>
    </row>
    <row r="5127" spans="1:12">
      <c r="A5127" t="s">
        <v>264</v>
      </c>
      <c r="B5127" s="10">
        <v>45354</v>
      </c>
      <c r="C5127" s="18">
        <f t="shared" si="80"/>
        <v>3</v>
      </c>
      <c r="D5127" t="s">
        <v>196</v>
      </c>
      <c r="E5127">
        <v>4872189</v>
      </c>
      <c r="F5127" t="s">
        <v>8</v>
      </c>
      <c r="G5127" t="s">
        <v>203</v>
      </c>
      <c r="H5127" t="s">
        <v>222</v>
      </c>
      <c r="I5127" s="4">
        <v>100638.28079999999</v>
      </c>
      <c r="J5127" s="4">
        <v>1006382.808</v>
      </c>
      <c r="K5127" s="4">
        <v>-45230.688000000002</v>
      </c>
      <c r="L5127" s="4">
        <v>10</v>
      </c>
    </row>
    <row r="5128" spans="1:12">
      <c r="A5128" t="s">
        <v>264</v>
      </c>
      <c r="B5128" s="10">
        <v>45354</v>
      </c>
      <c r="C5128" s="18">
        <f t="shared" si="80"/>
        <v>3</v>
      </c>
      <c r="D5128" t="s">
        <v>196</v>
      </c>
      <c r="E5128">
        <v>4872189</v>
      </c>
      <c r="F5128" t="s">
        <v>8</v>
      </c>
      <c r="G5128" t="s">
        <v>203</v>
      </c>
      <c r="H5128" t="s">
        <v>239</v>
      </c>
      <c r="I5128" s="4">
        <v>125766.4408</v>
      </c>
      <c r="J5128" s="4">
        <v>1257664.4080000001</v>
      </c>
      <c r="K5128" s="4">
        <v>-58422.972000000002</v>
      </c>
      <c r="L5128" s="4">
        <v>10</v>
      </c>
    </row>
    <row r="5129" spans="1:12">
      <c r="A5129" t="s">
        <v>264</v>
      </c>
      <c r="B5129" s="10">
        <v>45354</v>
      </c>
      <c r="C5129" s="18">
        <f t="shared" si="80"/>
        <v>3</v>
      </c>
      <c r="D5129" t="s">
        <v>196</v>
      </c>
      <c r="E5129">
        <v>4872189</v>
      </c>
      <c r="F5129" t="s">
        <v>8</v>
      </c>
      <c r="G5129" t="s">
        <v>203</v>
      </c>
      <c r="H5129" t="s">
        <v>237</v>
      </c>
      <c r="I5129" s="4">
        <v>125766.4408</v>
      </c>
      <c r="J5129" s="4">
        <v>1257664.4080000001</v>
      </c>
      <c r="K5129" s="4">
        <v>-58422.972000000002</v>
      </c>
      <c r="L5129" s="4">
        <v>10</v>
      </c>
    </row>
    <row r="5130" spans="1:12">
      <c r="A5130" t="s">
        <v>264</v>
      </c>
      <c r="B5130" s="10">
        <v>45354</v>
      </c>
      <c r="C5130" s="18">
        <f t="shared" si="80"/>
        <v>3</v>
      </c>
      <c r="D5130" t="s">
        <v>196</v>
      </c>
      <c r="E5130">
        <v>4872189</v>
      </c>
      <c r="F5130" t="s">
        <v>8</v>
      </c>
      <c r="G5130" t="s">
        <v>203</v>
      </c>
      <c r="H5130" t="s">
        <v>235</v>
      </c>
      <c r="I5130" s="4">
        <v>125766.4408</v>
      </c>
      <c r="J5130" s="4">
        <v>1257664.4080000001</v>
      </c>
      <c r="K5130" s="4">
        <v>-58422.972000000002</v>
      </c>
      <c r="L5130" s="4">
        <v>10</v>
      </c>
    </row>
    <row r="5131" spans="1:12">
      <c r="A5131" t="s">
        <v>264</v>
      </c>
      <c r="B5131" s="10">
        <v>45354</v>
      </c>
      <c r="C5131" s="18">
        <f t="shared" si="80"/>
        <v>3</v>
      </c>
      <c r="D5131" t="s">
        <v>196</v>
      </c>
      <c r="E5131">
        <v>4879214</v>
      </c>
      <c r="F5131" t="s">
        <v>8</v>
      </c>
      <c r="G5131" t="s">
        <v>204</v>
      </c>
      <c r="H5131" t="s">
        <v>218</v>
      </c>
      <c r="I5131" s="4">
        <v>71740.896800000002</v>
      </c>
      <c r="J5131" s="4">
        <v>71740.896800000002</v>
      </c>
      <c r="K5131" s="4">
        <v>-3580.7627999999995</v>
      </c>
      <c r="L5131" s="4">
        <v>1</v>
      </c>
    </row>
    <row r="5132" spans="1:12">
      <c r="A5132" t="s">
        <v>264</v>
      </c>
      <c r="B5132" s="10">
        <v>45354</v>
      </c>
      <c r="C5132" s="18">
        <f t="shared" si="80"/>
        <v>3</v>
      </c>
      <c r="D5132" t="s">
        <v>196</v>
      </c>
      <c r="E5132">
        <v>4879214</v>
      </c>
      <c r="F5132" t="s">
        <v>8</v>
      </c>
      <c r="G5132" t="s">
        <v>204</v>
      </c>
      <c r="H5132" t="s">
        <v>216</v>
      </c>
      <c r="I5132" s="4">
        <v>113202.36079999999</v>
      </c>
      <c r="J5132" s="4">
        <v>113202.36079999999</v>
      </c>
      <c r="K5132" s="4">
        <v>-5653.8360000000002</v>
      </c>
      <c r="L5132" s="4">
        <v>1</v>
      </c>
    </row>
    <row r="5133" spans="1:12">
      <c r="A5133" t="s">
        <v>264</v>
      </c>
      <c r="B5133" s="10">
        <v>45354</v>
      </c>
      <c r="C5133" s="18">
        <f t="shared" si="80"/>
        <v>3</v>
      </c>
      <c r="D5133" t="s">
        <v>196</v>
      </c>
      <c r="E5133">
        <v>4879214</v>
      </c>
      <c r="F5133" t="s">
        <v>8</v>
      </c>
      <c r="G5133" t="s">
        <v>204</v>
      </c>
      <c r="H5133" t="s">
        <v>215</v>
      </c>
      <c r="I5133" s="4">
        <v>75510.12079999999</v>
      </c>
      <c r="J5133" s="4">
        <v>75510.12079999999</v>
      </c>
      <c r="K5133" s="4">
        <v>-3769.2239999999997</v>
      </c>
      <c r="L5133" s="4">
        <v>1</v>
      </c>
    </row>
    <row r="5134" spans="1:12">
      <c r="A5134" t="s">
        <v>264</v>
      </c>
      <c r="B5134" s="10">
        <v>45354</v>
      </c>
      <c r="C5134" s="18">
        <f t="shared" si="80"/>
        <v>3</v>
      </c>
      <c r="D5134" t="s">
        <v>196</v>
      </c>
      <c r="E5134">
        <v>4879214</v>
      </c>
      <c r="F5134" t="s">
        <v>8</v>
      </c>
      <c r="G5134" t="s">
        <v>204</v>
      </c>
      <c r="H5134" t="s">
        <v>214</v>
      </c>
      <c r="I5134" s="4">
        <v>119484.4008</v>
      </c>
      <c r="J5134" s="4">
        <v>119484.4008</v>
      </c>
      <c r="K5134" s="4">
        <v>-5967.9380000000001</v>
      </c>
      <c r="L5134" s="4">
        <v>1</v>
      </c>
    </row>
    <row r="5135" spans="1:12">
      <c r="A5135" t="s">
        <v>264</v>
      </c>
      <c r="B5135" s="10">
        <v>45354</v>
      </c>
      <c r="C5135" s="18">
        <f t="shared" si="80"/>
        <v>3</v>
      </c>
      <c r="D5135" t="s">
        <v>196</v>
      </c>
      <c r="E5135">
        <v>4879214</v>
      </c>
      <c r="F5135" t="s">
        <v>8</v>
      </c>
      <c r="G5135" t="s">
        <v>204</v>
      </c>
      <c r="H5135" t="s">
        <v>213</v>
      </c>
      <c r="I5135" s="4">
        <v>119484.4008</v>
      </c>
      <c r="J5135" s="4">
        <v>119484.4008</v>
      </c>
      <c r="K5135" s="4">
        <v>-5967.9380000000001</v>
      </c>
      <c r="L5135" s="4">
        <v>1</v>
      </c>
    </row>
    <row r="5136" spans="1:12">
      <c r="A5136" t="s">
        <v>264</v>
      </c>
      <c r="B5136" s="10">
        <v>45354</v>
      </c>
      <c r="C5136" s="18">
        <f t="shared" si="80"/>
        <v>3</v>
      </c>
      <c r="D5136" t="s">
        <v>196</v>
      </c>
      <c r="E5136">
        <v>4879214</v>
      </c>
      <c r="F5136" t="s">
        <v>8</v>
      </c>
      <c r="G5136" t="s">
        <v>204</v>
      </c>
      <c r="H5136" t="s">
        <v>212</v>
      </c>
      <c r="I5136" s="4">
        <v>62946.040799999995</v>
      </c>
      <c r="J5136" s="4">
        <v>251784.16319999998</v>
      </c>
      <c r="K5136" s="4">
        <v>-7538.4479999999994</v>
      </c>
      <c r="L5136" s="4">
        <v>4</v>
      </c>
    </row>
    <row r="5137" spans="1:12">
      <c r="A5137" t="s">
        <v>264</v>
      </c>
      <c r="B5137" s="10">
        <v>45354</v>
      </c>
      <c r="C5137" s="18">
        <f t="shared" si="80"/>
        <v>3</v>
      </c>
      <c r="D5137" t="s">
        <v>196</v>
      </c>
      <c r="E5137">
        <v>4879214</v>
      </c>
      <c r="F5137" t="s">
        <v>8</v>
      </c>
      <c r="G5137" t="s">
        <v>202</v>
      </c>
      <c r="H5137" t="s">
        <v>261</v>
      </c>
      <c r="I5137" s="4">
        <v>41587.104800000001</v>
      </c>
      <c r="J5137" s="4">
        <v>582219.46720000007</v>
      </c>
      <c r="K5137" s="4">
        <v>-29023.024799999999</v>
      </c>
      <c r="L5137" s="4">
        <v>14</v>
      </c>
    </row>
    <row r="5138" spans="1:12">
      <c r="A5138" t="s">
        <v>264</v>
      </c>
      <c r="B5138" s="10">
        <v>45354</v>
      </c>
      <c r="C5138" s="18">
        <f t="shared" si="80"/>
        <v>3</v>
      </c>
      <c r="D5138" t="s">
        <v>196</v>
      </c>
      <c r="E5138">
        <v>4875440</v>
      </c>
      <c r="F5138" t="s">
        <v>8</v>
      </c>
      <c r="G5138" t="s">
        <v>202</v>
      </c>
      <c r="H5138" t="s">
        <v>258</v>
      </c>
      <c r="I5138" s="4">
        <v>37817.880799999999</v>
      </c>
      <c r="J5138" s="4">
        <v>113453.6424</v>
      </c>
      <c r="K5138" s="4">
        <v>-5653.8360000000002</v>
      </c>
      <c r="L5138" s="4">
        <v>3</v>
      </c>
    </row>
    <row r="5139" spans="1:12">
      <c r="A5139" t="s">
        <v>264</v>
      </c>
      <c r="B5139" s="10">
        <v>45354</v>
      </c>
      <c r="C5139" s="18">
        <f t="shared" si="80"/>
        <v>3</v>
      </c>
      <c r="D5139" t="s">
        <v>196</v>
      </c>
      <c r="E5139">
        <v>4875440</v>
      </c>
      <c r="F5139" t="s">
        <v>8</v>
      </c>
      <c r="G5139" t="s">
        <v>202</v>
      </c>
      <c r="H5139" t="s">
        <v>253</v>
      </c>
      <c r="I5139" s="4">
        <v>46669.275160000005</v>
      </c>
      <c r="J5139" s="4">
        <v>140007.82548</v>
      </c>
      <c r="K5139" s="4">
        <v>-7349.9867999999997</v>
      </c>
      <c r="L5139" s="4">
        <v>3</v>
      </c>
    </row>
    <row r="5140" spans="1:12">
      <c r="A5140" t="s">
        <v>264</v>
      </c>
      <c r="B5140" s="10">
        <v>45354</v>
      </c>
      <c r="C5140" s="18">
        <f t="shared" si="80"/>
        <v>3</v>
      </c>
      <c r="D5140" t="s">
        <v>196</v>
      </c>
      <c r="E5140">
        <v>4875440</v>
      </c>
      <c r="F5140" t="s">
        <v>8</v>
      </c>
      <c r="G5140" t="s">
        <v>205</v>
      </c>
      <c r="H5140" t="s">
        <v>246</v>
      </c>
      <c r="I5140" s="4">
        <v>5967.9380000000001</v>
      </c>
      <c r="J5140" s="4">
        <v>-47743.504000000001</v>
      </c>
      <c r="K5140" s="4">
        <v>2512.8160000000003</v>
      </c>
      <c r="L5140" s="4">
        <v>-8</v>
      </c>
    </row>
    <row r="5141" spans="1:12">
      <c r="A5141" t="s">
        <v>264</v>
      </c>
      <c r="B5141" s="10">
        <v>45354</v>
      </c>
      <c r="C5141" s="18">
        <f t="shared" si="80"/>
        <v>3</v>
      </c>
      <c r="D5141" t="s">
        <v>196</v>
      </c>
      <c r="E5141">
        <v>4873723</v>
      </c>
      <c r="F5141" t="s">
        <v>8</v>
      </c>
      <c r="G5141" t="s">
        <v>204</v>
      </c>
      <c r="H5141" t="s">
        <v>219</v>
      </c>
      <c r="I5141" s="4">
        <v>44099.9208</v>
      </c>
      <c r="J5141" s="4">
        <v>44099.9208</v>
      </c>
      <c r="K5141" s="4">
        <v>-1884.6119999999999</v>
      </c>
      <c r="L5141" s="4">
        <v>1</v>
      </c>
    </row>
    <row r="5142" spans="1:12">
      <c r="A5142" t="s">
        <v>264</v>
      </c>
      <c r="B5142" s="10">
        <v>45354</v>
      </c>
      <c r="C5142" s="18">
        <f t="shared" si="80"/>
        <v>3</v>
      </c>
      <c r="D5142" t="s">
        <v>196</v>
      </c>
      <c r="E5142">
        <v>4873723</v>
      </c>
      <c r="F5142" t="s">
        <v>8</v>
      </c>
      <c r="G5142" t="s">
        <v>204</v>
      </c>
      <c r="H5142" t="s">
        <v>218</v>
      </c>
      <c r="I5142" s="4">
        <v>71740.896800000002</v>
      </c>
      <c r="J5142" s="4">
        <v>71740.896800000002</v>
      </c>
      <c r="K5142" s="4">
        <v>-3580.7627999999995</v>
      </c>
      <c r="L5142" s="4">
        <v>1</v>
      </c>
    </row>
    <row r="5143" spans="1:12">
      <c r="A5143" t="s">
        <v>264</v>
      </c>
      <c r="B5143" s="10">
        <v>45354</v>
      </c>
      <c r="C5143" s="18">
        <f t="shared" si="80"/>
        <v>3</v>
      </c>
      <c r="D5143" t="s">
        <v>196</v>
      </c>
      <c r="E5143">
        <v>4873723</v>
      </c>
      <c r="F5143" t="s">
        <v>8</v>
      </c>
      <c r="G5143" t="s">
        <v>204</v>
      </c>
      <c r="H5143" t="s">
        <v>215</v>
      </c>
      <c r="I5143" s="4">
        <v>75510.12079999999</v>
      </c>
      <c r="J5143" s="4">
        <v>75510.12079999999</v>
      </c>
      <c r="K5143" s="4">
        <v>-3769.2239999999997</v>
      </c>
      <c r="L5143" s="4">
        <v>1</v>
      </c>
    </row>
    <row r="5144" spans="1:12">
      <c r="A5144" t="s">
        <v>264</v>
      </c>
      <c r="B5144" s="10">
        <v>45354</v>
      </c>
      <c r="C5144" s="18">
        <f t="shared" si="80"/>
        <v>3</v>
      </c>
      <c r="D5144" t="s">
        <v>196</v>
      </c>
      <c r="E5144">
        <v>4873723</v>
      </c>
      <c r="F5144" t="s">
        <v>8</v>
      </c>
      <c r="G5144" t="s">
        <v>204</v>
      </c>
      <c r="H5144" t="s">
        <v>214</v>
      </c>
      <c r="I5144" s="4">
        <v>119484.4008</v>
      </c>
      <c r="J5144" s="4">
        <v>119484.4008</v>
      </c>
      <c r="K5144" s="4">
        <v>-5967.9380000000001</v>
      </c>
      <c r="L5144" s="4">
        <v>1</v>
      </c>
    </row>
    <row r="5145" spans="1:12">
      <c r="A5145" t="s">
        <v>264</v>
      </c>
      <c r="B5145" s="10">
        <v>45354</v>
      </c>
      <c r="C5145" s="18">
        <f t="shared" si="80"/>
        <v>3</v>
      </c>
      <c r="D5145" t="s">
        <v>196</v>
      </c>
      <c r="E5145">
        <v>4872592</v>
      </c>
      <c r="F5145" t="s">
        <v>8</v>
      </c>
      <c r="G5145" t="s">
        <v>203</v>
      </c>
      <c r="H5145" t="s">
        <v>240</v>
      </c>
      <c r="I5145" s="4">
        <v>100638.28079999999</v>
      </c>
      <c r="J5145" s="4">
        <v>2012765.6159999999</v>
      </c>
      <c r="K5145" s="4">
        <v>-90461.376000000004</v>
      </c>
      <c r="L5145" s="4">
        <v>20</v>
      </c>
    </row>
    <row r="5146" spans="1:12">
      <c r="A5146" t="s">
        <v>264</v>
      </c>
      <c r="B5146" s="10">
        <v>45354</v>
      </c>
      <c r="C5146" s="18">
        <f t="shared" si="80"/>
        <v>3</v>
      </c>
      <c r="D5146" t="s">
        <v>196</v>
      </c>
      <c r="E5146">
        <v>4872592</v>
      </c>
      <c r="F5146" t="s">
        <v>8</v>
      </c>
      <c r="G5146" t="s">
        <v>203</v>
      </c>
      <c r="H5146" t="s">
        <v>224</v>
      </c>
      <c r="I5146" s="4">
        <v>100638.28079999999</v>
      </c>
      <c r="J5146" s="4">
        <v>2012765.6159999999</v>
      </c>
      <c r="K5146" s="4">
        <v>-90461.376000000004</v>
      </c>
      <c r="L5146" s="4">
        <v>20</v>
      </c>
    </row>
    <row r="5147" spans="1:12">
      <c r="A5147" t="s">
        <v>264</v>
      </c>
      <c r="B5147" s="10">
        <v>45354</v>
      </c>
      <c r="C5147" s="18">
        <f t="shared" si="80"/>
        <v>3</v>
      </c>
      <c r="D5147" t="s">
        <v>196</v>
      </c>
      <c r="E5147">
        <v>4872592</v>
      </c>
      <c r="F5147" t="s">
        <v>8</v>
      </c>
      <c r="G5147" t="s">
        <v>203</v>
      </c>
      <c r="H5147" t="s">
        <v>237</v>
      </c>
      <c r="I5147" s="4">
        <v>125766.4408</v>
      </c>
      <c r="J5147" s="4">
        <v>2515328.8160000001</v>
      </c>
      <c r="K5147" s="4">
        <v>-116845.944</v>
      </c>
      <c r="L5147" s="4">
        <v>20</v>
      </c>
    </row>
    <row r="5148" spans="1:12">
      <c r="A5148" t="s">
        <v>264</v>
      </c>
      <c r="B5148" s="10">
        <v>45355</v>
      </c>
      <c r="C5148" s="18">
        <f t="shared" si="80"/>
        <v>3</v>
      </c>
      <c r="D5148" t="s">
        <v>196</v>
      </c>
      <c r="E5148">
        <v>4872058</v>
      </c>
      <c r="F5148" t="s">
        <v>8</v>
      </c>
      <c r="G5148" t="s">
        <v>203</v>
      </c>
      <c r="H5148" t="s">
        <v>242</v>
      </c>
      <c r="I5148" s="4">
        <v>100638.28079999999</v>
      </c>
      <c r="J5148" s="4">
        <v>1006382.808</v>
      </c>
      <c r="K5148" s="4">
        <v>-45230.688000000002</v>
      </c>
      <c r="L5148" s="4">
        <v>10</v>
      </c>
    </row>
    <row r="5149" spans="1:12">
      <c r="A5149" t="s">
        <v>264</v>
      </c>
      <c r="B5149" s="10">
        <v>45355</v>
      </c>
      <c r="C5149" s="18">
        <f t="shared" si="80"/>
        <v>3</v>
      </c>
      <c r="D5149" t="s">
        <v>196</v>
      </c>
      <c r="E5149">
        <v>4872058</v>
      </c>
      <c r="F5149" t="s">
        <v>8</v>
      </c>
      <c r="G5149" t="s">
        <v>203</v>
      </c>
      <c r="H5149" t="s">
        <v>240</v>
      </c>
      <c r="I5149" s="4">
        <v>100638.28079999999</v>
      </c>
      <c r="J5149" s="4">
        <v>1006382.808</v>
      </c>
      <c r="K5149" s="4">
        <v>-45230.688000000002</v>
      </c>
      <c r="L5149" s="4">
        <v>10</v>
      </c>
    </row>
    <row r="5150" spans="1:12">
      <c r="A5150" t="s">
        <v>264</v>
      </c>
      <c r="B5150" s="10">
        <v>45355</v>
      </c>
      <c r="C5150" s="18">
        <f t="shared" si="80"/>
        <v>3</v>
      </c>
      <c r="D5150" t="s">
        <v>196</v>
      </c>
      <c r="E5150">
        <v>4872058</v>
      </c>
      <c r="F5150" t="s">
        <v>8</v>
      </c>
      <c r="G5150" t="s">
        <v>203</v>
      </c>
      <c r="H5150" t="s">
        <v>227</v>
      </c>
      <c r="I5150" s="4">
        <v>100638.28079999999</v>
      </c>
      <c r="J5150" s="4">
        <v>1006382.808</v>
      </c>
      <c r="K5150" s="4">
        <v>-45230.688000000002</v>
      </c>
      <c r="L5150" s="4">
        <v>10</v>
      </c>
    </row>
    <row r="5151" spans="1:12">
      <c r="A5151" t="s">
        <v>264</v>
      </c>
      <c r="B5151" s="10">
        <v>45355</v>
      </c>
      <c r="C5151" s="18">
        <f t="shared" si="80"/>
        <v>3</v>
      </c>
      <c r="D5151" t="s">
        <v>196</v>
      </c>
      <c r="E5151">
        <v>4872058</v>
      </c>
      <c r="F5151" t="s">
        <v>8</v>
      </c>
      <c r="G5151" t="s">
        <v>203</v>
      </c>
      <c r="H5151" t="s">
        <v>241</v>
      </c>
      <c r="I5151" s="4">
        <v>125766.4408</v>
      </c>
      <c r="J5151" s="4">
        <v>1257664.4080000001</v>
      </c>
      <c r="K5151" s="4">
        <v>-58422.972000000002</v>
      </c>
      <c r="L5151" s="4">
        <v>10</v>
      </c>
    </row>
    <row r="5152" spans="1:12">
      <c r="A5152" t="s">
        <v>264</v>
      </c>
      <c r="B5152" s="10">
        <v>45355</v>
      </c>
      <c r="C5152" s="18">
        <f t="shared" si="80"/>
        <v>3</v>
      </c>
      <c r="D5152" t="s">
        <v>196</v>
      </c>
      <c r="E5152">
        <v>4872058</v>
      </c>
      <c r="F5152" t="s">
        <v>8</v>
      </c>
      <c r="G5152" t="s">
        <v>203</v>
      </c>
      <c r="H5152" t="s">
        <v>239</v>
      </c>
      <c r="I5152" s="4">
        <v>125766.4408</v>
      </c>
      <c r="J5152" s="4">
        <v>251532.88159999999</v>
      </c>
      <c r="K5152" s="4">
        <v>-11684.5944</v>
      </c>
      <c r="L5152" s="4">
        <v>2</v>
      </c>
    </row>
    <row r="5153" spans="1:12">
      <c r="A5153" t="s">
        <v>264</v>
      </c>
      <c r="B5153" s="10">
        <v>45355</v>
      </c>
      <c r="C5153" s="18">
        <f t="shared" si="80"/>
        <v>3</v>
      </c>
      <c r="D5153" t="s">
        <v>196</v>
      </c>
      <c r="E5153">
        <v>4879074</v>
      </c>
      <c r="F5153" t="s">
        <v>8</v>
      </c>
      <c r="G5153" t="s">
        <v>203</v>
      </c>
      <c r="H5153" t="s">
        <v>227</v>
      </c>
      <c r="I5153" s="4">
        <v>100638.28079999999</v>
      </c>
      <c r="J5153" s="4">
        <v>603829.68479999993</v>
      </c>
      <c r="K5153" s="4">
        <v>-27138.412800000002</v>
      </c>
      <c r="L5153" s="4">
        <v>6</v>
      </c>
    </row>
    <row r="5154" spans="1:12">
      <c r="A5154" t="s">
        <v>264</v>
      </c>
      <c r="B5154" s="10">
        <v>45355</v>
      </c>
      <c r="C5154" s="18">
        <f t="shared" si="80"/>
        <v>3</v>
      </c>
      <c r="D5154" t="s">
        <v>196</v>
      </c>
      <c r="E5154">
        <v>4879074</v>
      </c>
      <c r="F5154" t="s">
        <v>8</v>
      </c>
      <c r="G5154" t="s">
        <v>203</v>
      </c>
      <c r="H5154" t="s">
        <v>233</v>
      </c>
      <c r="I5154" s="4">
        <v>120735.78316800001</v>
      </c>
      <c r="J5154" s="4">
        <v>603678.91584000003</v>
      </c>
      <c r="K5154" s="4">
        <v>-29211.486000000001</v>
      </c>
      <c r="L5154" s="4">
        <v>5</v>
      </c>
    </row>
    <row r="5155" spans="1:12">
      <c r="A5155" t="s">
        <v>264</v>
      </c>
      <c r="B5155" s="10">
        <v>45355</v>
      </c>
      <c r="C5155" s="18">
        <f t="shared" si="80"/>
        <v>3</v>
      </c>
      <c r="D5155" t="s">
        <v>196</v>
      </c>
      <c r="E5155">
        <v>4878658</v>
      </c>
      <c r="F5155" t="s">
        <v>8</v>
      </c>
      <c r="G5155" t="s">
        <v>203</v>
      </c>
      <c r="H5155" t="s">
        <v>245</v>
      </c>
      <c r="I5155" s="4">
        <v>100638.28079999999</v>
      </c>
      <c r="J5155" s="4">
        <v>402553.12319999997</v>
      </c>
      <c r="K5155" s="4">
        <v>-18092.2752</v>
      </c>
      <c r="L5155" s="4">
        <v>4</v>
      </c>
    </row>
    <row r="5156" spans="1:12">
      <c r="A5156" t="s">
        <v>264</v>
      </c>
      <c r="B5156" s="10">
        <v>45355</v>
      </c>
      <c r="C5156" s="18">
        <f t="shared" si="80"/>
        <v>3</v>
      </c>
      <c r="D5156" t="s">
        <v>196</v>
      </c>
      <c r="E5156">
        <v>4878658</v>
      </c>
      <c r="F5156" t="s">
        <v>8</v>
      </c>
      <c r="G5156" t="s">
        <v>203</v>
      </c>
      <c r="H5156" t="s">
        <v>243</v>
      </c>
      <c r="I5156" s="4">
        <v>100638.28079999999</v>
      </c>
      <c r="J5156" s="4">
        <v>402553.12319999997</v>
      </c>
      <c r="K5156" s="4">
        <v>-18092.2752</v>
      </c>
      <c r="L5156" s="4">
        <v>4</v>
      </c>
    </row>
    <row r="5157" spans="1:12">
      <c r="A5157" t="s">
        <v>264</v>
      </c>
      <c r="B5157" s="10">
        <v>45355</v>
      </c>
      <c r="C5157" s="18">
        <f t="shared" si="80"/>
        <v>3</v>
      </c>
      <c r="D5157" t="s">
        <v>196</v>
      </c>
      <c r="E5157">
        <v>4878658</v>
      </c>
      <c r="F5157" t="s">
        <v>8</v>
      </c>
      <c r="G5157" t="s">
        <v>203</v>
      </c>
      <c r="H5157" t="s">
        <v>242</v>
      </c>
      <c r="I5157" s="4">
        <v>100638.28079999999</v>
      </c>
      <c r="J5157" s="4">
        <v>402553.12319999997</v>
      </c>
      <c r="K5157" s="4">
        <v>-18092.2752</v>
      </c>
      <c r="L5157" s="4">
        <v>4</v>
      </c>
    </row>
    <row r="5158" spans="1:12">
      <c r="A5158" t="s">
        <v>264</v>
      </c>
      <c r="B5158" s="10">
        <v>45355</v>
      </c>
      <c r="C5158" s="18">
        <f t="shared" si="80"/>
        <v>3</v>
      </c>
      <c r="D5158" t="s">
        <v>196</v>
      </c>
      <c r="E5158">
        <v>4878658</v>
      </c>
      <c r="F5158" t="s">
        <v>8</v>
      </c>
      <c r="G5158" t="s">
        <v>203</v>
      </c>
      <c r="H5158" t="s">
        <v>240</v>
      </c>
      <c r="I5158" s="4">
        <v>100638.28079999999</v>
      </c>
      <c r="J5158" s="4">
        <v>402553.12319999997</v>
      </c>
      <c r="K5158" s="4">
        <v>-18092.2752</v>
      </c>
      <c r="L5158" s="4">
        <v>4</v>
      </c>
    </row>
    <row r="5159" spans="1:12">
      <c r="A5159" t="s">
        <v>264</v>
      </c>
      <c r="B5159" s="10">
        <v>45355</v>
      </c>
      <c r="C5159" s="18">
        <f t="shared" si="80"/>
        <v>3</v>
      </c>
      <c r="D5159" t="s">
        <v>196</v>
      </c>
      <c r="E5159">
        <v>4878658</v>
      </c>
      <c r="F5159" t="s">
        <v>8</v>
      </c>
      <c r="G5159" t="s">
        <v>203</v>
      </c>
      <c r="H5159" t="s">
        <v>238</v>
      </c>
      <c r="I5159" s="4">
        <v>95606.36675999999</v>
      </c>
      <c r="J5159" s="4">
        <v>382425.46703999996</v>
      </c>
      <c r="K5159" s="4">
        <v>-18092.2752</v>
      </c>
      <c r="L5159" s="4">
        <v>4</v>
      </c>
    </row>
    <row r="5160" spans="1:12">
      <c r="A5160" t="s">
        <v>264</v>
      </c>
      <c r="B5160" s="10">
        <v>45355</v>
      </c>
      <c r="C5160" s="18">
        <f t="shared" si="80"/>
        <v>3</v>
      </c>
      <c r="D5160" t="s">
        <v>196</v>
      </c>
      <c r="E5160">
        <v>4878658</v>
      </c>
      <c r="F5160" t="s">
        <v>8</v>
      </c>
      <c r="G5160" t="s">
        <v>203</v>
      </c>
      <c r="H5160" t="s">
        <v>236</v>
      </c>
      <c r="I5160" s="4">
        <v>100638.28079999999</v>
      </c>
      <c r="J5160" s="4">
        <v>402553.12319999997</v>
      </c>
      <c r="K5160" s="4">
        <v>-18092.2752</v>
      </c>
      <c r="L5160" s="4">
        <v>4</v>
      </c>
    </row>
    <row r="5161" spans="1:12">
      <c r="A5161" t="s">
        <v>264</v>
      </c>
      <c r="B5161" s="10">
        <v>45355</v>
      </c>
      <c r="C5161" s="18">
        <f t="shared" si="80"/>
        <v>3</v>
      </c>
      <c r="D5161" t="s">
        <v>196</v>
      </c>
      <c r="E5161">
        <v>4878658</v>
      </c>
      <c r="F5161" t="s">
        <v>8</v>
      </c>
      <c r="G5161" t="s">
        <v>203</v>
      </c>
      <c r="H5161" t="s">
        <v>234</v>
      </c>
      <c r="I5161" s="4">
        <v>100638.28079999999</v>
      </c>
      <c r="J5161" s="4">
        <v>402553.12319999997</v>
      </c>
      <c r="K5161" s="4">
        <v>-18092.2752</v>
      </c>
      <c r="L5161" s="4">
        <v>4</v>
      </c>
    </row>
    <row r="5162" spans="1:12">
      <c r="A5162" t="s">
        <v>264</v>
      </c>
      <c r="B5162" s="10">
        <v>45355</v>
      </c>
      <c r="C5162" s="18">
        <f t="shared" si="80"/>
        <v>3</v>
      </c>
      <c r="D5162" t="s">
        <v>196</v>
      </c>
      <c r="E5162">
        <v>4878658</v>
      </c>
      <c r="F5162" t="s">
        <v>8</v>
      </c>
      <c r="G5162" t="s">
        <v>203</v>
      </c>
      <c r="H5162" t="s">
        <v>232</v>
      </c>
      <c r="I5162" s="4">
        <v>100638.28079999999</v>
      </c>
      <c r="J5162" s="4">
        <v>402553.12319999997</v>
      </c>
      <c r="K5162" s="4">
        <v>-18092.2752</v>
      </c>
      <c r="L5162" s="4">
        <v>4</v>
      </c>
    </row>
    <row r="5163" spans="1:12">
      <c r="A5163" t="s">
        <v>264</v>
      </c>
      <c r="B5163" s="10">
        <v>45355</v>
      </c>
      <c r="C5163" s="18">
        <f t="shared" si="80"/>
        <v>3</v>
      </c>
      <c r="D5163" t="s">
        <v>196</v>
      </c>
      <c r="E5163">
        <v>4878658</v>
      </c>
      <c r="F5163" t="s">
        <v>8</v>
      </c>
      <c r="G5163" t="s">
        <v>203</v>
      </c>
      <c r="H5163" t="s">
        <v>230</v>
      </c>
      <c r="I5163" s="4">
        <v>100638.28079999999</v>
      </c>
      <c r="J5163" s="4">
        <v>402553.12319999997</v>
      </c>
      <c r="K5163" s="4">
        <v>-18092.2752</v>
      </c>
      <c r="L5163" s="4">
        <v>4</v>
      </c>
    </row>
    <row r="5164" spans="1:12">
      <c r="A5164" t="s">
        <v>264</v>
      </c>
      <c r="B5164" s="10">
        <v>45355</v>
      </c>
      <c r="C5164" s="18">
        <f t="shared" si="80"/>
        <v>3</v>
      </c>
      <c r="D5164" t="s">
        <v>196</v>
      </c>
      <c r="E5164">
        <v>4878658</v>
      </c>
      <c r="F5164" t="s">
        <v>8</v>
      </c>
      <c r="G5164" t="s">
        <v>203</v>
      </c>
      <c r="H5164" t="s">
        <v>228</v>
      </c>
      <c r="I5164" s="4">
        <v>100638.28079999999</v>
      </c>
      <c r="J5164" s="4">
        <v>402553.12319999997</v>
      </c>
      <c r="K5164" s="4">
        <v>-18092.2752</v>
      </c>
      <c r="L5164" s="4">
        <v>4</v>
      </c>
    </row>
    <row r="5165" spans="1:12">
      <c r="A5165" t="s">
        <v>264</v>
      </c>
      <c r="B5165" s="10">
        <v>45355</v>
      </c>
      <c r="C5165" s="18">
        <f t="shared" si="80"/>
        <v>3</v>
      </c>
      <c r="D5165" t="s">
        <v>196</v>
      </c>
      <c r="E5165">
        <v>4878658</v>
      </c>
      <c r="F5165" t="s">
        <v>8</v>
      </c>
      <c r="G5165" t="s">
        <v>203</v>
      </c>
      <c r="H5165" t="s">
        <v>244</v>
      </c>
      <c r="I5165" s="4">
        <v>125766.4408</v>
      </c>
      <c r="J5165" s="4">
        <v>251532.88159999999</v>
      </c>
      <c r="K5165" s="4">
        <v>-11684.5944</v>
      </c>
      <c r="L5165" s="4">
        <v>2</v>
      </c>
    </row>
    <row r="5166" spans="1:12">
      <c r="A5166" t="s">
        <v>264</v>
      </c>
      <c r="B5166" s="10">
        <v>45355</v>
      </c>
      <c r="C5166" s="18">
        <f t="shared" si="80"/>
        <v>3</v>
      </c>
      <c r="D5166" t="s">
        <v>196</v>
      </c>
      <c r="E5166">
        <v>4878658</v>
      </c>
      <c r="F5166" t="s">
        <v>8</v>
      </c>
      <c r="G5166" t="s">
        <v>203</v>
      </c>
      <c r="H5166" t="s">
        <v>241</v>
      </c>
      <c r="I5166" s="4">
        <v>125766.4408</v>
      </c>
      <c r="J5166" s="4">
        <v>251532.88159999999</v>
      </c>
      <c r="K5166" s="4">
        <v>-11684.5944</v>
      </c>
      <c r="L5166" s="4">
        <v>2</v>
      </c>
    </row>
    <row r="5167" spans="1:12">
      <c r="A5167" t="s">
        <v>264</v>
      </c>
      <c r="B5167" s="10">
        <v>45355</v>
      </c>
      <c r="C5167" s="18">
        <f t="shared" si="80"/>
        <v>3</v>
      </c>
      <c r="D5167" t="s">
        <v>196</v>
      </c>
      <c r="E5167">
        <v>4878658</v>
      </c>
      <c r="F5167" t="s">
        <v>8</v>
      </c>
      <c r="G5167" t="s">
        <v>203</v>
      </c>
      <c r="H5167" t="s">
        <v>239</v>
      </c>
      <c r="I5167" s="4">
        <v>125766.4408</v>
      </c>
      <c r="J5167" s="4">
        <v>251532.88159999999</v>
      </c>
      <c r="K5167" s="4">
        <v>-11684.5944</v>
      </c>
      <c r="L5167" s="4">
        <v>2</v>
      </c>
    </row>
    <row r="5168" spans="1:12">
      <c r="A5168" t="s">
        <v>264</v>
      </c>
      <c r="B5168" s="10">
        <v>45355</v>
      </c>
      <c r="C5168" s="18">
        <f t="shared" si="80"/>
        <v>3</v>
      </c>
      <c r="D5168" t="s">
        <v>196</v>
      </c>
      <c r="E5168">
        <v>4878658</v>
      </c>
      <c r="F5168" t="s">
        <v>8</v>
      </c>
      <c r="G5168" t="s">
        <v>203</v>
      </c>
      <c r="H5168" t="s">
        <v>237</v>
      </c>
      <c r="I5168" s="4">
        <v>125766.4408</v>
      </c>
      <c r="J5168" s="4">
        <v>251532.88159999999</v>
      </c>
      <c r="K5168" s="4">
        <v>-11684.5944</v>
      </c>
      <c r="L5168" s="4">
        <v>2</v>
      </c>
    </row>
    <row r="5169" spans="1:12">
      <c r="A5169" t="s">
        <v>264</v>
      </c>
      <c r="B5169" s="10">
        <v>45355</v>
      </c>
      <c r="C5169" s="18">
        <f t="shared" si="80"/>
        <v>3</v>
      </c>
      <c r="D5169" t="s">
        <v>196</v>
      </c>
      <c r="E5169">
        <v>4878658</v>
      </c>
      <c r="F5169" t="s">
        <v>8</v>
      </c>
      <c r="G5169" t="s">
        <v>203</v>
      </c>
      <c r="H5169" t="s">
        <v>235</v>
      </c>
      <c r="I5169" s="4">
        <v>125766.4408</v>
      </c>
      <c r="J5169" s="4">
        <v>251532.88159999999</v>
      </c>
      <c r="K5169" s="4">
        <v>-11684.5944</v>
      </c>
      <c r="L5169" s="4">
        <v>2</v>
      </c>
    </row>
    <row r="5170" spans="1:12">
      <c r="A5170" t="s">
        <v>264</v>
      </c>
      <c r="B5170" s="10">
        <v>45355</v>
      </c>
      <c r="C5170" s="18">
        <f t="shared" si="80"/>
        <v>3</v>
      </c>
      <c r="D5170" t="s">
        <v>196</v>
      </c>
      <c r="E5170">
        <v>4878658</v>
      </c>
      <c r="F5170" t="s">
        <v>8</v>
      </c>
      <c r="G5170" t="s">
        <v>203</v>
      </c>
      <c r="H5170" t="s">
        <v>233</v>
      </c>
      <c r="I5170" s="4">
        <v>120735.78316800001</v>
      </c>
      <c r="J5170" s="4">
        <v>241471.56633600002</v>
      </c>
      <c r="K5170" s="4">
        <v>-11684.5944</v>
      </c>
      <c r="L5170" s="4">
        <v>2</v>
      </c>
    </row>
    <row r="5171" spans="1:12">
      <c r="A5171" t="s">
        <v>264</v>
      </c>
      <c r="B5171" s="10">
        <v>45355</v>
      </c>
      <c r="C5171" s="18">
        <f t="shared" si="80"/>
        <v>3</v>
      </c>
      <c r="D5171" t="s">
        <v>196</v>
      </c>
      <c r="E5171">
        <v>4878658</v>
      </c>
      <c r="F5171" t="s">
        <v>8</v>
      </c>
      <c r="G5171" t="s">
        <v>203</v>
      </c>
      <c r="H5171" t="s">
        <v>229</v>
      </c>
      <c r="I5171" s="4">
        <v>125766.4408</v>
      </c>
      <c r="J5171" s="4">
        <v>251532.88159999999</v>
      </c>
      <c r="K5171" s="4">
        <v>-11684.5944</v>
      </c>
      <c r="L5171" s="4">
        <v>2</v>
      </c>
    </row>
    <row r="5172" spans="1:12">
      <c r="A5172" t="s">
        <v>264</v>
      </c>
      <c r="B5172" s="10">
        <v>45355</v>
      </c>
      <c r="C5172" s="18">
        <f t="shared" si="80"/>
        <v>3</v>
      </c>
      <c r="D5172" t="s">
        <v>196</v>
      </c>
      <c r="E5172">
        <v>4874586</v>
      </c>
      <c r="F5172" t="s">
        <v>8</v>
      </c>
      <c r="G5172" t="s">
        <v>203</v>
      </c>
      <c r="H5172" t="s">
        <v>243</v>
      </c>
      <c r="I5172" s="4">
        <v>100638.28079999999</v>
      </c>
      <c r="J5172" s="4">
        <v>1207659.3695999999</v>
      </c>
      <c r="K5172" s="4">
        <v>-54276.825600000004</v>
      </c>
      <c r="L5172" s="4">
        <v>12</v>
      </c>
    </row>
    <row r="5173" spans="1:12">
      <c r="A5173" t="s">
        <v>264</v>
      </c>
      <c r="B5173" s="10">
        <v>45355</v>
      </c>
      <c r="C5173" s="18">
        <f t="shared" si="80"/>
        <v>3</v>
      </c>
      <c r="D5173" t="s">
        <v>196</v>
      </c>
      <c r="E5173">
        <v>4874586</v>
      </c>
      <c r="F5173" t="s">
        <v>8</v>
      </c>
      <c r="G5173" t="s">
        <v>203</v>
      </c>
      <c r="H5173" t="s">
        <v>242</v>
      </c>
      <c r="I5173" s="4">
        <v>100638.28079999999</v>
      </c>
      <c r="J5173" s="4">
        <v>1207659.3695999999</v>
      </c>
      <c r="K5173" s="4">
        <v>-54276.825600000004</v>
      </c>
      <c r="L5173" s="4">
        <v>12</v>
      </c>
    </row>
    <row r="5174" spans="1:12">
      <c r="A5174" t="s">
        <v>264</v>
      </c>
      <c r="B5174" s="10">
        <v>45355</v>
      </c>
      <c r="C5174" s="18">
        <f t="shared" si="80"/>
        <v>3</v>
      </c>
      <c r="D5174" t="s">
        <v>196</v>
      </c>
      <c r="E5174">
        <v>4874586</v>
      </c>
      <c r="F5174" t="s">
        <v>8</v>
      </c>
      <c r="G5174" t="s">
        <v>203</v>
      </c>
      <c r="H5174" t="s">
        <v>240</v>
      </c>
      <c r="I5174" s="4">
        <v>100638.28079999999</v>
      </c>
      <c r="J5174" s="4">
        <v>2012765.6159999999</v>
      </c>
      <c r="K5174" s="4">
        <v>-90461.376000000004</v>
      </c>
      <c r="L5174" s="4">
        <v>20</v>
      </c>
    </row>
    <row r="5175" spans="1:12">
      <c r="A5175" t="s">
        <v>264</v>
      </c>
      <c r="B5175" s="10">
        <v>45355</v>
      </c>
      <c r="C5175" s="18">
        <f t="shared" si="80"/>
        <v>3</v>
      </c>
      <c r="D5175" t="s">
        <v>196</v>
      </c>
      <c r="E5175">
        <v>4874586</v>
      </c>
      <c r="F5175" t="s">
        <v>8</v>
      </c>
      <c r="G5175" t="s">
        <v>203</v>
      </c>
      <c r="H5175" t="s">
        <v>238</v>
      </c>
      <c r="I5175" s="4">
        <v>95606.36675999999</v>
      </c>
      <c r="J5175" s="4">
        <v>1912127.3351999999</v>
      </c>
      <c r="K5175" s="4">
        <v>-90461.376000000004</v>
      </c>
      <c r="L5175" s="4">
        <v>20</v>
      </c>
    </row>
    <row r="5176" spans="1:12">
      <c r="A5176" t="s">
        <v>264</v>
      </c>
      <c r="B5176" s="10">
        <v>45355</v>
      </c>
      <c r="C5176" s="18">
        <f t="shared" si="80"/>
        <v>3</v>
      </c>
      <c r="D5176" t="s">
        <v>196</v>
      </c>
      <c r="E5176">
        <v>4874586</v>
      </c>
      <c r="F5176" t="s">
        <v>8</v>
      </c>
      <c r="G5176" t="s">
        <v>203</v>
      </c>
      <c r="H5176" t="s">
        <v>236</v>
      </c>
      <c r="I5176" s="4">
        <v>100638.28079999999</v>
      </c>
      <c r="J5176" s="4">
        <v>1006382.808</v>
      </c>
      <c r="K5176" s="4">
        <v>-45230.688000000002</v>
      </c>
      <c r="L5176" s="4">
        <v>10</v>
      </c>
    </row>
    <row r="5177" spans="1:12">
      <c r="A5177" t="s">
        <v>264</v>
      </c>
      <c r="B5177" s="10">
        <v>45355</v>
      </c>
      <c r="C5177" s="18">
        <f t="shared" si="80"/>
        <v>3</v>
      </c>
      <c r="D5177" t="s">
        <v>196</v>
      </c>
      <c r="E5177">
        <v>4874586</v>
      </c>
      <c r="F5177" t="s">
        <v>8</v>
      </c>
      <c r="G5177" t="s">
        <v>203</v>
      </c>
      <c r="H5177" t="s">
        <v>234</v>
      </c>
      <c r="I5177" s="4">
        <v>100638.28079999999</v>
      </c>
      <c r="J5177" s="4">
        <v>2012765.6159999999</v>
      </c>
      <c r="K5177" s="4">
        <v>-90461.376000000004</v>
      </c>
      <c r="L5177" s="4">
        <v>20</v>
      </c>
    </row>
    <row r="5178" spans="1:12">
      <c r="A5178" t="s">
        <v>264</v>
      </c>
      <c r="B5178" s="10">
        <v>45355</v>
      </c>
      <c r="C5178" s="18">
        <f t="shared" si="80"/>
        <v>3</v>
      </c>
      <c r="D5178" t="s">
        <v>196</v>
      </c>
      <c r="E5178">
        <v>4874586</v>
      </c>
      <c r="F5178" t="s">
        <v>8</v>
      </c>
      <c r="G5178" t="s">
        <v>203</v>
      </c>
      <c r="H5178" t="s">
        <v>232</v>
      </c>
      <c r="I5178" s="4">
        <v>100638.28079999999</v>
      </c>
      <c r="J5178" s="4">
        <v>2012765.6159999999</v>
      </c>
      <c r="K5178" s="4">
        <v>-90461.376000000004</v>
      </c>
      <c r="L5178" s="4">
        <v>20</v>
      </c>
    </row>
    <row r="5179" spans="1:12">
      <c r="A5179" t="s">
        <v>264</v>
      </c>
      <c r="B5179" s="10">
        <v>45355</v>
      </c>
      <c r="C5179" s="18">
        <f t="shared" si="80"/>
        <v>3</v>
      </c>
      <c r="D5179" t="s">
        <v>196</v>
      </c>
      <c r="E5179">
        <v>4874586</v>
      </c>
      <c r="F5179" t="s">
        <v>8</v>
      </c>
      <c r="G5179" t="s">
        <v>203</v>
      </c>
      <c r="H5179" t="s">
        <v>230</v>
      </c>
      <c r="I5179" s="4">
        <v>100638.28079999999</v>
      </c>
      <c r="J5179" s="4">
        <v>2012765.6159999999</v>
      </c>
      <c r="K5179" s="4">
        <v>-90461.376000000004</v>
      </c>
      <c r="L5179" s="4">
        <v>20</v>
      </c>
    </row>
    <row r="5180" spans="1:12">
      <c r="A5180" t="s">
        <v>264</v>
      </c>
      <c r="B5180" s="10">
        <v>45355</v>
      </c>
      <c r="C5180" s="18">
        <f t="shared" si="80"/>
        <v>3</v>
      </c>
      <c r="D5180" t="s">
        <v>196</v>
      </c>
      <c r="E5180">
        <v>4874586</v>
      </c>
      <c r="F5180" t="s">
        <v>8</v>
      </c>
      <c r="G5180" t="s">
        <v>203</v>
      </c>
      <c r="H5180" t="s">
        <v>228</v>
      </c>
      <c r="I5180" s="4">
        <v>100638.28079999999</v>
      </c>
      <c r="J5180" s="4">
        <v>2012765.6159999999</v>
      </c>
      <c r="K5180" s="4">
        <v>-90461.376000000004</v>
      </c>
      <c r="L5180" s="4">
        <v>20</v>
      </c>
    </row>
    <row r="5181" spans="1:12">
      <c r="A5181" t="s">
        <v>264</v>
      </c>
      <c r="B5181" s="10">
        <v>45355</v>
      </c>
      <c r="C5181" s="18">
        <f t="shared" si="80"/>
        <v>3</v>
      </c>
      <c r="D5181" t="s">
        <v>196</v>
      </c>
      <c r="E5181">
        <v>4874586</v>
      </c>
      <c r="F5181" t="s">
        <v>8</v>
      </c>
      <c r="G5181" t="s">
        <v>203</v>
      </c>
      <c r="H5181" t="s">
        <v>227</v>
      </c>
      <c r="I5181" s="4">
        <v>100638.28079999999</v>
      </c>
      <c r="J5181" s="4">
        <v>1207659.3695999999</v>
      </c>
      <c r="K5181" s="4">
        <v>-54276.825600000004</v>
      </c>
      <c r="L5181" s="4">
        <v>12</v>
      </c>
    </row>
    <row r="5182" spans="1:12">
      <c r="A5182" t="s">
        <v>264</v>
      </c>
      <c r="B5182" s="10">
        <v>45355</v>
      </c>
      <c r="C5182" s="18">
        <f t="shared" si="80"/>
        <v>3</v>
      </c>
      <c r="D5182" t="s">
        <v>196</v>
      </c>
      <c r="E5182">
        <v>4874586</v>
      </c>
      <c r="F5182" t="s">
        <v>8</v>
      </c>
      <c r="G5182" t="s">
        <v>203</v>
      </c>
      <c r="H5182" t="s">
        <v>226</v>
      </c>
      <c r="I5182" s="4">
        <v>100638.28079999999</v>
      </c>
      <c r="J5182" s="4">
        <v>2012765.6159999999</v>
      </c>
      <c r="K5182" s="4">
        <v>-90461.376000000004</v>
      </c>
      <c r="L5182" s="4">
        <v>20</v>
      </c>
    </row>
    <row r="5183" spans="1:12">
      <c r="A5183" t="s">
        <v>264</v>
      </c>
      <c r="B5183" s="10">
        <v>45355</v>
      </c>
      <c r="C5183" s="18">
        <f t="shared" si="80"/>
        <v>3</v>
      </c>
      <c r="D5183" t="s">
        <v>196</v>
      </c>
      <c r="E5183">
        <v>4874586</v>
      </c>
      <c r="F5183" t="s">
        <v>8</v>
      </c>
      <c r="G5183" t="s">
        <v>203</v>
      </c>
      <c r="H5183" t="s">
        <v>225</v>
      </c>
      <c r="I5183" s="4">
        <v>100638.28079999999</v>
      </c>
      <c r="J5183" s="4">
        <v>2012765.6159999999</v>
      </c>
      <c r="K5183" s="4">
        <v>-90461.376000000004</v>
      </c>
      <c r="L5183" s="4">
        <v>20</v>
      </c>
    </row>
    <row r="5184" spans="1:12">
      <c r="A5184" t="s">
        <v>264</v>
      </c>
      <c r="B5184" s="10">
        <v>45355</v>
      </c>
      <c r="C5184" s="18">
        <f t="shared" si="80"/>
        <v>3</v>
      </c>
      <c r="D5184" t="s">
        <v>196</v>
      </c>
      <c r="E5184">
        <v>4874586</v>
      </c>
      <c r="F5184" t="s">
        <v>8</v>
      </c>
      <c r="G5184" t="s">
        <v>203</v>
      </c>
      <c r="H5184" t="s">
        <v>224</v>
      </c>
      <c r="I5184" s="4">
        <v>100638.28079999999</v>
      </c>
      <c r="J5184" s="4">
        <v>2012765.6159999999</v>
      </c>
      <c r="K5184" s="4">
        <v>-90461.376000000004</v>
      </c>
      <c r="L5184" s="4">
        <v>20</v>
      </c>
    </row>
    <row r="5185" spans="1:12">
      <c r="A5185" t="s">
        <v>264</v>
      </c>
      <c r="B5185" s="10">
        <v>45355</v>
      </c>
      <c r="C5185" s="18">
        <f t="shared" si="80"/>
        <v>3</v>
      </c>
      <c r="D5185" t="s">
        <v>196</v>
      </c>
      <c r="E5185">
        <v>4874586</v>
      </c>
      <c r="F5185" t="s">
        <v>8</v>
      </c>
      <c r="G5185" t="s">
        <v>203</v>
      </c>
      <c r="H5185" t="s">
        <v>222</v>
      </c>
      <c r="I5185" s="4">
        <v>100638.28079999999</v>
      </c>
      <c r="J5185" s="4">
        <v>2012765.6159999999</v>
      </c>
      <c r="K5185" s="4">
        <v>-90461.376000000004</v>
      </c>
      <c r="L5185" s="4">
        <v>20</v>
      </c>
    </row>
    <row r="5186" spans="1:12">
      <c r="A5186" t="s">
        <v>264</v>
      </c>
      <c r="B5186" s="10">
        <v>45355</v>
      </c>
      <c r="C5186" s="18">
        <f t="shared" ref="C5186:C5249" si="81">MONTH(B5186)</f>
        <v>3</v>
      </c>
      <c r="D5186" t="s">
        <v>196</v>
      </c>
      <c r="E5186">
        <v>4874586</v>
      </c>
      <c r="F5186" t="s">
        <v>8</v>
      </c>
      <c r="G5186" t="s">
        <v>203</v>
      </c>
      <c r="H5186" t="s">
        <v>237</v>
      </c>
      <c r="I5186" s="4">
        <v>125766.4408</v>
      </c>
      <c r="J5186" s="4">
        <v>1257664.4080000001</v>
      </c>
      <c r="K5186" s="4">
        <v>-58422.972000000002</v>
      </c>
      <c r="L5186" s="4">
        <v>10</v>
      </c>
    </row>
    <row r="5187" spans="1:12">
      <c r="A5187" t="s">
        <v>264</v>
      </c>
      <c r="B5187" s="10">
        <v>45355</v>
      </c>
      <c r="C5187" s="18">
        <f t="shared" si="81"/>
        <v>3</v>
      </c>
      <c r="D5187" t="s">
        <v>196</v>
      </c>
      <c r="E5187">
        <v>4874586</v>
      </c>
      <c r="F5187" t="s">
        <v>8</v>
      </c>
      <c r="G5187" t="s">
        <v>203</v>
      </c>
      <c r="H5187" t="s">
        <v>235</v>
      </c>
      <c r="I5187" s="4">
        <v>125766.4408</v>
      </c>
      <c r="J5187" s="4">
        <v>880365.08559999999</v>
      </c>
      <c r="K5187" s="4">
        <v>-40896.080399999999</v>
      </c>
      <c r="L5187" s="4">
        <v>7</v>
      </c>
    </row>
    <row r="5188" spans="1:12">
      <c r="A5188" t="s">
        <v>264</v>
      </c>
      <c r="B5188" s="10">
        <v>45355</v>
      </c>
      <c r="C5188" s="18">
        <f t="shared" si="81"/>
        <v>3</v>
      </c>
      <c r="D5188" t="s">
        <v>196</v>
      </c>
      <c r="E5188">
        <v>4872162</v>
      </c>
      <c r="F5188" t="s">
        <v>8</v>
      </c>
      <c r="G5188" t="s">
        <v>204</v>
      </c>
      <c r="H5188" t="s">
        <v>219</v>
      </c>
      <c r="I5188" s="4">
        <v>44099.9208</v>
      </c>
      <c r="J5188" s="4">
        <v>1322997.6240000001</v>
      </c>
      <c r="K5188" s="4">
        <v>-56538.36</v>
      </c>
      <c r="L5188" s="4">
        <v>30</v>
      </c>
    </row>
    <row r="5189" spans="1:12">
      <c r="A5189" t="s">
        <v>264</v>
      </c>
      <c r="B5189" s="10">
        <v>45355</v>
      </c>
      <c r="C5189" s="18">
        <f t="shared" si="81"/>
        <v>3</v>
      </c>
      <c r="D5189" t="s">
        <v>196</v>
      </c>
      <c r="E5189">
        <v>4872162</v>
      </c>
      <c r="F5189" t="s">
        <v>8</v>
      </c>
      <c r="G5189" t="s">
        <v>204</v>
      </c>
      <c r="H5189" t="s">
        <v>216</v>
      </c>
      <c r="I5189" s="4">
        <v>113202.36079999999</v>
      </c>
      <c r="J5189" s="4">
        <v>3396070.824</v>
      </c>
      <c r="K5189" s="4">
        <v>-169615.08</v>
      </c>
      <c r="L5189" s="4">
        <v>30</v>
      </c>
    </row>
    <row r="5190" spans="1:12">
      <c r="A5190" t="s">
        <v>264</v>
      </c>
      <c r="B5190" s="10">
        <v>45355</v>
      </c>
      <c r="C5190" s="18">
        <f t="shared" si="81"/>
        <v>3</v>
      </c>
      <c r="D5190" t="s">
        <v>196</v>
      </c>
      <c r="E5190">
        <v>4872162</v>
      </c>
      <c r="F5190" t="s">
        <v>8</v>
      </c>
      <c r="G5190" t="s">
        <v>204</v>
      </c>
      <c r="H5190" t="s">
        <v>213</v>
      </c>
      <c r="I5190" s="4">
        <v>119484.4008</v>
      </c>
      <c r="J5190" s="4">
        <v>1194844.0079999999</v>
      </c>
      <c r="K5190" s="4">
        <v>-59679.38</v>
      </c>
      <c r="L5190" s="4">
        <v>10</v>
      </c>
    </row>
    <row r="5191" spans="1:12">
      <c r="A5191" t="s">
        <v>264</v>
      </c>
      <c r="B5191" s="10">
        <v>45355</v>
      </c>
      <c r="C5191" s="18">
        <f t="shared" si="81"/>
        <v>3</v>
      </c>
      <c r="D5191" t="s">
        <v>196</v>
      </c>
      <c r="E5191">
        <v>4872162</v>
      </c>
      <c r="F5191" t="s">
        <v>8</v>
      </c>
      <c r="G5191" t="s">
        <v>204</v>
      </c>
      <c r="H5191" t="s">
        <v>221</v>
      </c>
      <c r="I5191" s="4">
        <v>25253.800799999997</v>
      </c>
      <c r="J5191" s="4">
        <v>1010152.0319999999</v>
      </c>
      <c r="K5191" s="4">
        <v>-50256.32</v>
      </c>
      <c r="L5191" s="4">
        <v>40</v>
      </c>
    </row>
    <row r="5192" spans="1:12">
      <c r="A5192" t="s">
        <v>264</v>
      </c>
      <c r="B5192" s="10">
        <v>45355</v>
      </c>
      <c r="C5192" s="18">
        <f t="shared" si="81"/>
        <v>3</v>
      </c>
      <c r="D5192" t="s">
        <v>196</v>
      </c>
      <c r="E5192">
        <v>4872162</v>
      </c>
      <c r="F5192" t="s">
        <v>8</v>
      </c>
      <c r="G5192" t="s">
        <v>204</v>
      </c>
      <c r="H5192" t="s">
        <v>220</v>
      </c>
      <c r="I5192" s="4">
        <v>37817.880799999999</v>
      </c>
      <c r="J5192" s="4">
        <v>1512715.2319999998</v>
      </c>
      <c r="K5192" s="4">
        <v>-75384.479999999996</v>
      </c>
      <c r="L5192" s="4">
        <v>40</v>
      </c>
    </row>
    <row r="5193" spans="1:12">
      <c r="A5193" t="s">
        <v>264</v>
      </c>
      <c r="B5193" s="10">
        <v>45355</v>
      </c>
      <c r="C5193" s="18">
        <f t="shared" si="81"/>
        <v>3</v>
      </c>
      <c r="D5193" t="s">
        <v>196</v>
      </c>
      <c r="E5193">
        <v>4872162</v>
      </c>
      <c r="F5193" t="s">
        <v>8</v>
      </c>
      <c r="G5193" t="s">
        <v>204</v>
      </c>
      <c r="H5193" t="s">
        <v>212</v>
      </c>
      <c r="I5193" s="4">
        <v>62946.040799999995</v>
      </c>
      <c r="J5193" s="4">
        <v>1258920.8159999999</v>
      </c>
      <c r="K5193" s="4">
        <v>-37692.239999999998</v>
      </c>
      <c r="L5193" s="4">
        <v>20</v>
      </c>
    </row>
    <row r="5194" spans="1:12">
      <c r="A5194" t="s">
        <v>264</v>
      </c>
      <c r="B5194" s="10">
        <v>45355</v>
      </c>
      <c r="C5194" s="18">
        <f t="shared" si="81"/>
        <v>3</v>
      </c>
      <c r="D5194" t="s">
        <v>196</v>
      </c>
      <c r="E5194">
        <v>4872162</v>
      </c>
      <c r="F5194" t="s">
        <v>8</v>
      </c>
      <c r="G5194" t="s">
        <v>202</v>
      </c>
      <c r="H5194" t="s">
        <v>261</v>
      </c>
      <c r="I5194" s="4">
        <v>41587.104800000001</v>
      </c>
      <c r="J5194" s="4">
        <v>4158710.48</v>
      </c>
      <c r="K5194" s="4">
        <v>-207307.32</v>
      </c>
      <c r="L5194" s="4">
        <v>100</v>
      </c>
    </row>
    <row r="5195" spans="1:12">
      <c r="A5195" t="s">
        <v>264</v>
      </c>
      <c r="B5195" s="10">
        <v>45355</v>
      </c>
      <c r="C5195" s="18">
        <f t="shared" si="81"/>
        <v>3</v>
      </c>
      <c r="D5195" t="s">
        <v>196</v>
      </c>
      <c r="E5195">
        <v>4872162</v>
      </c>
      <c r="F5195" t="s">
        <v>8</v>
      </c>
      <c r="G5195" t="s">
        <v>202</v>
      </c>
      <c r="H5195" t="s">
        <v>260</v>
      </c>
      <c r="I5195" s="4">
        <v>41587.104800000001</v>
      </c>
      <c r="J5195" s="4">
        <v>4158710.48</v>
      </c>
      <c r="K5195" s="4">
        <v>-207307.32</v>
      </c>
      <c r="L5195" s="4">
        <v>100</v>
      </c>
    </row>
    <row r="5196" spans="1:12">
      <c r="A5196" t="s">
        <v>264</v>
      </c>
      <c r="B5196" s="10">
        <v>45355</v>
      </c>
      <c r="C5196" s="18">
        <f t="shared" si="81"/>
        <v>3</v>
      </c>
      <c r="D5196" t="s">
        <v>196</v>
      </c>
      <c r="E5196">
        <v>4873806</v>
      </c>
      <c r="F5196" t="s">
        <v>8</v>
      </c>
      <c r="G5196" t="s">
        <v>204</v>
      </c>
      <c r="H5196" t="s">
        <v>215</v>
      </c>
      <c r="I5196" s="4">
        <v>75510.12079999999</v>
      </c>
      <c r="J5196" s="4">
        <v>151020.24159999998</v>
      </c>
      <c r="K5196" s="4">
        <v>-7538.4479999999994</v>
      </c>
      <c r="L5196" s="4">
        <v>2</v>
      </c>
    </row>
    <row r="5197" spans="1:12">
      <c r="A5197" t="s">
        <v>264</v>
      </c>
      <c r="B5197" s="10">
        <v>45355</v>
      </c>
      <c r="C5197" s="18">
        <f t="shared" si="81"/>
        <v>3</v>
      </c>
      <c r="D5197" t="s">
        <v>196</v>
      </c>
      <c r="E5197">
        <v>4873806</v>
      </c>
      <c r="F5197" t="s">
        <v>8</v>
      </c>
      <c r="G5197" t="s">
        <v>204</v>
      </c>
      <c r="H5197" t="s">
        <v>213</v>
      </c>
      <c r="I5197" s="4">
        <v>119484.4008</v>
      </c>
      <c r="J5197" s="4">
        <v>238968.80160000001</v>
      </c>
      <c r="K5197" s="4">
        <v>-11935.876</v>
      </c>
      <c r="L5197" s="4">
        <v>2</v>
      </c>
    </row>
    <row r="5198" spans="1:12">
      <c r="A5198" t="s">
        <v>264</v>
      </c>
      <c r="B5198" s="10">
        <v>45356</v>
      </c>
      <c r="C5198" s="18">
        <f t="shared" si="81"/>
        <v>3</v>
      </c>
      <c r="D5198" t="s">
        <v>196</v>
      </c>
      <c r="E5198">
        <v>4878952</v>
      </c>
      <c r="F5198" t="s">
        <v>8</v>
      </c>
      <c r="G5198" t="s">
        <v>202</v>
      </c>
      <c r="H5198" t="s">
        <v>254</v>
      </c>
      <c r="I5198" s="4">
        <v>37817.880799999999</v>
      </c>
      <c r="J5198" s="4">
        <v>1172354.3048</v>
      </c>
      <c r="K5198" s="4">
        <v>-58422.972000000002</v>
      </c>
      <c r="L5198" s="4">
        <v>31</v>
      </c>
    </row>
    <row r="5199" spans="1:12">
      <c r="A5199" t="s">
        <v>264</v>
      </c>
      <c r="B5199" s="10">
        <v>45356</v>
      </c>
      <c r="C5199" s="18">
        <f t="shared" si="81"/>
        <v>3</v>
      </c>
      <c r="D5199" t="s">
        <v>196</v>
      </c>
      <c r="E5199">
        <v>4876422</v>
      </c>
      <c r="F5199" t="s">
        <v>8</v>
      </c>
      <c r="G5199" t="s">
        <v>204</v>
      </c>
      <c r="H5199" t="s">
        <v>216</v>
      </c>
      <c r="I5199" s="4">
        <v>113202.36079999999</v>
      </c>
      <c r="J5199" s="4">
        <v>1132023.608</v>
      </c>
      <c r="K5199" s="4">
        <v>-56538.36</v>
      </c>
      <c r="L5199" s="4">
        <v>10</v>
      </c>
    </row>
    <row r="5200" spans="1:12">
      <c r="A5200" t="s">
        <v>264</v>
      </c>
      <c r="B5200" s="10">
        <v>45356</v>
      </c>
      <c r="C5200" s="18">
        <f t="shared" si="81"/>
        <v>3</v>
      </c>
      <c r="D5200" t="s">
        <v>196</v>
      </c>
      <c r="E5200">
        <v>4871657</v>
      </c>
      <c r="F5200" t="s">
        <v>8</v>
      </c>
      <c r="G5200" t="s">
        <v>203</v>
      </c>
      <c r="H5200" t="s">
        <v>224</v>
      </c>
      <c r="I5200" s="4">
        <v>100638.28079999999</v>
      </c>
      <c r="J5200" s="4">
        <v>201276.56159999999</v>
      </c>
      <c r="K5200" s="4">
        <v>-9046.1376</v>
      </c>
      <c r="L5200" s="4">
        <v>2</v>
      </c>
    </row>
    <row r="5201" spans="1:12">
      <c r="A5201" t="s">
        <v>264</v>
      </c>
      <c r="B5201" s="10">
        <v>45356</v>
      </c>
      <c r="C5201" s="18">
        <f t="shared" si="81"/>
        <v>3</v>
      </c>
      <c r="D5201" t="s">
        <v>196</v>
      </c>
      <c r="E5201">
        <v>4871657</v>
      </c>
      <c r="F5201" t="s">
        <v>8</v>
      </c>
      <c r="G5201" t="s">
        <v>203</v>
      </c>
      <c r="H5201" t="s">
        <v>223</v>
      </c>
      <c r="I5201" s="4">
        <v>100638.28079999999</v>
      </c>
      <c r="J5201" s="4">
        <v>201276.56159999999</v>
      </c>
      <c r="K5201" s="4">
        <v>-9046.1376</v>
      </c>
      <c r="L5201" s="4">
        <v>2</v>
      </c>
    </row>
    <row r="5202" spans="1:12">
      <c r="A5202" t="s">
        <v>264</v>
      </c>
      <c r="B5202" s="10">
        <v>45356</v>
      </c>
      <c r="C5202" s="18">
        <f t="shared" si="81"/>
        <v>3</v>
      </c>
      <c r="D5202" t="s">
        <v>196</v>
      </c>
      <c r="E5202">
        <v>4871657</v>
      </c>
      <c r="F5202" t="s">
        <v>8</v>
      </c>
      <c r="G5202" t="s">
        <v>203</v>
      </c>
      <c r="H5202" t="s">
        <v>222</v>
      </c>
      <c r="I5202" s="4">
        <v>100638.28079999999</v>
      </c>
      <c r="J5202" s="4">
        <v>201276.56159999999</v>
      </c>
      <c r="K5202" s="4">
        <v>-9046.1376</v>
      </c>
      <c r="L5202" s="4">
        <v>2</v>
      </c>
    </row>
    <row r="5203" spans="1:12">
      <c r="A5203" t="s">
        <v>264</v>
      </c>
      <c r="B5203" s="10">
        <v>45356</v>
      </c>
      <c r="C5203" s="18">
        <f t="shared" si="81"/>
        <v>3</v>
      </c>
      <c r="D5203" t="s">
        <v>196</v>
      </c>
      <c r="E5203">
        <v>4874586</v>
      </c>
      <c r="F5203" t="s">
        <v>8</v>
      </c>
      <c r="G5203" t="s">
        <v>204</v>
      </c>
      <c r="H5203" t="s">
        <v>215</v>
      </c>
      <c r="I5203" s="4">
        <v>75510.12079999999</v>
      </c>
      <c r="J5203" s="4">
        <v>302040.48319999996</v>
      </c>
      <c r="K5203" s="4">
        <v>-15076.895999999999</v>
      </c>
      <c r="L5203" s="4">
        <v>4</v>
      </c>
    </row>
    <row r="5204" spans="1:12">
      <c r="A5204" t="s">
        <v>264</v>
      </c>
      <c r="B5204" s="10">
        <v>45356</v>
      </c>
      <c r="C5204" s="18">
        <f t="shared" si="81"/>
        <v>3</v>
      </c>
      <c r="D5204" t="s">
        <v>196</v>
      </c>
      <c r="E5204">
        <v>4874586</v>
      </c>
      <c r="F5204" t="s">
        <v>8</v>
      </c>
      <c r="G5204" t="s">
        <v>204</v>
      </c>
      <c r="H5204" t="s">
        <v>213</v>
      </c>
      <c r="I5204" s="4">
        <v>119484.4008</v>
      </c>
      <c r="J5204" s="4">
        <v>1194844.0079999999</v>
      </c>
      <c r="K5204" s="4">
        <v>-59679.38</v>
      </c>
      <c r="L5204" s="4">
        <v>10</v>
      </c>
    </row>
    <row r="5205" spans="1:12">
      <c r="A5205" t="s">
        <v>264</v>
      </c>
      <c r="B5205" s="10">
        <v>45356</v>
      </c>
      <c r="C5205" s="18">
        <f t="shared" si="81"/>
        <v>3</v>
      </c>
      <c r="D5205" t="s">
        <v>196</v>
      </c>
      <c r="E5205">
        <v>4875440</v>
      </c>
      <c r="F5205" t="s">
        <v>8</v>
      </c>
      <c r="G5205" t="s">
        <v>202</v>
      </c>
      <c r="H5205" t="s">
        <v>261</v>
      </c>
      <c r="I5205" s="4">
        <v>41587.104800000001</v>
      </c>
      <c r="J5205" s="4">
        <v>831742.09600000002</v>
      </c>
      <c r="K5205" s="4">
        <v>-41461.464</v>
      </c>
      <c r="L5205" s="4">
        <v>20</v>
      </c>
    </row>
    <row r="5206" spans="1:12">
      <c r="A5206" t="s">
        <v>264</v>
      </c>
      <c r="B5206" s="10">
        <v>45356</v>
      </c>
      <c r="C5206" s="18">
        <f t="shared" si="81"/>
        <v>3</v>
      </c>
      <c r="D5206" t="s">
        <v>196</v>
      </c>
      <c r="E5206">
        <v>4875440</v>
      </c>
      <c r="F5206" t="s">
        <v>8</v>
      </c>
      <c r="G5206" t="s">
        <v>202</v>
      </c>
      <c r="H5206" t="s">
        <v>260</v>
      </c>
      <c r="I5206" s="4">
        <v>41587.104800000001</v>
      </c>
      <c r="J5206" s="4">
        <v>831742.09600000002</v>
      </c>
      <c r="K5206" s="4">
        <v>-41461.464</v>
      </c>
      <c r="L5206" s="4">
        <v>20</v>
      </c>
    </row>
    <row r="5207" spans="1:12">
      <c r="A5207" t="s">
        <v>264</v>
      </c>
      <c r="B5207" s="10">
        <v>45356</v>
      </c>
      <c r="C5207" s="18">
        <f t="shared" si="81"/>
        <v>3</v>
      </c>
      <c r="D5207" t="s">
        <v>196</v>
      </c>
      <c r="E5207">
        <v>4875440</v>
      </c>
      <c r="F5207" t="s">
        <v>8</v>
      </c>
      <c r="G5207" t="s">
        <v>202</v>
      </c>
      <c r="H5207" t="s">
        <v>259</v>
      </c>
      <c r="I5207" s="4">
        <v>30279.432800000002</v>
      </c>
      <c r="J5207" s="4">
        <v>605588.65600000008</v>
      </c>
      <c r="K5207" s="4">
        <v>-30153.791999999998</v>
      </c>
      <c r="L5207" s="4">
        <v>20</v>
      </c>
    </row>
    <row r="5208" spans="1:12">
      <c r="A5208" t="s">
        <v>264</v>
      </c>
      <c r="B5208" s="10">
        <v>45356</v>
      </c>
      <c r="C5208" s="18">
        <f t="shared" si="81"/>
        <v>3</v>
      </c>
      <c r="D5208" t="s">
        <v>196</v>
      </c>
      <c r="E5208">
        <v>4875440</v>
      </c>
      <c r="F5208" t="s">
        <v>8</v>
      </c>
      <c r="G5208" t="s">
        <v>202</v>
      </c>
      <c r="H5208" t="s">
        <v>254</v>
      </c>
      <c r="I5208" s="4">
        <v>37817.880799999999</v>
      </c>
      <c r="J5208" s="4">
        <v>756357.61599999992</v>
      </c>
      <c r="K5208" s="4">
        <v>-37692.239999999998</v>
      </c>
      <c r="L5208" s="4">
        <v>20</v>
      </c>
    </row>
    <row r="5209" spans="1:12">
      <c r="A5209" t="s">
        <v>264</v>
      </c>
      <c r="B5209" s="10">
        <v>45356</v>
      </c>
      <c r="C5209" s="18">
        <f t="shared" si="81"/>
        <v>3</v>
      </c>
      <c r="D5209" t="s">
        <v>196</v>
      </c>
      <c r="E5209">
        <v>4873806</v>
      </c>
      <c r="F5209" t="s">
        <v>8</v>
      </c>
      <c r="G5209" t="s">
        <v>205</v>
      </c>
      <c r="H5209" t="s">
        <v>246</v>
      </c>
      <c r="I5209" s="4">
        <v>5967.9380000000001</v>
      </c>
      <c r="J5209" s="4">
        <v>304364.83799999999</v>
      </c>
      <c r="K5209" s="4">
        <v>-16019.201999999999</v>
      </c>
      <c r="L5209" s="4">
        <v>51</v>
      </c>
    </row>
    <row r="5210" spans="1:12">
      <c r="A5210" t="s">
        <v>264</v>
      </c>
      <c r="B5210" s="10">
        <v>45356</v>
      </c>
      <c r="C5210" s="18">
        <f t="shared" si="81"/>
        <v>3</v>
      </c>
      <c r="D5210" t="s">
        <v>196</v>
      </c>
      <c r="E5210">
        <v>4873723</v>
      </c>
      <c r="F5210" t="s">
        <v>8</v>
      </c>
      <c r="G5210" t="s">
        <v>203</v>
      </c>
      <c r="H5210" t="s">
        <v>245</v>
      </c>
      <c r="I5210" s="4">
        <v>100638.28079999999</v>
      </c>
      <c r="J5210" s="4">
        <v>201276.56159999999</v>
      </c>
      <c r="K5210" s="4">
        <v>-9046.1376</v>
      </c>
      <c r="L5210" s="4">
        <v>2</v>
      </c>
    </row>
    <row r="5211" spans="1:12">
      <c r="A5211" t="s">
        <v>264</v>
      </c>
      <c r="B5211" s="10">
        <v>45356</v>
      </c>
      <c r="C5211" s="18">
        <f t="shared" si="81"/>
        <v>3</v>
      </c>
      <c r="D5211" t="s">
        <v>196</v>
      </c>
      <c r="E5211">
        <v>4873723</v>
      </c>
      <c r="F5211" t="s">
        <v>8</v>
      </c>
      <c r="G5211" t="s">
        <v>203</v>
      </c>
      <c r="H5211" t="s">
        <v>243</v>
      </c>
      <c r="I5211" s="4">
        <v>100638.28079999999</v>
      </c>
      <c r="J5211" s="4">
        <v>201276.56159999999</v>
      </c>
      <c r="K5211" s="4">
        <v>-9046.1376</v>
      </c>
      <c r="L5211" s="4">
        <v>2</v>
      </c>
    </row>
    <row r="5212" spans="1:12">
      <c r="A5212" t="s">
        <v>264</v>
      </c>
      <c r="B5212" s="10">
        <v>45356</v>
      </c>
      <c r="C5212" s="18">
        <f t="shared" si="81"/>
        <v>3</v>
      </c>
      <c r="D5212" t="s">
        <v>196</v>
      </c>
      <c r="E5212">
        <v>4873723</v>
      </c>
      <c r="F5212" t="s">
        <v>8</v>
      </c>
      <c r="G5212" t="s">
        <v>203</v>
      </c>
      <c r="H5212" t="s">
        <v>232</v>
      </c>
      <c r="I5212" s="4">
        <v>100638.28079999999</v>
      </c>
      <c r="J5212" s="4">
        <v>201276.56159999999</v>
      </c>
      <c r="K5212" s="4">
        <v>-9046.1376</v>
      </c>
      <c r="L5212" s="4">
        <v>2</v>
      </c>
    </row>
    <row r="5213" spans="1:12">
      <c r="A5213" t="s">
        <v>264</v>
      </c>
      <c r="B5213" s="10">
        <v>45356</v>
      </c>
      <c r="C5213" s="18">
        <f t="shared" si="81"/>
        <v>3</v>
      </c>
      <c r="D5213" t="s">
        <v>196</v>
      </c>
      <c r="E5213">
        <v>4873723</v>
      </c>
      <c r="F5213" t="s">
        <v>8</v>
      </c>
      <c r="G5213" t="s">
        <v>203</v>
      </c>
      <c r="H5213" t="s">
        <v>228</v>
      </c>
      <c r="I5213" s="4">
        <v>100638.28079999999</v>
      </c>
      <c r="J5213" s="4">
        <v>201276.56159999999</v>
      </c>
      <c r="K5213" s="4">
        <v>-9046.1376</v>
      </c>
      <c r="L5213" s="4">
        <v>2</v>
      </c>
    </row>
    <row r="5214" spans="1:12">
      <c r="A5214" t="s">
        <v>264</v>
      </c>
      <c r="B5214" s="10">
        <v>45356</v>
      </c>
      <c r="C5214" s="18">
        <f t="shared" si="81"/>
        <v>3</v>
      </c>
      <c r="D5214" t="s">
        <v>196</v>
      </c>
      <c r="E5214">
        <v>4873723</v>
      </c>
      <c r="F5214" t="s">
        <v>8</v>
      </c>
      <c r="G5214" t="s">
        <v>203</v>
      </c>
      <c r="H5214" t="s">
        <v>227</v>
      </c>
      <c r="I5214" s="4">
        <v>100638.28079999999</v>
      </c>
      <c r="J5214" s="4">
        <v>201276.56159999999</v>
      </c>
      <c r="K5214" s="4">
        <v>-9046.1376</v>
      </c>
      <c r="L5214" s="4">
        <v>2</v>
      </c>
    </row>
    <row r="5215" spans="1:12">
      <c r="A5215" t="s">
        <v>264</v>
      </c>
      <c r="B5215" s="10">
        <v>45356</v>
      </c>
      <c r="C5215" s="18">
        <f t="shared" si="81"/>
        <v>3</v>
      </c>
      <c r="D5215" t="s">
        <v>196</v>
      </c>
      <c r="E5215">
        <v>4872203</v>
      </c>
      <c r="F5215" t="s">
        <v>8</v>
      </c>
      <c r="G5215" t="s">
        <v>206</v>
      </c>
      <c r="H5215" t="s">
        <v>209</v>
      </c>
      <c r="I5215" s="4">
        <v>17715.352800000001</v>
      </c>
      <c r="J5215" s="4">
        <v>1771535.28</v>
      </c>
      <c r="K5215" s="4">
        <v>-87948.56</v>
      </c>
      <c r="L5215" s="4">
        <v>100</v>
      </c>
    </row>
    <row r="5216" spans="1:12">
      <c r="A5216" t="s">
        <v>264</v>
      </c>
      <c r="B5216" s="10">
        <v>45357</v>
      </c>
      <c r="C5216" s="18">
        <f t="shared" si="81"/>
        <v>3</v>
      </c>
      <c r="D5216" t="s">
        <v>196</v>
      </c>
      <c r="E5216">
        <v>4872160</v>
      </c>
      <c r="F5216" t="s">
        <v>8</v>
      </c>
      <c r="G5216" t="s">
        <v>203</v>
      </c>
      <c r="H5216" t="s">
        <v>243</v>
      </c>
      <c r="I5216" s="4">
        <v>100638.28079999999</v>
      </c>
      <c r="J5216" s="4">
        <v>1006382.808</v>
      </c>
      <c r="K5216" s="4">
        <v>-45230.688000000002</v>
      </c>
      <c r="L5216" s="4">
        <v>10</v>
      </c>
    </row>
    <row r="5217" spans="1:12">
      <c r="A5217" t="s">
        <v>264</v>
      </c>
      <c r="B5217" s="10">
        <v>45357</v>
      </c>
      <c r="C5217" s="18">
        <f t="shared" si="81"/>
        <v>3</v>
      </c>
      <c r="D5217" t="s">
        <v>196</v>
      </c>
      <c r="E5217">
        <v>4872160</v>
      </c>
      <c r="F5217" t="s">
        <v>8</v>
      </c>
      <c r="G5217" t="s">
        <v>203</v>
      </c>
      <c r="H5217" t="s">
        <v>238</v>
      </c>
      <c r="I5217" s="4">
        <v>95606.36675999999</v>
      </c>
      <c r="J5217" s="4">
        <v>956063.66759999993</v>
      </c>
      <c r="K5217" s="4">
        <v>-45230.688000000002</v>
      </c>
      <c r="L5217" s="4">
        <v>10</v>
      </c>
    </row>
    <row r="5218" spans="1:12">
      <c r="A5218" t="s">
        <v>264</v>
      </c>
      <c r="B5218" s="10">
        <v>45357</v>
      </c>
      <c r="C5218" s="18">
        <f t="shared" si="81"/>
        <v>3</v>
      </c>
      <c r="D5218" t="s">
        <v>196</v>
      </c>
      <c r="E5218">
        <v>4872160</v>
      </c>
      <c r="F5218" t="s">
        <v>8</v>
      </c>
      <c r="G5218" t="s">
        <v>203</v>
      </c>
      <c r="H5218" t="s">
        <v>232</v>
      </c>
      <c r="I5218" s="4">
        <v>100638.28079999999</v>
      </c>
      <c r="J5218" s="4">
        <v>1006382.808</v>
      </c>
      <c r="K5218" s="4">
        <v>-45230.688000000002</v>
      </c>
      <c r="L5218" s="4">
        <v>10</v>
      </c>
    </row>
    <row r="5219" spans="1:12">
      <c r="A5219" t="s">
        <v>264</v>
      </c>
      <c r="B5219" s="10">
        <v>45357</v>
      </c>
      <c r="C5219" s="18">
        <f t="shared" si="81"/>
        <v>3</v>
      </c>
      <c r="D5219" t="s">
        <v>196</v>
      </c>
      <c r="E5219">
        <v>4872160</v>
      </c>
      <c r="F5219" t="s">
        <v>8</v>
      </c>
      <c r="G5219" t="s">
        <v>203</v>
      </c>
      <c r="H5219" t="s">
        <v>227</v>
      </c>
      <c r="I5219" s="4">
        <v>100638.28079999999</v>
      </c>
      <c r="J5219" s="4">
        <v>1006382.808</v>
      </c>
      <c r="K5219" s="4">
        <v>-45230.688000000002</v>
      </c>
      <c r="L5219" s="4">
        <v>10</v>
      </c>
    </row>
    <row r="5220" spans="1:12">
      <c r="A5220" t="s">
        <v>264</v>
      </c>
      <c r="B5220" s="10">
        <v>45357</v>
      </c>
      <c r="C5220" s="18">
        <f t="shared" si="81"/>
        <v>3</v>
      </c>
      <c r="D5220" t="s">
        <v>196</v>
      </c>
      <c r="E5220">
        <v>4872160</v>
      </c>
      <c r="F5220" t="s">
        <v>8</v>
      </c>
      <c r="G5220" t="s">
        <v>203</v>
      </c>
      <c r="H5220" t="s">
        <v>226</v>
      </c>
      <c r="I5220" s="4">
        <v>100638.28079999999</v>
      </c>
      <c r="J5220" s="4">
        <v>1006382.808</v>
      </c>
      <c r="K5220" s="4">
        <v>-45230.688000000002</v>
      </c>
      <c r="L5220" s="4">
        <v>10</v>
      </c>
    </row>
    <row r="5221" spans="1:12">
      <c r="A5221" t="s">
        <v>264</v>
      </c>
      <c r="B5221" s="10">
        <v>45357</v>
      </c>
      <c r="C5221" s="18">
        <f t="shared" si="81"/>
        <v>3</v>
      </c>
      <c r="D5221" t="s">
        <v>196</v>
      </c>
      <c r="E5221">
        <v>4872160</v>
      </c>
      <c r="F5221" t="s">
        <v>8</v>
      </c>
      <c r="G5221" t="s">
        <v>203</v>
      </c>
      <c r="H5221" t="s">
        <v>222</v>
      </c>
      <c r="I5221" s="4">
        <v>100638.28079999999</v>
      </c>
      <c r="J5221" s="4">
        <v>1006382.808</v>
      </c>
      <c r="K5221" s="4">
        <v>-45230.688000000002</v>
      </c>
      <c r="L5221" s="4">
        <v>10</v>
      </c>
    </row>
    <row r="5222" spans="1:12">
      <c r="A5222" t="s">
        <v>264</v>
      </c>
      <c r="B5222" s="10">
        <v>45357</v>
      </c>
      <c r="C5222" s="18">
        <f t="shared" si="81"/>
        <v>3</v>
      </c>
      <c r="D5222" t="s">
        <v>196</v>
      </c>
      <c r="E5222">
        <v>4876950</v>
      </c>
      <c r="F5222" t="s">
        <v>8</v>
      </c>
      <c r="G5222" t="s">
        <v>202</v>
      </c>
      <c r="H5222" t="s">
        <v>259</v>
      </c>
      <c r="I5222" s="4">
        <v>30279.432800000002</v>
      </c>
      <c r="J5222" s="4">
        <v>514750.35760000005</v>
      </c>
      <c r="K5222" s="4">
        <v>-25630.7232</v>
      </c>
      <c r="L5222" s="4">
        <v>17</v>
      </c>
    </row>
    <row r="5223" spans="1:12">
      <c r="A5223" t="s">
        <v>264</v>
      </c>
      <c r="B5223" s="10">
        <v>45357</v>
      </c>
      <c r="C5223" s="18">
        <f t="shared" si="81"/>
        <v>3</v>
      </c>
      <c r="D5223" t="s">
        <v>196</v>
      </c>
      <c r="E5223">
        <v>4873806</v>
      </c>
      <c r="F5223" t="s">
        <v>8</v>
      </c>
      <c r="G5223" t="s">
        <v>204</v>
      </c>
      <c r="H5223" t="s">
        <v>215</v>
      </c>
      <c r="I5223" s="4">
        <v>75510.12079999999</v>
      </c>
      <c r="J5223" s="4">
        <v>377550.60399999993</v>
      </c>
      <c r="K5223" s="4">
        <v>-18846.12</v>
      </c>
      <c r="L5223" s="4">
        <v>5</v>
      </c>
    </row>
    <row r="5224" spans="1:12">
      <c r="A5224" t="s">
        <v>264</v>
      </c>
      <c r="B5224" s="10">
        <v>45357</v>
      </c>
      <c r="C5224" s="18">
        <f t="shared" si="81"/>
        <v>3</v>
      </c>
      <c r="D5224" t="s">
        <v>196</v>
      </c>
      <c r="E5224">
        <v>4873806</v>
      </c>
      <c r="F5224" t="s">
        <v>8</v>
      </c>
      <c r="G5224" t="s">
        <v>204</v>
      </c>
      <c r="H5224" t="s">
        <v>213</v>
      </c>
      <c r="I5224" s="4">
        <v>119484.4008</v>
      </c>
      <c r="J5224" s="4">
        <v>597422.00399999996</v>
      </c>
      <c r="K5224" s="4">
        <v>-29839.69</v>
      </c>
      <c r="L5224" s="4">
        <v>5</v>
      </c>
    </row>
    <row r="5225" spans="1:12">
      <c r="A5225" t="s">
        <v>264</v>
      </c>
      <c r="B5225" s="10">
        <v>45357</v>
      </c>
      <c r="C5225" s="18">
        <f t="shared" si="81"/>
        <v>3</v>
      </c>
      <c r="D5225" t="s">
        <v>196</v>
      </c>
      <c r="E5225">
        <v>4872163</v>
      </c>
      <c r="F5225" t="s">
        <v>8</v>
      </c>
      <c r="G5225" t="s">
        <v>203</v>
      </c>
      <c r="H5225" t="s">
        <v>245</v>
      </c>
      <c r="I5225" s="4">
        <v>100638.28079999999</v>
      </c>
      <c r="J5225" s="4">
        <v>2012765.6159999999</v>
      </c>
      <c r="K5225" s="4">
        <v>-90461.376000000004</v>
      </c>
      <c r="L5225" s="4">
        <v>20</v>
      </c>
    </row>
    <row r="5226" spans="1:12">
      <c r="A5226" t="s">
        <v>264</v>
      </c>
      <c r="B5226" s="10">
        <v>45357</v>
      </c>
      <c r="C5226" s="18">
        <f t="shared" si="81"/>
        <v>3</v>
      </c>
      <c r="D5226" t="s">
        <v>196</v>
      </c>
      <c r="E5226">
        <v>4872163</v>
      </c>
      <c r="F5226" t="s">
        <v>8</v>
      </c>
      <c r="G5226" t="s">
        <v>203</v>
      </c>
      <c r="H5226" t="s">
        <v>243</v>
      </c>
      <c r="I5226" s="4">
        <v>100638.28079999999</v>
      </c>
      <c r="J5226" s="4">
        <v>2012765.6159999999</v>
      </c>
      <c r="K5226" s="4">
        <v>-90461.376000000004</v>
      </c>
      <c r="L5226" s="4">
        <v>20</v>
      </c>
    </row>
    <row r="5227" spans="1:12">
      <c r="A5227" t="s">
        <v>264</v>
      </c>
      <c r="B5227" s="10">
        <v>45357</v>
      </c>
      <c r="C5227" s="18">
        <f t="shared" si="81"/>
        <v>3</v>
      </c>
      <c r="D5227" t="s">
        <v>196</v>
      </c>
      <c r="E5227">
        <v>4872163</v>
      </c>
      <c r="F5227" t="s">
        <v>8</v>
      </c>
      <c r="G5227" t="s">
        <v>203</v>
      </c>
      <c r="H5227" t="s">
        <v>242</v>
      </c>
      <c r="I5227" s="4">
        <v>100638.28079999999</v>
      </c>
      <c r="J5227" s="4">
        <v>2012765.6159999999</v>
      </c>
      <c r="K5227" s="4">
        <v>-90461.376000000004</v>
      </c>
      <c r="L5227" s="4">
        <v>20</v>
      </c>
    </row>
    <row r="5228" spans="1:12">
      <c r="A5228" t="s">
        <v>264</v>
      </c>
      <c r="B5228" s="10">
        <v>45357</v>
      </c>
      <c r="C5228" s="18">
        <f t="shared" si="81"/>
        <v>3</v>
      </c>
      <c r="D5228" t="s">
        <v>196</v>
      </c>
      <c r="E5228">
        <v>4872163</v>
      </c>
      <c r="F5228" t="s">
        <v>8</v>
      </c>
      <c r="G5228" t="s">
        <v>203</v>
      </c>
      <c r="H5228" t="s">
        <v>238</v>
      </c>
      <c r="I5228" s="4">
        <v>95606.36675999999</v>
      </c>
      <c r="J5228" s="4">
        <v>1912127.3351999999</v>
      </c>
      <c r="K5228" s="4">
        <v>-90461.376000000004</v>
      </c>
      <c r="L5228" s="4">
        <v>20</v>
      </c>
    </row>
    <row r="5229" spans="1:12">
      <c r="A5229" t="s">
        <v>264</v>
      </c>
      <c r="B5229" s="10">
        <v>45357</v>
      </c>
      <c r="C5229" s="18">
        <f t="shared" si="81"/>
        <v>3</v>
      </c>
      <c r="D5229" t="s">
        <v>196</v>
      </c>
      <c r="E5229">
        <v>4872163</v>
      </c>
      <c r="F5229" t="s">
        <v>8</v>
      </c>
      <c r="G5229" t="s">
        <v>203</v>
      </c>
      <c r="H5229" t="s">
        <v>232</v>
      </c>
      <c r="I5229" s="4">
        <v>100638.28079999999</v>
      </c>
      <c r="J5229" s="4">
        <v>2012765.6159999999</v>
      </c>
      <c r="K5229" s="4">
        <v>-90461.376000000004</v>
      </c>
      <c r="L5229" s="4">
        <v>20</v>
      </c>
    </row>
    <row r="5230" spans="1:12">
      <c r="A5230" t="s">
        <v>264</v>
      </c>
      <c r="B5230" s="10">
        <v>45357</v>
      </c>
      <c r="C5230" s="18">
        <f t="shared" si="81"/>
        <v>3</v>
      </c>
      <c r="D5230" t="s">
        <v>196</v>
      </c>
      <c r="E5230">
        <v>4872163</v>
      </c>
      <c r="F5230" t="s">
        <v>8</v>
      </c>
      <c r="G5230" t="s">
        <v>203</v>
      </c>
      <c r="H5230" t="s">
        <v>230</v>
      </c>
      <c r="I5230" s="4">
        <v>100638.28079999999</v>
      </c>
      <c r="J5230" s="4">
        <v>603829.68479999993</v>
      </c>
      <c r="K5230" s="4">
        <v>-27138.412800000002</v>
      </c>
      <c r="L5230" s="4">
        <v>6</v>
      </c>
    </row>
    <row r="5231" spans="1:12">
      <c r="A5231" t="s">
        <v>264</v>
      </c>
      <c r="B5231" s="10">
        <v>45357</v>
      </c>
      <c r="C5231" s="18">
        <f t="shared" si="81"/>
        <v>3</v>
      </c>
      <c r="D5231" t="s">
        <v>196</v>
      </c>
      <c r="E5231">
        <v>4872163</v>
      </c>
      <c r="F5231" t="s">
        <v>8</v>
      </c>
      <c r="G5231" t="s">
        <v>203</v>
      </c>
      <c r="H5231" t="s">
        <v>225</v>
      </c>
      <c r="I5231" s="4">
        <v>100638.28079999999</v>
      </c>
      <c r="J5231" s="4">
        <v>2616595.3007999999</v>
      </c>
      <c r="K5231" s="4">
        <v>-117599.78879999999</v>
      </c>
      <c r="L5231" s="4">
        <v>26</v>
      </c>
    </row>
    <row r="5232" spans="1:12">
      <c r="A5232" t="s">
        <v>264</v>
      </c>
      <c r="B5232" s="10">
        <v>45357</v>
      </c>
      <c r="C5232" s="18">
        <f t="shared" si="81"/>
        <v>3</v>
      </c>
      <c r="D5232" t="s">
        <v>196</v>
      </c>
      <c r="E5232">
        <v>4872163</v>
      </c>
      <c r="F5232" t="s">
        <v>8</v>
      </c>
      <c r="G5232" t="s">
        <v>203</v>
      </c>
      <c r="H5232" t="s">
        <v>223</v>
      </c>
      <c r="I5232" s="4">
        <v>100638.28079999999</v>
      </c>
      <c r="J5232" s="4">
        <v>4025531.2319999998</v>
      </c>
      <c r="K5232" s="4">
        <v>-180922.75200000001</v>
      </c>
      <c r="L5232" s="4">
        <v>40</v>
      </c>
    </row>
    <row r="5233" spans="1:12">
      <c r="A5233" t="s">
        <v>264</v>
      </c>
      <c r="B5233" s="10">
        <v>45357</v>
      </c>
      <c r="C5233" s="18">
        <f t="shared" si="81"/>
        <v>3</v>
      </c>
      <c r="D5233" t="s">
        <v>196</v>
      </c>
      <c r="E5233">
        <v>4872163</v>
      </c>
      <c r="F5233" t="s">
        <v>8</v>
      </c>
      <c r="G5233" t="s">
        <v>203</v>
      </c>
      <c r="H5233" t="s">
        <v>222</v>
      </c>
      <c r="I5233" s="4">
        <v>100638.28079999999</v>
      </c>
      <c r="J5233" s="4">
        <v>4025531.2319999998</v>
      </c>
      <c r="K5233" s="4">
        <v>-180922.75200000001</v>
      </c>
      <c r="L5233" s="4">
        <v>40</v>
      </c>
    </row>
    <row r="5234" spans="1:12">
      <c r="A5234" t="s">
        <v>264</v>
      </c>
      <c r="B5234" s="10">
        <v>45357</v>
      </c>
      <c r="C5234" s="18">
        <f t="shared" si="81"/>
        <v>3</v>
      </c>
      <c r="D5234" t="s">
        <v>196</v>
      </c>
      <c r="E5234">
        <v>4872163</v>
      </c>
      <c r="F5234" t="s">
        <v>8</v>
      </c>
      <c r="G5234" t="s">
        <v>203</v>
      </c>
      <c r="H5234" t="s">
        <v>235</v>
      </c>
      <c r="I5234" s="4">
        <v>125766.4408</v>
      </c>
      <c r="J5234" s="4">
        <v>1257664.4080000001</v>
      </c>
      <c r="K5234" s="4">
        <v>-58422.972000000002</v>
      </c>
      <c r="L5234" s="4">
        <v>10</v>
      </c>
    </row>
    <row r="5235" spans="1:12">
      <c r="A5235" t="s">
        <v>264</v>
      </c>
      <c r="B5235" s="10">
        <v>45357</v>
      </c>
      <c r="C5235" s="18">
        <f t="shared" si="81"/>
        <v>3</v>
      </c>
      <c r="D5235" t="s">
        <v>196</v>
      </c>
      <c r="E5235">
        <v>4872163</v>
      </c>
      <c r="F5235" t="s">
        <v>8</v>
      </c>
      <c r="G5235" t="s">
        <v>203</v>
      </c>
      <c r="H5235" t="s">
        <v>233</v>
      </c>
      <c r="I5235" s="4">
        <v>120735.78316800001</v>
      </c>
      <c r="J5235" s="4">
        <v>1207357.8316800001</v>
      </c>
      <c r="K5235" s="4">
        <v>-58422.972000000002</v>
      </c>
      <c r="L5235" s="4">
        <v>10</v>
      </c>
    </row>
    <row r="5236" spans="1:12">
      <c r="A5236" t="s">
        <v>264</v>
      </c>
      <c r="B5236" s="10">
        <v>45358</v>
      </c>
      <c r="C5236" s="18">
        <f t="shared" si="81"/>
        <v>3</v>
      </c>
      <c r="D5236" t="s">
        <v>196</v>
      </c>
      <c r="E5236">
        <v>4871600</v>
      </c>
      <c r="F5236" t="s">
        <v>8</v>
      </c>
      <c r="G5236" t="s">
        <v>206</v>
      </c>
      <c r="H5236" t="s">
        <v>209</v>
      </c>
      <c r="I5236" s="4">
        <v>17715.352800000001</v>
      </c>
      <c r="J5236" s="4">
        <v>177153.52799999999</v>
      </c>
      <c r="K5236" s="4">
        <v>-17589.712</v>
      </c>
      <c r="L5236" s="4">
        <v>10</v>
      </c>
    </row>
    <row r="5237" spans="1:12">
      <c r="A5237" t="s">
        <v>264</v>
      </c>
      <c r="B5237" s="10">
        <v>45358</v>
      </c>
      <c r="C5237" s="18">
        <f t="shared" si="81"/>
        <v>3</v>
      </c>
      <c r="D5237" t="s">
        <v>196</v>
      </c>
      <c r="E5237">
        <v>4872571</v>
      </c>
      <c r="F5237" t="s">
        <v>8</v>
      </c>
      <c r="G5237" t="s">
        <v>203</v>
      </c>
      <c r="H5237" t="s">
        <v>243</v>
      </c>
      <c r="I5237" s="4">
        <v>100638.28079999999</v>
      </c>
      <c r="J5237" s="4">
        <v>1006382.808</v>
      </c>
      <c r="K5237" s="4">
        <v>-45230.688000000002</v>
      </c>
      <c r="L5237" s="4">
        <v>10</v>
      </c>
    </row>
    <row r="5238" spans="1:12">
      <c r="A5238" t="s">
        <v>264</v>
      </c>
      <c r="B5238" s="10">
        <v>45358</v>
      </c>
      <c r="C5238" s="18">
        <f t="shared" si="81"/>
        <v>3</v>
      </c>
      <c r="D5238" t="s">
        <v>196</v>
      </c>
      <c r="E5238">
        <v>4872571</v>
      </c>
      <c r="F5238" t="s">
        <v>8</v>
      </c>
      <c r="G5238" t="s">
        <v>203</v>
      </c>
      <c r="H5238" t="s">
        <v>242</v>
      </c>
      <c r="I5238" s="4">
        <v>100638.28079999999</v>
      </c>
      <c r="J5238" s="4">
        <v>1006382.808</v>
      </c>
      <c r="K5238" s="4">
        <v>-45230.688000000002</v>
      </c>
      <c r="L5238" s="4">
        <v>10</v>
      </c>
    </row>
    <row r="5239" spans="1:12">
      <c r="A5239" t="s">
        <v>264</v>
      </c>
      <c r="B5239" s="10">
        <v>45358</v>
      </c>
      <c r="C5239" s="18">
        <f t="shared" si="81"/>
        <v>3</v>
      </c>
      <c r="D5239" t="s">
        <v>196</v>
      </c>
      <c r="E5239">
        <v>4872571</v>
      </c>
      <c r="F5239" t="s">
        <v>8</v>
      </c>
      <c r="G5239" t="s">
        <v>203</v>
      </c>
      <c r="H5239" t="s">
        <v>240</v>
      </c>
      <c r="I5239" s="4">
        <v>100638.28079999999</v>
      </c>
      <c r="J5239" s="4">
        <v>1006382.808</v>
      </c>
      <c r="K5239" s="4">
        <v>-45230.688000000002</v>
      </c>
      <c r="L5239" s="4">
        <v>10</v>
      </c>
    </row>
    <row r="5240" spans="1:12">
      <c r="A5240" t="s">
        <v>264</v>
      </c>
      <c r="B5240" s="10">
        <v>45358</v>
      </c>
      <c r="C5240" s="18">
        <f t="shared" si="81"/>
        <v>3</v>
      </c>
      <c r="D5240" t="s">
        <v>196</v>
      </c>
      <c r="E5240">
        <v>4872571</v>
      </c>
      <c r="F5240" t="s">
        <v>8</v>
      </c>
      <c r="G5240" t="s">
        <v>203</v>
      </c>
      <c r="H5240" t="s">
        <v>238</v>
      </c>
      <c r="I5240" s="4">
        <v>95606.36675999999</v>
      </c>
      <c r="J5240" s="4">
        <v>956063.66759999993</v>
      </c>
      <c r="K5240" s="4">
        <v>-45230.688000000002</v>
      </c>
      <c r="L5240" s="4">
        <v>10</v>
      </c>
    </row>
    <row r="5241" spans="1:12">
      <c r="A5241" t="s">
        <v>264</v>
      </c>
      <c r="B5241" s="10">
        <v>45358</v>
      </c>
      <c r="C5241" s="18">
        <f t="shared" si="81"/>
        <v>3</v>
      </c>
      <c r="D5241" t="s">
        <v>196</v>
      </c>
      <c r="E5241">
        <v>4872571</v>
      </c>
      <c r="F5241" t="s">
        <v>8</v>
      </c>
      <c r="G5241" t="s">
        <v>203</v>
      </c>
      <c r="H5241" t="s">
        <v>222</v>
      </c>
      <c r="I5241" s="4">
        <v>100638.28079999999</v>
      </c>
      <c r="J5241" s="4">
        <v>1006382.808</v>
      </c>
      <c r="K5241" s="4">
        <v>-45230.688000000002</v>
      </c>
      <c r="L5241" s="4">
        <v>10</v>
      </c>
    </row>
    <row r="5242" spans="1:12">
      <c r="A5242" t="s">
        <v>264</v>
      </c>
      <c r="B5242" s="10">
        <v>45358</v>
      </c>
      <c r="C5242" s="18">
        <f t="shared" si="81"/>
        <v>3</v>
      </c>
      <c r="D5242" t="s">
        <v>196</v>
      </c>
      <c r="E5242">
        <v>4872571</v>
      </c>
      <c r="F5242" t="s">
        <v>8</v>
      </c>
      <c r="G5242" t="s">
        <v>203</v>
      </c>
      <c r="H5242" t="s">
        <v>241</v>
      </c>
      <c r="I5242" s="4">
        <v>125766.4408</v>
      </c>
      <c r="J5242" s="4">
        <v>1257664.4080000001</v>
      </c>
      <c r="K5242" s="4">
        <v>-58422.972000000002</v>
      </c>
      <c r="L5242" s="4">
        <v>10</v>
      </c>
    </row>
    <row r="5243" spans="1:12">
      <c r="A5243" t="s">
        <v>264</v>
      </c>
      <c r="B5243" s="10">
        <v>45358</v>
      </c>
      <c r="C5243" s="18">
        <f t="shared" si="81"/>
        <v>3</v>
      </c>
      <c r="D5243" t="s">
        <v>196</v>
      </c>
      <c r="E5243">
        <v>4872571</v>
      </c>
      <c r="F5243" t="s">
        <v>8</v>
      </c>
      <c r="G5243" t="s">
        <v>203</v>
      </c>
      <c r="H5243" t="s">
        <v>237</v>
      </c>
      <c r="I5243" s="4">
        <v>125766.4408</v>
      </c>
      <c r="J5243" s="4">
        <v>1257664.4080000001</v>
      </c>
      <c r="K5243" s="4">
        <v>-58422.972000000002</v>
      </c>
      <c r="L5243" s="4">
        <v>10</v>
      </c>
    </row>
    <row r="5244" spans="1:12">
      <c r="A5244" t="s">
        <v>264</v>
      </c>
      <c r="B5244" s="10">
        <v>45358</v>
      </c>
      <c r="C5244" s="18">
        <f t="shared" si="81"/>
        <v>3</v>
      </c>
      <c r="D5244" t="s">
        <v>196</v>
      </c>
      <c r="E5244">
        <v>4872571</v>
      </c>
      <c r="F5244" t="s">
        <v>8</v>
      </c>
      <c r="G5244" t="s">
        <v>203</v>
      </c>
      <c r="H5244" t="s">
        <v>235</v>
      </c>
      <c r="I5244" s="4">
        <v>125766.4408</v>
      </c>
      <c r="J5244" s="4">
        <v>1257664.4080000001</v>
      </c>
      <c r="K5244" s="4">
        <v>-58422.972000000002</v>
      </c>
      <c r="L5244" s="4">
        <v>10</v>
      </c>
    </row>
    <row r="5245" spans="1:12">
      <c r="A5245" t="s">
        <v>264</v>
      </c>
      <c r="B5245" s="10">
        <v>45358</v>
      </c>
      <c r="C5245" s="18">
        <f t="shared" si="81"/>
        <v>3</v>
      </c>
      <c r="D5245" t="s">
        <v>196</v>
      </c>
      <c r="E5245">
        <v>4873921</v>
      </c>
      <c r="F5245" t="s">
        <v>8</v>
      </c>
      <c r="G5245" t="s">
        <v>204</v>
      </c>
      <c r="H5245" t="s">
        <v>216</v>
      </c>
      <c r="I5245" s="4">
        <v>113202.36079999999</v>
      </c>
      <c r="J5245" s="4">
        <v>113202.36079999999</v>
      </c>
      <c r="K5245" s="4">
        <v>-5653.8360000000002</v>
      </c>
      <c r="L5245" s="4">
        <v>1</v>
      </c>
    </row>
    <row r="5246" spans="1:12">
      <c r="A5246" t="s">
        <v>264</v>
      </c>
      <c r="B5246" s="10">
        <v>45358</v>
      </c>
      <c r="C5246" s="18">
        <f t="shared" si="81"/>
        <v>3</v>
      </c>
      <c r="D5246" t="s">
        <v>196</v>
      </c>
      <c r="E5246">
        <v>4873921</v>
      </c>
      <c r="F5246" t="s">
        <v>8</v>
      </c>
      <c r="G5246" t="s">
        <v>204</v>
      </c>
      <c r="H5246" t="s">
        <v>215</v>
      </c>
      <c r="I5246" s="4">
        <v>75510.12079999999</v>
      </c>
      <c r="J5246" s="4">
        <v>75510.12079999999</v>
      </c>
      <c r="K5246" s="4">
        <v>-3769.2239999999997</v>
      </c>
      <c r="L5246" s="4">
        <v>1</v>
      </c>
    </row>
    <row r="5247" spans="1:12">
      <c r="A5247" t="s">
        <v>264</v>
      </c>
      <c r="B5247" s="10">
        <v>45358</v>
      </c>
      <c r="C5247" s="18">
        <f t="shared" si="81"/>
        <v>3</v>
      </c>
      <c r="D5247" t="s">
        <v>196</v>
      </c>
      <c r="E5247">
        <v>4873615</v>
      </c>
      <c r="F5247" t="s">
        <v>8</v>
      </c>
      <c r="G5247" t="s">
        <v>205</v>
      </c>
      <c r="H5247" t="s">
        <v>211</v>
      </c>
      <c r="I5247" s="4">
        <v>5151.2727999999997</v>
      </c>
      <c r="J5247" s="4">
        <v>257563.63999999998</v>
      </c>
      <c r="K5247" s="4">
        <v>-12564.08</v>
      </c>
      <c r="L5247" s="4">
        <v>50</v>
      </c>
    </row>
    <row r="5248" spans="1:12">
      <c r="A5248" t="s">
        <v>264</v>
      </c>
      <c r="B5248" s="10">
        <v>45358</v>
      </c>
      <c r="C5248" s="18">
        <f t="shared" si="81"/>
        <v>3</v>
      </c>
      <c r="D5248" t="s">
        <v>196</v>
      </c>
      <c r="E5248">
        <v>4875980</v>
      </c>
      <c r="F5248" t="s">
        <v>8</v>
      </c>
      <c r="G5248" t="s">
        <v>203</v>
      </c>
      <c r="H5248" t="s">
        <v>228</v>
      </c>
      <c r="I5248" s="4">
        <v>100638.28079999999</v>
      </c>
      <c r="J5248" s="4">
        <v>402553.12319999997</v>
      </c>
      <c r="K5248" s="4">
        <v>-18092.2752</v>
      </c>
      <c r="L5248" s="4">
        <v>4</v>
      </c>
    </row>
    <row r="5249" spans="1:12">
      <c r="A5249" t="s">
        <v>264</v>
      </c>
      <c r="B5249" s="10">
        <v>45358</v>
      </c>
      <c r="C5249" s="18">
        <f t="shared" si="81"/>
        <v>3</v>
      </c>
      <c r="D5249" t="s">
        <v>196</v>
      </c>
      <c r="E5249">
        <v>4875980</v>
      </c>
      <c r="F5249" t="s">
        <v>8</v>
      </c>
      <c r="G5249" t="s">
        <v>203</v>
      </c>
      <c r="H5249" t="s">
        <v>227</v>
      </c>
      <c r="I5249" s="4">
        <v>100638.28079999999</v>
      </c>
      <c r="J5249" s="4">
        <v>603829.68479999993</v>
      </c>
      <c r="K5249" s="4">
        <v>-27138.412800000002</v>
      </c>
      <c r="L5249" s="4">
        <v>6</v>
      </c>
    </row>
    <row r="5250" spans="1:12">
      <c r="A5250" t="s">
        <v>264</v>
      </c>
      <c r="B5250" s="10">
        <v>45358</v>
      </c>
      <c r="C5250" s="18">
        <f t="shared" ref="C5250:C5313" si="82">MONTH(B5250)</f>
        <v>3</v>
      </c>
      <c r="D5250" t="s">
        <v>196</v>
      </c>
      <c r="E5250">
        <v>4875980</v>
      </c>
      <c r="F5250" t="s">
        <v>8</v>
      </c>
      <c r="G5250" t="s">
        <v>203</v>
      </c>
      <c r="H5250" t="s">
        <v>223</v>
      </c>
      <c r="I5250" s="4">
        <v>100638.28079999999</v>
      </c>
      <c r="J5250" s="4">
        <v>402553.12319999997</v>
      </c>
      <c r="K5250" s="4">
        <v>-18092.2752</v>
      </c>
      <c r="L5250" s="4">
        <v>4</v>
      </c>
    </row>
    <row r="5251" spans="1:12">
      <c r="A5251" t="s">
        <v>264</v>
      </c>
      <c r="B5251" s="10">
        <v>45358</v>
      </c>
      <c r="C5251" s="18">
        <f t="shared" si="82"/>
        <v>3</v>
      </c>
      <c r="D5251" t="s">
        <v>196</v>
      </c>
      <c r="E5251">
        <v>4875980</v>
      </c>
      <c r="F5251" t="s">
        <v>8</v>
      </c>
      <c r="G5251" t="s">
        <v>203</v>
      </c>
      <c r="H5251" t="s">
        <v>222</v>
      </c>
      <c r="I5251" s="4">
        <v>100638.28079999999</v>
      </c>
      <c r="J5251" s="4">
        <v>603829.68479999993</v>
      </c>
      <c r="K5251" s="4">
        <v>-27138.412800000002</v>
      </c>
      <c r="L5251" s="4">
        <v>6</v>
      </c>
    </row>
    <row r="5252" spans="1:12">
      <c r="A5252" t="s">
        <v>264</v>
      </c>
      <c r="B5252" s="10">
        <v>45358</v>
      </c>
      <c r="C5252" s="18">
        <f t="shared" si="82"/>
        <v>3</v>
      </c>
      <c r="D5252" t="s">
        <v>196</v>
      </c>
      <c r="E5252">
        <v>4876950</v>
      </c>
      <c r="F5252" t="s">
        <v>8</v>
      </c>
      <c r="G5252" t="s">
        <v>204</v>
      </c>
      <c r="H5252" t="s">
        <v>218</v>
      </c>
      <c r="I5252" s="4">
        <v>71740.896800000002</v>
      </c>
      <c r="J5252" s="4">
        <v>430445.38080000004</v>
      </c>
      <c r="K5252" s="4">
        <v>-21484.576799999999</v>
      </c>
      <c r="L5252" s="4">
        <v>6</v>
      </c>
    </row>
    <row r="5253" spans="1:12">
      <c r="A5253" t="s">
        <v>264</v>
      </c>
      <c r="B5253" s="10">
        <v>45358</v>
      </c>
      <c r="C5253" s="18">
        <f t="shared" si="82"/>
        <v>3</v>
      </c>
      <c r="D5253" t="s">
        <v>196</v>
      </c>
      <c r="E5253">
        <v>4876950</v>
      </c>
      <c r="F5253" t="s">
        <v>8</v>
      </c>
      <c r="G5253" t="s">
        <v>204</v>
      </c>
      <c r="H5253" t="s">
        <v>214</v>
      </c>
      <c r="I5253" s="4">
        <v>119484.4008</v>
      </c>
      <c r="J5253" s="4">
        <v>955875.20640000002</v>
      </c>
      <c r="K5253" s="4">
        <v>-47743.504000000001</v>
      </c>
      <c r="L5253" s="4">
        <v>8</v>
      </c>
    </row>
    <row r="5254" spans="1:12">
      <c r="A5254" t="s">
        <v>264</v>
      </c>
      <c r="B5254" s="10">
        <v>45358</v>
      </c>
      <c r="C5254" s="18">
        <f t="shared" si="82"/>
        <v>3</v>
      </c>
      <c r="D5254" t="s">
        <v>196</v>
      </c>
      <c r="E5254">
        <v>4876950</v>
      </c>
      <c r="F5254" t="s">
        <v>8</v>
      </c>
      <c r="G5254" t="s">
        <v>202</v>
      </c>
      <c r="H5254" t="s">
        <v>257</v>
      </c>
      <c r="I5254" s="4">
        <v>56664.000799999994</v>
      </c>
      <c r="J5254" s="4">
        <v>283320.00399999996</v>
      </c>
      <c r="K5254" s="4">
        <v>-14134.59</v>
      </c>
      <c r="L5254" s="4">
        <v>5</v>
      </c>
    </row>
    <row r="5255" spans="1:12">
      <c r="A5255" t="s">
        <v>264</v>
      </c>
      <c r="B5255" s="10">
        <v>45358</v>
      </c>
      <c r="C5255" s="18">
        <f t="shared" si="82"/>
        <v>3</v>
      </c>
      <c r="D5255" t="s">
        <v>196</v>
      </c>
      <c r="E5255">
        <v>4879214</v>
      </c>
      <c r="F5255" t="s">
        <v>8</v>
      </c>
      <c r="G5255" t="s">
        <v>204</v>
      </c>
      <c r="H5255" t="s">
        <v>220</v>
      </c>
      <c r="I5255" s="4">
        <v>37817.880799999999</v>
      </c>
      <c r="J5255" s="4">
        <v>151271.5232</v>
      </c>
      <c r="K5255" s="4">
        <v>-7538.4479999999994</v>
      </c>
      <c r="L5255" s="4">
        <v>4</v>
      </c>
    </row>
    <row r="5256" spans="1:12">
      <c r="A5256" t="s">
        <v>264</v>
      </c>
      <c r="B5256" s="10">
        <v>45358</v>
      </c>
      <c r="C5256" s="18">
        <f t="shared" si="82"/>
        <v>3</v>
      </c>
      <c r="D5256" t="s">
        <v>196</v>
      </c>
      <c r="E5256">
        <v>4871657</v>
      </c>
      <c r="F5256" t="s">
        <v>8</v>
      </c>
      <c r="G5256" t="s">
        <v>202</v>
      </c>
      <c r="H5256" t="s">
        <v>261</v>
      </c>
      <c r="I5256" s="4">
        <v>41587.104800000001</v>
      </c>
      <c r="J5256" s="4">
        <v>582219.46720000007</v>
      </c>
      <c r="L5256" s="4">
        <v>14</v>
      </c>
    </row>
    <row r="5257" spans="1:12">
      <c r="A5257" t="s">
        <v>264</v>
      </c>
      <c r="B5257" s="10">
        <v>45358</v>
      </c>
      <c r="C5257" s="18">
        <f t="shared" si="82"/>
        <v>3</v>
      </c>
      <c r="D5257" t="s">
        <v>196</v>
      </c>
      <c r="E5257">
        <v>4875440</v>
      </c>
      <c r="F5257" t="s">
        <v>8</v>
      </c>
      <c r="G5257" t="s">
        <v>205</v>
      </c>
      <c r="H5257" t="s">
        <v>246</v>
      </c>
      <c r="I5257" s="4">
        <v>5967.9380000000001</v>
      </c>
      <c r="J5257" s="4">
        <v>298396.90000000002</v>
      </c>
      <c r="K5257" s="4">
        <v>-15705.1</v>
      </c>
      <c r="L5257" s="4">
        <v>50</v>
      </c>
    </row>
    <row r="5258" spans="1:12">
      <c r="A5258" t="s">
        <v>264</v>
      </c>
      <c r="B5258" s="10">
        <v>45358</v>
      </c>
      <c r="C5258" s="18">
        <f t="shared" si="82"/>
        <v>3</v>
      </c>
      <c r="D5258" t="s">
        <v>196</v>
      </c>
      <c r="E5258">
        <v>4873723</v>
      </c>
      <c r="F5258" t="s">
        <v>8</v>
      </c>
      <c r="G5258" t="s">
        <v>205</v>
      </c>
      <c r="H5258" t="s">
        <v>246</v>
      </c>
      <c r="I5258" s="4">
        <v>5967.9380000000001</v>
      </c>
      <c r="J5258" s="4">
        <v>59679.380000000005</v>
      </c>
      <c r="K5258" s="4">
        <v>-3141.02</v>
      </c>
      <c r="L5258" s="4">
        <v>10</v>
      </c>
    </row>
    <row r="5259" spans="1:12">
      <c r="A5259" t="s">
        <v>264</v>
      </c>
      <c r="B5259" s="10">
        <v>45358</v>
      </c>
      <c r="C5259" s="18">
        <f t="shared" si="82"/>
        <v>3</v>
      </c>
      <c r="D5259" t="s">
        <v>196</v>
      </c>
      <c r="E5259">
        <v>4873352</v>
      </c>
      <c r="F5259" t="s">
        <v>8</v>
      </c>
      <c r="G5259" t="s">
        <v>202</v>
      </c>
      <c r="H5259" t="s">
        <v>260</v>
      </c>
      <c r="I5259" s="4">
        <v>41587.104800000001</v>
      </c>
      <c r="J5259" s="4">
        <v>2079355.24</v>
      </c>
      <c r="K5259" s="4">
        <v>-103653.66</v>
      </c>
      <c r="L5259" s="4">
        <v>50</v>
      </c>
    </row>
    <row r="5260" spans="1:12">
      <c r="A5260" t="s">
        <v>264</v>
      </c>
      <c r="B5260" s="10">
        <v>45358</v>
      </c>
      <c r="C5260" s="18">
        <f t="shared" si="82"/>
        <v>3</v>
      </c>
      <c r="D5260" t="s">
        <v>196</v>
      </c>
      <c r="E5260">
        <v>4877306</v>
      </c>
      <c r="F5260" t="s">
        <v>8</v>
      </c>
      <c r="G5260" t="s">
        <v>203</v>
      </c>
      <c r="H5260" t="s">
        <v>243</v>
      </c>
      <c r="I5260" s="4">
        <v>100638.28079999999</v>
      </c>
      <c r="J5260" s="4">
        <v>402553.12319999997</v>
      </c>
      <c r="K5260" s="4">
        <v>-18092.2752</v>
      </c>
      <c r="L5260" s="4">
        <v>4</v>
      </c>
    </row>
    <row r="5261" spans="1:12">
      <c r="A5261" t="s">
        <v>264</v>
      </c>
      <c r="B5261" s="10">
        <v>45358</v>
      </c>
      <c r="C5261" s="18">
        <f t="shared" si="82"/>
        <v>3</v>
      </c>
      <c r="D5261" t="s">
        <v>196</v>
      </c>
      <c r="E5261">
        <v>4877306</v>
      </c>
      <c r="F5261" t="s">
        <v>8</v>
      </c>
      <c r="G5261" t="s">
        <v>203</v>
      </c>
      <c r="H5261" t="s">
        <v>236</v>
      </c>
      <c r="I5261" s="4">
        <v>100638.28079999999</v>
      </c>
      <c r="J5261" s="4">
        <v>402553.12319999997</v>
      </c>
      <c r="K5261" s="4">
        <v>-18092.2752</v>
      </c>
      <c r="L5261" s="4">
        <v>4</v>
      </c>
    </row>
    <row r="5262" spans="1:12">
      <c r="A5262" t="s">
        <v>264</v>
      </c>
      <c r="B5262" s="10">
        <v>45358</v>
      </c>
      <c r="C5262" s="18">
        <f t="shared" si="82"/>
        <v>3</v>
      </c>
      <c r="D5262" t="s">
        <v>196</v>
      </c>
      <c r="E5262">
        <v>4877306</v>
      </c>
      <c r="F5262" t="s">
        <v>8</v>
      </c>
      <c r="G5262" t="s">
        <v>203</v>
      </c>
      <c r="H5262" t="s">
        <v>234</v>
      </c>
      <c r="I5262" s="4">
        <v>100638.28079999999</v>
      </c>
      <c r="J5262" s="4">
        <v>402553.12319999997</v>
      </c>
      <c r="K5262" s="4">
        <v>-18092.2752</v>
      </c>
      <c r="L5262" s="4">
        <v>4</v>
      </c>
    </row>
    <row r="5263" spans="1:12">
      <c r="A5263" t="s">
        <v>264</v>
      </c>
      <c r="B5263" s="10">
        <v>45359</v>
      </c>
      <c r="C5263" s="18">
        <f t="shared" si="82"/>
        <v>3</v>
      </c>
      <c r="D5263" t="s">
        <v>196</v>
      </c>
      <c r="E5263">
        <v>4878874</v>
      </c>
      <c r="F5263" t="s">
        <v>8</v>
      </c>
      <c r="G5263" t="s">
        <v>206</v>
      </c>
      <c r="H5263" t="s">
        <v>249</v>
      </c>
      <c r="I5263" s="4">
        <v>17715.352800000001</v>
      </c>
      <c r="J5263" s="4">
        <v>1771535.28</v>
      </c>
      <c r="K5263" s="4">
        <v>-175897.12</v>
      </c>
      <c r="L5263" s="4">
        <v>100</v>
      </c>
    </row>
    <row r="5264" spans="1:12">
      <c r="A5264" t="s">
        <v>264</v>
      </c>
      <c r="B5264" s="10">
        <v>45359</v>
      </c>
      <c r="C5264" s="18">
        <f t="shared" si="82"/>
        <v>3</v>
      </c>
      <c r="D5264" t="s">
        <v>196</v>
      </c>
      <c r="E5264">
        <v>4872706</v>
      </c>
      <c r="F5264" t="s">
        <v>8</v>
      </c>
      <c r="G5264" t="s">
        <v>204</v>
      </c>
      <c r="H5264" t="s">
        <v>219</v>
      </c>
      <c r="I5264" s="4">
        <v>44099.9208</v>
      </c>
      <c r="J5264" s="4">
        <v>264599.52480000001</v>
      </c>
      <c r="K5264" s="4">
        <v>-11307.672</v>
      </c>
      <c r="L5264" s="4">
        <v>6</v>
      </c>
    </row>
    <row r="5265" spans="1:12">
      <c r="A5265" t="s">
        <v>264</v>
      </c>
      <c r="B5265" s="10">
        <v>45359</v>
      </c>
      <c r="C5265" s="18">
        <f t="shared" si="82"/>
        <v>3</v>
      </c>
      <c r="D5265" t="s">
        <v>196</v>
      </c>
      <c r="E5265">
        <v>4872706</v>
      </c>
      <c r="F5265" t="s">
        <v>8</v>
      </c>
      <c r="G5265" t="s">
        <v>204</v>
      </c>
      <c r="H5265" t="s">
        <v>215</v>
      </c>
      <c r="I5265" s="4">
        <v>75510.12079999999</v>
      </c>
      <c r="J5265" s="4">
        <v>906121.44959999993</v>
      </c>
      <c r="K5265" s="4">
        <v>-45230.688000000002</v>
      </c>
      <c r="L5265" s="4">
        <v>12</v>
      </c>
    </row>
    <row r="5266" spans="1:12">
      <c r="A5266" t="s">
        <v>264</v>
      </c>
      <c r="B5266" s="10">
        <v>45359</v>
      </c>
      <c r="C5266" s="18">
        <f t="shared" si="82"/>
        <v>3</v>
      </c>
      <c r="D5266" t="s">
        <v>196</v>
      </c>
      <c r="E5266">
        <v>4873570</v>
      </c>
      <c r="F5266" t="s">
        <v>8</v>
      </c>
      <c r="G5266" t="s">
        <v>203</v>
      </c>
      <c r="H5266" t="s">
        <v>245</v>
      </c>
      <c r="I5266" s="4">
        <v>100638.28079999999</v>
      </c>
      <c r="J5266" s="4">
        <v>603829.68479999993</v>
      </c>
      <c r="K5266" s="4">
        <v>-27138.412800000002</v>
      </c>
      <c r="L5266" s="4">
        <v>6</v>
      </c>
    </row>
    <row r="5267" spans="1:12">
      <c r="A5267" t="s">
        <v>264</v>
      </c>
      <c r="B5267" s="10">
        <v>45359</v>
      </c>
      <c r="C5267" s="18">
        <f t="shared" si="82"/>
        <v>3</v>
      </c>
      <c r="D5267" t="s">
        <v>196</v>
      </c>
      <c r="E5267">
        <v>4873570</v>
      </c>
      <c r="F5267" t="s">
        <v>8</v>
      </c>
      <c r="G5267" t="s">
        <v>203</v>
      </c>
      <c r="H5267" t="s">
        <v>243</v>
      </c>
      <c r="I5267" s="4">
        <v>100638.28079999999</v>
      </c>
      <c r="J5267" s="4">
        <v>603829.68479999993</v>
      </c>
      <c r="K5267" s="4">
        <v>-27138.412800000002</v>
      </c>
      <c r="L5267" s="4">
        <v>6</v>
      </c>
    </row>
    <row r="5268" spans="1:12">
      <c r="A5268" t="s">
        <v>264</v>
      </c>
      <c r="B5268" s="10">
        <v>45359</v>
      </c>
      <c r="C5268" s="18">
        <f t="shared" si="82"/>
        <v>3</v>
      </c>
      <c r="D5268" t="s">
        <v>196</v>
      </c>
      <c r="E5268">
        <v>4873570</v>
      </c>
      <c r="F5268" t="s">
        <v>8</v>
      </c>
      <c r="G5268" t="s">
        <v>203</v>
      </c>
      <c r="H5268" t="s">
        <v>240</v>
      </c>
      <c r="I5268" s="4">
        <v>100638.28079999999</v>
      </c>
      <c r="J5268" s="4">
        <v>603829.68479999993</v>
      </c>
      <c r="K5268" s="4">
        <v>-27138.412800000002</v>
      </c>
      <c r="L5268" s="4">
        <v>6</v>
      </c>
    </row>
    <row r="5269" spans="1:12">
      <c r="A5269" t="s">
        <v>264</v>
      </c>
      <c r="B5269" s="10">
        <v>45359</v>
      </c>
      <c r="C5269" s="18">
        <f t="shared" si="82"/>
        <v>3</v>
      </c>
      <c r="D5269" t="s">
        <v>196</v>
      </c>
      <c r="E5269">
        <v>4873570</v>
      </c>
      <c r="F5269" t="s">
        <v>8</v>
      </c>
      <c r="G5269" t="s">
        <v>203</v>
      </c>
      <c r="H5269" t="s">
        <v>238</v>
      </c>
      <c r="I5269" s="4">
        <v>95606.36675999999</v>
      </c>
      <c r="J5269" s="4">
        <v>573638.20055999991</v>
      </c>
      <c r="K5269" s="4">
        <v>-27138.412800000002</v>
      </c>
      <c r="L5269" s="4">
        <v>6</v>
      </c>
    </row>
    <row r="5270" spans="1:12">
      <c r="A5270" t="s">
        <v>264</v>
      </c>
      <c r="B5270" s="10">
        <v>45359</v>
      </c>
      <c r="C5270" s="18">
        <f t="shared" si="82"/>
        <v>3</v>
      </c>
      <c r="D5270" t="s">
        <v>196</v>
      </c>
      <c r="E5270">
        <v>4873570</v>
      </c>
      <c r="F5270" t="s">
        <v>8</v>
      </c>
      <c r="G5270" t="s">
        <v>203</v>
      </c>
      <c r="H5270" t="s">
        <v>227</v>
      </c>
      <c r="I5270" s="4">
        <v>100638.28079999999</v>
      </c>
      <c r="J5270" s="4">
        <v>603829.68479999993</v>
      </c>
      <c r="K5270" s="4">
        <v>-27138.412800000002</v>
      </c>
      <c r="L5270" s="4">
        <v>6</v>
      </c>
    </row>
    <row r="5271" spans="1:12">
      <c r="A5271" t="s">
        <v>264</v>
      </c>
      <c r="B5271" s="10">
        <v>45359</v>
      </c>
      <c r="C5271" s="18">
        <f t="shared" si="82"/>
        <v>3</v>
      </c>
      <c r="D5271" t="s">
        <v>196</v>
      </c>
      <c r="E5271">
        <v>4873570</v>
      </c>
      <c r="F5271" t="s">
        <v>8</v>
      </c>
      <c r="G5271" t="s">
        <v>203</v>
      </c>
      <c r="H5271" t="s">
        <v>226</v>
      </c>
      <c r="I5271" s="4">
        <v>100638.28079999999</v>
      </c>
      <c r="J5271" s="4">
        <v>603829.68479999993</v>
      </c>
      <c r="K5271" s="4">
        <v>-27138.412800000002</v>
      </c>
      <c r="L5271" s="4">
        <v>6</v>
      </c>
    </row>
    <row r="5272" spans="1:12">
      <c r="A5272" t="s">
        <v>264</v>
      </c>
      <c r="B5272" s="10">
        <v>45359</v>
      </c>
      <c r="C5272" s="18">
        <f t="shared" si="82"/>
        <v>3</v>
      </c>
      <c r="D5272" t="s">
        <v>196</v>
      </c>
      <c r="E5272">
        <v>4873570</v>
      </c>
      <c r="F5272" t="s">
        <v>8</v>
      </c>
      <c r="G5272" t="s">
        <v>203</v>
      </c>
      <c r="H5272" t="s">
        <v>224</v>
      </c>
      <c r="I5272" s="4">
        <v>100638.28079999999</v>
      </c>
      <c r="J5272" s="4">
        <v>603829.68479999993</v>
      </c>
      <c r="K5272" s="4">
        <v>-27138.412800000002</v>
      </c>
      <c r="L5272" s="4">
        <v>6</v>
      </c>
    </row>
    <row r="5273" spans="1:12">
      <c r="A5273" t="s">
        <v>264</v>
      </c>
      <c r="B5273" s="10">
        <v>45359</v>
      </c>
      <c r="C5273" s="18">
        <f t="shared" si="82"/>
        <v>3</v>
      </c>
      <c r="D5273" t="s">
        <v>196</v>
      </c>
      <c r="E5273">
        <v>4873570</v>
      </c>
      <c r="F5273" t="s">
        <v>8</v>
      </c>
      <c r="G5273" t="s">
        <v>203</v>
      </c>
      <c r="H5273" t="s">
        <v>223</v>
      </c>
      <c r="I5273" s="4">
        <v>100638.28079999999</v>
      </c>
      <c r="J5273" s="4">
        <v>603829.68479999993</v>
      </c>
      <c r="K5273" s="4">
        <v>-27138.412800000002</v>
      </c>
      <c r="L5273" s="4">
        <v>6</v>
      </c>
    </row>
    <row r="5274" spans="1:12">
      <c r="A5274" t="s">
        <v>264</v>
      </c>
      <c r="B5274" s="10">
        <v>45359</v>
      </c>
      <c r="C5274" s="18">
        <f t="shared" si="82"/>
        <v>3</v>
      </c>
      <c r="D5274" t="s">
        <v>196</v>
      </c>
      <c r="E5274">
        <v>4873570</v>
      </c>
      <c r="F5274" t="s">
        <v>8</v>
      </c>
      <c r="G5274" t="s">
        <v>203</v>
      </c>
      <c r="H5274" t="s">
        <v>222</v>
      </c>
      <c r="I5274" s="4">
        <v>100638.28079999999</v>
      </c>
      <c r="J5274" s="4">
        <v>1006382.808</v>
      </c>
      <c r="K5274" s="4">
        <v>-45230.688000000002</v>
      </c>
      <c r="L5274" s="4">
        <v>10</v>
      </c>
    </row>
    <row r="5275" spans="1:12">
      <c r="A5275" t="s">
        <v>264</v>
      </c>
      <c r="B5275" s="10">
        <v>45359</v>
      </c>
      <c r="C5275" s="18">
        <f t="shared" si="82"/>
        <v>3</v>
      </c>
      <c r="D5275" t="s">
        <v>196</v>
      </c>
      <c r="E5275">
        <v>4876950</v>
      </c>
      <c r="F5275" t="s">
        <v>8</v>
      </c>
      <c r="G5275" t="s">
        <v>204</v>
      </c>
      <c r="H5275" t="s">
        <v>218</v>
      </c>
      <c r="I5275" s="4">
        <v>71740.896800000002</v>
      </c>
      <c r="J5275" s="4">
        <v>1291336.1424</v>
      </c>
      <c r="K5275" s="4">
        <v>-64453.7304</v>
      </c>
      <c r="L5275" s="4">
        <v>18</v>
      </c>
    </row>
    <row r="5276" spans="1:12">
      <c r="A5276" t="s">
        <v>264</v>
      </c>
      <c r="B5276" s="10">
        <v>45359</v>
      </c>
      <c r="C5276" s="18">
        <f t="shared" si="82"/>
        <v>3</v>
      </c>
      <c r="D5276" t="s">
        <v>196</v>
      </c>
      <c r="E5276">
        <v>4876950</v>
      </c>
      <c r="F5276" t="s">
        <v>8</v>
      </c>
      <c r="G5276" t="s">
        <v>204</v>
      </c>
      <c r="H5276" t="s">
        <v>214</v>
      </c>
      <c r="I5276" s="4">
        <v>119484.4008</v>
      </c>
      <c r="J5276" s="4">
        <v>5018344.8336000005</v>
      </c>
      <c r="K5276" s="4">
        <v>-250653.39599999998</v>
      </c>
      <c r="L5276" s="4">
        <v>42</v>
      </c>
    </row>
    <row r="5277" spans="1:12">
      <c r="A5277" t="s">
        <v>264</v>
      </c>
      <c r="B5277" s="10">
        <v>45359</v>
      </c>
      <c r="C5277" s="18">
        <f t="shared" si="82"/>
        <v>3</v>
      </c>
      <c r="D5277" t="s">
        <v>196</v>
      </c>
      <c r="E5277">
        <v>4879214</v>
      </c>
      <c r="F5277" t="s">
        <v>8</v>
      </c>
      <c r="G5277" t="s">
        <v>202</v>
      </c>
      <c r="H5277" t="s">
        <v>257</v>
      </c>
      <c r="I5277" s="4">
        <v>56664.000799999994</v>
      </c>
      <c r="J5277" s="4">
        <v>453312.00639999995</v>
      </c>
      <c r="K5277" s="4">
        <v>-22615.344000000001</v>
      </c>
      <c r="L5277" s="4">
        <v>8</v>
      </c>
    </row>
    <row r="5278" spans="1:12">
      <c r="A5278" t="s">
        <v>264</v>
      </c>
      <c r="B5278" s="10">
        <v>45359</v>
      </c>
      <c r="C5278" s="18">
        <f t="shared" si="82"/>
        <v>3</v>
      </c>
      <c r="D5278" t="s">
        <v>196</v>
      </c>
      <c r="E5278">
        <v>4871657</v>
      </c>
      <c r="F5278" t="s">
        <v>8</v>
      </c>
      <c r="G5278" t="s">
        <v>203</v>
      </c>
      <c r="H5278" t="s">
        <v>242</v>
      </c>
      <c r="I5278" s="4">
        <v>100638.28079999999</v>
      </c>
      <c r="J5278" s="4">
        <v>201276.56159999999</v>
      </c>
      <c r="K5278" s="4">
        <v>-9046.1376</v>
      </c>
      <c r="L5278" s="4">
        <v>2</v>
      </c>
    </row>
    <row r="5279" spans="1:12">
      <c r="A5279" t="s">
        <v>264</v>
      </c>
      <c r="B5279" s="10">
        <v>45359</v>
      </c>
      <c r="C5279" s="18">
        <f t="shared" si="82"/>
        <v>3</v>
      </c>
      <c r="D5279" t="s">
        <v>196</v>
      </c>
      <c r="E5279">
        <v>4871657</v>
      </c>
      <c r="F5279" t="s">
        <v>8</v>
      </c>
      <c r="G5279" t="s">
        <v>203</v>
      </c>
      <c r="H5279" t="s">
        <v>240</v>
      </c>
      <c r="I5279" s="4">
        <v>100638.28079999999</v>
      </c>
      <c r="J5279" s="4">
        <v>201276.56159999999</v>
      </c>
      <c r="K5279" s="4">
        <v>-9046.1376</v>
      </c>
      <c r="L5279" s="4">
        <v>2</v>
      </c>
    </row>
    <row r="5280" spans="1:12">
      <c r="A5280" t="s">
        <v>264</v>
      </c>
      <c r="B5280" s="10">
        <v>45359</v>
      </c>
      <c r="C5280" s="18">
        <f t="shared" si="82"/>
        <v>3</v>
      </c>
      <c r="D5280" t="s">
        <v>196</v>
      </c>
      <c r="E5280">
        <v>4871657</v>
      </c>
      <c r="F5280" t="s">
        <v>8</v>
      </c>
      <c r="G5280" t="s">
        <v>203</v>
      </c>
      <c r="H5280" t="s">
        <v>238</v>
      </c>
      <c r="I5280" s="4">
        <v>95606.36675999999</v>
      </c>
      <c r="J5280" s="4">
        <v>191212.73351999998</v>
      </c>
      <c r="K5280" s="4">
        <v>-9046.1376</v>
      </c>
      <c r="L5280" s="4">
        <v>2</v>
      </c>
    </row>
    <row r="5281" spans="1:12">
      <c r="A5281" t="s">
        <v>264</v>
      </c>
      <c r="B5281" s="10">
        <v>45359</v>
      </c>
      <c r="C5281" s="18">
        <f t="shared" si="82"/>
        <v>3</v>
      </c>
      <c r="D5281" t="s">
        <v>196</v>
      </c>
      <c r="E5281">
        <v>4871657</v>
      </c>
      <c r="F5281" t="s">
        <v>8</v>
      </c>
      <c r="G5281" t="s">
        <v>203</v>
      </c>
      <c r="H5281" t="s">
        <v>227</v>
      </c>
      <c r="I5281" s="4">
        <v>100638.28079999999</v>
      </c>
      <c r="J5281" s="4">
        <v>201276.56159999999</v>
      </c>
      <c r="K5281" s="4">
        <v>-9046.1376</v>
      </c>
      <c r="L5281" s="4">
        <v>2</v>
      </c>
    </row>
    <row r="5282" spans="1:12">
      <c r="A5282" t="s">
        <v>264</v>
      </c>
      <c r="B5282" s="10">
        <v>45359</v>
      </c>
      <c r="C5282" s="18">
        <f t="shared" si="82"/>
        <v>3</v>
      </c>
      <c r="D5282" t="s">
        <v>196</v>
      </c>
      <c r="E5282">
        <v>4871657</v>
      </c>
      <c r="F5282" t="s">
        <v>8</v>
      </c>
      <c r="G5282" t="s">
        <v>203</v>
      </c>
      <c r="H5282" t="s">
        <v>226</v>
      </c>
      <c r="I5282" s="4">
        <v>100638.28079999999</v>
      </c>
      <c r="J5282" s="4">
        <v>201276.56159999999</v>
      </c>
      <c r="K5282" s="4">
        <v>-9046.1376</v>
      </c>
      <c r="L5282" s="4">
        <v>2</v>
      </c>
    </row>
    <row r="5283" spans="1:12">
      <c r="A5283" t="s">
        <v>264</v>
      </c>
      <c r="B5283" s="10">
        <v>45359</v>
      </c>
      <c r="C5283" s="18">
        <f t="shared" si="82"/>
        <v>3</v>
      </c>
      <c r="D5283" t="s">
        <v>196</v>
      </c>
      <c r="E5283">
        <v>4871657</v>
      </c>
      <c r="F5283" t="s">
        <v>8</v>
      </c>
      <c r="G5283" t="s">
        <v>203</v>
      </c>
      <c r="H5283" t="s">
        <v>224</v>
      </c>
      <c r="I5283" s="4">
        <v>100638.28079999999</v>
      </c>
      <c r="J5283" s="4">
        <v>201276.56159999999</v>
      </c>
      <c r="K5283" s="4">
        <v>-9046.1376</v>
      </c>
      <c r="L5283" s="4">
        <v>2</v>
      </c>
    </row>
    <row r="5284" spans="1:12">
      <c r="A5284" t="s">
        <v>264</v>
      </c>
      <c r="B5284" s="10">
        <v>45359</v>
      </c>
      <c r="C5284" s="18">
        <f t="shared" si="82"/>
        <v>3</v>
      </c>
      <c r="D5284" t="s">
        <v>196</v>
      </c>
      <c r="E5284">
        <v>4871657</v>
      </c>
      <c r="F5284" t="s">
        <v>8</v>
      </c>
      <c r="G5284" t="s">
        <v>203</v>
      </c>
      <c r="H5284" t="s">
        <v>223</v>
      </c>
      <c r="I5284" s="4">
        <v>100638.28079999999</v>
      </c>
      <c r="J5284" s="4">
        <v>201276.56159999999</v>
      </c>
      <c r="K5284" s="4">
        <v>-9046.1376</v>
      </c>
      <c r="L5284" s="4">
        <v>2</v>
      </c>
    </row>
    <row r="5285" spans="1:12">
      <c r="A5285" t="s">
        <v>264</v>
      </c>
      <c r="B5285" s="10">
        <v>45359</v>
      </c>
      <c r="C5285" s="18">
        <f t="shared" si="82"/>
        <v>3</v>
      </c>
      <c r="D5285" t="s">
        <v>196</v>
      </c>
      <c r="E5285">
        <v>4875779</v>
      </c>
      <c r="F5285" t="s">
        <v>8</v>
      </c>
      <c r="G5285" t="s">
        <v>205</v>
      </c>
      <c r="H5285" t="s">
        <v>210</v>
      </c>
      <c r="I5285" s="4">
        <v>7538.4479999999994</v>
      </c>
      <c r="J5285" s="4">
        <v>753844.79999999993</v>
      </c>
      <c r="K5285" s="4">
        <v>-37692.239999999998</v>
      </c>
      <c r="L5285" s="4">
        <v>100</v>
      </c>
    </row>
    <row r="5286" spans="1:12">
      <c r="A5286" t="s">
        <v>264</v>
      </c>
      <c r="B5286" s="10">
        <v>45359</v>
      </c>
      <c r="C5286" s="18">
        <f t="shared" si="82"/>
        <v>3</v>
      </c>
      <c r="D5286" t="s">
        <v>196</v>
      </c>
      <c r="E5286">
        <v>4875779</v>
      </c>
      <c r="F5286" t="s">
        <v>8</v>
      </c>
      <c r="G5286" t="s">
        <v>205</v>
      </c>
      <c r="H5286" t="s">
        <v>211</v>
      </c>
      <c r="I5286" s="4">
        <v>5151.2727999999997</v>
      </c>
      <c r="J5286" s="4">
        <v>515127.27999999997</v>
      </c>
      <c r="K5286" s="4">
        <v>-25128.16</v>
      </c>
      <c r="L5286" s="4">
        <v>100</v>
      </c>
    </row>
    <row r="5287" spans="1:12">
      <c r="A5287" t="s">
        <v>264</v>
      </c>
      <c r="B5287" s="10">
        <v>45359</v>
      </c>
      <c r="C5287" s="18">
        <f t="shared" si="82"/>
        <v>3</v>
      </c>
      <c r="D5287" t="s">
        <v>196</v>
      </c>
      <c r="E5287">
        <v>4877306</v>
      </c>
      <c r="F5287" t="s">
        <v>8</v>
      </c>
      <c r="G5287" t="s">
        <v>203</v>
      </c>
      <c r="H5287" t="s">
        <v>245</v>
      </c>
      <c r="I5287" s="4">
        <v>100638.28079999999</v>
      </c>
      <c r="J5287" s="4">
        <v>201276.56159999999</v>
      </c>
      <c r="K5287" s="4">
        <v>-9046.1376</v>
      </c>
      <c r="L5287" s="4">
        <v>2</v>
      </c>
    </row>
    <row r="5288" spans="1:12">
      <c r="A5288" t="s">
        <v>264</v>
      </c>
      <c r="B5288" s="10">
        <v>45359</v>
      </c>
      <c r="C5288" s="18">
        <f t="shared" si="82"/>
        <v>3</v>
      </c>
      <c r="D5288" t="s">
        <v>196</v>
      </c>
      <c r="E5288">
        <v>4877306</v>
      </c>
      <c r="F5288" t="s">
        <v>8</v>
      </c>
      <c r="G5288" t="s">
        <v>203</v>
      </c>
      <c r="H5288" t="s">
        <v>243</v>
      </c>
      <c r="I5288" s="4">
        <v>100638.28079999999</v>
      </c>
      <c r="J5288" s="4">
        <v>201276.56159999999</v>
      </c>
      <c r="K5288" s="4">
        <v>-9046.1376</v>
      </c>
      <c r="L5288" s="4">
        <v>2</v>
      </c>
    </row>
    <row r="5289" spans="1:12">
      <c r="A5289" t="s">
        <v>264</v>
      </c>
      <c r="B5289" s="10">
        <v>45359</v>
      </c>
      <c r="C5289" s="18">
        <f t="shared" si="82"/>
        <v>3</v>
      </c>
      <c r="D5289" t="s">
        <v>196</v>
      </c>
      <c r="E5289">
        <v>4877306</v>
      </c>
      <c r="F5289" t="s">
        <v>8</v>
      </c>
      <c r="G5289" t="s">
        <v>203</v>
      </c>
      <c r="H5289" t="s">
        <v>240</v>
      </c>
      <c r="I5289" s="4">
        <v>100638.28079999999</v>
      </c>
      <c r="J5289" s="4">
        <v>201276.56159999999</v>
      </c>
      <c r="K5289" s="4">
        <v>-9046.1376</v>
      </c>
      <c r="L5289" s="4">
        <v>2</v>
      </c>
    </row>
    <row r="5290" spans="1:12">
      <c r="A5290" t="s">
        <v>264</v>
      </c>
      <c r="B5290" s="10">
        <v>45360</v>
      </c>
      <c r="C5290" s="18">
        <f t="shared" si="82"/>
        <v>3</v>
      </c>
      <c r="D5290" t="s">
        <v>196</v>
      </c>
      <c r="E5290">
        <v>4871600</v>
      </c>
      <c r="F5290" t="s">
        <v>8</v>
      </c>
      <c r="G5290" t="s">
        <v>204</v>
      </c>
      <c r="H5290" t="s">
        <v>216</v>
      </c>
      <c r="I5290" s="4">
        <v>113202.36079999999</v>
      </c>
      <c r="J5290" s="4">
        <v>339607.08239999996</v>
      </c>
      <c r="K5290" s="4">
        <v>-16961.508000000002</v>
      </c>
      <c r="L5290" s="4">
        <v>3</v>
      </c>
    </row>
    <row r="5291" spans="1:12">
      <c r="A5291" t="s">
        <v>264</v>
      </c>
      <c r="B5291" s="10">
        <v>45360</v>
      </c>
      <c r="C5291" s="18">
        <f t="shared" si="82"/>
        <v>3</v>
      </c>
      <c r="D5291" t="s">
        <v>196</v>
      </c>
      <c r="E5291">
        <v>4871600</v>
      </c>
      <c r="F5291" t="s">
        <v>8</v>
      </c>
      <c r="G5291" t="s">
        <v>204</v>
      </c>
      <c r="H5291" t="s">
        <v>213</v>
      </c>
      <c r="I5291" s="4">
        <v>119484.4008</v>
      </c>
      <c r="J5291" s="4">
        <v>477937.60320000001</v>
      </c>
      <c r="K5291" s="4">
        <v>-23871.752</v>
      </c>
      <c r="L5291" s="4">
        <v>4</v>
      </c>
    </row>
    <row r="5292" spans="1:12">
      <c r="A5292" t="s">
        <v>264</v>
      </c>
      <c r="B5292" s="10">
        <v>45360</v>
      </c>
      <c r="C5292" s="18">
        <f t="shared" si="82"/>
        <v>3</v>
      </c>
      <c r="D5292" t="s">
        <v>196</v>
      </c>
      <c r="E5292">
        <v>4871600</v>
      </c>
      <c r="F5292" t="s">
        <v>8</v>
      </c>
      <c r="G5292" t="s">
        <v>204</v>
      </c>
      <c r="H5292" t="s">
        <v>221</v>
      </c>
      <c r="I5292" s="4">
        <v>25253.800799999997</v>
      </c>
      <c r="J5292" s="4">
        <v>25253.800799999997</v>
      </c>
      <c r="K5292" s="4">
        <v>-1256.4080000000001</v>
      </c>
      <c r="L5292" s="4">
        <v>1</v>
      </c>
    </row>
    <row r="5293" spans="1:12">
      <c r="A5293" t="s">
        <v>264</v>
      </c>
      <c r="B5293" s="10">
        <v>45360</v>
      </c>
      <c r="C5293" s="18">
        <f t="shared" si="82"/>
        <v>3</v>
      </c>
      <c r="D5293" t="s">
        <v>196</v>
      </c>
      <c r="E5293">
        <v>4872243</v>
      </c>
      <c r="F5293" t="s">
        <v>8</v>
      </c>
      <c r="G5293" t="s">
        <v>203</v>
      </c>
      <c r="H5293" t="s">
        <v>242</v>
      </c>
      <c r="I5293" s="4">
        <v>100638.28079999999</v>
      </c>
      <c r="J5293" s="4">
        <v>1006382.808</v>
      </c>
      <c r="K5293" s="4">
        <v>-43346.076000000001</v>
      </c>
      <c r="L5293" s="4">
        <v>10</v>
      </c>
    </row>
    <row r="5294" spans="1:12">
      <c r="A5294" t="s">
        <v>264</v>
      </c>
      <c r="B5294" s="10">
        <v>45360</v>
      </c>
      <c r="C5294" s="18">
        <f t="shared" si="82"/>
        <v>3</v>
      </c>
      <c r="D5294" t="s">
        <v>196</v>
      </c>
      <c r="E5294">
        <v>4872243</v>
      </c>
      <c r="F5294" t="s">
        <v>8</v>
      </c>
      <c r="G5294" t="s">
        <v>203</v>
      </c>
      <c r="H5294" t="s">
        <v>240</v>
      </c>
      <c r="I5294" s="4">
        <v>100638.28079999999</v>
      </c>
      <c r="J5294" s="4">
        <v>1006382.808</v>
      </c>
      <c r="K5294" s="4">
        <v>-43346.076000000001</v>
      </c>
      <c r="L5294" s="4">
        <v>10</v>
      </c>
    </row>
    <row r="5295" spans="1:12">
      <c r="A5295" t="s">
        <v>264</v>
      </c>
      <c r="B5295" s="10">
        <v>45360</v>
      </c>
      <c r="C5295" s="18">
        <f t="shared" si="82"/>
        <v>3</v>
      </c>
      <c r="D5295" t="s">
        <v>196</v>
      </c>
      <c r="E5295">
        <v>4872243</v>
      </c>
      <c r="F5295" t="s">
        <v>8</v>
      </c>
      <c r="G5295" t="s">
        <v>203</v>
      </c>
      <c r="H5295" t="s">
        <v>236</v>
      </c>
      <c r="I5295" s="4">
        <v>100638.28079999999</v>
      </c>
      <c r="J5295" s="4">
        <v>1006382.808</v>
      </c>
      <c r="K5295" s="4">
        <v>-43346.076000000001</v>
      </c>
      <c r="L5295" s="4">
        <v>10</v>
      </c>
    </row>
    <row r="5296" spans="1:12">
      <c r="A5296" t="s">
        <v>264</v>
      </c>
      <c r="B5296" s="10">
        <v>45360</v>
      </c>
      <c r="C5296" s="18">
        <f t="shared" si="82"/>
        <v>3</v>
      </c>
      <c r="D5296" t="s">
        <v>196</v>
      </c>
      <c r="E5296">
        <v>4872243</v>
      </c>
      <c r="F5296" t="s">
        <v>8</v>
      </c>
      <c r="G5296" t="s">
        <v>203</v>
      </c>
      <c r="H5296" t="s">
        <v>234</v>
      </c>
      <c r="I5296" s="4">
        <v>100638.28079999999</v>
      </c>
      <c r="J5296" s="4">
        <v>603829.68479999993</v>
      </c>
      <c r="L5296" s="4">
        <v>6</v>
      </c>
    </row>
    <row r="5297" spans="1:12">
      <c r="A5297" t="s">
        <v>264</v>
      </c>
      <c r="B5297" s="10">
        <v>45360</v>
      </c>
      <c r="C5297" s="18">
        <f t="shared" si="82"/>
        <v>3</v>
      </c>
      <c r="D5297" t="s">
        <v>196</v>
      </c>
      <c r="E5297">
        <v>4872243</v>
      </c>
      <c r="F5297" t="s">
        <v>8</v>
      </c>
      <c r="G5297" t="s">
        <v>203</v>
      </c>
      <c r="H5297" t="s">
        <v>230</v>
      </c>
      <c r="I5297" s="4">
        <v>100638.28079999999</v>
      </c>
      <c r="J5297" s="4">
        <v>603829.68479999993</v>
      </c>
      <c r="K5297" s="4">
        <v>-26007.645599999996</v>
      </c>
      <c r="L5297" s="4">
        <v>6</v>
      </c>
    </row>
    <row r="5298" spans="1:12">
      <c r="A5298" t="s">
        <v>264</v>
      </c>
      <c r="B5298" s="10">
        <v>45360</v>
      </c>
      <c r="C5298" s="18">
        <f t="shared" si="82"/>
        <v>3</v>
      </c>
      <c r="D5298" t="s">
        <v>196</v>
      </c>
      <c r="E5298">
        <v>4872243</v>
      </c>
      <c r="F5298" t="s">
        <v>8</v>
      </c>
      <c r="G5298" t="s">
        <v>203</v>
      </c>
      <c r="H5298" t="s">
        <v>227</v>
      </c>
      <c r="I5298" s="4">
        <v>100638.28079999999</v>
      </c>
      <c r="J5298" s="4">
        <v>1006382.808</v>
      </c>
      <c r="K5298" s="4">
        <v>-43346.076000000001</v>
      </c>
      <c r="L5298" s="4">
        <v>10</v>
      </c>
    </row>
    <row r="5299" spans="1:12">
      <c r="A5299" t="s">
        <v>264</v>
      </c>
      <c r="B5299" s="10">
        <v>45360</v>
      </c>
      <c r="C5299" s="18">
        <f t="shared" si="82"/>
        <v>3</v>
      </c>
      <c r="D5299" t="s">
        <v>196</v>
      </c>
      <c r="E5299">
        <v>4872243</v>
      </c>
      <c r="F5299" t="s">
        <v>8</v>
      </c>
      <c r="G5299" t="s">
        <v>203</v>
      </c>
      <c r="H5299" t="s">
        <v>222</v>
      </c>
      <c r="I5299" s="4">
        <v>100638.28079999999</v>
      </c>
      <c r="J5299" s="4">
        <v>603829.68479999993</v>
      </c>
      <c r="K5299" s="4">
        <v>-26007.645599999996</v>
      </c>
      <c r="L5299" s="4">
        <v>6</v>
      </c>
    </row>
    <row r="5300" spans="1:12">
      <c r="A5300" t="s">
        <v>264</v>
      </c>
      <c r="B5300" s="10">
        <v>45360</v>
      </c>
      <c r="C5300" s="18">
        <f t="shared" si="82"/>
        <v>3</v>
      </c>
      <c r="D5300" t="s">
        <v>196</v>
      </c>
      <c r="E5300">
        <v>4872243</v>
      </c>
      <c r="F5300" t="s">
        <v>8</v>
      </c>
      <c r="G5300" t="s">
        <v>203</v>
      </c>
      <c r="H5300" t="s">
        <v>241</v>
      </c>
      <c r="I5300" s="4">
        <v>125766.4408</v>
      </c>
      <c r="J5300" s="4">
        <v>1886496.612</v>
      </c>
      <c r="K5300" s="4">
        <v>-84807.54</v>
      </c>
      <c r="L5300" s="4">
        <v>15</v>
      </c>
    </row>
    <row r="5301" spans="1:12">
      <c r="A5301" t="s">
        <v>264</v>
      </c>
      <c r="B5301" s="10">
        <v>45360</v>
      </c>
      <c r="C5301" s="18">
        <f t="shared" si="82"/>
        <v>3</v>
      </c>
      <c r="D5301" t="s">
        <v>196</v>
      </c>
      <c r="E5301">
        <v>4872243</v>
      </c>
      <c r="F5301" t="s">
        <v>8</v>
      </c>
      <c r="G5301" t="s">
        <v>203</v>
      </c>
      <c r="H5301" t="s">
        <v>233</v>
      </c>
      <c r="I5301" s="4">
        <v>120735.78316800001</v>
      </c>
      <c r="J5301" s="4">
        <v>1086622.0485120001</v>
      </c>
      <c r="L5301" s="4">
        <v>9</v>
      </c>
    </row>
    <row r="5302" spans="1:12">
      <c r="A5302" t="s">
        <v>264</v>
      </c>
      <c r="B5302" s="10">
        <v>45360</v>
      </c>
      <c r="C5302" s="18">
        <f t="shared" si="82"/>
        <v>3</v>
      </c>
      <c r="D5302" t="s">
        <v>196</v>
      </c>
      <c r="E5302">
        <v>4877306</v>
      </c>
      <c r="F5302" t="s">
        <v>8</v>
      </c>
      <c r="G5302" t="s">
        <v>203</v>
      </c>
      <c r="H5302" t="s">
        <v>245</v>
      </c>
      <c r="I5302" s="4">
        <v>100638.28079999999</v>
      </c>
      <c r="J5302" s="4">
        <v>201276.56159999999</v>
      </c>
      <c r="K5302" s="4">
        <v>-9046.1376</v>
      </c>
      <c r="L5302" s="4">
        <v>2</v>
      </c>
    </row>
    <row r="5303" spans="1:12">
      <c r="A5303" t="s">
        <v>264</v>
      </c>
      <c r="B5303" s="10">
        <v>45360</v>
      </c>
      <c r="C5303" s="18">
        <f t="shared" si="82"/>
        <v>3</v>
      </c>
      <c r="D5303" t="s">
        <v>196</v>
      </c>
      <c r="E5303">
        <v>4877306</v>
      </c>
      <c r="F5303" t="s">
        <v>8</v>
      </c>
      <c r="G5303" t="s">
        <v>203</v>
      </c>
      <c r="H5303" t="s">
        <v>230</v>
      </c>
      <c r="I5303" s="4">
        <v>100638.28079999999</v>
      </c>
      <c r="J5303" s="4">
        <v>201276.56159999999</v>
      </c>
      <c r="K5303" s="4">
        <v>-9046.1376</v>
      </c>
      <c r="L5303" s="4">
        <v>2</v>
      </c>
    </row>
    <row r="5304" spans="1:12">
      <c r="A5304" t="s">
        <v>264</v>
      </c>
      <c r="B5304" s="10">
        <v>45360</v>
      </c>
      <c r="C5304" s="18">
        <f t="shared" si="82"/>
        <v>3</v>
      </c>
      <c r="D5304" t="s">
        <v>196</v>
      </c>
      <c r="E5304">
        <v>4877306</v>
      </c>
      <c r="F5304" t="s">
        <v>8</v>
      </c>
      <c r="G5304" t="s">
        <v>202</v>
      </c>
      <c r="H5304" t="s">
        <v>255</v>
      </c>
      <c r="I5304" s="4">
        <v>72489.71596799999</v>
      </c>
      <c r="J5304" s="4">
        <v>869876.59161599982</v>
      </c>
      <c r="K5304" s="4">
        <v>-45230.688000000002</v>
      </c>
      <c r="L5304" s="4">
        <v>12</v>
      </c>
    </row>
    <row r="5305" spans="1:12">
      <c r="A5305" t="s">
        <v>264</v>
      </c>
      <c r="B5305" s="10">
        <v>45360</v>
      </c>
      <c r="C5305" s="18">
        <f t="shared" si="82"/>
        <v>3</v>
      </c>
      <c r="D5305" t="s">
        <v>196</v>
      </c>
      <c r="E5305">
        <v>4877306</v>
      </c>
      <c r="F5305" t="s">
        <v>8</v>
      </c>
      <c r="G5305" t="s">
        <v>202</v>
      </c>
      <c r="H5305" t="s">
        <v>254</v>
      </c>
      <c r="I5305" s="4">
        <v>37817.880799999999</v>
      </c>
      <c r="J5305" s="4">
        <v>756357.61599999992</v>
      </c>
      <c r="K5305" s="4">
        <v>-37692.239999999998</v>
      </c>
      <c r="L5305" s="4">
        <v>20</v>
      </c>
    </row>
    <row r="5306" spans="1:12">
      <c r="A5306" t="s">
        <v>264</v>
      </c>
      <c r="B5306" s="10">
        <v>45361</v>
      </c>
      <c r="C5306" s="18">
        <f t="shared" si="82"/>
        <v>3</v>
      </c>
      <c r="D5306" t="s">
        <v>196</v>
      </c>
      <c r="E5306">
        <v>4872246</v>
      </c>
      <c r="F5306" t="s">
        <v>8</v>
      </c>
      <c r="G5306" t="s">
        <v>203</v>
      </c>
      <c r="H5306" t="s">
        <v>242</v>
      </c>
      <c r="I5306" s="4">
        <v>100638.28079999999</v>
      </c>
      <c r="J5306" s="4">
        <v>201276.56159999999</v>
      </c>
      <c r="K5306" s="4">
        <v>-8669.2151999999987</v>
      </c>
      <c r="L5306" s="4">
        <v>2</v>
      </c>
    </row>
    <row r="5307" spans="1:12">
      <c r="A5307" t="s">
        <v>264</v>
      </c>
      <c r="B5307" s="10">
        <v>45361</v>
      </c>
      <c r="C5307" s="18">
        <f t="shared" si="82"/>
        <v>3</v>
      </c>
      <c r="D5307" t="s">
        <v>196</v>
      </c>
      <c r="E5307">
        <v>4872246</v>
      </c>
      <c r="F5307" t="s">
        <v>8</v>
      </c>
      <c r="G5307" t="s">
        <v>203</v>
      </c>
      <c r="H5307" t="s">
        <v>227</v>
      </c>
      <c r="I5307" s="4">
        <v>100638.28079999999</v>
      </c>
      <c r="J5307" s="4">
        <v>603829.68479999993</v>
      </c>
      <c r="K5307" s="4">
        <v>-26007.645599999996</v>
      </c>
      <c r="L5307" s="4">
        <v>6</v>
      </c>
    </row>
    <row r="5308" spans="1:12">
      <c r="A5308" t="s">
        <v>264</v>
      </c>
      <c r="B5308" s="10">
        <v>45361</v>
      </c>
      <c r="C5308" s="18">
        <f t="shared" si="82"/>
        <v>3</v>
      </c>
      <c r="D5308" t="s">
        <v>196</v>
      </c>
      <c r="E5308">
        <v>4872246</v>
      </c>
      <c r="F5308" t="s">
        <v>8</v>
      </c>
      <c r="G5308" t="s">
        <v>203</v>
      </c>
      <c r="H5308" t="s">
        <v>235</v>
      </c>
      <c r="I5308" s="4">
        <v>125766.4408</v>
      </c>
      <c r="J5308" s="4">
        <v>377299.3224</v>
      </c>
      <c r="K5308" s="4">
        <v>-16961.508000000002</v>
      </c>
      <c r="L5308" s="4">
        <v>3</v>
      </c>
    </row>
    <row r="5309" spans="1:12">
      <c r="A5309" t="s">
        <v>264</v>
      </c>
      <c r="B5309" s="10">
        <v>45361</v>
      </c>
      <c r="C5309" s="18">
        <f t="shared" si="82"/>
        <v>3</v>
      </c>
      <c r="D5309" t="s">
        <v>196</v>
      </c>
      <c r="E5309">
        <v>4873921</v>
      </c>
      <c r="F5309" t="s">
        <v>8</v>
      </c>
      <c r="G5309" t="s">
        <v>202</v>
      </c>
      <c r="H5309" t="s">
        <v>256</v>
      </c>
      <c r="I5309" s="4">
        <v>64202.448800000006</v>
      </c>
      <c r="J5309" s="4">
        <v>642024.48800000001</v>
      </c>
      <c r="K5309" s="4">
        <v>-32038.403999999999</v>
      </c>
      <c r="L5309" s="4">
        <v>10</v>
      </c>
    </row>
    <row r="5310" spans="1:12">
      <c r="A5310" t="s">
        <v>264</v>
      </c>
      <c r="B5310" s="10">
        <v>45361</v>
      </c>
      <c r="C5310" s="18">
        <f t="shared" si="82"/>
        <v>3</v>
      </c>
      <c r="D5310" t="s">
        <v>196</v>
      </c>
      <c r="E5310">
        <v>4873868</v>
      </c>
      <c r="F5310" t="s">
        <v>8</v>
      </c>
      <c r="G5310" t="s">
        <v>203</v>
      </c>
      <c r="H5310" t="s">
        <v>235</v>
      </c>
      <c r="I5310" s="4">
        <v>125766.4408</v>
      </c>
      <c r="J5310" s="4">
        <v>125766.4408</v>
      </c>
      <c r="K5310" s="4">
        <v>-5653.8360000000002</v>
      </c>
      <c r="L5310" s="4">
        <v>1</v>
      </c>
    </row>
    <row r="5311" spans="1:12">
      <c r="A5311" t="s">
        <v>264</v>
      </c>
      <c r="B5311" s="10">
        <v>45361</v>
      </c>
      <c r="C5311" s="18">
        <f t="shared" si="82"/>
        <v>3</v>
      </c>
      <c r="D5311" t="s">
        <v>196</v>
      </c>
      <c r="E5311">
        <v>4873868</v>
      </c>
      <c r="F5311" t="s">
        <v>8</v>
      </c>
      <c r="G5311" t="s">
        <v>203</v>
      </c>
      <c r="H5311" t="s">
        <v>233</v>
      </c>
      <c r="I5311" s="4">
        <v>120735.78316800001</v>
      </c>
      <c r="J5311" s="4">
        <v>120735.78316800001</v>
      </c>
      <c r="K5311" s="4">
        <v>-5653.8360000000002</v>
      </c>
      <c r="L5311" s="4">
        <v>1</v>
      </c>
    </row>
    <row r="5312" spans="1:12">
      <c r="A5312" t="s">
        <v>264</v>
      </c>
      <c r="B5312" s="10">
        <v>45361</v>
      </c>
      <c r="C5312" s="18">
        <f t="shared" si="82"/>
        <v>3</v>
      </c>
      <c r="D5312" t="s">
        <v>196</v>
      </c>
      <c r="E5312">
        <v>4873723</v>
      </c>
      <c r="F5312" t="s">
        <v>8</v>
      </c>
      <c r="G5312" t="s">
        <v>203</v>
      </c>
      <c r="H5312" t="s">
        <v>244</v>
      </c>
      <c r="I5312" s="4">
        <v>125766.4408</v>
      </c>
      <c r="J5312" s="4">
        <v>125766.4408</v>
      </c>
      <c r="K5312" s="4">
        <v>-5653.8360000000002</v>
      </c>
      <c r="L5312" s="4">
        <v>1</v>
      </c>
    </row>
    <row r="5313" spans="1:12">
      <c r="A5313" t="s">
        <v>264</v>
      </c>
      <c r="B5313" s="10">
        <v>45361</v>
      </c>
      <c r="C5313" s="18">
        <f t="shared" si="82"/>
        <v>3</v>
      </c>
      <c r="D5313" t="s">
        <v>196</v>
      </c>
      <c r="E5313">
        <v>4873723</v>
      </c>
      <c r="F5313" t="s">
        <v>8</v>
      </c>
      <c r="G5313" t="s">
        <v>203</v>
      </c>
      <c r="H5313" t="s">
        <v>241</v>
      </c>
      <c r="I5313" s="4">
        <v>125766.4408</v>
      </c>
      <c r="J5313" s="4">
        <v>125766.4408</v>
      </c>
      <c r="K5313" s="4">
        <v>-5653.8360000000002</v>
      </c>
      <c r="L5313" s="4">
        <v>1</v>
      </c>
    </row>
    <row r="5314" spans="1:12">
      <c r="A5314" t="s">
        <v>264</v>
      </c>
      <c r="B5314" s="10">
        <v>45361</v>
      </c>
      <c r="C5314" s="18">
        <f t="shared" ref="C5314:C5377" si="83">MONTH(B5314)</f>
        <v>3</v>
      </c>
      <c r="D5314" t="s">
        <v>196</v>
      </c>
      <c r="E5314">
        <v>4873723</v>
      </c>
      <c r="F5314" t="s">
        <v>8</v>
      </c>
      <c r="G5314" t="s">
        <v>203</v>
      </c>
      <c r="H5314" t="s">
        <v>237</v>
      </c>
      <c r="I5314" s="4">
        <v>125766.4408</v>
      </c>
      <c r="J5314" s="4">
        <v>125766.4408</v>
      </c>
      <c r="K5314" s="4">
        <v>-5653.8360000000002</v>
      </c>
      <c r="L5314" s="4">
        <v>1</v>
      </c>
    </row>
    <row r="5315" spans="1:12">
      <c r="A5315" t="s">
        <v>264</v>
      </c>
      <c r="B5315" s="10">
        <v>45361</v>
      </c>
      <c r="C5315" s="18">
        <f t="shared" si="83"/>
        <v>3</v>
      </c>
      <c r="D5315" t="s">
        <v>196</v>
      </c>
      <c r="E5315">
        <v>4875779</v>
      </c>
      <c r="F5315" t="s">
        <v>8</v>
      </c>
      <c r="G5315" t="s">
        <v>202</v>
      </c>
      <c r="H5315" t="s">
        <v>261</v>
      </c>
      <c r="I5315" s="4">
        <v>41587.104800000001</v>
      </c>
      <c r="J5315" s="4">
        <v>2287290.764</v>
      </c>
      <c r="K5315" s="4">
        <v>-114019.02599999998</v>
      </c>
      <c r="L5315" s="4">
        <v>55</v>
      </c>
    </row>
    <row r="5316" spans="1:12">
      <c r="A5316" t="s">
        <v>264</v>
      </c>
      <c r="B5316" s="10">
        <v>45362</v>
      </c>
      <c r="C5316" s="18">
        <f t="shared" si="83"/>
        <v>3</v>
      </c>
      <c r="D5316" t="s">
        <v>196</v>
      </c>
      <c r="E5316">
        <v>4875440</v>
      </c>
      <c r="F5316" t="s">
        <v>8</v>
      </c>
      <c r="G5316" t="s">
        <v>205</v>
      </c>
      <c r="H5316" t="s">
        <v>211</v>
      </c>
      <c r="I5316" s="4">
        <v>5151.2727999999997</v>
      </c>
      <c r="J5316" s="4">
        <v>515127.27999999997</v>
      </c>
      <c r="K5316" s="4">
        <v>-25128.16</v>
      </c>
      <c r="L5316" s="4">
        <v>100</v>
      </c>
    </row>
    <row r="5317" spans="1:12">
      <c r="A5317" t="s">
        <v>264</v>
      </c>
      <c r="B5317" s="10">
        <v>45362</v>
      </c>
      <c r="C5317" s="18">
        <f t="shared" si="83"/>
        <v>3</v>
      </c>
      <c r="D5317" t="s">
        <v>196</v>
      </c>
      <c r="E5317">
        <v>4872203</v>
      </c>
      <c r="F5317" t="s">
        <v>8</v>
      </c>
      <c r="G5317" t="s">
        <v>204</v>
      </c>
      <c r="H5317" t="s">
        <v>217</v>
      </c>
      <c r="I5317" s="4">
        <v>78022.936799999996</v>
      </c>
      <c r="J5317" s="4">
        <v>-156045.87359999999</v>
      </c>
      <c r="K5317" s="4">
        <v>7161.525599999999</v>
      </c>
      <c r="L5317" s="4">
        <v>-2</v>
      </c>
    </row>
    <row r="5318" spans="1:12">
      <c r="A5318" t="s">
        <v>264</v>
      </c>
      <c r="B5318" s="10">
        <v>45362</v>
      </c>
      <c r="C5318" s="18">
        <f t="shared" si="83"/>
        <v>3</v>
      </c>
      <c r="D5318" t="s">
        <v>196</v>
      </c>
      <c r="E5318">
        <v>4872103</v>
      </c>
      <c r="F5318" t="s">
        <v>8</v>
      </c>
      <c r="G5318" t="s">
        <v>202</v>
      </c>
      <c r="H5318" t="s">
        <v>261</v>
      </c>
      <c r="I5318" s="4">
        <v>41587.104800000001</v>
      </c>
      <c r="J5318" s="4">
        <v>4158710.48</v>
      </c>
      <c r="K5318" s="4">
        <v>-207307.32</v>
      </c>
      <c r="L5318" s="4">
        <v>100</v>
      </c>
    </row>
    <row r="5319" spans="1:12">
      <c r="A5319" t="s">
        <v>264</v>
      </c>
      <c r="B5319" s="10">
        <v>45362</v>
      </c>
      <c r="C5319" s="18">
        <f t="shared" si="83"/>
        <v>3</v>
      </c>
      <c r="D5319" t="s">
        <v>196</v>
      </c>
      <c r="E5319">
        <v>4872141</v>
      </c>
      <c r="F5319" t="s">
        <v>8</v>
      </c>
      <c r="G5319" t="s">
        <v>205</v>
      </c>
      <c r="H5319" t="s">
        <v>210</v>
      </c>
      <c r="I5319" s="4">
        <v>7538.4479999999994</v>
      </c>
      <c r="J5319" s="4">
        <v>376922.39999999997</v>
      </c>
      <c r="K5319" s="4">
        <v>-18846.12</v>
      </c>
      <c r="L5319" s="4">
        <v>50</v>
      </c>
    </row>
    <row r="5320" spans="1:12">
      <c r="A5320" t="s">
        <v>264</v>
      </c>
      <c r="B5320" s="10">
        <v>45362</v>
      </c>
      <c r="C5320" s="18">
        <f t="shared" si="83"/>
        <v>3</v>
      </c>
      <c r="D5320" t="s">
        <v>196</v>
      </c>
      <c r="E5320">
        <v>4872141</v>
      </c>
      <c r="F5320" t="s">
        <v>8</v>
      </c>
      <c r="G5320" t="s">
        <v>205</v>
      </c>
      <c r="H5320" t="s">
        <v>211</v>
      </c>
      <c r="I5320" s="4">
        <v>5151.2727999999997</v>
      </c>
      <c r="J5320" s="4">
        <v>257563.63999999998</v>
      </c>
      <c r="K5320" s="4">
        <v>-12564.08</v>
      </c>
      <c r="L5320" s="4">
        <v>50</v>
      </c>
    </row>
    <row r="5321" spans="1:12">
      <c r="A5321" t="s">
        <v>264</v>
      </c>
      <c r="B5321" s="10">
        <v>45362</v>
      </c>
      <c r="C5321" s="18">
        <f t="shared" si="83"/>
        <v>3</v>
      </c>
      <c r="D5321" t="s">
        <v>196</v>
      </c>
      <c r="E5321">
        <v>4877306</v>
      </c>
      <c r="F5321" t="s">
        <v>8</v>
      </c>
      <c r="G5321" t="s">
        <v>203</v>
      </c>
      <c r="H5321" t="s">
        <v>243</v>
      </c>
      <c r="I5321" s="4">
        <v>100638.28079999999</v>
      </c>
      <c r="J5321" s="4">
        <v>201276.56159999999</v>
      </c>
      <c r="K5321" s="4">
        <v>-8669.2151999999987</v>
      </c>
      <c r="L5321" s="4">
        <v>2</v>
      </c>
    </row>
    <row r="5322" spans="1:12">
      <c r="A5322" t="s">
        <v>264</v>
      </c>
      <c r="B5322" s="10">
        <v>45362</v>
      </c>
      <c r="C5322" s="18">
        <f t="shared" si="83"/>
        <v>3</v>
      </c>
      <c r="D5322" t="s">
        <v>196</v>
      </c>
      <c r="E5322">
        <v>4877306</v>
      </c>
      <c r="F5322" t="s">
        <v>8</v>
      </c>
      <c r="G5322" t="s">
        <v>203</v>
      </c>
      <c r="H5322" t="s">
        <v>242</v>
      </c>
      <c r="I5322" s="4">
        <v>100638.28079999999</v>
      </c>
      <c r="J5322" s="4">
        <v>201276.56159999999</v>
      </c>
      <c r="K5322" s="4">
        <v>-8669.2151999999987</v>
      </c>
      <c r="L5322" s="4">
        <v>2</v>
      </c>
    </row>
    <row r="5323" spans="1:12">
      <c r="A5323" t="s">
        <v>264</v>
      </c>
      <c r="B5323" s="10">
        <v>45362</v>
      </c>
      <c r="C5323" s="18">
        <f t="shared" si="83"/>
        <v>3</v>
      </c>
      <c r="D5323" t="s">
        <v>196</v>
      </c>
      <c r="E5323">
        <v>4877306</v>
      </c>
      <c r="F5323" t="s">
        <v>8</v>
      </c>
      <c r="G5323" t="s">
        <v>203</v>
      </c>
      <c r="H5323" t="s">
        <v>236</v>
      </c>
      <c r="I5323" s="4">
        <v>100638.28079999999</v>
      </c>
      <c r="J5323" s="4">
        <v>1006382.808</v>
      </c>
      <c r="K5323" s="4">
        <v>-43346.076000000001</v>
      </c>
      <c r="L5323" s="4">
        <v>10</v>
      </c>
    </row>
    <row r="5324" spans="1:12">
      <c r="A5324" t="s">
        <v>264</v>
      </c>
      <c r="B5324" s="10">
        <v>45363</v>
      </c>
      <c r="C5324" s="18">
        <f t="shared" si="83"/>
        <v>3</v>
      </c>
      <c r="D5324" t="s">
        <v>196</v>
      </c>
      <c r="E5324">
        <v>4872068</v>
      </c>
      <c r="F5324" t="s">
        <v>8</v>
      </c>
      <c r="G5324" t="s">
        <v>203</v>
      </c>
      <c r="H5324" t="s">
        <v>230</v>
      </c>
      <c r="I5324" s="4">
        <v>100638.28079999999</v>
      </c>
      <c r="J5324" s="4">
        <v>3019148.4239999996</v>
      </c>
      <c r="K5324" s="4">
        <v>-130038.22799999999</v>
      </c>
      <c r="L5324" s="4">
        <v>30</v>
      </c>
    </row>
    <row r="5325" spans="1:12">
      <c r="A5325" t="s">
        <v>264</v>
      </c>
      <c r="B5325" s="10">
        <v>45363</v>
      </c>
      <c r="C5325" s="18">
        <f t="shared" si="83"/>
        <v>3</v>
      </c>
      <c r="D5325" t="s">
        <v>196</v>
      </c>
      <c r="E5325">
        <v>4872068</v>
      </c>
      <c r="F5325" t="s">
        <v>8</v>
      </c>
      <c r="G5325" t="s">
        <v>203</v>
      </c>
      <c r="H5325" t="s">
        <v>229</v>
      </c>
      <c r="I5325" s="4">
        <v>125766.4408</v>
      </c>
      <c r="J5325" s="4">
        <v>2515328.8160000001</v>
      </c>
      <c r="K5325" s="4">
        <v>-113076.72</v>
      </c>
      <c r="L5325" s="4">
        <v>20</v>
      </c>
    </row>
    <row r="5326" spans="1:12">
      <c r="A5326" t="s">
        <v>264</v>
      </c>
      <c r="B5326" s="10">
        <v>45363</v>
      </c>
      <c r="C5326" s="18">
        <f t="shared" si="83"/>
        <v>3</v>
      </c>
      <c r="D5326" t="s">
        <v>196</v>
      </c>
      <c r="E5326">
        <v>4872571</v>
      </c>
      <c r="F5326" t="s">
        <v>8</v>
      </c>
      <c r="G5326" t="s">
        <v>203</v>
      </c>
      <c r="H5326" t="s">
        <v>242</v>
      </c>
      <c r="I5326" s="4">
        <v>100638.28079999999</v>
      </c>
      <c r="J5326" s="4">
        <v>402553.12319999997</v>
      </c>
      <c r="K5326" s="4">
        <v>-17338.430399999997</v>
      </c>
      <c r="L5326" s="4">
        <v>4</v>
      </c>
    </row>
    <row r="5327" spans="1:12">
      <c r="A5327" t="s">
        <v>264</v>
      </c>
      <c r="B5327" s="10">
        <v>45363</v>
      </c>
      <c r="C5327" s="18">
        <f t="shared" si="83"/>
        <v>3</v>
      </c>
      <c r="D5327" t="s">
        <v>196</v>
      </c>
      <c r="E5327">
        <v>4873836</v>
      </c>
      <c r="F5327" t="s">
        <v>8</v>
      </c>
      <c r="G5327" t="s">
        <v>202</v>
      </c>
      <c r="H5327" t="s">
        <v>261</v>
      </c>
      <c r="I5327" s="4">
        <v>41587.104800000001</v>
      </c>
      <c r="J5327" s="4">
        <v>1247613.1440000001</v>
      </c>
      <c r="K5327" s="4">
        <v>-62192.196000000004</v>
      </c>
      <c r="L5327" s="4">
        <v>30</v>
      </c>
    </row>
    <row r="5328" spans="1:12">
      <c r="A5328" t="s">
        <v>264</v>
      </c>
      <c r="B5328" s="10">
        <v>45363</v>
      </c>
      <c r="C5328" s="18">
        <f t="shared" si="83"/>
        <v>3</v>
      </c>
      <c r="D5328" t="s">
        <v>196</v>
      </c>
      <c r="E5328">
        <v>4873836</v>
      </c>
      <c r="F5328" t="s">
        <v>8</v>
      </c>
      <c r="G5328" t="s">
        <v>202</v>
      </c>
      <c r="H5328" t="s">
        <v>259</v>
      </c>
      <c r="I5328" s="4">
        <v>30279.432800000002</v>
      </c>
      <c r="J5328" s="4">
        <v>605588.65600000008</v>
      </c>
      <c r="K5328" s="4">
        <v>-30153.791999999998</v>
      </c>
      <c r="L5328" s="4">
        <v>20</v>
      </c>
    </row>
    <row r="5329" spans="1:12">
      <c r="A5329" t="s">
        <v>264</v>
      </c>
      <c r="B5329" s="10">
        <v>45363</v>
      </c>
      <c r="C5329" s="18">
        <f t="shared" si="83"/>
        <v>3</v>
      </c>
      <c r="D5329" t="s">
        <v>196</v>
      </c>
      <c r="E5329">
        <v>4873836</v>
      </c>
      <c r="F5329" t="s">
        <v>8</v>
      </c>
      <c r="G5329" t="s">
        <v>202</v>
      </c>
      <c r="H5329" t="s">
        <v>256</v>
      </c>
      <c r="I5329" s="4">
        <v>64202.448800000006</v>
      </c>
      <c r="J5329" s="4">
        <v>1284048.976</v>
      </c>
      <c r="K5329" s="4">
        <v>-64076.807999999997</v>
      </c>
      <c r="L5329" s="4">
        <v>20</v>
      </c>
    </row>
    <row r="5330" spans="1:12">
      <c r="A5330" t="s">
        <v>264</v>
      </c>
      <c r="B5330" s="10">
        <v>45363</v>
      </c>
      <c r="C5330" s="18">
        <f t="shared" si="83"/>
        <v>3</v>
      </c>
      <c r="D5330" t="s">
        <v>196</v>
      </c>
      <c r="E5330">
        <v>4876950</v>
      </c>
      <c r="F5330" t="s">
        <v>8</v>
      </c>
      <c r="G5330" t="s">
        <v>202</v>
      </c>
      <c r="H5330" t="s">
        <v>261</v>
      </c>
      <c r="I5330" s="4">
        <v>41587.104800000001</v>
      </c>
      <c r="J5330" s="4">
        <v>831742.09600000002</v>
      </c>
      <c r="K5330" s="4">
        <v>-41461.464</v>
      </c>
      <c r="L5330" s="4">
        <v>20</v>
      </c>
    </row>
    <row r="5331" spans="1:12">
      <c r="A5331" t="s">
        <v>264</v>
      </c>
      <c r="B5331" s="10">
        <v>45363</v>
      </c>
      <c r="C5331" s="18">
        <f t="shared" si="83"/>
        <v>3</v>
      </c>
      <c r="D5331" t="s">
        <v>196</v>
      </c>
      <c r="E5331">
        <v>4876950</v>
      </c>
      <c r="F5331" t="s">
        <v>8</v>
      </c>
      <c r="G5331" t="s">
        <v>202</v>
      </c>
      <c r="H5331" t="s">
        <v>256</v>
      </c>
      <c r="I5331" s="4">
        <v>64202.448800000006</v>
      </c>
      <c r="J5331" s="4">
        <v>1284048.976</v>
      </c>
      <c r="K5331" s="4">
        <v>-64076.807999999997</v>
      </c>
      <c r="L5331" s="4">
        <v>20</v>
      </c>
    </row>
    <row r="5332" spans="1:12">
      <c r="A5332" t="s">
        <v>264</v>
      </c>
      <c r="B5332" s="10">
        <v>45363</v>
      </c>
      <c r="C5332" s="18">
        <f t="shared" si="83"/>
        <v>3</v>
      </c>
      <c r="D5332" t="s">
        <v>196</v>
      </c>
      <c r="E5332">
        <v>4875779</v>
      </c>
      <c r="F5332" t="s">
        <v>8</v>
      </c>
      <c r="G5332" t="s">
        <v>202</v>
      </c>
      <c r="H5332" t="s">
        <v>258</v>
      </c>
      <c r="I5332" s="4">
        <v>37817.880799999999</v>
      </c>
      <c r="J5332" s="4">
        <v>3781788.08</v>
      </c>
      <c r="K5332" s="4">
        <v>-188461.2</v>
      </c>
      <c r="L5332" s="4">
        <v>100</v>
      </c>
    </row>
    <row r="5333" spans="1:12">
      <c r="A5333" t="s">
        <v>264</v>
      </c>
      <c r="B5333" s="10">
        <v>45363</v>
      </c>
      <c r="C5333" s="18">
        <f t="shared" si="83"/>
        <v>3</v>
      </c>
      <c r="D5333" t="s">
        <v>196</v>
      </c>
      <c r="E5333">
        <v>4872210</v>
      </c>
      <c r="F5333" t="s">
        <v>8</v>
      </c>
      <c r="G5333" t="s">
        <v>203</v>
      </c>
      <c r="H5333" t="s">
        <v>230</v>
      </c>
      <c r="I5333" s="4">
        <v>100638.28079999999</v>
      </c>
      <c r="J5333" s="4">
        <v>2012765.6159999999</v>
      </c>
      <c r="K5333" s="4">
        <v>-86692.152000000002</v>
      </c>
      <c r="L5333" s="4">
        <v>20</v>
      </c>
    </row>
    <row r="5334" spans="1:12">
      <c r="A5334" t="s">
        <v>264</v>
      </c>
      <c r="B5334" s="10">
        <v>45363</v>
      </c>
      <c r="C5334" s="18">
        <f t="shared" si="83"/>
        <v>3</v>
      </c>
      <c r="D5334" t="s">
        <v>196</v>
      </c>
      <c r="E5334">
        <v>4872210</v>
      </c>
      <c r="F5334" t="s">
        <v>8</v>
      </c>
      <c r="G5334" t="s">
        <v>203</v>
      </c>
      <c r="H5334" t="s">
        <v>225</v>
      </c>
      <c r="I5334" s="4">
        <v>100638.28079999999</v>
      </c>
      <c r="J5334" s="4">
        <v>2012765.6159999999</v>
      </c>
      <c r="K5334" s="4">
        <v>-86692.152000000002</v>
      </c>
      <c r="L5334" s="4">
        <v>20</v>
      </c>
    </row>
    <row r="5335" spans="1:12">
      <c r="A5335" t="s">
        <v>264</v>
      </c>
      <c r="B5335" s="10">
        <v>45363</v>
      </c>
      <c r="C5335" s="18">
        <f t="shared" si="83"/>
        <v>3</v>
      </c>
      <c r="D5335" t="s">
        <v>196</v>
      </c>
      <c r="E5335">
        <v>4872210</v>
      </c>
      <c r="F5335" t="s">
        <v>8</v>
      </c>
      <c r="G5335" t="s">
        <v>203</v>
      </c>
      <c r="H5335" t="s">
        <v>229</v>
      </c>
      <c r="I5335" s="4">
        <v>125766.4408</v>
      </c>
      <c r="J5335" s="4">
        <v>3772993.2239999999</v>
      </c>
      <c r="K5335" s="4">
        <v>-169615.08</v>
      </c>
      <c r="L5335" s="4">
        <v>30</v>
      </c>
    </row>
    <row r="5336" spans="1:12">
      <c r="A5336" t="s">
        <v>264</v>
      </c>
      <c r="B5336" s="10">
        <v>45364</v>
      </c>
      <c r="C5336" s="18">
        <f t="shared" si="83"/>
        <v>3</v>
      </c>
      <c r="D5336" t="s">
        <v>196</v>
      </c>
      <c r="E5336">
        <v>4871600</v>
      </c>
      <c r="F5336" t="s">
        <v>8</v>
      </c>
      <c r="G5336" t="s">
        <v>204</v>
      </c>
      <c r="H5336" t="s">
        <v>217</v>
      </c>
      <c r="I5336" s="4">
        <v>78022.936799999996</v>
      </c>
      <c r="J5336" s="4">
        <v>78022.936799999996</v>
      </c>
      <c r="K5336" s="4">
        <v>-3580.7627999999995</v>
      </c>
      <c r="L5336" s="4">
        <v>1</v>
      </c>
    </row>
    <row r="5337" spans="1:12">
      <c r="A5337" t="s">
        <v>264</v>
      </c>
      <c r="B5337" s="10">
        <v>45364</v>
      </c>
      <c r="C5337" s="18">
        <f t="shared" si="83"/>
        <v>3</v>
      </c>
      <c r="D5337" t="s">
        <v>196</v>
      </c>
      <c r="E5337">
        <v>4871600</v>
      </c>
      <c r="F5337" t="s">
        <v>8</v>
      </c>
      <c r="G5337" t="s">
        <v>204</v>
      </c>
      <c r="H5337" t="s">
        <v>221</v>
      </c>
      <c r="I5337" s="4">
        <v>25253.800799999997</v>
      </c>
      <c r="J5337" s="4">
        <v>277791.8088</v>
      </c>
      <c r="K5337" s="4">
        <v>-13820.488000000001</v>
      </c>
      <c r="L5337" s="4">
        <v>11</v>
      </c>
    </row>
    <row r="5338" spans="1:12">
      <c r="A5338" t="s">
        <v>264</v>
      </c>
      <c r="B5338" s="10">
        <v>45364</v>
      </c>
      <c r="C5338" s="18">
        <f t="shared" si="83"/>
        <v>3</v>
      </c>
      <c r="D5338" t="s">
        <v>196</v>
      </c>
      <c r="E5338">
        <v>4871600</v>
      </c>
      <c r="F5338" t="s">
        <v>8</v>
      </c>
      <c r="G5338" t="s">
        <v>204</v>
      </c>
      <c r="H5338" t="s">
        <v>220</v>
      </c>
      <c r="I5338" s="4">
        <v>37817.880799999999</v>
      </c>
      <c r="J5338" s="4">
        <v>302543.04639999999</v>
      </c>
      <c r="K5338" s="4">
        <v>-15076.895999999999</v>
      </c>
      <c r="L5338" s="4">
        <v>8</v>
      </c>
    </row>
    <row r="5339" spans="1:12">
      <c r="A5339" t="s">
        <v>264</v>
      </c>
      <c r="B5339" s="10">
        <v>45364</v>
      </c>
      <c r="C5339" s="18">
        <f t="shared" si="83"/>
        <v>3</v>
      </c>
      <c r="D5339" t="s">
        <v>196</v>
      </c>
      <c r="E5339">
        <v>4871600</v>
      </c>
      <c r="F5339" t="s">
        <v>8</v>
      </c>
      <c r="G5339" t="s">
        <v>204</v>
      </c>
      <c r="H5339" t="s">
        <v>212</v>
      </c>
      <c r="I5339" s="4">
        <v>62946.040799999995</v>
      </c>
      <c r="J5339" s="4">
        <v>503568.32639999996</v>
      </c>
      <c r="K5339" s="4">
        <v>-15076.895999999999</v>
      </c>
      <c r="L5339" s="4">
        <v>8</v>
      </c>
    </row>
    <row r="5340" spans="1:12">
      <c r="A5340" t="s">
        <v>264</v>
      </c>
      <c r="B5340" s="10">
        <v>45364</v>
      </c>
      <c r="C5340" s="18">
        <f t="shared" si="83"/>
        <v>3</v>
      </c>
      <c r="D5340" t="s">
        <v>196</v>
      </c>
      <c r="E5340">
        <v>4872068</v>
      </c>
      <c r="F5340" t="s">
        <v>8</v>
      </c>
      <c r="G5340" t="s">
        <v>203</v>
      </c>
      <c r="H5340" t="s">
        <v>243</v>
      </c>
      <c r="I5340" s="4">
        <v>100638.28079999999</v>
      </c>
      <c r="J5340" s="4">
        <v>201276.56159999999</v>
      </c>
      <c r="K5340" s="4">
        <v>-8669.2151999999987</v>
      </c>
      <c r="L5340" s="4">
        <v>2</v>
      </c>
    </row>
    <row r="5341" spans="1:12">
      <c r="A5341" t="s">
        <v>264</v>
      </c>
      <c r="B5341" s="10">
        <v>45364</v>
      </c>
      <c r="C5341" s="18">
        <f t="shared" si="83"/>
        <v>3</v>
      </c>
      <c r="D5341" t="s">
        <v>196</v>
      </c>
      <c r="E5341">
        <v>4872068</v>
      </c>
      <c r="F5341" t="s">
        <v>8</v>
      </c>
      <c r="G5341" t="s">
        <v>203</v>
      </c>
      <c r="H5341" t="s">
        <v>242</v>
      </c>
      <c r="I5341" s="4">
        <v>100638.28079999999</v>
      </c>
      <c r="J5341" s="4">
        <v>201276.56159999999</v>
      </c>
      <c r="K5341" s="4">
        <v>-8669.2151999999987</v>
      </c>
      <c r="L5341" s="4">
        <v>2</v>
      </c>
    </row>
    <row r="5342" spans="1:12">
      <c r="A5342" t="s">
        <v>264</v>
      </c>
      <c r="B5342" s="10">
        <v>45364</v>
      </c>
      <c r="C5342" s="18">
        <f t="shared" si="83"/>
        <v>3</v>
      </c>
      <c r="D5342" t="s">
        <v>196</v>
      </c>
      <c r="E5342">
        <v>4872068</v>
      </c>
      <c r="F5342" t="s">
        <v>8</v>
      </c>
      <c r="G5342" t="s">
        <v>203</v>
      </c>
      <c r="H5342" t="s">
        <v>230</v>
      </c>
      <c r="I5342" s="4">
        <v>100638.28079999999</v>
      </c>
      <c r="J5342" s="4">
        <v>201276.56159999999</v>
      </c>
      <c r="K5342" s="4">
        <v>-8669.2151999999987</v>
      </c>
      <c r="L5342" s="4">
        <v>2</v>
      </c>
    </row>
    <row r="5343" spans="1:12">
      <c r="A5343" t="s">
        <v>264</v>
      </c>
      <c r="B5343" s="10">
        <v>45364</v>
      </c>
      <c r="C5343" s="18">
        <f t="shared" si="83"/>
        <v>3</v>
      </c>
      <c r="D5343" t="s">
        <v>196</v>
      </c>
      <c r="E5343">
        <v>4872068</v>
      </c>
      <c r="F5343" t="s">
        <v>8</v>
      </c>
      <c r="G5343" t="s">
        <v>203</v>
      </c>
      <c r="H5343" t="s">
        <v>233</v>
      </c>
      <c r="I5343" s="4">
        <v>120735.78316800001</v>
      </c>
      <c r="J5343" s="4">
        <v>241471.56633600002</v>
      </c>
      <c r="K5343" s="4">
        <v>-11307.672</v>
      </c>
      <c r="L5343" s="4">
        <v>2</v>
      </c>
    </row>
    <row r="5344" spans="1:12">
      <c r="A5344" t="s">
        <v>264</v>
      </c>
      <c r="B5344" s="10">
        <v>45364</v>
      </c>
      <c r="C5344" s="18">
        <f t="shared" si="83"/>
        <v>3</v>
      </c>
      <c r="D5344" t="s">
        <v>196</v>
      </c>
      <c r="E5344">
        <v>4872068</v>
      </c>
      <c r="F5344" t="s">
        <v>8</v>
      </c>
      <c r="G5344" t="s">
        <v>203</v>
      </c>
      <c r="H5344" t="s">
        <v>229</v>
      </c>
      <c r="I5344" s="4">
        <v>125766.4408</v>
      </c>
      <c r="J5344" s="4">
        <v>251532.88159999999</v>
      </c>
      <c r="K5344" s="4">
        <v>-11307.672</v>
      </c>
      <c r="L5344" s="4">
        <v>2</v>
      </c>
    </row>
    <row r="5345" spans="1:12">
      <c r="A5345" t="s">
        <v>264</v>
      </c>
      <c r="B5345" s="10">
        <v>45364</v>
      </c>
      <c r="C5345" s="18">
        <f t="shared" si="83"/>
        <v>3</v>
      </c>
      <c r="D5345" t="s">
        <v>196</v>
      </c>
      <c r="E5345">
        <v>4874586</v>
      </c>
      <c r="F5345" t="s">
        <v>8</v>
      </c>
      <c r="G5345" t="s">
        <v>204</v>
      </c>
      <c r="H5345" t="s">
        <v>217</v>
      </c>
      <c r="I5345" s="4">
        <v>78022.936799999996</v>
      </c>
      <c r="J5345" s="4">
        <v>780229.36800000002</v>
      </c>
      <c r="K5345" s="4">
        <v>-35807.628000000004</v>
      </c>
      <c r="L5345" s="4">
        <v>10</v>
      </c>
    </row>
    <row r="5346" spans="1:12">
      <c r="A5346" t="s">
        <v>264</v>
      </c>
      <c r="B5346" s="10">
        <v>45364</v>
      </c>
      <c r="C5346" s="18">
        <f t="shared" si="83"/>
        <v>3</v>
      </c>
      <c r="D5346" t="s">
        <v>196</v>
      </c>
      <c r="E5346">
        <v>4874586</v>
      </c>
      <c r="F5346" t="s">
        <v>8</v>
      </c>
      <c r="G5346" t="s">
        <v>204</v>
      </c>
      <c r="H5346" t="s">
        <v>213</v>
      </c>
      <c r="I5346" s="4">
        <v>119484.4008</v>
      </c>
      <c r="J5346" s="4">
        <v>1792266.0120000001</v>
      </c>
      <c r="K5346" s="4">
        <v>-89519.069999999992</v>
      </c>
      <c r="L5346" s="4">
        <v>15</v>
      </c>
    </row>
    <row r="5347" spans="1:12">
      <c r="A5347" t="s">
        <v>264</v>
      </c>
      <c r="B5347" s="10">
        <v>45364</v>
      </c>
      <c r="C5347" s="18">
        <f t="shared" si="83"/>
        <v>3</v>
      </c>
      <c r="D5347" t="s">
        <v>196</v>
      </c>
      <c r="E5347">
        <v>4873723</v>
      </c>
      <c r="F5347" t="s">
        <v>8</v>
      </c>
      <c r="G5347" t="s">
        <v>203</v>
      </c>
      <c r="H5347" t="s">
        <v>232</v>
      </c>
      <c r="I5347" s="4">
        <v>100638.28079999999</v>
      </c>
      <c r="J5347" s="4">
        <v>201276.56159999999</v>
      </c>
      <c r="K5347" s="4">
        <v>-8669.2151999999987</v>
      </c>
      <c r="L5347" s="4">
        <v>2</v>
      </c>
    </row>
    <row r="5348" spans="1:12">
      <c r="A5348" t="s">
        <v>264</v>
      </c>
      <c r="B5348" s="10">
        <v>45364</v>
      </c>
      <c r="C5348" s="18">
        <f t="shared" si="83"/>
        <v>3</v>
      </c>
      <c r="D5348" t="s">
        <v>196</v>
      </c>
      <c r="E5348">
        <v>4873723</v>
      </c>
      <c r="F5348" t="s">
        <v>8</v>
      </c>
      <c r="G5348" t="s">
        <v>203</v>
      </c>
      <c r="H5348" t="s">
        <v>228</v>
      </c>
      <c r="I5348" s="4">
        <v>100638.28079999999</v>
      </c>
      <c r="J5348" s="4">
        <v>201276.56159999999</v>
      </c>
      <c r="K5348" s="4">
        <v>-8669.2151999999987</v>
      </c>
      <c r="L5348" s="4">
        <v>2</v>
      </c>
    </row>
    <row r="5349" spans="1:12">
      <c r="A5349" t="s">
        <v>264</v>
      </c>
      <c r="B5349" s="10">
        <v>45364</v>
      </c>
      <c r="C5349" s="18">
        <f t="shared" si="83"/>
        <v>3</v>
      </c>
      <c r="D5349" t="s">
        <v>196</v>
      </c>
      <c r="E5349">
        <v>4873723</v>
      </c>
      <c r="F5349" t="s">
        <v>8</v>
      </c>
      <c r="G5349" t="s">
        <v>203</v>
      </c>
      <c r="H5349" t="s">
        <v>227</v>
      </c>
      <c r="I5349" s="4">
        <v>100638.28079999999</v>
      </c>
      <c r="J5349" s="4">
        <v>201276.56159999999</v>
      </c>
      <c r="K5349" s="4">
        <v>-8669.2151999999987</v>
      </c>
      <c r="L5349" s="4">
        <v>2</v>
      </c>
    </row>
    <row r="5350" spans="1:12">
      <c r="A5350" t="s">
        <v>264</v>
      </c>
      <c r="B5350" s="10">
        <v>45364</v>
      </c>
      <c r="C5350" s="18">
        <f t="shared" si="83"/>
        <v>3</v>
      </c>
      <c r="D5350" t="s">
        <v>196</v>
      </c>
      <c r="E5350">
        <v>4873723</v>
      </c>
      <c r="F5350" t="s">
        <v>8</v>
      </c>
      <c r="G5350" t="s">
        <v>203</v>
      </c>
      <c r="H5350" t="s">
        <v>226</v>
      </c>
      <c r="I5350" s="4">
        <v>100638.28079999999</v>
      </c>
      <c r="J5350" s="4">
        <v>201276.56159999999</v>
      </c>
      <c r="K5350" s="4">
        <v>-8669.2151999999987</v>
      </c>
      <c r="L5350" s="4">
        <v>2</v>
      </c>
    </row>
    <row r="5351" spans="1:12">
      <c r="A5351" t="s">
        <v>264</v>
      </c>
      <c r="B5351" s="10">
        <v>45364</v>
      </c>
      <c r="C5351" s="18">
        <f t="shared" si="83"/>
        <v>3</v>
      </c>
      <c r="D5351" t="s">
        <v>196</v>
      </c>
      <c r="E5351">
        <v>4873723</v>
      </c>
      <c r="F5351" t="s">
        <v>8</v>
      </c>
      <c r="G5351" t="s">
        <v>203</v>
      </c>
      <c r="H5351" t="s">
        <v>225</v>
      </c>
      <c r="I5351" s="4">
        <v>100638.28079999999</v>
      </c>
      <c r="J5351" s="4">
        <v>201276.56159999999</v>
      </c>
      <c r="K5351" s="4">
        <v>-8669.2151999999987</v>
      </c>
      <c r="L5351" s="4">
        <v>2</v>
      </c>
    </row>
    <row r="5352" spans="1:12">
      <c r="A5352" t="s">
        <v>264</v>
      </c>
      <c r="B5352" s="10">
        <v>45364</v>
      </c>
      <c r="C5352" s="18">
        <f t="shared" si="83"/>
        <v>3</v>
      </c>
      <c r="D5352" t="s">
        <v>196</v>
      </c>
      <c r="E5352">
        <v>4873723</v>
      </c>
      <c r="F5352" t="s">
        <v>8</v>
      </c>
      <c r="G5352" t="s">
        <v>203</v>
      </c>
      <c r="H5352" t="s">
        <v>224</v>
      </c>
      <c r="I5352" s="4">
        <v>100638.28079999999</v>
      </c>
      <c r="J5352" s="4">
        <v>201276.56159999999</v>
      </c>
      <c r="K5352" s="4">
        <v>-8669.2151999999987</v>
      </c>
      <c r="L5352" s="4">
        <v>2</v>
      </c>
    </row>
    <row r="5353" spans="1:12">
      <c r="A5353" t="s">
        <v>264</v>
      </c>
      <c r="B5353" s="10">
        <v>45364</v>
      </c>
      <c r="C5353" s="18">
        <f t="shared" si="83"/>
        <v>3</v>
      </c>
      <c r="D5353" t="s">
        <v>196</v>
      </c>
      <c r="E5353">
        <v>4873723</v>
      </c>
      <c r="F5353" t="s">
        <v>8</v>
      </c>
      <c r="G5353" t="s">
        <v>203</v>
      </c>
      <c r="H5353" t="s">
        <v>244</v>
      </c>
      <c r="I5353" s="4">
        <v>125766.4408</v>
      </c>
      <c r="J5353" s="4">
        <v>251532.88159999999</v>
      </c>
      <c r="K5353" s="4">
        <v>-11307.672</v>
      </c>
      <c r="L5353" s="4">
        <v>2</v>
      </c>
    </row>
    <row r="5354" spans="1:12">
      <c r="A5354" t="s">
        <v>264</v>
      </c>
      <c r="B5354" s="10">
        <v>45364</v>
      </c>
      <c r="C5354" s="18">
        <f t="shared" si="83"/>
        <v>3</v>
      </c>
      <c r="D5354" t="s">
        <v>196</v>
      </c>
      <c r="E5354">
        <v>4873723</v>
      </c>
      <c r="F5354" t="s">
        <v>8</v>
      </c>
      <c r="G5354" t="s">
        <v>203</v>
      </c>
      <c r="H5354" t="s">
        <v>237</v>
      </c>
      <c r="I5354" s="4">
        <v>125766.4408</v>
      </c>
      <c r="J5354" s="4">
        <v>251532.88159999999</v>
      </c>
      <c r="K5354" s="4">
        <v>-11307.672</v>
      </c>
      <c r="L5354" s="4">
        <v>2</v>
      </c>
    </row>
    <row r="5355" spans="1:12">
      <c r="A5355" t="s">
        <v>264</v>
      </c>
      <c r="B5355" s="10">
        <v>45364</v>
      </c>
      <c r="C5355" s="18">
        <f t="shared" si="83"/>
        <v>3</v>
      </c>
      <c r="D5355" t="s">
        <v>196</v>
      </c>
      <c r="E5355">
        <v>4873723</v>
      </c>
      <c r="F5355" t="s">
        <v>8</v>
      </c>
      <c r="G5355" t="s">
        <v>203</v>
      </c>
      <c r="H5355" t="s">
        <v>233</v>
      </c>
      <c r="I5355" s="4">
        <v>120735.78316800001</v>
      </c>
      <c r="J5355" s="4">
        <v>241471.56633600002</v>
      </c>
      <c r="K5355" s="4">
        <v>-11307.672</v>
      </c>
      <c r="L5355" s="4">
        <v>2</v>
      </c>
    </row>
    <row r="5356" spans="1:12">
      <c r="A5356" t="s">
        <v>264</v>
      </c>
      <c r="B5356" s="10">
        <v>45364</v>
      </c>
      <c r="C5356" s="18">
        <f t="shared" si="83"/>
        <v>3</v>
      </c>
      <c r="D5356" t="s">
        <v>196</v>
      </c>
      <c r="E5356">
        <v>4876759</v>
      </c>
      <c r="F5356" t="s">
        <v>8</v>
      </c>
      <c r="G5356" t="s">
        <v>203</v>
      </c>
      <c r="H5356" t="s">
        <v>245</v>
      </c>
      <c r="I5356" s="4">
        <v>100638.28079999999</v>
      </c>
      <c r="J5356" s="4">
        <v>201276.56159999999</v>
      </c>
      <c r="K5356" s="4">
        <v>-8669.2151999999987</v>
      </c>
      <c r="L5356" s="4">
        <v>2</v>
      </c>
    </row>
    <row r="5357" spans="1:12">
      <c r="A5357" t="s">
        <v>264</v>
      </c>
      <c r="B5357" s="10">
        <v>45364</v>
      </c>
      <c r="C5357" s="18">
        <f t="shared" si="83"/>
        <v>3</v>
      </c>
      <c r="D5357" t="s">
        <v>196</v>
      </c>
      <c r="E5357">
        <v>4876759</v>
      </c>
      <c r="F5357" t="s">
        <v>8</v>
      </c>
      <c r="G5357" t="s">
        <v>203</v>
      </c>
      <c r="H5357" t="s">
        <v>243</v>
      </c>
      <c r="I5357" s="4">
        <v>100638.28079999999</v>
      </c>
      <c r="J5357" s="4">
        <v>201276.56159999999</v>
      </c>
      <c r="K5357" s="4">
        <v>-8669.2151999999987</v>
      </c>
      <c r="L5357" s="4">
        <v>2</v>
      </c>
    </row>
    <row r="5358" spans="1:12">
      <c r="A5358" t="s">
        <v>264</v>
      </c>
      <c r="B5358" s="10">
        <v>45364</v>
      </c>
      <c r="C5358" s="18">
        <f t="shared" si="83"/>
        <v>3</v>
      </c>
      <c r="D5358" t="s">
        <v>196</v>
      </c>
      <c r="E5358">
        <v>4876759</v>
      </c>
      <c r="F5358" t="s">
        <v>8</v>
      </c>
      <c r="G5358" t="s">
        <v>203</v>
      </c>
      <c r="H5358" t="s">
        <v>242</v>
      </c>
      <c r="I5358" s="4">
        <v>100638.28079999999</v>
      </c>
      <c r="J5358" s="4">
        <v>201276.56159999999</v>
      </c>
      <c r="K5358" s="4">
        <v>-8669.2151999999987</v>
      </c>
      <c r="L5358" s="4">
        <v>2</v>
      </c>
    </row>
    <row r="5359" spans="1:12">
      <c r="A5359" t="s">
        <v>264</v>
      </c>
      <c r="B5359" s="10">
        <v>45364</v>
      </c>
      <c r="C5359" s="18">
        <f t="shared" si="83"/>
        <v>3</v>
      </c>
      <c r="D5359" t="s">
        <v>196</v>
      </c>
      <c r="E5359">
        <v>4876759</v>
      </c>
      <c r="F5359" t="s">
        <v>8</v>
      </c>
      <c r="G5359" t="s">
        <v>203</v>
      </c>
      <c r="H5359" t="s">
        <v>240</v>
      </c>
      <c r="I5359" s="4">
        <v>100638.28079999999</v>
      </c>
      <c r="J5359" s="4">
        <v>201276.56159999999</v>
      </c>
      <c r="K5359" s="4">
        <v>-8669.2151999999987</v>
      </c>
      <c r="L5359" s="4">
        <v>2</v>
      </c>
    </row>
    <row r="5360" spans="1:12">
      <c r="A5360" t="s">
        <v>264</v>
      </c>
      <c r="B5360" s="10">
        <v>45364</v>
      </c>
      <c r="C5360" s="18">
        <f t="shared" si="83"/>
        <v>3</v>
      </c>
      <c r="D5360" t="s">
        <v>196</v>
      </c>
      <c r="E5360">
        <v>4876759</v>
      </c>
      <c r="F5360" t="s">
        <v>8</v>
      </c>
      <c r="G5360" t="s">
        <v>203</v>
      </c>
      <c r="H5360" t="s">
        <v>238</v>
      </c>
      <c r="I5360" s="4">
        <v>95606.36675999999</v>
      </c>
      <c r="J5360" s="4">
        <v>191212.73351999998</v>
      </c>
      <c r="K5360" s="4">
        <v>-8669.2151999999987</v>
      </c>
      <c r="L5360" s="4">
        <v>2</v>
      </c>
    </row>
    <row r="5361" spans="1:12">
      <c r="A5361" t="s">
        <v>264</v>
      </c>
      <c r="B5361" s="10">
        <v>45364</v>
      </c>
      <c r="C5361" s="18">
        <f t="shared" si="83"/>
        <v>3</v>
      </c>
      <c r="D5361" t="s">
        <v>196</v>
      </c>
      <c r="E5361">
        <v>4876759</v>
      </c>
      <c r="F5361" t="s">
        <v>8</v>
      </c>
      <c r="G5361" t="s">
        <v>203</v>
      </c>
      <c r="H5361" t="s">
        <v>236</v>
      </c>
      <c r="I5361" s="4">
        <v>100638.28079999999</v>
      </c>
      <c r="J5361" s="4">
        <v>201276.56159999999</v>
      </c>
      <c r="K5361" s="4">
        <v>-8669.2151999999987</v>
      </c>
      <c r="L5361" s="4">
        <v>2</v>
      </c>
    </row>
    <row r="5362" spans="1:12">
      <c r="A5362" t="s">
        <v>264</v>
      </c>
      <c r="B5362" s="10">
        <v>45364</v>
      </c>
      <c r="C5362" s="18">
        <f t="shared" si="83"/>
        <v>3</v>
      </c>
      <c r="D5362" t="s">
        <v>196</v>
      </c>
      <c r="E5362">
        <v>4876759</v>
      </c>
      <c r="F5362" t="s">
        <v>8</v>
      </c>
      <c r="G5362" t="s">
        <v>203</v>
      </c>
      <c r="H5362" t="s">
        <v>232</v>
      </c>
      <c r="I5362" s="4">
        <v>100638.28079999999</v>
      </c>
      <c r="J5362" s="4">
        <v>201276.56159999999</v>
      </c>
      <c r="K5362" s="4">
        <v>-8669.2151999999987</v>
      </c>
      <c r="L5362" s="4">
        <v>2</v>
      </c>
    </row>
    <row r="5363" spans="1:12">
      <c r="A5363" t="s">
        <v>264</v>
      </c>
      <c r="B5363" s="10">
        <v>45364</v>
      </c>
      <c r="C5363" s="18">
        <f t="shared" si="83"/>
        <v>3</v>
      </c>
      <c r="D5363" t="s">
        <v>196</v>
      </c>
      <c r="E5363">
        <v>4876759</v>
      </c>
      <c r="F5363" t="s">
        <v>8</v>
      </c>
      <c r="G5363" t="s">
        <v>203</v>
      </c>
      <c r="H5363" t="s">
        <v>230</v>
      </c>
      <c r="I5363" s="4">
        <v>100638.28079999999</v>
      </c>
      <c r="J5363" s="4">
        <v>201276.56159999999</v>
      </c>
      <c r="K5363" s="4">
        <v>-8669.2151999999987</v>
      </c>
      <c r="L5363" s="4">
        <v>2</v>
      </c>
    </row>
    <row r="5364" spans="1:12">
      <c r="A5364" t="s">
        <v>264</v>
      </c>
      <c r="B5364" s="10">
        <v>45364</v>
      </c>
      <c r="C5364" s="18">
        <f t="shared" si="83"/>
        <v>3</v>
      </c>
      <c r="D5364" t="s">
        <v>196</v>
      </c>
      <c r="E5364">
        <v>4876759</v>
      </c>
      <c r="F5364" t="s">
        <v>8</v>
      </c>
      <c r="G5364" t="s">
        <v>203</v>
      </c>
      <c r="H5364" t="s">
        <v>228</v>
      </c>
      <c r="I5364" s="4">
        <v>100638.28079999999</v>
      </c>
      <c r="J5364" s="4">
        <v>201276.56159999999</v>
      </c>
      <c r="K5364" s="4">
        <v>-8669.2151999999987</v>
      </c>
      <c r="L5364" s="4">
        <v>2</v>
      </c>
    </row>
    <row r="5365" spans="1:12">
      <c r="A5365" t="s">
        <v>264</v>
      </c>
      <c r="B5365" s="10">
        <v>45364</v>
      </c>
      <c r="C5365" s="18">
        <f t="shared" si="83"/>
        <v>3</v>
      </c>
      <c r="D5365" t="s">
        <v>196</v>
      </c>
      <c r="E5365">
        <v>4876759</v>
      </c>
      <c r="F5365" t="s">
        <v>8</v>
      </c>
      <c r="G5365" t="s">
        <v>203</v>
      </c>
      <c r="H5365" t="s">
        <v>227</v>
      </c>
      <c r="I5365" s="4">
        <v>100638.28079999999</v>
      </c>
      <c r="J5365" s="4">
        <v>201276.56159999999</v>
      </c>
      <c r="K5365" s="4">
        <v>-8669.2151999999987</v>
      </c>
      <c r="L5365" s="4">
        <v>2</v>
      </c>
    </row>
    <row r="5366" spans="1:12">
      <c r="A5366" t="s">
        <v>264</v>
      </c>
      <c r="B5366" s="10">
        <v>45364</v>
      </c>
      <c r="C5366" s="18">
        <f t="shared" si="83"/>
        <v>3</v>
      </c>
      <c r="D5366" t="s">
        <v>196</v>
      </c>
      <c r="E5366">
        <v>4876759</v>
      </c>
      <c r="F5366" t="s">
        <v>8</v>
      </c>
      <c r="G5366" t="s">
        <v>203</v>
      </c>
      <c r="H5366" t="s">
        <v>226</v>
      </c>
      <c r="I5366" s="4">
        <v>100638.28079999999</v>
      </c>
      <c r="J5366" s="4">
        <v>201276.56159999999</v>
      </c>
      <c r="K5366" s="4">
        <v>-8669.2151999999987</v>
      </c>
      <c r="L5366" s="4">
        <v>2</v>
      </c>
    </row>
    <row r="5367" spans="1:12">
      <c r="A5367" t="s">
        <v>264</v>
      </c>
      <c r="B5367" s="10">
        <v>45364</v>
      </c>
      <c r="C5367" s="18">
        <f t="shared" si="83"/>
        <v>3</v>
      </c>
      <c r="D5367" t="s">
        <v>196</v>
      </c>
      <c r="E5367">
        <v>4876759</v>
      </c>
      <c r="F5367" t="s">
        <v>8</v>
      </c>
      <c r="G5367" t="s">
        <v>203</v>
      </c>
      <c r="H5367" t="s">
        <v>225</v>
      </c>
      <c r="I5367" s="4">
        <v>100638.28079999999</v>
      </c>
      <c r="J5367" s="4">
        <v>201276.56159999999</v>
      </c>
      <c r="K5367" s="4">
        <v>-8669.2151999999987</v>
      </c>
      <c r="L5367" s="4">
        <v>2</v>
      </c>
    </row>
    <row r="5368" spans="1:12">
      <c r="A5368" t="s">
        <v>264</v>
      </c>
      <c r="B5368" s="10">
        <v>45364</v>
      </c>
      <c r="C5368" s="18">
        <f t="shared" si="83"/>
        <v>3</v>
      </c>
      <c r="D5368" t="s">
        <v>196</v>
      </c>
      <c r="E5368">
        <v>4876759</v>
      </c>
      <c r="F5368" t="s">
        <v>8</v>
      </c>
      <c r="G5368" t="s">
        <v>203</v>
      </c>
      <c r="H5368" t="s">
        <v>224</v>
      </c>
      <c r="I5368" s="4">
        <v>100638.28079999999</v>
      </c>
      <c r="J5368" s="4">
        <v>201276.56159999999</v>
      </c>
      <c r="K5368" s="4">
        <v>-8669.2151999999987</v>
      </c>
      <c r="L5368" s="4">
        <v>2</v>
      </c>
    </row>
    <row r="5369" spans="1:12">
      <c r="A5369" t="s">
        <v>264</v>
      </c>
      <c r="B5369" s="10">
        <v>45364</v>
      </c>
      <c r="C5369" s="18">
        <f t="shared" si="83"/>
        <v>3</v>
      </c>
      <c r="D5369" t="s">
        <v>196</v>
      </c>
      <c r="E5369">
        <v>4876759</v>
      </c>
      <c r="F5369" t="s">
        <v>8</v>
      </c>
      <c r="G5369" t="s">
        <v>203</v>
      </c>
      <c r="H5369" t="s">
        <v>223</v>
      </c>
      <c r="I5369" s="4">
        <v>100638.28079999999</v>
      </c>
      <c r="J5369" s="4">
        <v>201276.56159999999</v>
      </c>
      <c r="K5369" s="4">
        <v>-8669.2151999999987</v>
      </c>
      <c r="L5369" s="4">
        <v>2</v>
      </c>
    </row>
    <row r="5370" spans="1:12">
      <c r="A5370" t="s">
        <v>264</v>
      </c>
      <c r="B5370" s="10">
        <v>45364</v>
      </c>
      <c r="C5370" s="18">
        <f t="shared" si="83"/>
        <v>3</v>
      </c>
      <c r="D5370" t="s">
        <v>196</v>
      </c>
      <c r="E5370">
        <v>4876759</v>
      </c>
      <c r="F5370" t="s">
        <v>8</v>
      </c>
      <c r="G5370" t="s">
        <v>203</v>
      </c>
      <c r="H5370" t="s">
        <v>222</v>
      </c>
      <c r="I5370" s="4">
        <v>100638.28079999999</v>
      </c>
      <c r="J5370" s="4">
        <v>201276.56159999999</v>
      </c>
      <c r="K5370" s="4">
        <v>-8669.2151999999987</v>
      </c>
      <c r="L5370" s="4">
        <v>2</v>
      </c>
    </row>
    <row r="5371" spans="1:12">
      <c r="A5371" t="s">
        <v>264</v>
      </c>
      <c r="B5371" s="10">
        <v>45364</v>
      </c>
      <c r="C5371" s="18">
        <f t="shared" si="83"/>
        <v>3</v>
      </c>
      <c r="D5371" t="s">
        <v>196</v>
      </c>
      <c r="E5371">
        <v>4876759</v>
      </c>
      <c r="F5371" t="s">
        <v>8</v>
      </c>
      <c r="G5371" t="s">
        <v>203</v>
      </c>
      <c r="H5371" t="s">
        <v>244</v>
      </c>
      <c r="I5371" s="4">
        <v>125766.4408</v>
      </c>
      <c r="J5371" s="4">
        <v>125766.4408</v>
      </c>
      <c r="K5371" s="4">
        <v>-5653.8360000000002</v>
      </c>
      <c r="L5371" s="4">
        <v>1</v>
      </c>
    </row>
    <row r="5372" spans="1:12">
      <c r="A5372" t="s">
        <v>264</v>
      </c>
      <c r="B5372" s="10">
        <v>45364</v>
      </c>
      <c r="C5372" s="18">
        <f t="shared" si="83"/>
        <v>3</v>
      </c>
      <c r="D5372" t="s">
        <v>196</v>
      </c>
      <c r="E5372">
        <v>4876759</v>
      </c>
      <c r="F5372" t="s">
        <v>8</v>
      </c>
      <c r="G5372" t="s">
        <v>203</v>
      </c>
      <c r="H5372" t="s">
        <v>241</v>
      </c>
      <c r="I5372" s="4">
        <v>125766.4408</v>
      </c>
      <c r="J5372" s="4">
        <v>125766.4408</v>
      </c>
      <c r="K5372" s="4">
        <v>-5653.8360000000002</v>
      </c>
      <c r="L5372" s="4">
        <v>1</v>
      </c>
    </row>
    <row r="5373" spans="1:12">
      <c r="A5373" t="s">
        <v>264</v>
      </c>
      <c r="B5373" s="10">
        <v>45364</v>
      </c>
      <c r="C5373" s="18">
        <f t="shared" si="83"/>
        <v>3</v>
      </c>
      <c r="D5373" t="s">
        <v>196</v>
      </c>
      <c r="E5373">
        <v>4876759</v>
      </c>
      <c r="F5373" t="s">
        <v>8</v>
      </c>
      <c r="G5373" t="s">
        <v>203</v>
      </c>
      <c r="H5373" t="s">
        <v>237</v>
      </c>
      <c r="I5373" s="4">
        <v>125766.4408</v>
      </c>
      <c r="J5373" s="4">
        <v>125766.4408</v>
      </c>
      <c r="K5373" s="4">
        <v>-5653.8360000000002</v>
      </c>
      <c r="L5373" s="4">
        <v>1</v>
      </c>
    </row>
    <row r="5374" spans="1:12">
      <c r="A5374" t="s">
        <v>264</v>
      </c>
      <c r="B5374" s="10">
        <v>45364</v>
      </c>
      <c r="C5374" s="18">
        <f t="shared" si="83"/>
        <v>3</v>
      </c>
      <c r="D5374" t="s">
        <v>196</v>
      </c>
      <c r="E5374">
        <v>4876759</v>
      </c>
      <c r="F5374" t="s">
        <v>8</v>
      </c>
      <c r="G5374" t="s">
        <v>203</v>
      </c>
      <c r="H5374" t="s">
        <v>235</v>
      </c>
      <c r="I5374" s="4">
        <v>125766.4408</v>
      </c>
      <c r="J5374" s="4">
        <v>125766.4408</v>
      </c>
      <c r="K5374" s="4">
        <v>-5653.8360000000002</v>
      </c>
      <c r="L5374" s="4">
        <v>1</v>
      </c>
    </row>
    <row r="5375" spans="1:12">
      <c r="A5375" t="s">
        <v>264</v>
      </c>
      <c r="B5375" s="10">
        <v>45364</v>
      </c>
      <c r="C5375" s="18">
        <f t="shared" si="83"/>
        <v>3</v>
      </c>
      <c r="D5375" t="s">
        <v>196</v>
      </c>
      <c r="E5375">
        <v>4876759</v>
      </c>
      <c r="F5375" t="s">
        <v>8</v>
      </c>
      <c r="G5375" t="s">
        <v>203</v>
      </c>
      <c r="H5375" t="s">
        <v>233</v>
      </c>
      <c r="I5375" s="4">
        <v>120735.78316800001</v>
      </c>
      <c r="J5375" s="4">
        <v>120735.78316800001</v>
      </c>
      <c r="K5375" s="4">
        <v>-5653.8360000000002</v>
      </c>
      <c r="L5375" s="4">
        <v>1</v>
      </c>
    </row>
    <row r="5376" spans="1:12">
      <c r="A5376" t="s">
        <v>264</v>
      </c>
      <c r="B5376" s="10">
        <v>45364</v>
      </c>
      <c r="C5376" s="18">
        <f t="shared" si="83"/>
        <v>3</v>
      </c>
      <c r="D5376" t="s">
        <v>196</v>
      </c>
      <c r="E5376">
        <v>4876759</v>
      </c>
      <c r="F5376" t="s">
        <v>8</v>
      </c>
      <c r="G5376" t="s">
        <v>203</v>
      </c>
      <c r="H5376" t="s">
        <v>231</v>
      </c>
      <c r="I5376" s="4">
        <v>125766.4408</v>
      </c>
      <c r="J5376" s="4">
        <v>125766.4408</v>
      </c>
      <c r="K5376" s="4">
        <v>-5653.8360000000002</v>
      </c>
      <c r="L5376" s="4">
        <v>1</v>
      </c>
    </row>
    <row r="5377" spans="1:12">
      <c r="A5377" t="s">
        <v>264</v>
      </c>
      <c r="B5377" s="10">
        <v>45364</v>
      </c>
      <c r="C5377" s="18">
        <f t="shared" si="83"/>
        <v>3</v>
      </c>
      <c r="D5377" t="s">
        <v>196</v>
      </c>
      <c r="E5377">
        <v>4876759</v>
      </c>
      <c r="F5377" t="s">
        <v>8</v>
      </c>
      <c r="G5377" t="s">
        <v>203</v>
      </c>
      <c r="H5377" t="s">
        <v>229</v>
      </c>
      <c r="I5377" s="4">
        <v>125766.4408</v>
      </c>
      <c r="J5377" s="4">
        <v>125766.4408</v>
      </c>
      <c r="K5377" s="4">
        <v>-5653.8360000000002</v>
      </c>
      <c r="L5377" s="4">
        <v>1</v>
      </c>
    </row>
    <row r="5378" spans="1:12">
      <c r="A5378" t="s">
        <v>264</v>
      </c>
      <c r="B5378" s="10">
        <v>45364</v>
      </c>
      <c r="C5378" s="18">
        <f t="shared" ref="C5378:C5441" si="84">MONTH(B5378)</f>
        <v>3</v>
      </c>
      <c r="D5378" t="s">
        <v>196</v>
      </c>
      <c r="E5378">
        <v>4872205</v>
      </c>
      <c r="F5378" t="s">
        <v>8</v>
      </c>
      <c r="G5378" t="s">
        <v>203</v>
      </c>
      <c r="H5378" t="s">
        <v>243</v>
      </c>
      <c r="I5378" s="4">
        <v>100638.28079999999</v>
      </c>
      <c r="J5378" s="4">
        <v>1006382.808</v>
      </c>
      <c r="K5378" s="4">
        <v>-43346.076000000001</v>
      </c>
      <c r="L5378" s="4">
        <v>10</v>
      </c>
    </row>
    <row r="5379" spans="1:12">
      <c r="A5379" t="s">
        <v>264</v>
      </c>
      <c r="B5379" s="10">
        <v>45364</v>
      </c>
      <c r="C5379" s="18">
        <f t="shared" si="84"/>
        <v>3</v>
      </c>
      <c r="D5379" t="s">
        <v>196</v>
      </c>
      <c r="E5379">
        <v>4872205</v>
      </c>
      <c r="F5379" t="s">
        <v>8</v>
      </c>
      <c r="G5379" t="s">
        <v>203</v>
      </c>
      <c r="H5379" t="s">
        <v>242</v>
      </c>
      <c r="I5379" s="4">
        <v>100638.28079999999</v>
      </c>
      <c r="J5379" s="4">
        <v>1006382.808</v>
      </c>
      <c r="K5379" s="4">
        <v>-43346.076000000001</v>
      </c>
      <c r="L5379" s="4">
        <v>10</v>
      </c>
    </row>
    <row r="5380" spans="1:12">
      <c r="A5380" t="s">
        <v>264</v>
      </c>
      <c r="B5380" s="10">
        <v>45364</v>
      </c>
      <c r="C5380" s="18">
        <f t="shared" si="84"/>
        <v>3</v>
      </c>
      <c r="D5380" t="s">
        <v>196</v>
      </c>
      <c r="E5380">
        <v>4872205</v>
      </c>
      <c r="F5380" t="s">
        <v>8</v>
      </c>
      <c r="G5380" t="s">
        <v>203</v>
      </c>
      <c r="H5380" t="s">
        <v>238</v>
      </c>
      <c r="I5380" s="4">
        <v>95606.36675999999</v>
      </c>
      <c r="J5380" s="4">
        <v>956063.66759999993</v>
      </c>
      <c r="K5380" s="4">
        <v>-43346.076000000001</v>
      </c>
      <c r="L5380" s="4">
        <v>10</v>
      </c>
    </row>
    <row r="5381" spans="1:12">
      <c r="A5381" t="s">
        <v>264</v>
      </c>
      <c r="B5381" s="10">
        <v>45364</v>
      </c>
      <c r="C5381" s="18">
        <f t="shared" si="84"/>
        <v>3</v>
      </c>
      <c r="D5381" t="s">
        <v>196</v>
      </c>
      <c r="E5381">
        <v>4872205</v>
      </c>
      <c r="F5381" t="s">
        <v>8</v>
      </c>
      <c r="G5381" t="s">
        <v>203</v>
      </c>
      <c r="H5381" t="s">
        <v>230</v>
      </c>
      <c r="I5381" s="4">
        <v>100638.28079999999</v>
      </c>
      <c r="J5381" s="4">
        <v>1006382.808</v>
      </c>
      <c r="K5381" s="4">
        <v>-43346.076000000001</v>
      </c>
      <c r="L5381" s="4">
        <v>10</v>
      </c>
    </row>
    <row r="5382" spans="1:12">
      <c r="A5382" t="s">
        <v>264</v>
      </c>
      <c r="B5382" s="10">
        <v>45364</v>
      </c>
      <c r="C5382" s="18">
        <f t="shared" si="84"/>
        <v>3</v>
      </c>
      <c r="D5382" t="s">
        <v>196</v>
      </c>
      <c r="E5382">
        <v>4872205</v>
      </c>
      <c r="F5382" t="s">
        <v>8</v>
      </c>
      <c r="G5382" t="s">
        <v>203</v>
      </c>
      <c r="H5382" t="s">
        <v>227</v>
      </c>
      <c r="I5382" s="4">
        <v>100638.28079999999</v>
      </c>
      <c r="J5382" s="4">
        <v>1006382.808</v>
      </c>
      <c r="K5382" s="4">
        <v>-43346.076000000001</v>
      </c>
      <c r="L5382" s="4">
        <v>10</v>
      </c>
    </row>
    <row r="5383" spans="1:12">
      <c r="A5383" t="s">
        <v>264</v>
      </c>
      <c r="B5383" s="10">
        <v>45364</v>
      </c>
      <c r="C5383" s="18">
        <f t="shared" si="84"/>
        <v>3</v>
      </c>
      <c r="D5383" t="s">
        <v>196</v>
      </c>
      <c r="E5383">
        <v>4872205</v>
      </c>
      <c r="F5383" t="s">
        <v>8</v>
      </c>
      <c r="G5383" t="s">
        <v>203</v>
      </c>
      <c r="H5383" t="s">
        <v>244</v>
      </c>
      <c r="I5383" s="4">
        <v>125766.4408</v>
      </c>
      <c r="J5383" s="4">
        <v>1257664.4080000001</v>
      </c>
      <c r="K5383" s="4">
        <v>-56538.36</v>
      </c>
      <c r="L5383" s="4">
        <v>10</v>
      </c>
    </row>
    <row r="5384" spans="1:12">
      <c r="A5384" t="s">
        <v>264</v>
      </c>
      <c r="B5384" s="10">
        <v>45364</v>
      </c>
      <c r="C5384" s="18">
        <f t="shared" si="84"/>
        <v>3</v>
      </c>
      <c r="D5384" t="s">
        <v>196</v>
      </c>
      <c r="E5384">
        <v>4872205</v>
      </c>
      <c r="F5384" t="s">
        <v>8</v>
      </c>
      <c r="G5384" t="s">
        <v>203</v>
      </c>
      <c r="H5384" t="s">
        <v>237</v>
      </c>
      <c r="I5384" s="4">
        <v>125766.4408</v>
      </c>
      <c r="J5384" s="4">
        <v>1257664.4080000001</v>
      </c>
      <c r="K5384" s="4">
        <v>-56538.36</v>
      </c>
      <c r="L5384" s="4">
        <v>10</v>
      </c>
    </row>
    <row r="5385" spans="1:12">
      <c r="A5385" t="s">
        <v>264</v>
      </c>
      <c r="B5385" s="10">
        <v>45364</v>
      </c>
      <c r="C5385" s="18">
        <f t="shared" si="84"/>
        <v>3</v>
      </c>
      <c r="D5385" t="s">
        <v>196</v>
      </c>
      <c r="E5385">
        <v>4872205</v>
      </c>
      <c r="F5385" t="s">
        <v>8</v>
      </c>
      <c r="G5385" t="s">
        <v>203</v>
      </c>
      <c r="H5385" t="s">
        <v>235</v>
      </c>
      <c r="I5385" s="4">
        <v>125766.4408</v>
      </c>
      <c r="J5385" s="4">
        <v>1257664.4080000001</v>
      </c>
      <c r="K5385" s="4">
        <v>-56538.36</v>
      </c>
      <c r="L5385" s="4">
        <v>10</v>
      </c>
    </row>
    <row r="5386" spans="1:12">
      <c r="A5386" t="s">
        <v>264</v>
      </c>
      <c r="B5386" s="10">
        <v>45364</v>
      </c>
      <c r="C5386" s="18">
        <f t="shared" si="84"/>
        <v>3</v>
      </c>
      <c r="D5386" t="s">
        <v>196</v>
      </c>
      <c r="E5386">
        <v>4877306</v>
      </c>
      <c r="F5386" t="s">
        <v>8</v>
      </c>
      <c r="G5386" t="s">
        <v>203</v>
      </c>
      <c r="H5386" t="s">
        <v>240</v>
      </c>
      <c r="I5386" s="4">
        <v>100638.28079999999</v>
      </c>
      <c r="J5386" s="4">
        <v>201276.56159999999</v>
      </c>
      <c r="K5386" s="4">
        <v>-8669.2151999999987</v>
      </c>
      <c r="L5386" s="4">
        <v>2</v>
      </c>
    </row>
    <row r="5387" spans="1:12">
      <c r="A5387" t="s">
        <v>264</v>
      </c>
      <c r="B5387" s="10">
        <v>45364</v>
      </c>
      <c r="C5387" s="18">
        <f t="shared" si="84"/>
        <v>3</v>
      </c>
      <c r="D5387" t="s">
        <v>196</v>
      </c>
      <c r="E5387">
        <v>4877306</v>
      </c>
      <c r="F5387" t="s">
        <v>8</v>
      </c>
      <c r="G5387" t="s">
        <v>203</v>
      </c>
      <c r="H5387" t="s">
        <v>238</v>
      </c>
      <c r="I5387" s="4">
        <v>95606.36675999999</v>
      </c>
      <c r="J5387" s="4">
        <v>382425.46703999996</v>
      </c>
      <c r="K5387" s="4">
        <v>-17338.430399999997</v>
      </c>
      <c r="L5387" s="4">
        <v>4</v>
      </c>
    </row>
    <row r="5388" spans="1:12">
      <c r="A5388" t="s">
        <v>264</v>
      </c>
      <c r="B5388" s="10">
        <v>45364</v>
      </c>
      <c r="C5388" s="18">
        <f t="shared" si="84"/>
        <v>3</v>
      </c>
      <c r="D5388" t="s">
        <v>196</v>
      </c>
      <c r="E5388">
        <v>4872200</v>
      </c>
      <c r="F5388" t="s">
        <v>8</v>
      </c>
      <c r="G5388" t="s">
        <v>203</v>
      </c>
      <c r="H5388" t="s">
        <v>230</v>
      </c>
      <c r="I5388" s="4">
        <v>100638.28079999999</v>
      </c>
      <c r="J5388" s="4">
        <v>4025531.2319999998</v>
      </c>
      <c r="K5388" s="4">
        <v>-173384.304</v>
      </c>
      <c r="L5388" s="4">
        <v>40</v>
      </c>
    </row>
    <row r="5389" spans="1:12">
      <c r="A5389" t="s">
        <v>264</v>
      </c>
      <c r="B5389" s="10">
        <v>45364</v>
      </c>
      <c r="C5389" s="18">
        <f t="shared" si="84"/>
        <v>3</v>
      </c>
      <c r="D5389" t="s">
        <v>196</v>
      </c>
      <c r="E5389">
        <v>4872200</v>
      </c>
      <c r="F5389" t="s">
        <v>8</v>
      </c>
      <c r="G5389" t="s">
        <v>203</v>
      </c>
      <c r="H5389" t="s">
        <v>222</v>
      </c>
      <c r="I5389" s="4">
        <v>100638.28079999999</v>
      </c>
      <c r="J5389" s="4">
        <v>4025531.2319999998</v>
      </c>
      <c r="K5389" s="4">
        <v>-173384.304</v>
      </c>
      <c r="L5389" s="4">
        <v>40</v>
      </c>
    </row>
    <row r="5390" spans="1:12">
      <c r="A5390" t="s">
        <v>264</v>
      </c>
      <c r="B5390" s="10">
        <v>45364</v>
      </c>
      <c r="C5390" s="18">
        <f t="shared" si="84"/>
        <v>3</v>
      </c>
      <c r="D5390" t="s">
        <v>196</v>
      </c>
      <c r="E5390">
        <v>4872200</v>
      </c>
      <c r="F5390" t="s">
        <v>8</v>
      </c>
      <c r="G5390" t="s">
        <v>203</v>
      </c>
      <c r="H5390" t="s">
        <v>229</v>
      </c>
      <c r="I5390" s="4">
        <v>125766.4408</v>
      </c>
      <c r="J5390" s="4">
        <v>3144161.02</v>
      </c>
      <c r="K5390" s="4">
        <v>-141345.9</v>
      </c>
      <c r="L5390" s="4">
        <v>25</v>
      </c>
    </row>
    <row r="5391" spans="1:12">
      <c r="A5391" t="s">
        <v>264</v>
      </c>
      <c r="B5391" s="10">
        <v>45366</v>
      </c>
      <c r="C5391" s="18">
        <f t="shared" si="84"/>
        <v>3</v>
      </c>
      <c r="D5391" t="s">
        <v>196</v>
      </c>
      <c r="E5391">
        <v>4878874</v>
      </c>
      <c r="F5391" t="s">
        <v>8</v>
      </c>
      <c r="G5391" t="s">
        <v>204</v>
      </c>
      <c r="H5391" t="s">
        <v>219</v>
      </c>
      <c r="I5391" s="4">
        <v>44099.9208</v>
      </c>
      <c r="J5391" s="4">
        <v>44099.9208</v>
      </c>
      <c r="K5391" s="4">
        <v>-1884.6119999999999</v>
      </c>
      <c r="L5391" s="4">
        <v>1</v>
      </c>
    </row>
    <row r="5392" spans="1:12">
      <c r="A5392" t="s">
        <v>264</v>
      </c>
      <c r="B5392" s="10">
        <v>45366</v>
      </c>
      <c r="C5392" s="18">
        <f t="shared" si="84"/>
        <v>3</v>
      </c>
      <c r="D5392" t="s">
        <v>196</v>
      </c>
      <c r="E5392">
        <v>4878874</v>
      </c>
      <c r="F5392" t="s">
        <v>8</v>
      </c>
      <c r="G5392" t="s">
        <v>204</v>
      </c>
      <c r="H5392" t="s">
        <v>218</v>
      </c>
      <c r="I5392" s="4">
        <v>71740.896800000002</v>
      </c>
      <c r="J5392" s="4">
        <v>71740.896800000002</v>
      </c>
      <c r="K5392" s="4">
        <v>-3580.7627999999995</v>
      </c>
      <c r="L5392" s="4">
        <v>1</v>
      </c>
    </row>
    <row r="5393" spans="1:12">
      <c r="A5393" t="s">
        <v>264</v>
      </c>
      <c r="B5393" s="10">
        <v>45366</v>
      </c>
      <c r="C5393" s="18">
        <f t="shared" si="84"/>
        <v>3</v>
      </c>
      <c r="D5393" t="s">
        <v>196</v>
      </c>
      <c r="E5393">
        <v>4878874</v>
      </c>
      <c r="F5393" t="s">
        <v>8</v>
      </c>
      <c r="G5393" t="s">
        <v>204</v>
      </c>
      <c r="H5393" t="s">
        <v>217</v>
      </c>
      <c r="I5393" s="4">
        <v>78022.936799999996</v>
      </c>
      <c r="J5393" s="4">
        <v>78022.936799999996</v>
      </c>
      <c r="K5393" s="4">
        <v>-3580.7627999999995</v>
      </c>
      <c r="L5393" s="4">
        <v>1</v>
      </c>
    </row>
    <row r="5394" spans="1:12">
      <c r="A5394" t="s">
        <v>264</v>
      </c>
      <c r="B5394" s="10">
        <v>45366</v>
      </c>
      <c r="C5394" s="18">
        <f t="shared" si="84"/>
        <v>3</v>
      </c>
      <c r="D5394" t="s">
        <v>196</v>
      </c>
      <c r="E5394">
        <v>4878874</v>
      </c>
      <c r="F5394" t="s">
        <v>8</v>
      </c>
      <c r="G5394" t="s">
        <v>204</v>
      </c>
      <c r="H5394" t="s">
        <v>216</v>
      </c>
      <c r="I5394" s="4">
        <v>113202.36079999999</v>
      </c>
      <c r="J5394" s="4">
        <v>113202.36079999999</v>
      </c>
      <c r="K5394" s="4">
        <v>-5653.8360000000002</v>
      </c>
      <c r="L5394" s="4">
        <v>1</v>
      </c>
    </row>
    <row r="5395" spans="1:12">
      <c r="A5395" t="s">
        <v>264</v>
      </c>
      <c r="B5395" s="10">
        <v>45366</v>
      </c>
      <c r="C5395" s="18">
        <f t="shared" si="84"/>
        <v>3</v>
      </c>
      <c r="D5395" t="s">
        <v>196</v>
      </c>
      <c r="E5395">
        <v>4878874</v>
      </c>
      <c r="F5395" t="s">
        <v>8</v>
      </c>
      <c r="G5395" t="s">
        <v>204</v>
      </c>
      <c r="H5395" t="s">
        <v>215</v>
      </c>
      <c r="I5395" s="4">
        <v>75510.12079999999</v>
      </c>
      <c r="J5395" s="4">
        <v>75510.12079999999</v>
      </c>
      <c r="K5395" s="4">
        <v>-3769.2239999999997</v>
      </c>
      <c r="L5395" s="4">
        <v>1</v>
      </c>
    </row>
    <row r="5396" spans="1:12">
      <c r="A5396" t="s">
        <v>264</v>
      </c>
      <c r="B5396" s="10">
        <v>45366</v>
      </c>
      <c r="C5396" s="18">
        <f t="shared" si="84"/>
        <v>3</v>
      </c>
      <c r="D5396" t="s">
        <v>196</v>
      </c>
      <c r="E5396">
        <v>4878874</v>
      </c>
      <c r="F5396" t="s">
        <v>8</v>
      </c>
      <c r="G5396" t="s">
        <v>204</v>
      </c>
      <c r="H5396" t="s">
        <v>214</v>
      </c>
      <c r="I5396" s="4">
        <v>119484.4008</v>
      </c>
      <c r="J5396" s="4">
        <v>119484.4008</v>
      </c>
      <c r="K5396" s="4">
        <v>-5967.9380000000001</v>
      </c>
      <c r="L5396" s="4">
        <v>1</v>
      </c>
    </row>
    <row r="5397" spans="1:12">
      <c r="A5397" t="s">
        <v>264</v>
      </c>
      <c r="B5397" s="10">
        <v>45366</v>
      </c>
      <c r="C5397" s="18">
        <f t="shared" si="84"/>
        <v>3</v>
      </c>
      <c r="D5397" t="s">
        <v>196</v>
      </c>
      <c r="E5397">
        <v>4878874</v>
      </c>
      <c r="F5397" t="s">
        <v>8</v>
      </c>
      <c r="G5397" t="s">
        <v>204</v>
      </c>
      <c r="H5397" t="s">
        <v>213</v>
      </c>
      <c r="I5397" s="4">
        <v>119484.4008</v>
      </c>
      <c r="J5397" s="4">
        <v>119484.4008</v>
      </c>
      <c r="K5397" s="4">
        <v>-5967.9380000000001</v>
      </c>
      <c r="L5397" s="4">
        <v>1</v>
      </c>
    </row>
    <row r="5398" spans="1:12">
      <c r="A5398" t="s">
        <v>264</v>
      </c>
      <c r="B5398" s="10">
        <v>45366</v>
      </c>
      <c r="C5398" s="18">
        <f t="shared" si="84"/>
        <v>3</v>
      </c>
      <c r="D5398" t="s">
        <v>196</v>
      </c>
      <c r="E5398">
        <v>4878874</v>
      </c>
      <c r="F5398" t="s">
        <v>8</v>
      </c>
      <c r="G5398" t="s">
        <v>204</v>
      </c>
      <c r="H5398" t="s">
        <v>221</v>
      </c>
      <c r="I5398" s="4">
        <v>25253.800799999997</v>
      </c>
      <c r="J5398" s="4">
        <v>25253.800799999997</v>
      </c>
      <c r="K5398" s="4">
        <v>-1256.4080000000001</v>
      </c>
      <c r="L5398" s="4">
        <v>1</v>
      </c>
    </row>
    <row r="5399" spans="1:12">
      <c r="A5399" t="s">
        <v>264</v>
      </c>
      <c r="B5399" s="10">
        <v>45366</v>
      </c>
      <c r="C5399" s="18">
        <f t="shared" si="84"/>
        <v>3</v>
      </c>
      <c r="D5399" t="s">
        <v>196</v>
      </c>
      <c r="E5399">
        <v>4878874</v>
      </c>
      <c r="F5399" t="s">
        <v>8</v>
      </c>
      <c r="G5399" t="s">
        <v>204</v>
      </c>
      <c r="H5399" t="s">
        <v>220</v>
      </c>
      <c r="I5399" s="4">
        <v>37817.880799999999</v>
      </c>
      <c r="J5399" s="4">
        <v>151271.5232</v>
      </c>
      <c r="K5399" s="4">
        <v>-7538.4479999999994</v>
      </c>
      <c r="L5399" s="4">
        <v>4</v>
      </c>
    </row>
    <row r="5400" spans="1:12">
      <c r="A5400" t="s">
        <v>264</v>
      </c>
      <c r="B5400" s="10">
        <v>45366</v>
      </c>
      <c r="C5400" s="18">
        <f t="shared" si="84"/>
        <v>3</v>
      </c>
      <c r="D5400" t="s">
        <v>196</v>
      </c>
      <c r="E5400">
        <v>4878874</v>
      </c>
      <c r="F5400" t="s">
        <v>8</v>
      </c>
      <c r="G5400" t="s">
        <v>204</v>
      </c>
      <c r="H5400" t="s">
        <v>212</v>
      </c>
      <c r="I5400" s="4">
        <v>62946.040799999995</v>
      </c>
      <c r="J5400" s="4">
        <v>251784.16319999998</v>
      </c>
      <c r="K5400" s="4">
        <v>-7538.4479999999994</v>
      </c>
      <c r="L5400" s="4">
        <v>4</v>
      </c>
    </row>
    <row r="5401" spans="1:12">
      <c r="A5401" t="s">
        <v>264</v>
      </c>
      <c r="B5401" s="10">
        <v>45366</v>
      </c>
      <c r="C5401" s="18">
        <f t="shared" si="84"/>
        <v>3</v>
      </c>
      <c r="D5401" t="s">
        <v>196</v>
      </c>
      <c r="E5401">
        <v>4873836</v>
      </c>
      <c r="F5401" t="s">
        <v>8</v>
      </c>
      <c r="G5401" t="s">
        <v>202</v>
      </c>
      <c r="H5401" t="s">
        <v>256</v>
      </c>
      <c r="I5401" s="4">
        <v>64202.448800000006</v>
      </c>
      <c r="J5401" s="4">
        <v>128404.89760000001</v>
      </c>
      <c r="K5401" s="4">
        <v>-6407.6808000000001</v>
      </c>
      <c r="L5401" s="4">
        <v>2</v>
      </c>
    </row>
    <row r="5402" spans="1:12">
      <c r="A5402" t="s">
        <v>264</v>
      </c>
      <c r="B5402" s="10">
        <v>45366</v>
      </c>
      <c r="C5402" s="18">
        <f t="shared" si="84"/>
        <v>3</v>
      </c>
      <c r="D5402" t="s">
        <v>196</v>
      </c>
      <c r="E5402">
        <v>4872156</v>
      </c>
      <c r="F5402" t="s">
        <v>8</v>
      </c>
      <c r="G5402" t="s">
        <v>204</v>
      </c>
      <c r="H5402" t="s">
        <v>217</v>
      </c>
      <c r="I5402" s="4">
        <v>78022.936799999996</v>
      </c>
      <c r="J5402" s="4">
        <v>2340688.1039999998</v>
      </c>
      <c r="K5402" s="4">
        <v>-107422.88400000001</v>
      </c>
      <c r="L5402" s="4">
        <v>30</v>
      </c>
    </row>
    <row r="5403" spans="1:12">
      <c r="A5403" t="s">
        <v>264</v>
      </c>
      <c r="B5403" s="10">
        <v>45366</v>
      </c>
      <c r="C5403" s="18">
        <f t="shared" si="84"/>
        <v>3</v>
      </c>
      <c r="D5403" t="s">
        <v>196</v>
      </c>
      <c r="E5403">
        <v>4878748</v>
      </c>
      <c r="F5403" t="s">
        <v>8</v>
      </c>
      <c r="G5403" t="s">
        <v>202</v>
      </c>
      <c r="H5403" t="s">
        <v>258</v>
      </c>
      <c r="I5403" s="4">
        <v>37817.880799999999</v>
      </c>
      <c r="J5403" s="4">
        <v>-113453.6424</v>
      </c>
      <c r="K5403" s="4">
        <v>5653.8360000000002</v>
      </c>
      <c r="L5403" s="4">
        <v>-3</v>
      </c>
    </row>
    <row r="5404" spans="1:12">
      <c r="A5404" t="s">
        <v>264</v>
      </c>
      <c r="B5404" s="10">
        <v>45366</v>
      </c>
      <c r="C5404" s="18">
        <f t="shared" si="84"/>
        <v>3</v>
      </c>
      <c r="D5404" t="s">
        <v>196</v>
      </c>
      <c r="E5404">
        <v>4871657</v>
      </c>
      <c r="F5404" t="s">
        <v>8</v>
      </c>
      <c r="G5404" t="s">
        <v>204</v>
      </c>
      <c r="H5404" t="s">
        <v>220</v>
      </c>
      <c r="I5404" s="4">
        <v>37817.880799999999</v>
      </c>
      <c r="J5404" s="4">
        <v>226907.28479999999</v>
      </c>
      <c r="K5404" s="4">
        <v>-11307.672</v>
      </c>
      <c r="L5404" s="4">
        <v>6</v>
      </c>
    </row>
    <row r="5405" spans="1:12">
      <c r="A5405" t="s">
        <v>264</v>
      </c>
      <c r="B5405" s="10">
        <v>45366</v>
      </c>
      <c r="C5405" s="18">
        <f t="shared" si="84"/>
        <v>3</v>
      </c>
      <c r="D5405" t="s">
        <v>196</v>
      </c>
      <c r="E5405">
        <v>4871657</v>
      </c>
      <c r="F5405" t="s">
        <v>8</v>
      </c>
      <c r="G5405" t="s">
        <v>202</v>
      </c>
      <c r="H5405" t="s">
        <v>255</v>
      </c>
      <c r="I5405" s="4">
        <v>72489.71596799999</v>
      </c>
      <c r="J5405" s="4">
        <v>-869876.59161599982</v>
      </c>
      <c r="K5405" s="4">
        <v>45230.688000000002</v>
      </c>
      <c r="L5405" s="4">
        <v>-12</v>
      </c>
    </row>
    <row r="5406" spans="1:12">
      <c r="A5406" t="s">
        <v>264</v>
      </c>
      <c r="B5406" s="10">
        <v>45366</v>
      </c>
      <c r="C5406" s="18">
        <f t="shared" si="84"/>
        <v>3</v>
      </c>
      <c r="D5406" t="s">
        <v>196</v>
      </c>
      <c r="E5406">
        <v>4871657</v>
      </c>
      <c r="F5406" t="s">
        <v>8</v>
      </c>
      <c r="G5406" t="s">
        <v>202</v>
      </c>
      <c r="H5406" t="s">
        <v>253</v>
      </c>
      <c r="I5406" s="4">
        <v>46669.275160000005</v>
      </c>
      <c r="J5406" s="4">
        <v>-560031.30192</v>
      </c>
      <c r="K5406" s="4">
        <v>29399.947199999999</v>
      </c>
      <c r="L5406" s="4">
        <v>-12</v>
      </c>
    </row>
    <row r="5407" spans="1:12">
      <c r="A5407" t="s">
        <v>264</v>
      </c>
      <c r="B5407" s="10">
        <v>45366</v>
      </c>
      <c r="C5407" s="18">
        <f t="shared" si="84"/>
        <v>3</v>
      </c>
      <c r="D5407" t="s">
        <v>196</v>
      </c>
      <c r="E5407">
        <v>4874586</v>
      </c>
      <c r="F5407" t="s">
        <v>8</v>
      </c>
      <c r="G5407" t="s">
        <v>203</v>
      </c>
      <c r="H5407" t="s">
        <v>237</v>
      </c>
      <c r="I5407" s="4">
        <v>125766.4408</v>
      </c>
      <c r="J5407" s="4">
        <v>1257664.4080000001</v>
      </c>
      <c r="K5407" s="4">
        <v>-56538.36</v>
      </c>
      <c r="L5407" s="4">
        <v>10</v>
      </c>
    </row>
    <row r="5408" spans="1:12">
      <c r="A5408" t="s">
        <v>264</v>
      </c>
      <c r="B5408" s="10">
        <v>45366</v>
      </c>
      <c r="C5408" s="18">
        <f t="shared" si="84"/>
        <v>3</v>
      </c>
      <c r="D5408" t="s">
        <v>196</v>
      </c>
      <c r="E5408">
        <v>4874586</v>
      </c>
      <c r="F5408" t="s">
        <v>8</v>
      </c>
      <c r="G5408" t="s">
        <v>203</v>
      </c>
      <c r="H5408" t="s">
        <v>235</v>
      </c>
      <c r="I5408" s="4">
        <v>125766.4408</v>
      </c>
      <c r="J5408" s="4">
        <v>1257664.4080000001</v>
      </c>
      <c r="K5408" s="4">
        <v>-56538.36</v>
      </c>
      <c r="L5408" s="4">
        <v>10</v>
      </c>
    </row>
    <row r="5409" spans="1:12">
      <c r="A5409" t="s">
        <v>264</v>
      </c>
      <c r="B5409" s="10">
        <v>45366</v>
      </c>
      <c r="C5409" s="18">
        <f t="shared" si="84"/>
        <v>3</v>
      </c>
      <c r="D5409" t="s">
        <v>196</v>
      </c>
      <c r="E5409">
        <v>4874586</v>
      </c>
      <c r="F5409" t="s">
        <v>8</v>
      </c>
      <c r="G5409" t="s">
        <v>203</v>
      </c>
      <c r="H5409" t="s">
        <v>231</v>
      </c>
      <c r="I5409" s="4">
        <v>125766.4408</v>
      </c>
      <c r="J5409" s="4">
        <v>1257664.4080000001</v>
      </c>
      <c r="K5409" s="4">
        <v>-56538.36</v>
      </c>
      <c r="L5409" s="4">
        <v>10</v>
      </c>
    </row>
    <row r="5410" spans="1:12">
      <c r="A5410" t="s">
        <v>264</v>
      </c>
      <c r="B5410" s="10">
        <v>45366</v>
      </c>
      <c r="C5410" s="18">
        <f t="shared" si="84"/>
        <v>3</v>
      </c>
      <c r="D5410" t="s">
        <v>196</v>
      </c>
      <c r="E5410">
        <v>4874586</v>
      </c>
      <c r="F5410" t="s">
        <v>8</v>
      </c>
      <c r="G5410" t="s">
        <v>203</v>
      </c>
      <c r="H5410" t="s">
        <v>229</v>
      </c>
      <c r="I5410" s="4">
        <v>125766.4408</v>
      </c>
      <c r="J5410" s="4">
        <v>377299.3224</v>
      </c>
      <c r="K5410" s="4">
        <v>-16961.508000000002</v>
      </c>
      <c r="L5410" s="4">
        <v>3</v>
      </c>
    </row>
    <row r="5411" spans="1:12">
      <c r="A5411" t="s">
        <v>264</v>
      </c>
      <c r="B5411" s="10">
        <v>45367</v>
      </c>
      <c r="C5411" s="18">
        <f t="shared" si="84"/>
        <v>3</v>
      </c>
      <c r="D5411" t="s">
        <v>196</v>
      </c>
      <c r="E5411">
        <v>4874006</v>
      </c>
      <c r="F5411" t="s">
        <v>8</v>
      </c>
      <c r="G5411" t="s">
        <v>203</v>
      </c>
      <c r="H5411" t="s">
        <v>240</v>
      </c>
      <c r="I5411" s="4">
        <v>100638.28079999999</v>
      </c>
      <c r="J5411" s="4">
        <v>2012765.6159999999</v>
      </c>
      <c r="K5411" s="4">
        <v>-86692.152000000002</v>
      </c>
      <c r="L5411" s="4">
        <v>20</v>
      </c>
    </row>
    <row r="5412" spans="1:12">
      <c r="A5412" t="s">
        <v>264</v>
      </c>
      <c r="B5412" s="10">
        <v>45367</v>
      </c>
      <c r="C5412" s="18">
        <f t="shared" si="84"/>
        <v>3</v>
      </c>
      <c r="D5412" t="s">
        <v>196</v>
      </c>
      <c r="E5412">
        <v>4874006</v>
      </c>
      <c r="F5412" t="s">
        <v>8</v>
      </c>
      <c r="G5412" t="s">
        <v>203</v>
      </c>
      <c r="H5412" t="s">
        <v>238</v>
      </c>
      <c r="I5412" s="4">
        <v>95606.36675999999</v>
      </c>
      <c r="J5412" s="4">
        <v>1912127.3351999999</v>
      </c>
      <c r="K5412" s="4">
        <v>-86692.152000000002</v>
      </c>
      <c r="L5412" s="4">
        <v>20</v>
      </c>
    </row>
    <row r="5413" spans="1:12">
      <c r="A5413" t="s">
        <v>264</v>
      </c>
      <c r="B5413" s="10">
        <v>45367</v>
      </c>
      <c r="C5413" s="18">
        <f t="shared" si="84"/>
        <v>3</v>
      </c>
      <c r="D5413" t="s">
        <v>196</v>
      </c>
      <c r="E5413">
        <v>4874006</v>
      </c>
      <c r="F5413" t="s">
        <v>8</v>
      </c>
      <c r="G5413" t="s">
        <v>203</v>
      </c>
      <c r="H5413" t="s">
        <v>236</v>
      </c>
      <c r="I5413" s="4">
        <v>100638.28079999999</v>
      </c>
      <c r="J5413" s="4">
        <v>2012765.6159999999</v>
      </c>
      <c r="K5413" s="4">
        <v>-86692.152000000002</v>
      </c>
      <c r="L5413" s="4">
        <v>20</v>
      </c>
    </row>
    <row r="5414" spans="1:12">
      <c r="A5414" t="s">
        <v>264</v>
      </c>
      <c r="B5414" s="10">
        <v>45367</v>
      </c>
      <c r="C5414" s="18">
        <f t="shared" si="84"/>
        <v>3</v>
      </c>
      <c r="D5414" t="s">
        <v>196</v>
      </c>
      <c r="E5414">
        <v>4874006</v>
      </c>
      <c r="F5414" t="s">
        <v>8</v>
      </c>
      <c r="G5414" t="s">
        <v>203</v>
      </c>
      <c r="H5414" t="s">
        <v>227</v>
      </c>
      <c r="I5414" s="4">
        <v>100638.28079999999</v>
      </c>
      <c r="J5414" s="4">
        <v>2012765.6159999999</v>
      </c>
      <c r="K5414" s="4">
        <v>-86692.152000000002</v>
      </c>
      <c r="L5414" s="4">
        <v>20</v>
      </c>
    </row>
    <row r="5415" spans="1:12">
      <c r="A5415" t="s">
        <v>264</v>
      </c>
      <c r="B5415" s="10">
        <v>45367</v>
      </c>
      <c r="C5415" s="18">
        <f t="shared" si="84"/>
        <v>3</v>
      </c>
      <c r="D5415" t="s">
        <v>196</v>
      </c>
      <c r="E5415">
        <v>4879214</v>
      </c>
      <c r="F5415" t="s">
        <v>8</v>
      </c>
      <c r="G5415" t="s">
        <v>204</v>
      </c>
      <c r="H5415" t="s">
        <v>217</v>
      </c>
      <c r="I5415" s="4">
        <v>78022.936799999996</v>
      </c>
      <c r="J5415" s="4">
        <v>156045.87359999999</v>
      </c>
      <c r="K5415" s="4">
        <v>-7161.525599999999</v>
      </c>
      <c r="L5415" s="4">
        <v>2</v>
      </c>
    </row>
    <row r="5416" spans="1:12">
      <c r="A5416" t="s">
        <v>264</v>
      </c>
      <c r="B5416" s="10">
        <v>45367</v>
      </c>
      <c r="C5416" s="18">
        <f t="shared" si="84"/>
        <v>3</v>
      </c>
      <c r="D5416" t="s">
        <v>196</v>
      </c>
      <c r="E5416">
        <v>4879214</v>
      </c>
      <c r="F5416" t="s">
        <v>8</v>
      </c>
      <c r="G5416" t="s">
        <v>204</v>
      </c>
      <c r="H5416" t="s">
        <v>215</v>
      </c>
      <c r="I5416" s="4">
        <v>75510.12079999999</v>
      </c>
      <c r="J5416" s="4">
        <v>151020.24159999998</v>
      </c>
      <c r="K5416" s="4">
        <v>-7538.4479999999994</v>
      </c>
      <c r="L5416" s="4">
        <v>2</v>
      </c>
    </row>
    <row r="5417" spans="1:12">
      <c r="A5417" t="s">
        <v>264</v>
      </c>
      <c r="B5417" s="10">
        <v>45367</v>
      </c>
      <c r="C5417" s="18">
        <f t="shared" si="84"/>
        <v>3</v>
      </c>
      <c r="D5417" t="s">
        <v>196</v>
      </c>
      <c r="E5417">
        <v>4873455</v>
      </c>
      <c r="F5417" t="s">
        <v>8</v>
      </c>
      <c r="G5417" t="s">
        <v>206</v>
      </c>
      <c r="H5417" t="s">
        <v>209</v>
      </c>
      <c r="I5417" s="4">
        <v>17715.352800000001</v>
      </c>
      <c r="J5417" s="4">
        <v>1771535.28</v>
      </c>
      <c r="K5417" s="4">
        <v>-175897.12</v>
      </c>
      <c r="L5417" s="4">
        <v>100</v>
      </c>
    </row>
    <row r="5418" spans="1:12">
      <c r="A5418" t="s">
        <v>264</v>
      </c>
      <c r="B5418" s="10">
        <v>45367</v>
      </c>
      <c r="C5418" s="18">
        <f t="shared" si="84"/>
        <v>3</v>
      </c>
      <c r="D5418" t="s">
        <v>196</v>
      </c>
      <c r="E5418">
        <v>4873258</v>
      </c>
      <c r="F5418" t="s">
        <v>8</v>
      </c>
      <c r="G5418" t="s">
        <v>204</v>
      </c>
      <c r="H5418" t="s">
        <v>212</v>
      </c>
      <c r="I5418" s="4">
        <v>62946.040799999995</v>
      </c>
      <c r="J5418" s="4">
        <v>2266057.4687999999</v>
      </c>
      <c r="K5418" s="4">
        <v>-67846.032000000007</v>
      </c>
      <c r="L5418" s="4">
        <v>36</v>
      </c>
    </row>
    <row r="5419" spans="1:12">
      <c r="A5419" t="s">
        <v>264</v>
      </c>
      <c r="B5419" s="10">
        <v>45367</v>
      </c>
      <c r="C5419" s="18">
        <f t="shared" si="84"/>
        <v>3</v>
      </c>
      <c r="D5419" t="s">
        <v>196</v>
      </c>
      <c r="E5419">
        <v>4877306</v>
      </c>
      <c r="F5419" t="s">
        <v>8</v>
      </c>
      <c r="G5419" t="s">
        <v>203</v>
      </c>
      <c r="H5419" t="s">
        <v>245</v>
      </c>
      <c r="I5419" s="4">
        <v>100638.28079999999</v>
      </c>
      <c r="J5419" s="4">
        <v>201276.56159999999</v>
      </c>
      <c r="K5419" s="4">
        <v>-8669.2151999999987</v>
      </c>
      <c r="L5419" s="4">
        <v>2</v>
      </c>
    </row>
    <row r="5420" spans="1:12">
      <c r="A5420" t="s">
        <v>264</v>
      </c>
      <c r="B5420" s="10">
        <v>45367</v>
      </c>
      <c r="C5420" s="18">
        <f t="shared" si="84"/>
        <v>3</v>
      </c>
      <c r="D5420" t="s">
        <v>196</v>
      </c>
      <c r="E5420">
        <v>4877306</v>
      </c>
      <c r="F5420" t="s">
        <v>8</v>
      </c>
      <c r="G5420" t="s">
        <v>203</v>
      </c>
      <c r="H5420" t="s">
        <v>230</v>
      </c>
      <c r="I5420" s="4">
        <v>100638.28079999999</v>
      </c>
      <c r="J5420" s="4">
        <v>201276.56159999999</v>
      </c>
      <c r="K5420" s="4">
        <v>-8669.2151999999987</v>
      </c>
      <c r="L5420" s="4">
        <v>2</v>
      </c>
    </row>
    <row r="5421" spans="1:12">
      <c r="A5421" t="s">
        <v>264</v>
      </c>
      <c r="B5421" s="10">
        <v>45368</v>
      </c>
      <c r="C5421" s="18">
        <f t="shared" si="84"/>
        <v>3</v>
      </c>
      <c r="D5421" t="s">
        <v>196</v>
      </c>
      <c r="E5421">
        <v>4872058</v>
      </c>
      <c r="F5421" t="s">
        <v>8</v>
      </c>
      <c r="G5421" t="s">
        <v>203</v>
      </c>
      <c r="H5421" t="s">
        <v>236</v>
      </c>
      <c r="I5421" s="4">
        <v>100638.28079999999</v>
      </c>
      <c r="J5421" s="4">
        <v>201276.56159999999</v>
      </c>
      <c r="K5421" s="4">
        <v>-8669.2151999999987</v>
      </c>
      <c r="L5421" s="4">
        <v>2</v>
      </c>
    </row>
    <row r="5422" spans="1:12">
      <c r="A5422" t="s">
        <v>264</v>
      </c>
      <c r="B5422" s="10">
        <v>45368</v>
      </c>
      <c r="C5422" s="18">
        <f t="shared" si="84"/>
        <v>3</v>
      </c>
      <c r="D5422" t="s">
        <v>196</v>
      </c>
      <c r="E5422">
        <v>4872058</v>
      </c>
      <c r="F5422" t="s">
        <v>8</v>
      </c>
      <c r="G5422" t="s">
        <v>203</v>
      </c>
      <c r="H5422" t="s">
        <v>232</v>
      </c>
      <c r="I5422" s="4">
        <v>100638.28079999999</v>
      </c>
      <c r="J5422" s="4">
        <v>201276.56159999999</v>
      </c>
      <c r="K5422" s="4">
        <v>-8669.2151999999987</v>
      </c>
      <c r="L5422" s="4">
        <v>2</v>
      </c>
    </row>
    <row r="5423" spans="1:12">
      <c r="A5423" t="s">
        <v>264</v>
      </c>
      <c r="B5423" s="10">
        <v>45368</v>
      </c>
      <c r="C5423" s="18">
        <f t="shared" si="84"/>
        <v>3</v>
      </c>
      <c r="D5423" t="s">
        <v>196</v>
      </c>
      <c r="E5423">
        <v>4872058</v>
      </c>
      <c r="F5423" t="s">
        <v>8</v>
      </c>
      <c r="G5423" t="s">
        <v>203</v>
      </c>
      <c r="H5423" t="s">
        <v>226</v>
      </c>
      <c r="I5423" s="4">
        <v>100638.28079999999</v>
      </c>
      <c r="J5423" s="4">
        <v>201276.56159999999</v>
      </c>
      <c r="K5423" s="4">
        <v>-8669.2151999999987</v>
      </c>
      <c r="L5423" s="4">
        <v>2</v>
      </c>
    </row>
    <row r="5424" spans="1:12">
      <c r="A5424" t="s">
        <v>264</v>
      </c>
      <c r="B5424" s="10">
        <v>45368</v>
      </c>
      <c r="C5424" s="18">
        <f t="shared" si="84"/>
        <v>3</v>
      </c>
      <c r="D5424" t="s">
        <v>196</v>
      </c>
      <c r="E5424">
        <v>4878536</v>
      </c>
      <c r="F5424" t="s">
        <v>8</v>
      </c>
      <c r="G5424" t="s">
        <v>202</v>
      </c>
      <c r="H5424" t="s">
        <v>261</v>
      </c>
      <c r="I5424" s="4">
        <v>41587.104800000001</v>
      </c>
      <c r="J5424" s="4">
        <v>415871.04800000001</v>
      </c>
      <c r="K5424" s="4">
        <v>-20730.732</v>
      </c>
      <c r="L5424" s="4">
        <v>10</v>
      </c>
    </row>
    <row r="5425" spans="1:12">
      <c r="A5425" t="s">
        <v>264</v>
      </c>
      <c r="B5425" s="10">
        <v>45368</v>
      </c>
      <c r="C5425" s="18">
        <f t="shared" si="84"/>
        <v>3</v>
      </c>
      <c r="D5425" t="s">
        <v>196</v>
      </c>
      <c r="E5425">
        <v>4878536</v>
      </c>
      <c r="F5425" t="s">
        <v>8</v>
      </c>
      <c r="G5425" t="s">
        <v>202</v>
      </c>
      <c r="H5425" t="s">
        <v>258</v>
      </c>
      <c r="I5425" s="4">
        <v>37817.880799999999</v>
      </c>
      <c r="J5425" s="4">
        <v>378178.80799999996</v>
      </c>
      <c r="K5425" s="4">
        <v>-18846.12</v>
      </c>
      <c r="L5425" s="4">
        <v>10</v>
      </c>
    </row>
    <row r="5426" spans="1:12">
      <c r="A5426" t="s">
        <v>264</v>
      </c>
      <c r="B5426" s="10">
        <v>45368</v>
      </c>
      <c r="C5426" s="18">
        <f t="shared" si="84"/>
        <v>3</v>
      </c>
      <c r="D5426" t="s">
        <v>196</v>
      </c>
      <c r="E5426">
        <v>4871657</v>
      </c>
      <c r="F5426" t="s">
        <v>8</v>
      </c>
      <c r="G5426" t="s">
        <v>202</v>
      </c>
      <c r="H5426" t="s">
        <v>253</v>
      </c>
      <c r="I5426" s="4">
        <v>46669.275160000005</v>
      </c>
      <c r="J5426" s="4">
        <v>1120062.60384</v>
      </c>
      <c r="K5426" s="4">
        <v>-58799.894399999997</v>
      </c>
      <c r="L5426" s="4">
        <v>24</v>
      </c>
    </row>
    <row r="5427" spans="1:12">
      <c r="A5427" t="s">
        <v>264</v>
      </c>
      <c r="B5427" s="10">
        <v>45368</v>
      </c>
      <c r="C5427" s="18">
        <f t="shared" si="84"/>
        <v>3</v>
      </c>
      <c r="D5427" t="s">
        <v>196</v>
      </c>
      <c r="E5427">
        <v>4872135</v>
      </c>
      <c r="F5427" t="s">
        <v>8</v>
      </c>
      <c r="G5427" t="s">
        <v>203</v>
      </c>
      <c r="H5427" t="s">
        <v>243</v>
      </c>
      <c r="I5427" s="4">
        <v>100638.28079999999</v>
      </c>
      <c r="J5427" s="4">
        <v>1006382.808</v>
      </c>
      <c r="K5427" s="4">
        <v>-43346.076000000001</v>
      </c>
      <c r="L5427" s="4">
        <v>10</v>
      </c>
    </row>
    <row r="5428" spans="1:12">
      <c r="A5428" t="s">
        <v>264</v>
      </c>
      <c r="B5428" s="10">
        <v>45368</v>
      </c>
      <c r="C5428" s="18">
        <f t="shared" si="84"/>
        <v>3</v>
      </c>
      <c r="D5428" t="s">
        <v>196</v>
      </c>
      <c r="E5428">
        <v>4872135</v>
      </c>
      <c r="F5428" t="s">
        <v>8</v>
      </c>
      <c r="G5428" t="s">
        <v>203</v>
      </c>
      <c r="H5428" t="s">
        <v>242</v>
      </c>
      <c r="I5428" s="4">
        <v>100638.28079999999</v>
      </c>
      <c r="J5428" s="4">
        <v>1006382.808</v>
      </c>
      <c r="K5428" s="4">
        <v>-43346.076000000001</v>
      </c>
      <c r="L5428" s="4">
        <v>10</v>
      </c>
    </row>
    <row r="5429" spans="1:12">
      <c r="A5429" t="s">
        <v>264</v>
      </c>
      <c r="B5429" s="10">
        <v>45368</v>
      </c>
      <c r="C5429" s="18">
        <f t="shared" si="84"/>
        <v>3</v>
      </c>
      <c r="D5429" t="s">
        <v>196</v>
      </c>
      <c r="E5429">
        <v>4872135</v>
      </c>
      <c r="F5429" t="s">
        <v>8</v>
      </c>
      <c r="G5429" t="s">
        <v>203</v>
      </c>
      <c r="H5429" t="s">
        <v>232</v>
      </c>
      <c r="I5429" s="4">
        <v>100638.28079999999</v>
      </c>
      <c r="J5429" s="4">
        <v>1006382.808</v>
      </c>
      <c r="K5429" s="4">
        <v>-43346.076000000001</v>
      </c>
      <c r="L5429" s="4">
        <v>10</v>
      </c>
    </row>
    <row r="5430" spans="1:12">
      <c r="A5430" t="s">
        <v>264</v>
      </c>
      <c r="B5430" s="10">
        <v>45368</v>
      </c>
      <c r="C5430" s="18">
        <f t="shared" si="84"/>
        <v>3</v>
      </c>
      <c r="D5430" t="s">
        <v>196</v>
      </c>
      <c r="E5430">
        <v>4872135</v>
      </c>
      <c r="F5430" t="s">
        <v>8</v>
      </c>
      <c r="G5430" t="s">
        <v>203</v>
      </c>
      <c r="H5430" t="s">
        <v>230</v>
      </c>
      <c r="I5430" s="4">
        <v>100638.28079999999</v>
      </c>
      <c r="J5430" s="4">
        <v>1006382.808</v>
      </c>
      <c r="K5430" s="4">
        <v>-43346.076000000001</v>
      </c>
      <c r="L5430" s="4">
        <v>10</v>
      </c>
    </row>
    <row r="5431" spans="1:12">
      <c r="A5431" t="s">
        <v>264</v>
      </c>
      <c r="B5431" s="10">
        <v>45368</v>
      </c>
      <c r="C5431" s="18">
        <f t="shared" si="84"/>
        <v>3</v>
      </c>
      <c r="D5431" t="s">
        <v>196</v>
      </c>
      <c r="E5431">
        <v>4872135</v>
      </c>
      <c r="F5431" t="s">
        <v>8</v>
      </c>
      <c r="G5431" t="s">
        <v>203</v>
      </c>
      <c r="H5431" t="s">
        <v>228</v>
      </c>
      <c r="I5431" s="4">
        <v>100638.28079999999</v>
      </c>
      <c r="J5431" s="4">
        <v>1006382.808</v>
      </c>
      <c r="K5431" s="4">
        <v>-43346.076000000001</v>
      </c>
      <c r="L5431" s="4">
        <v>10</v>
      </c>
    </row>
    <row r="5432" spans="1:12">
      <c r="A5432" t="s">
        <v>264</v>
      </c>
      <c r="B5432" s="10">
        <v>45368</v>
      </c>
      <c r="C5432" s="18">
        <f t="shared" si="84"/>
        <v>3</v>
      </c>
      <c r="D5432" t="s">
        <v>196</v>
      </c>
      <c r="E5432">
        <v>4872135</v>
      </c>
      <c r="F5432" t="s">
        <v>8</v>
      </c>
      <c r="G5432" t="s">
        <v>203</v>
      </c>
      <c r="H5432" t="s">
        <v>226</v>
      </c>
      <c r="I5432" s="4">
        <v>100638.28079999999</v>
      </c>
      <c r="J5432" s="4">
        <v>1006382.808</v>
      </c>
      <c r="K5432" s="4">
        <v>-43346.076000000001</v>
      </c>
      <c r="L5432" s="4">
        <v>10</v>
      </c>
    </row>
    <row r="5433" spans="1:12">
      <c r="A5433" t="s">
        <v>264</v>
      </c>
      <c r="B5433" s="10">
        <v>45368</v>
      </c>
      <c r="C5433" s="18">
        <f t="shared" si="84"/>
        <v>3</v>
      </c>
      <c r="D5433" t="s">
        <v>196</v>
      </c>
      <c r="E5433">
        <v>4872135</v>
      </c>
      <c r="F5433" t="s">
        <v>8</v>
      </c>
      <c r="G5433" t="s">
        <v>203</v>
      </c>
      <c r="H5433" t="s">
        <v>225</v>
      </c>
      <c r="I5433" s="4">
        <v>100638.28079999999</v>
      </c>
      <c r="J5433" s="4">
        <v>1006382.808</v>
      </c>
      <c r="K5433" s="4">
        <v>-43346.076000000001</v>
      </c>
      <c r="L5433" s="4">
        <v>10</v>
      </c>
    </row>
    <row r="5434" spans="1:12">
      <c r="A5434" t="s">
        <v>264</v>
      </c>
      <c r="B5434" s="10">
        <v>45368</v>
      </c>
      <c r="C5434" s="18">
        <f t="shared" si="84"/>
        <v>3</v>
      </c>
      <c r="D5434" t="s">
        <v>196</v>
      </c>
      <c r="E5434">
        <v>4872135</v>
      </c>
      <c r="F5434" t="s">
        <v>8</v>
      </c>
      <c r="G5434" t="s">
        <v>203</v>
      </c>
      <c r="H5434" t="s">
        <v>223</v>
      </c>
      <c r="I5434" s="4">
        <v>100638.28079999999</v>
      </c>
      <c r="J5434" s="4">
        <v>1006382.808</v>
      </c>
      <c r="K5434" s="4">
        <v>-43346.076000000001</v>
      </c>
      <c r="L5434" s="4">
        <v>10</v>
      </c>
    </row>
    <row r="5435" spans="1:12">
      <c r="A5435" t="s">
        <v>264</v>
      </c>
      <c r="B5435" s="10">
        <v>45368</v>
      </c>
      <c r="C5435" s="18">
        <f t="shared" si="84"/>
        <v>3</v>
      </c>
      <c r="D5435" t="s">
        <v>196</v>
      </c>
      <c r="E5435">
        <v>4872200</v>
      </c>
      <c r="F5435" t="s">
        <v>8</v>
      </c>
      <c r="G5435" t="s">
        <v>203</v>
      </c>
      <c r="H5435" t="s">
        <v>238</v>
      </c>
      <c r="I5435" s="4">
        <v>95606.36675999999</v>
      </c>
      <c r="J5435" s="4">
        <v>956063.66759999993</v>
      </c>
      <c r="K5435" s="4">
        <v>-43346.076000000001</v>
      </c>
      <c r="L5435" s="4">
        <v>10</v>
      </c>
    </row>
    <row r="5436" spans="1:12">
      <c r="A5436" t="s">
        <v>264</v>
      </c>
      <c r="B5436" s="10">
        <v>45368</v>
      </c>
      <c r="C5436" s="18">
        <f t="shared" si="84"/>
        <v>3</v>
      </c>
      <c r="D5436" t="s">
        <v>196</v>
      </c>
      <c r="E5436">
        <v>4872200</v>
      </c>
      <c r="F5436" t="s">
        <v>8</v>
      </c>
      <c r="G5436" t="s">
        <v>203</v>
      </c>
      <c r="H5436" t="s">
        <v>236</v>
      </c>
      <c r="I5436" s="4">
        <v>100638.28079999999</v>
      </c>
      <c r="J5436" s="4">
        <v>1006382.808</v>
      </c>
      <c r="K5436" s="4">
        <v>-43346.076000000001</v>
      </c>
      <c r="L5436" s="4">
        <v>10</v>
      </c>
    </row>
    <row r="5437" spans="1:12">
      <c r="A5437" t="s">
        <v>264</v>
      </c>
      <c r="B5437" s="10">
        <v>45368</v>
      </c>
      <c r="C5437" s="18">
        <f t="shared" si="84"/>
        <v>3</v>
      </c>
      <c r="D5437" t="s">
        <v>196</v>
      </c>
      <c r="E5437">
        <v>4872200</v>
      </c>
      <c r="F5437" t="s">
        <v>8</v>
      </c>
      <c r="G5437" t="s">
        <v>203</v>
      </c>
      <c r="H5437" t="s">
        <v>226</v>
      </c>
      <c r="I5437" s="4">
        <v>100638.28079999999</v>
      </c>
      <c r="J5437" s="4">
        <v>1006382.808</v>
      </c>
      <c r="K5437" s="4">
        <v>-43346.076000000001</v>
      </c>
      <c r="L5437" s="4">
        <v>10</v>
      </c>
    </row>
    <row r="5438" spans="1:12">
      <c r="A5438" t="s">
        <v>264</v>
      </c>
      <c r="B5438" s="10">
        <v>45368</v>
      </c>
      <c r="C5438" s="18">
        <f t="shared" si="84"/>
        <v>3</v>
      </c>
      <c r="D5438" t="s">
        <v>196</v>
      </c>
      <c r="E5438">
        <v>4872200</v>
      </c>
      <c r="F5438" t="s">
        <v>8</v>
      </c>
      <c r="G5438" t="s">
        <v>203</v>
      </c>
      <c r="H5438" t="s">
        <v>225</v>
      </c>
      <c r="I5438" s="4">
        <v>100638.28079999999</v>
      </c>
      <c r="J5438" s="4">
        <v>1811489.0543999998</v>
      </c>
      <c r="K5438" s="4">
        <v>-78022.936799999996</v>
      </c>
      <c r="L5438" s="4">
        <v>18</v>
      </c>
    </row>
    <row r="5439" spans="1:12">
      <c r="A5439" t="s">
        <v>264</v>
      </c>
      <c r="B5439" s="10">
        <v>45368</v>
      </c>
      <c r="C5439" s="18">
        <f t="shared" si="84"/>
        <v>3</v>
      </c>
      <c r="D5439" t="s">
        <v>196</v>
      </c>
      <c r="E5439">
        <v>4872200</v>
      </c>
      <c r="F5439" t="s">
        <v>8</v>
      </c>
      <c r="G5439" t="s">
        <v>203</v>
      </c>
      <c r="H5439" t="s">
        <v>222</v>
      </c>
      <c r="I5439" s="4">
        <v>100638.28079999999</v>
      </c>
      <c r="J5439" s="4">
        <v>201276.56159999999</v>
      </c>
      <c r="K5439" s="4">
        <v>-8669.2151999999987</v>
      </c>
      <c r="L5439" s="4">
        <v>2</v>
      </c>
    </row>
    <row r="5440" spans="1:12">
      <c r="A5440" t="s">
        <v>264</v>
      </c>
      <c r="B5440" s="10">
        <v>45368</v>
      </c>
      <c r="C5440" s="18">
        <f t="shared" si="84"/>
        <v>3</v>
      </c>
      <c r="D5440" t="s">
        <v>196</v>
      </c>
      <c r="E5440">
        <v>4872200</v>
      </c>
      <c r="F5440" t="s">
        <v>8</v>
      </c>
      <c r="G5440" t="s">
        <v>203</v>
      </c>
      <c r="H5440" t="s">
        <v>235</v>
      </c>
      <c r="I5440" s="4">
        <v>125766.4408</v>
      </c>
      <c r="J5440" s="4">
        <v>628832.20400000003</v>
      </c>
      <c r="K5440" s="4">
        <v>-28269.18</v>
      </c>
      <c r="L5440" s="4">
        <v>5</v>
      </c>
    </row>
    <row r="5441" spans="1:12">
      <c r="A5441" t="s">
        <v>264</v>
      </c>
      <c r="B5441" s="10">
        <v>45369</v>
      </c>
      <c r="C5441" s="18">
        <f t="shared" si="84"/>
        <v>3</v>
      </c>
      <c r="D5441" t="s">
        <v>196</v>
      </c>
      <c r="E5441">
        <v>4878874</v>
      </c>
      <c r="F5441" t="s">
        <v>8</v>
      </c>
      <c r="G5441" t="s">
        <v>206</v>
      </c>
      <c r="H5441" t="s">
        <v>249</v>
      </c>
      <c r="I5441" s="4">
        <v>17715.352800000001</v>
      </c>
      <c r="J5441" s="4">
        <v>3543070.56</v>
      </c>
      <c r="K5441" s="4">
        <v>-351794.24</v>
      </c>
      <c r="L5441" s="4">
        <v>200</v>
      </c>
    </row>
    <row r="5442" spans="1:12">
      <c r="A5442" t="s">
        <v>264</v>
      </c>
      <c r="B5442" s="10">
        <v>45369</v>
      </c>
      <c r="C5442" s="18">
        <f t="shared" ref="C5442:C5505" si="85">MONTH(B5442)</f>
        <v>3</v>
      </c>
      <c r="D5442" t="s">
        <v>196</v>
      </c>
      <c r="E5442">
        <v>4878874</v>
      </c>
      <c r="F5442" t="s">
        <v>8</v>
      </c>
      <c r="G5442" t="s">
        <v>206</v>
      </c>
      <c r="H5442" t="s">
        <v>209</v>
      </c>
      <c r="I5442" s="4">
        <v>17715.352800000001</v>
      </c>
      <c r="J5442" s="4">
        <v>1771535.28</v>
      </c>
      <c r="K5442" s="4">
        <v>-175897.12</v>
      </c>
      <c r="L5442" s="4">
        <v>100</v>
      </c>
    </row>
    <row r="5443" spans="1:12">
      <c r="A5443" t="s">
        <v>264</v>
      </c>
      <c r="B5443" s="10">
        <v>45369</v>
      </c>
      <c r="C5443" s="18">
        <f t="shared" si="85"/>
        <v>3</v>
      </c>
      <c r="D5443" t="s">
        <v>196</v>
      </c>
      <c r="E5443">
        <v>4872571</v>
      </c>
      <c r="F5443" t="s">
        <v>8</v>
      </c>
      <c r="G5443" t="s">
        <v>202</v>
      </c>
      <c r="H5443" t="s">
        <v>260</v>
      </c>
      <c r="I5443" s="4">
        <v>41587.104800000001</v>
      </c>
      <c r="J5443" s="4">
        <v>1039677.62</v>
      </c>
      <c r="K5443" s="4">
        <v>-51826.83</v>
      </c>
      <c r="L5443" s="4">
        <v>25</v>
      </c>
    </row>
    <row r="5444" spans="1:12">
      <c r="A5444" t="s">
        <v>264</v>
      </c>
      <c r="B5444" s="10">
        <v>45369</v>
      </c>
      <c r="C5444" s="18">
        <f t="shared" si="85"/>
        <v>3</v>
      </c>
      <c r="D5444" t="s">
        <v>196</v>
      </c>
      <c r="E5444">
        <v>4875440</v>
      </c>
      <c r="F5444" t="s">
        <v>8</v>
      </c>
      <c r="G5444" t="s">
        <v>204</v>
      </c>
      <c r="H5444" t="s">
        <v>212</v>
      </c>
      <c r="I5444" s="4">
        <v>62946.040799999995</v>
      </c>
      <c r="J5444" s="4">
        <v>629460.40799999994</v>
      </c>
      <c r="K5444" s="4">
        <v>-18846.12</v>
      </c>
      <c r="L5444" s="4">
        <v>10</v>
      </c>
    </row>
    <row r="5445" spans="1:12">
      <c r="A5445" t="s">
        <v>264</v>
      </c>
      <c r="B5445" s="10">
        <v>45370</v>
      </c>
      <c r="C5445" s="18">
        <f t="shared" si="85"/>
        <v>3</v>
      </c>
      <c r="D5445" t="s">
        <v>196</v>
      </c>
      <c r="E5445">
        <v>4871600</v>
      </c>
      <c r="F5445" t="s">
        <v>8</v>
      </c>
      <c r="G5445" t="s">
        <v>204</v>
      </c>
      <c r="H5445" t="s">
        <v>220</v>
      </c>
      <c r="I5445" s="4">
        <v>37817.880799999999</v>
      </c>
      <c r="J5445" s="4">
        <v>113453.6424</v>
      </c>
      <c r="K5445" s="4">
        <v>-5653.8360000000002</v>
      </c>
      <c r="L5445" s="4">
        <v>3</v>
      </c>
    </row>
    <row r="5446" spans="1:12">
      <c r="A5446" t="s">
        <v>264</v>
      </c>
      <c r="B5446" s="10">
        <v>45370</v>
      </c>
      <c r="C5446" s="18">
        <f t="shared" si="85"/>
        <v>3</v>
      </c>
      <c r="D5446" t="s">
        <v>196</v>
      </c>
      <c r="E5446">
        <v>4871600</v>
      </c>
      <c r="F5446" t="s">
        <v>8</v>
      </c>
      <c r="G5446" t="s">
        <v>204</v>
      </c>
      <c r="H5446" t="s">
        <v>212</v>
      </c>
      <c r="I5446" s="4">
        <v>62946.040799999995</v>
      </c>
      <c r="J5446" s="4">
        <v>188838.12239999999</v>
      </c>
      <c r="K5446" s="4">
        <v>-5653.8360000000002</v>
      </c>
      <c r="L5446" s="4">
        <v>3</v>
      </c>
    </row>
    <row r="5447" spans="1:12">
      <c r="A5447" t="s">
        <v>264</v>
      </c>
      <c r="B5447" s="10">
        <v>45370</v>
      </c>
      <c r="C5447" s="18">
        <f t="shared" si="85"/>
        <v>3</v>
      </c>
      <c r="D5447" t="s">
        <v>196</v>
      </c>
      <c r="E5447">
        <v>4871600</v>
      </c>
      <c r="F5447" t="s">
        <v>8</v>
      </c>
      <c r="G5447" t="s">
        <v>205</v>
      </c>
      <c r="H5447" t="s">
        <v>246</v>
      </c>
      <c r="I5447" s="4">
        <v>5967.9380000000001</v>
      </c>
      <c r="J5447" s="4">
        <v>-125326.698</v>
      </c>
      <c r="K5447" s="4">
        <v>6596.1419999999998</v>
      </c>
      <c r="L5447" s="4">
        <v>-21</v>
      </c>
    </row>
    <row r="5448" spans="1:12">
      <c r="A5448" t="s">
        <v>264</v>
      </c>
      <c r="B5448" s="10">
        <v>45370</v>
      </c>
      <c r="C5448" s="18">
        <f t="shared" si="85"/>
        <v>3</v>
      </c>
      <c r="D5448" t="s">
        <v>196</v>
      </c>
      <c r="E5448">
        <v>4874006</v>
      </c>
      <c r="F5448" t="s">
        <v>8</v>
      </c>
      <c r="G5448" t="s">
        <v>202</v>
      </c>
      <c r="H5448" t="s">
        <v>259</v>
      </c>
      <c r="I5448" s="4">
        <v>30279.432800000002</v>
      </c>
      <c r="J5448" s="4">
        <v>3027943.2800000003</v>
      </c>
      <c r="K5448" s="4">
        <v>-150768.95999999999</v>
      </c>
      <c r="L5448" s="4">
        <v>100</v>
      </c>
    </row>
    <row r="5449" spans="1:12">
      <c r="A5449" t="s">
        <v>264</v>
      </c>
      <c r="B5449" s="10">
        <v>45370</v>
      </c>
      <c r="C5449" s="18">
        <f t="shared" si="85"/>
        <v>3</v>
      </c>
      <c r="D5449" t="s">
        <v>196</v>
      </c>
      <c r="E5449">
        <v>4872706</v>
      </c>
      <c r="F5449" t="s">
        <v>8</v>
      </c>
      <c r="G5449" t="s">
        <v>202</v>
      </c>
      <c r="H5449" t="s">
        <v>256</v>
      </c>
      <c r="I5449" s="4">
        <v>64202.448800000006</v>
      </c>
      <c r="J5449" s="4">
        <v>64202.448800000006</v>
      </c>
      <c r="K5449" s="4">
        <v>-3203.8404</v>
      </c>
      <c r="L5449" s="4">
        <v>1</v>
      </c>
    </row>
    <row r="5450" spans="1:12">
      <c r="A5450" t="s">
        <v>264</v>
      </c>
      <c r="B5450" s="10">
        <v>45370</v>
      </c>
      <c r="C5450" s="18">
        <f t="shared" si="85"/>
        <v>3</v>
      </c>
      <c r="D5450" t="s">
        <v>196</v>
      </c>
      <c r="E5450">
        <v>4873836</v>
      </c>
      <c r="F5450" t="s">
        <v>8</v>
      </c>
      <c r="G5450" t="s">
        <v>202</v>
      </c>
      <c r="H5450" t="s">
        <v>261</v>
      </c>
      <c r="I5450" s="4">
        <v>41587.104800000001</v>
      </c>
      <c r="J5450" s="4">
        <v>2079355.24</v>
      </c>
      <c r="K5450" s="4">
        <v>-103653.66</v>
      </c>
      <c r="L5450" s="4">
        <v>50</v>
      </c>
    </row>
    <row r="5451" spans="1:12">
      <c r="A5451" t="s">
        <v>264</v>
      </c>
      <c r="B5451" s="10">
        <v>45370</v>
      </c>
      <c r="C5451" s="18">
        <f t="shared" si="85"/>
        <v>3</v>
      </c>
      <c r="D5451" t="s">
        <v>196</v>
      </c>
      <c r="E5451">
        <v>4872156</v>
      </c>
      <c r="F5451" t="s">
        <v>8</v>
      </c>
      <c r="G5451" t="s">
        <v>204</v>
      </c>
      <c r="H5451" t="s">
        <v>216</v>
      </c>
      <c r="I5451" s="4">
        <v>113202.36079999999</v>
      </c>
      <c r="J5451" s="4">
        <v>566011.804</v>
      </c>
      <c r="K5451" s="4">
        <v>-28269.18</v>
      </c>
      <c r="L5451" s="4">
        <v>5</v>
      </c>
    </row>
    <row r="5452" spans="1:12">
      <c r="A5452" t="s">
        <v>264</v>
      </c>
      <c r="B5452" s="10">
        <v>45370</v>
      </c>
      <c r="C5452" s="18">
        <f t="shared" si="85"/>
        <v>3</v>
      </c>
      <c r="D5452" t="s">
        <v>196</v>
      </c>
      <c r="E5452">
        <v>4872156</v>
      </c>
      <c r="F5452" t="s">
        <v>8</v>
      </c>
      <c r="G5452" t="s">
        <v>204</v>
      </c>
      <c r="H5452" t="s">
        <v>215</v>
      </c>
      <c r="I5452" s="4">
        <v>75510.12079999999</v>
      </c>
      <c r="J5452" s="4">
        <v>377550.60399999993</v>
      </c>
      <c r="K5452" s="4">
        <v>-18846.12</v>
      </c>
      <c r="L5452" s="4">
        <v>5</v>
      </c>
    </row>
    <row r="5453" spans="1:12">
      <c r="A5453" t="s">
        <v>264</v>
      </c>
      <c r="B5453" s="10">
        <v>45370</v>
      </c>
      <c r="C5453" s="18">
        <f t="shared" si="85"/>
        <v>3</v>
      </c>
      <c r="D5453" t="s">
        <v>196</v>
      </c>
      <c r="E5453">
        <v>4872156</v>
      </c>
      <c r="F5453" t="s">
        <v>8</v>
      </c>
      <c r="G5453" t="s">
        <v>204</v>
      </c>
      <c r="H5453" t="s">
        <v>212</v>
      </c>
      <c r="I5453" s="4">
        <v>62946.040799999995</v>
      </c>
      <c r="J5453" s="4">
        <v>1888381.2239999999</v>
      </c>
      <c r="K5453" s="4">
        <v>-56538.36</v>
      </c>
      <c r="L5453" s="4">
        <v>30</v>
      </c>
    </row>
    <row r="5454" spans="1:12">
      <c r="A5454" t="s">
        <v>264</v>
      </c>
      <c r="B5454" s="10">
        <v>45370</v>
      </c>
      <c r="C5454" s="18">
        <f t="shared" si="85"/>
        <v>3</v>
      </c>
      <c r="D5454" t="s">
        <v>196</v>
      </c>
      <c r="E5454">
        <v>4876422</v>
      </c>
      <c r="F5454" t="s">
        <v>8</v>
      </c>
      <c r="G5454" t="s">
        <v>204</v>
      </c>
      <c r="H5454" t="s">
        <v>216</v>
      </c>
      <c r="I5454" s="4">
        <v>113202.36079999999</v>
      </c>
      <c r="J5454" s="4">
        <v>2264047.216</v>
      </c>
      <c r="K5454" s="4">
        <v>-113076.72</v>
      </c>
      <c r="L5454" s="4">
        <v>20</v>
      </c>
    </row>
    <row r="5455" spans="1:12">
      <c r="A5455" t="s">
        <v>264</v>
      </c>
      <c r="B5455" s="10">
        <v>45370</v>
      </c>
      <c r="C5455" s="18">
        <f t="shared" si="85"/>
        <v>3</v>
      </c>
      <c r="D5455" t="s">
        <v>196</v>
      </c>
      <c r="E5455">
        <v>4876422</v>
      </c>
      <c r="F5455" t="s">
        <v>8</v>
      </c>
      <c r="G5455" t="s">
        <v>204</v>
      </c>
      <c r="H5455" t="s">
        <v>213</v>
      </c>
      <c r="I5455" s="4">
        <v>119484.4008</v>
      </c>
      <c r="J5455" s="4">
        <v>1194844.0079999999</v>
      </c>
      <c r="K5455" s="4">
        <v>-59679.38</v>
      </c>
      <c r="L5455" s="4">
        <v>10</v>
      </c>
    </row>
    <row r="5456" spans="1:12">
      <c r="A5456" t="s">
        <v>264</v>
      </c>
      <c r="B5456" s="10">
        <v>45370</v>
      </c>
      <c r="C5456" s="18">
        <f t="shared" si="85"/>
        <v>3</v>
      </c>
      <c r="D5456" t="s">
        <v>196</v>
      </c>
      <c r="E5456">
        <v>4876422</v>
      </c>
      <c r="F5456" t="s">
        <v>8</v>
      </c>
      <c r="G5456" t="s">
        <v>204</v>
      </c>
      <c r="H5456" t="s">
        <v>221</v>
      </c>
      <c r="I5456" s="4">
        <v>25253.800799999997</v>
      </c>
      <c r="J5456" s="4">
        <v>252538.00799999997</v>
      </c>
      <c r="K5456" s="4">
        <v>-12564.08</v>
      </c>
      <c r="L5456" s="4">
        <v>10</v>
      </c>
    </row>
    <row r="5457" spans="1:12">
      <c r="A5457" t="s">
        <v>264</v>
      </c>
      <c r="B5457" s="10">
        <v>45370</v>
      </c>
      <c r="C5457" s="18">
        <f t="shared" si="85"/>
        <v>3</v>
      </c>
      <c r="D5457" t="s">
        <v>196</v>
      </c>
      <c r="E5457">
        <v>4876422</v>
      </c>
      <c r="F5457" t="s">
        <v>8</v>
      </c>
      <c r="G5457" t="s">
        <v>204</v>
      </c>
      <c r="H5457" t="s">
        <v>220</v>
      </c>
      <c r="I5457" s="4">
        <v>37817.880799999999</v>
      </c>
      <c r="J5457" s="4">
        <v>756357.61599999992</v>
      </c>
      <c r="K5457" s="4">
        <v>-37692.239999999998</v>
      </c>
      <c r="L5457" s="4">
        <v>20</v>
      </c>
    </row>
    <row r="5458" spans="1:12">
      <c r="A5458" t="s">
        <v>264</v>
      </c>
      <c r="B5458" s="10">
        <v>45370</v>
      </c>
      <c r="C5458" s="18">
        <f t="shared" si="85"/>
        <v>3</v>
      </c>
      <c r="D5458" t="s">
        <v>196</v>
      </c>
      <c r="E5458">
        <v>4876422</v>
      </c>
      <c r="F5458" t="s">
        <v>8</v>
      </c>
      <c r="G5458" t="s">
        <v>204</v>
      </c>
      <c r="H5458" t="s">
        <v>212</v>
      </c>
      <c r="I5458" s="4">
        <v>62946.040799999995</v>
      </c>
      <c r="J5458" s="4">
        <v>1258920.8159999999</v>
      </c>
      <c r="K5458" s="4">
        <v>-37692.239999999998</v>
      </c>
      <c r="L5458" s="4">
        <v>20</v>
      </c>
    </row>
    <row r="5459" spans="1:12">
      <c r="A5459" t="s">
        <v>264</v>
      </c>
      <c r="B5459" s="10">
        <v>45370</v>
      </c>
      <c r="C5459" s="18">
        <f t="shared" si="85"/>
        <v>3</v>
      </c>
      <c r="D5459" t="s">
        <v>196</v>
      </c>
      <c r="E5459">
        <v>4871657</v>
      </c>
      <c r="F5459" t="s">
        <v>8</v>
      </c>
      <c r="G5459" t="s">
        <v>203</v>
      </c>
      <c r="H5459" t="s">
        <v>245</v>
      </c>
      <c r="I5459" s="4">
        <v>100638.28079999999</v>
      </c>
      <c r="J5459" s="4">
        <v>201276.56159999999</v>
      </c>
      <c r="K5459" s="4">
        <v>-8669.2151999999987</v>
      </c>
      <c r="L5459" s="4">
        <v>2</v>
      </c>
    </row>
    <row r="5460" spans="1:12">
      <c r="A5460" t="s">
        <v>264</v>
      </c>
      <c r="B5460" s="10">
        <v>45370</v>
      </c>
      <c r="C5460" s="18">
        <f t="shared" si="85"/>
        <v>3</v>
      </c>
      <c r="D5460" t="s">
        <v>196</v>
      </c>
      <c r="E5460">
        <v>4871657</v>
      </c>
      <c r="F5460" t="s">
        <v>8</v>
      </c>
      <c r="G5460" t="s">
        <v>203</v>
      </c>
      <c r="H5460" t="s">
        <v>227</v>
      </c>
      <c r="I5460" s="4">
        <v>100638.28079999999</v>
      </c>
      <c r="J5460" s="4">
        <v>201276.56159999999</v>
      </c>
      <c r="K5460" s="4">
        <v>-8669.2151999999987</v>
      </c>
      <c r="L5460" s="4">
        <v>2</v>
      </c>
    </row>
    <row r="5461" spans="1:12">
      <c r="A5461" t="s">
        <v>264</v>
      </c>
      <c r="B5461" s="10">
        <v>45370</v>
      </c>
      <c r="C5461" s="18">
        <f t="shared" si="85"/>
        <v>3</v>
      </c>
      <c r="D5461" t="s">
        <v>196</v>
      </c>
      <c r="E5461">
        <v>4871657</v>
      </c>
      <c r="F5461" t="s">
        <v>8</v>
      </c>
      <c r="G5461" t="s">
        <v>203</v>
      </c>
      <c r="H5461" t="s">
        <v>225</v>
      </c>
      <c r="I5461" s="4">
        <v>100638.28079999999</v>
      </c>
      <c r="J5461" s="4">
        <v>201276.56159999999</v>
      </c>
      <c r="K5461" s="4">
        <v>-8669.2151999999987</v>
      </c>
      <c r="L5461" s="4">
        <v>2</v>
      </c>
    </row>
    <row r="5462" spans="1:12">
      <c r="A5462" t="s">
        <v>264</v>
      </c>
      <c r="B5462" s="10">
        <v>45370</v>
      </c>
      <c r="C5462" s="18">
        <f t="shared" si="85"/>
        <v>3</v>
      </c>
      <c r="D5462" t="s">
        <v>196</v>
      </c>
      <c r="E5462">
        <v>4872162</v>
      </c>
      <c r="F5462" t="s">
        <v>8</v>
      </c>
      <c r="G5462" t="s">
        <v>204</v>
      </c>
      <c r="H5462" t="s">
        <v>218</v>
      </c>
      <c r="I5462" s="4">
        <v>71740.896800000002</v>
      </c>
      <c r="J5462" s="4">
        <v>860890.76160000009</v>
      </c>
      <c r="K5462" s="4">
        <v>-42969.153599999998</v>
      </c>
      <c r="L5462" s="4">
        <v>12</v>
      </c>
    </row>
    <row r="5463" spans="1:12">
      <c r="A5463" t="s">
        <v>264</v>
      </c>
      <c r="B5463" s="10">
        <v>45370</v>
      </c>
      <c r="C5463" s="18">
        <f t="shared" si="85"/>
        <v>3</v>
      </c>
      <c r="D5463" t="s">
        <v>196</v>
      </c>
      <c r="E5463">
        <v>4872162</v>
      </c>
      <c r="F5463" t="s">
        <v>8</v>
      </c>
      <c r="G5463" t="s">
        <v>204</v>
      </c>
      <c r="H5463" t="s">
        <v>214</v>
      </c>
      <c r="I5463" s="4">
        <v>119484.4008</v>
      </c>
      <c r="J5463" s="4">
        <v>3584532.0240000002</v>
      </c>
      <c r="K5463" s="4">
        <v>-179038.13999999998</v>
      </c>
      <c r="L5463" s="4">
        <v>30</v>
      </c>
    </row>
    <row r="5464" spans="1:12">
      <c r="A5464" t="s">
        <v>264</v>
      </c>
      <c r="B5464" s="10">
        <v>45370</v>
      </c>
      <c r="C5464" s="18">
        <f t="shared" si="85"/>
        <v>3</v>
      </c>
      <c r="D5464" t="s">
        <v>196</v>
      </c>
      <c r="E5464">
        <v>4872162</v>
      </c>
      <c r="F5464" t="s">
        <v>8</v>
      </c>
      <c r="G5464" t="s">
        <v>202</v>
      </c>
      <c r="H5464" t="s">
        <v>259</v>
      </c>
      <c r="I5464" s="4">
        <v>30279.432800000002</v>
      </c>
      <c r="J5464" s="4">
        <v>3027943.2800000003</v>
      </c>
      <c r="K5464" s="4">
        <v>-150768.95999999999</v>
      </c>
      <c r="L5464" s="4">
        <v>100</v>
      </c>
    </row>
    <row r="5465" spans="1:12">
      <c r="A5465" t="s">
        <v>264</v>
      </c>
      <c r="B5465" s="10">
        <v>45370</v>
      </c>
      <c r="C5465" s="18">
        <f t="shared" si="85"/>
        <v>3</v>
      </c>
      <c r="D5465" t="s">
        <v>196</v>
      </c>
      <c r="E5465">
        <v>4872203</v>
      </c>
      <c r="F5465" t="s">
        <v>8</v>
      </c>
      <c r="G5465" t="s">
        <v>203</v>
      </c>
      <c r="H5465" t="s">
        <v>230</v>
      </c>
      <c r="I5465" s="4">
        <v>100638.28079999999</v>
      </c>
      <c r="J5465" s="4">
        <v>3019148.4239999996</v>
      </c>
      <c r="K5465" s="4">
        <v>-130038.22799999999</v>
      </c>
      <c r="L5465" s="4">
        <v>30</v>
      </c>
    </row>
    <row r="5466" spans="1:12">
      <c r="A5466" t="s">
        <v>264</v>
      </c>
      <c r="B5466" s="10">
        <v>45370</v>
      </c>
      <c r="C5466" s="18">
        <f t="shared" si="85"/>
        <v>3</v>
      </c>
      <c r="D5466" t="s">
        <v>196</v>
      </c>
      <c r="E5466">
        <v>4872203</v>
      </c>
      <c r="F5466" t="s">
        <v>8</v>
      </c>
      <c r="G5466" t="s">
        <v>203</v>
      </c>
      <c r="H5466" t="s">
        <v>228</v>
      </c>
      <c r="I5466" s="4">
        <v>100638.28079999999</v>
      </c>
      <c r="J5466" s="4">
        <v>3019148.4239999996</v>
      </c>
      <c r="K5466" s="4">
        <v>-130038.22799999999</v>
      </c>
      <c r="L5466" s="4">
        <v>30</v>
      </c>
    </row>
    <row r="5467" spans="1:12">
      <c r="A5467" t="s">
        <v>264</v>
      </c>
      <c r="B5467" s="10">
        <v>45370</v>
      </c>
      <c r="C5467" s="18">
        <f t="shared" si="85"/>
        <v>3</v>
      </c>
      <c r="D5467" t="s">
        <v>196</v>
      </c>
      <c r="E5467">
        <v>4872203</v>
      </c>
      <c r="F5467" t="s">
        <v>8</v>
      </c>
      <c r="G5467" t="s">
        <v>203</v>
      </c>
      <c r="H5467" t="s">
        <v>227</v>
      </c>
      <c r="I5467" s="4">
        <v>100638.28079999999</v>
      </c>
      <c r="J5467" s="4">
        <v>3019148.4239999996</v>
      </c>
      <c r="K5467" s="4">
        <v>-130038.22799999999</v>
      </c>
      <c r="L5467" s="4">
        <v>30</v>
      </c>
    </row>
    <row r="5468" spans="1:12">
      <c r="A5468" t="s">
        <v>264</v>
      </c>
      <c r="B5468" s="10">
        <v>45370</v>
      </c>
      <c r="C5468" s="18">
        <f t="shared" si="85"/>
        <v>3</v>
      </c>
      <c r="D5468" t="s">
        <v>196</v>
      </c>
      <c r="E5468">
        <v>4872203</v>
      </c>
      <c r="F5468" t="s">
        <v>8</v>
      </c>
      <c r="G5468" t="s">
        <v>203</v>
      </c>
      <c r="H5468" t="s">
        <v>226</v>
      </c>
      <c r="I5468" s="4">
        <v>100638.28079999999</v>
      </c>
      <c r="J5468" s="4">
        <v>3019148.4239999996</v>
      </c>
      <c r="K5468" s="4">
        <v>-130038.22799999999</v>
      </c>
      <c r="L5468" s="4">
        <v>30</v>
      </c>
    </row>
    <row r="5469" spans="1:12">
      <c r="A5469" t="s">
        <v>264</v>
      </c>
      <c r="B5469" s="10">
        <v>45370</v>
      </c>
      <c r="C5469" s="18">
        <f t="shared" si="85"/>
        <v>3</v>
      </c>
      <c r="D5469" t="s">
        <v>196</v>
      </c>
      <c r="E5469">
        <v>4872203</v>
      </c>
      <c r="F5469" t="s">
        <v>8</v>
      </c>
      <c r="G5469" t="s">
        <v>203</v>
      </c>
      <c r="H5469" t="s">
        <v>235</v>
      </c>
      <c r="I5469" s="4">
        <v>125766.4408</v>
      </c>
      <c r="J5469" s="4">
        <v>3772993.2239999999</v>
      </c>
      <c r="K5469" s="4">
        <v>-169615.08</v>
      </c>
      <c r="L5469" s="4">
        <v>30</v>
      </c>
    </row>
    <row r="5470" spans="1:12">
      <c r="A5470" t="s">
        <v>264</v>
      </c>
      <c r="B5470" s="10">
        <v>45370</v>
      </c>
      <c r="C5470" s="18">
        <f t="shared" si="85"/>
        <v>3</v>
      </c>
      <c r="D5470" t="s">
        <v>196</v>
      </c>
      <c r="E5470">
        <v>4872203</v>
      </c>
      <c r="F5470" t="s">
        <v>8</v>
      </c>
      <c r="G5470" t="s">
        <v>203</v>
      </c>
      <c r="H5470" t="s">
        <v>233</v>
      </c>
      <c r="I5470" s="4">
        <v>120735.78316800001</v>
      </c>
      <c r="J5470" s="4">
        <v>3622073.4950400004</v>
      </c>
      <c r="K5470" s="4">
        <v>-169615.08</v>
      </c>
      <c r="L5470" s="4">
        <v>30</v>
      </c>
    </row>
    <row r="5471" spans="1:12">
      <c r="A5471" t="s">
        <v>264</v>
      </c>
      <c r="B5471" s="10">
        <v>45371</v>
      </c>
      <c r="C5471" s="18">
        <f t="shared" si="85"/>
        <v>3</v>
      </c>
      <c r="D5471" t="s">
        <v>196</v>
      </c>
      <c r="E5471">
        <v>4878748</v>
      </c>
      <c r="F5471" t="s">
        <v>8</v>
      </c>
      <c r="G5471" t="s">
        <v>206</v>
      </c>
      <c r="H5471" t="s">
        <v>248</v>
      </c>
      <c r="I5471" s="4">
        <v>16207.663200000001</v>
      </c>
      <c r="J5471" s="4">
        <v>1620766.32</v>
      </c>
      <c r="K5471" s="4">
        <v>-169615.08</v>
      </c>
      <c r="L5471" s="4">
        <v>100</v>
      </c>
    </row>
    <row r="5472" spans="1:12">
      <c r="A5472" t="s">
        <v>264</v>
      </c>
      <c r="B5472" s="10">
        <v>45371</v>
      </c>
      <c r="C5472" s="18">
        <f t="shared" si="85"/>
        <v>3</v>
      </c>
      <c r="D5472" t="s">
        <v>196</v>
      </c>
      <c r="E5472">
        <v>4878748</v>
      </c>
      <c r="F5472" t="s">
        <v>8</v>
      </c>
      <c r="G5472" t="s">
        <v>206</v>
      </c>
      <c r="H5472" t="s">
        <v>250</v>
      </c>
      <c r="I5472" s="4">
        <v>17715.352800000001</v>
      </c>
      <c r="J5472" s="4">
        <v>1771535.28</v>
      </c>
      <c r="K5472" s="4">
        <v>-175897.12</v>
      </c>
      <c r="L5472" s="4">
        <v>100</v>
      </c>
    </row>
    <row r="5473" spans="1:12">
      <c r="A5473" t="s">
        <v>264</v>
      </c>
      <c r="B5473" s="10">
        <v>45371</v>
      </c>
      <c r="C5473" s="18">
        <f t="shared" si="85"/>
        <v>3</v>
      </c>
      <c r="D5473" t="s">
        <v>196</v>
      </c>
      <c r="E5473">
        <v>4878748</v>
      </c>
      <c r="F5473" t="s">
        <v>8</v>
      </c>
      <c r="G5473" t="s">
        <v>206</v>
      </c>
      <c r="H5473" t="s">
        <v>249</v>
      </c>
      <c r="I5473" s="4">
        <v>17715.352800000001</v>
      </c>
      <c r="J5473" s="4">
        <v>1771535.28</v>
      </c>
      <c r="K5473" s="4">
        <v>-175897.12</v>
      </c>
      <c r="L5473" s="4">
        <v>100</v>
      </c>
    </row>
    <row r="5474" spans="1:12">
      <c r="A5474" t="s">
        <v>264</v>
      </c>
      <c r="B5474" s="10">
        <v>45371</v>
      </c>
      <c r="C5474" s="18">
        <f t="shared" si="85"/>
        <v>3</v>
      </c>
      <c r="D5474" t="s">
        <v>196</v>
      </c>
      <c r="E5474">
        <v>4878748</v>
      </c>
      <c r="F5474" t="s">
        <v>8</v>
      </c>
      <c r="G5474" t="s">
        <v>206</v>
      </c>
      <c r="H5474" t="s">
        <v>209</v>
      </c>
      <c r="I5474" s="4">
        <v>17715.352800000001</v>
      </c>
      <c r="J5474" s="4">
        <v>1771535.28</v>
      </c>
      <c r="K5474" s="4">
        <v>-175897.12</v>
      </c>
      <c r="L5474" s="4">
        <v>100</v>
      </c>
    </row>
    <row r="5475" spans="1:12">
      <c r="A5475" t="s">
        <v>264</v>
      </c>
      <c r="B5475" s="10">
        <v>45373</v>
      </c>
      <c r="C5475" s="18">
        <f t="shared" si="85"/>
        <v>3</v>
      </c>
      <c r="D5475" t="s">
        <v>196</v>
      </c>
      <c r="E5475">
        <v>4873921</v>
      </c>
      <c r="F5475" t="s">
        <v>8</v>
      </c>
      <c r="G5475" t="s">
        <v>202</v>
      </c>
      <c r="H5475" t="s">
        <v>257</v>
      </c>
      <c r="I5475" s="4">
        <v>56664.000799999994</v>
      </c>
      <c r="J5475" s="4">
        <v>566640.00799999991</v>
      </c>
      <c r="K5475" s="4">
        <v>-28269.18</v>
      </c>
      <c r="L5475" s="4">
        <v>10</v>
      </c>
    </row>
    <row r="5476" spans="1:12">
      <c r="A5476" t="s">
        <v>264</v>
      </c>
      <c r="B5476" s="10">
        <v>45373</v>
      </c>
      <c r="C5476" s="18">
        <f t="shared" si="85"/>
        <v>3</v>
      </c>
      <c r="D5476" t="s">
        <v>196</v>
      </c>
      <c r="E5476">
        <v>4873921</v>
      </c>
      <c r="F5476" t="s">
        <v>8</v>
      </c>
      <c r="G5476" t="s">
        <v>202</v>
      </c>
      <c r="H5476" t="s">
        <v>255</v>
      </c>
      <c r="I5476" s="4">
        <v>72489.71596799999</v>
      </c>
      <c r="J5476" s="4">
        <v>579917.72774399992</v>
      </c>
      <c r="K5476" s="4">
        <v>-30153.791999999998</v>
      </c>
      <c r="L5476" s="4">
        <v>8</v>
      </c>
    </row>
    <row r="5477" spans="1:12">
      <c r="A5477" t="s">
        <v>264</v>
      </c>
      <c r="B5477" s="10">
        <v>45373</v>
      </c>
      <c r="C5477" s="18">
        <f t="shared" si="85"/>
        <v>3</v>
      </c>
      <c r="D5477" t="s">
        <v>196</v>
      </c>
      <c r="E5477">
        <v>4876950</v>
      </c>
      <c r="F5477" t="s">
        <v>8</v>
      </c>
      <c r="G5477" t="s">
        <v>202</v>
      </c>
      <c r="H5477" t="s">
        <v>259</v>
      </c>
      <c r="I5477" s="4">
        <v>30279.432800000002</v>
      </c>
      <c r="J5477" s="4">
        <v>242235.46240000002</v>
      </c>
      <c r="K5477" s="4">
        <v>-12061.516799999999</v>
      </c>
      <c r="L5477" s="4">
        <v>8</v>
      </c>
    </row>
    <row r="5478" spans="1:12">
      <c r="A5478" t="s">
        <v>264</v>
      </c>
      <c r="B5478" s="10">
        <v>45373</v>
      </c>
      <c r="C5478" s="18">
        <f t="shared" si="85"/>
        <v>3</v>
      </c>
      <c r="D5478" t="s">
        <v>196</v>
      </c>
      <c r="E5478">
        <v>4872103</v>
      </c>
      <c r="F5478" t="s">
        <v>8</v>
      </c>
      <c r="G5478" t="s">
        <v>202</v>
      </c>
      <c r="H5478" t="s">
        <v>253</v>
      </c>
      <c r="I5478" s="4">
        <v>46669.275160000005</v>
      </c>
      <c r="J5478" s="4">
        <v>9333855.0320000015</v>
      </c>
      <c r="K5478" s="4">
        <v>-489999.12</v>
      </c>
      <c r="L5478" s="4">
        <v>200</v>
      </c>
    </row>
    <row r="5479" spans="1:12">
      <c r="A5479" t="s">
        <v>264</v>
      </c>
      <c r="B5479" s="10">
        <v>45373</v>
      </c>
      <c r="C5479" s="18">
        <f t="shared" si="85"/>
        <v>3</v>
      </c>
      <c r="D5479" t="s">
        <v>196</v>
      </c>
      <c r="E5479">
        <v>4877306</v>
      </c>
      <c r="F5479" t="s">
        <v>8</v>
      </c>
      <c r="G5479" t="s">
        <v>203</v>
      </c>
      <c r="H5479" t="s">
        <v>240</v>
      </c>
      <c r="I5479" s="4">
        <v>100638.28079999999</v>
      </c>
      <c r="J5479" s="4">
        <v>402553.12319999997</v>
      </c>
      <c r="K5479" s="4">
        <v>-17338.430399999997</v>
      </c>
      <c r="L5479" s="4">
        <v>4</v>
      </c>
    </row>
    <row r="5480" spans="1:12">
      <c r="A5480" t="s">
        <v>264</v>
      </c>
      <c r="B5480" s="10">
        <v>45374</v>
      </c>
      <c r="C5480" s="18">
        <f t="shared" si="85"/>
        <v>3</v>
      </c>
      <c r="D5480" t="s">
        <v>196</v>
      </c>
      <c r="E5480">
        <v>4878952</v>
      </c>
      <c r="F5480" t="s">
        <v>8</v>
      </c>
      <c r="G5480" t="s">
        <v>202</v>
      </c>
      <c r="H5480" t="s">
        <v>260</v>
      </c>
      <c r="I5480" s="4">
        <v>41587.104800000001</v>
      </c>
      <c r="J5480" s="4">
        <v>831742.09600000002</v>
      </c>
      <c r="K5480" s="4">
        <v>-41461.464</v>
      </c>
      <c r="L5480" s="4">
        <v>20</v>
      </c>
    </row>
    <row r="5481" spans="1:12">
      <c r="A5481" t="s">
        <v>264</v>
      </c>
      <c r="B5481" s="10">
        <v>45374</v>
      </c>
      <c r="C5481" s="18">
        <f t="shared" si="85"/>
        <v>3</v>
      </c>
      <c r="D5481" t="s">
        <v>196</v>
      </c>
      <c r="E5481">
        <v>4871600</v>
      </c>
      <c r="F5481" t="s">
        <v>8</v>
      </c>
      <c r="G5481" t="s">
        <v>203</v>
      </c>
      <c r="H5481" t="s">
        <v>237</v>
      </c>
      <c r="I5481" s="4">
        <v>125766.4408</v>
      </c>
      <c r="J5481" s="4">
        <v>628832.20400000003</v>
      </c>
      <c r="K5481" s="4">
        <v>-28269.18</v>
      </c>
      <c r="L5481" s="4">
        <v>5</v>
      </c>
    </row>
    <row r="5482" spans="1:12">
      <c r="A5482" t="s">
        <v>264</v>
      </c>
      <c r="B5482" s="10">
        <v>45374</v>
      </c>
      <c r="C5482" s="18">
        <f t="shared" si="85"/>
        <v>3</v>
      </c>
      <c r="D5482" t="s">
        <v>196</v>
      </c>
      <c r="E5482">
        <v>4871600</v>
      </c>
      <c r="F5482" t="s">
        <v>8</v>
      </c>
      <c r="G5482" t="s">
        <v>203</v>
      </c>
      <c r="H5482" t="s">
        <v>233</v>
      </c>
      <c r="I5482" s="4">
        <v>120735.78316800001</v>
      </c>
      <c r="J5482" s="4">
        <v>603678.91584000003</v>
      </c>
      <c r="K5482" s="4">
        <v>-28269.18</v>
      </c>
      <c r="L5482" s="4">
        <v>5</v>
      </c>
    </row>
    <row r="5483" spans="1:12">
      <c r="A5483" t="s">
        <v>264</v>
      </c>
      <c r="B5483" s="10">
        <v>45374</v>
      </c>
      <c r="C5483" s="18">
        <f t="shared" si="85"/>
        <v>3</v>
      </c>
      <c r="D5483" t="s">
        <v>196</v>
      </c>
      <c r="E5483">
        <v>4871600</v>
      </c>
      <c r="F5483" t="s">
        <v>8</v>
      </c>
      <c r="G5483" t="s">
        <v>203</v>
      </c>
      <c r="H5483" t="s">
        <v>229</v>
      </c>
      <c r="I5483" s="4">
        <v>125766.4408</v>
      </c>
      <c r="J5483" s="4">
        <v>628832.20400000003</v>
      </c>
      <c r="K5483" s="4">
        <v>-28269.18</v>
      </c>
      <c r="L5483" s="4">
        <v>5</v>
      </c>
    </row>
    <row r="5484" spans="1:12">
      <c r="A5484" t="s">
        <v>264</v>
      </c>
      <c r="B5484" s="10">
        <v>45374</v>
      </c>
      <c r="C5484" s="18">
        <f t="shared" si="85"/>
        <v>3</v>
      </c>
      <c r="D5484" t="s">
        <v>196</v>
      </c>
      <c r="E5484">
        <v>4871600</v>
      </c>
      <c r="F5484" t="s">
        <v>8</v>
      </c>
      <c r="G5484" t="s">
        <v>204</v>
      </c>
      <c r="H5484" t="s">
        <v>213</v>
      </c>
      <c r="I5484" s="4">
        <v>119484.4008</v>
      </c>
      <c r="J5484" s="4">
        <v>238968.80160000001</v>
      </c>
      <c r="K5484" s="4">
        <v>-11935.876</v>
      </c>
      <c r="L5484" s="4">
        <v>2</v>
      </c>
    </row>
    <row r="5485" spans="1:12">
      <c r="A5485" t="s">
        <v>264</v>
      </c>
      <c r="B5485" s="10">
        <v>45374</v>
      </c>
      <c r="C5485" s="18">
        <f t="shared" si="85"/>
        <v>3</v>
      </c>
      <c r="D5485" t="s">
        <v>196</v>
      </c>
      <c r="E5485">
        <v>4872058</v>
      </c>
      <c r="F5485" t="s">
        <v>8</v>
      </c>
      <c r="G5485" t="s">
        <v>203</v>
      </c>
      <c r="H5485" t="s">
        <v>223</v>
      </c>
      <c r="I5485" s="4">
        <v>100638.28079999999</v>
      </c>
      <c r="J5485" s="4">
        <v>402553.12319999997</v>
      </c>
      <c r="K5485" s="4">
        <v>-17338.430399999997</v>
      </c>
      <c r="L5485" s="4">
        <v>4</v>
      </c>
    </row>
    <row r="5486" spans="1:12">
      <c r="A5486" t="s">
        <v>264</v>
      </c>
      <c r="B5486" s="10">
        <v>45374</v>
      </c>
      <c r="C5486" s="18">
        <f t="shared" si="85"/>
        <v>3</v>
      </c>
      <c r="D5486" t="s">
        <v>196</v>
      </c>
      <c r="E5486">
        <v>4872058</v>
      </c>
      <c r="F5486" t="s">
        <v>8</v>
      </c>
      <c r="G5486" t="s">
        <v>203</v>
      </c>
      <c r="H5486" t="s">
        <v>233</v>
      </c>
      <c r="I5486" s="4">
        <v>120735.78316800001</v>
      </c>
      <c r="J5486" s="4">
        <v>482943.13267200004</v>
      </c>
      <c r="K5486" s="4">
        <v>-22615.344000000001</v>
      </c>
      <c r="L5486" s="4">
        <v>4</v>
      </c>
    </row>
    <row r="5487" spans="1:12">
      <c r="A5487" t="s">
        <v>264</v>
      </c>
      <c r="B5487" s="10">
        <v>45374</v>
      </c>
      <c r="C5487" s="18">
        <f t="shared" si="85"/>
        <v>3</v>
      </c>
      <c r="D5487" t="s">
        <v>196</v>
      </c>
      <c r="E5487">
        <v>4872058</v>
      </c>
      <c r="F5487" t="s">
        <v>8</v>
      </c>
      <c r="G5487" t="s">
        <v>203</v>
      </c>
      <c r="H5487" t="s">
        <v>231</v>
      </c>
      <c r="I5487" s="4">
        <v>125766.4408</v>
      </c>
      <c r="J5487" s="4">
        <v>503065.76319999999</v>
      </c>
      <c r="K5487" s="4">
        <v>-22615.344000000001</v>
      </c>
      <c r="L5487" s="4">
        <v>4</v>
      </c>
    </row>
    <row r="5488" spans="1:12">
      <c r="A5488" t="s">
        <v>264</v>
      </c>
      <c r="B5488" s="10">
        <v>45374</v>
      </c>
      <c r="C5488" s="18">
        <f t="shared" si="85"/>
        <v>3</v>
      </c>
      <c r="D5488" t="s">
        <v>196</v>
      </c>
      <c r="E5488">
        <v>4872058</v>
      </c>
      <c r="F5488" t="s">
        <v>8</v>
      </c>
      <c r="G5488" t="s">
        <v>203</v>
      </c>
      <c r="H5488" t="s">
        <v>229</v>
      </c>
      <c r="I5488" s="4">
        <v>125766.4408</v>
      </c>
      <c r="J5488" s="4">
        <v>503065.76319999999</v>
      </c>
      <c r="K5488" s="4">
        <v>-22615.344000000001</v>
      </c>
      <c r="L5488" s="4">
        <v>4</v>
      </c>
    </row>
    <row r="5489" spans="1:12">
      <c r="A5489" t="s">
        <v>264</v>
      </c>
      <c r="B5489" s="10">
        <v>45374</v>
      </c>
      <c r="C5489" s="18">
        <f t="shared" si="85"/>
        <v>3</v>
      </c>
      <c r="D5489" t="s">
        <v>196</v>
      </c>
      <c r="E5489">
        <v>4872571</v>
      </c>
      <c r="F5489" t="s">
        <v>8</v>
      </c>
      <c r="G5489" t="s">
        <v>203</v>
      </c>
      <c r="H5489" t="s">
        <v>232</v>
      </c>
      <c r="I5489" s="4">
        <v>100638.28079999999</v>
      </c>
      <c r="J5489" s="4">
        <v>1006382.808</v>
      </c>
      <c r="K5489" s="4">
        <v>-43346.076000000001</v>
      </c>
      <c r="L5489" s="4">
        <v>10</v>
      </c>
    </row>
    <row r="5490" spans="1:12">
      <c r="A5490" t="s">
        <v>264</v>
      </c>
      <c r="B5490" s="10">
        <v>45374</v>
      </c>
      <c r="C5490" s="18">
        <f t="shared" si="85"/>
        <v>3</v>
      </c>
      <c r="D5490" t="s">
        <v>196</v>
      </c>
      <c r="E5490">
        <v>4872243</v>
      </c>
      <c r="F5490" t="s">
        <v>8</v>
      </c>
      <c r="G5490" t="s">
        <v>203</v>
      </c>
      <c r="H5490" t="s">
        <v>227</v>
      </c>
      <c r="I5490" s="4">
        <v>100638.28079999999</v>
      </c>
      <c r="J5490" s="4">
        <v>1006382.808</v>
      </c>
      <c r="K5490" s="4">
        <v>-43346.076000000001</v>
      </c>
      <c r="L5490" s="4">
        <v>10</v>
      </c>
    </row>
    <row r="5491" spans="1:12">
      <c r="A5491" t="s">
        <v>264</v>
      </c>
      <c r="B5491" s="10">
        <v>45374</v>
      </c>
      <c r="C5491" s="18">
        <f t="shared" si="85"/>
        <v>3</v>
      </c>
      <c r="D5491" t="s">
        <v>196</v>
      </c>
      <c r="E5491">
        <v>4872243</v>
      </c>
      <c r="F5491" t="s">
        <v>8</v>
      </c>
      <c r="G5491" t="s">
        <v>203</v>
      </c>
      <c r="H5491" t="s">
        <v>241</v>
      </c>
      <c r="I5491" s="4">
        <v>125766.4408</v>
      </c>
      <c r="J5491" s="4">
        <v>1257664.4080000001</v>
      </c>
      <c r="K5491" s="4">
        <v>-56538.36</v>
      </c>
      <c r="L5491" s="4">
        <v>10</v>
      </c>
    </row>
    <row r="5492" spans="1:12">
      <c r="A5492" t="s">
        <v>264</v>
      </c>
      <c r="B5492" s="10">
        <v>45374</v>
      </c>
      <c r="C5492" s="18">
        <f t="shared" si="85"/>
        <v>3</v>
      </c>
      <c r="D5492" t="s">
        <v>196</v>
      </c>
      <c r="E5492">
        <v>4879214</v>
      </c>
      <c r="F5492" t="s">
        <v>8</v>
      </c>
      <c r="G5492" t="s">
        <v>204</v>
      </c>
      <c r="H5492" t="s">
        <v>216</v>
      </c>
      <c r="I5492" s="4">
        <v>113202.36079999999</v>
      </c>
      <c r="J5492" s="4">
        <v>679214.16479999991</v>
      </c>
      <c r="K5492" s="4">
        <v>-33923.016000000003</v>
      </c>
      <c r="L5492" s="4">
        <v>6</v>
      </c>
    </row>
    <row r="5493" spans="1:12">
      <c r="A5493" t="s">
        <v>264</v>
      </c>
      <c r="B5493" s="10">
        <v>45374</v>
      </c>
      <c r="C5493" s="18">
        <f t="shared" si="85"/>
        <v>3</v>
      </c>
      <c r="D5493" t="s">
        <v>196</v>
      </c>
      <c r="E5493">
        <v>4879214</v>
      </c>
      <c r="F5493" t="s">
        <v>8</v>
      </c>
      <c r="G5493" t="s">
        <v>204</v>
      </c>
      <c r="H5493" t="s">
        <v>220</v>
      </c>
      <c r="I5493" s="4">
        <v>37817.880799999999</v>
      </c>
      <c r="J5493" s="4">
        <v>113453.6424</v>
      </c>
      <c r="K5493" s="4">
        <v>-5653.8360000000002</v>
      </c>
      <c r="L5493" s="4">
        <v>3</v>
      </c>
    </row>
    <row r="5494" spans="1:12">
      <c r="A5494" t="s">
        <v>264</v>
      </c>
      <c r="B5494" s="10">
        <v>45374</v>
      </c>
      <c r="C5494" s="18">
        <f t="shared" si="85"/>
        <v>3</v>
      </c>
      <c r="D5494" t="s">
        <v>196</v>
      </c>
      <c r="E5494">
        <v>4874586</v>
      </c>
      <c r="F5494" t="s">
        <v>8</v>
      </c>
      <c r="G5494" t="s">
        <v>204</v>
      </c>
      <c r="H5494" t="s">
        <v>219</v>
      </c>
      <c r="I5494" s="4">
        <v>44099.9208</v>
      </c>
      <c r="J5494" s="4">
        <v>220499.60399999999</v>
      </c>
      <c r="K5494" s="4">
        <v>-9423.06</v>
      </c>
      <c r="L5494" s="4">
        <v>5</v>
      </c>
    </row>
    <row r="5495" spans="1:12">
      <c r="A5495" t="s">
        <v>264</v>
      </c>
      <c r="B5495" s="10">
        <v>45374</v>
      </c>
      <c r="C5495" s="18">
        <f t="shared" si="85"/>
        <v>3</v>
      </c>
      <c r="D5495" t="s">
        <v>196</v>
      </c>
      <c r="E5495">
        <v>4874586</v>
      </c>
      <c r="F5495" t="s">
        <v>8</v>
      </c>
      <c r="G5495" t="s">
        <v>204</v>
      </c>
      <c r="H5495" t="s">
        <v>216</v>
      </c>
      <c r="I5495" s="4">
        <v>113202.36079999999</v>
      </c>
      <c r="J5495" s="4">
        <v>452809.44319999998</v>
      </c>
      <c r="K5495" s="4">
        <v>-22615.344000000001</v>
      </c>
      <c r="L5495" s="4">
        <v>4</v>
      </c>
    </row>
    <row r="5496" spans="1:12">
      <c r="A5496" t="s">
        <v>264</v>
      </c>
      <c r="B5496" s="10">
        <v>45374</v>
      </c>
      <c r="C5496" s="18">
        <f t="shared" si="85"/>
        <v>3</v>
      </c>
      <c r="D5496" t="s">
        <v>196</v>
      </c>
      <c r="E5496">
        <v>4874586</v>
      </c>
      <c r="F5496" t="s">
        <v>8</v>
      </c>
      <c r="G5496" t="s">
        <v>202</v>
      </c>
      <c r="H5496" t="s">
        <v>259</v>
      </c>
      <c r="I5496" s="4">
        <v>30279.432800000002</v>
      </c>
      <c r="J5496" s="4">
        <v>4874988.6808000002</v>
      </c>
      <c r="K5496" s="4">
        <v>-242738.02559999999</v>
      </c>
      <c r="L5496" s="4">
        <v>161</v>
      </c>
    </row>
    <row r="5497" spans="1:12">
      <c r="A5497" t="s">
        <v>264</v>
      </c>
      <c r="B5497" s="10">
        <v>45374</v>
      </c>
      <c r="C5497" s="18">
        <f t="shared" si="85"/>
        <v>3</v>
      </c>
      <c r="D5497" t="s">
        <v>196</v>
      </c>
      <c r="E5497">
        <v>4874586</v>
      </c>
      <c r="F5497" t="s">
        <v>8</v>
      </c>
      <c r="G5497" t="s">
        <v>202</v>
      </c>
      <c r="H5497" t="s">
        <v>258</v>
      </c>
      <c r="I5497" s="4">
        <v>37817.880799999999</v>
      </c>
      <c r="J5497" s="4">
        <v>3781788.08</v>
      </c>
      <c r="K5497" s="4">
        <v>-188461.2</v>
      </c>
      <c r="L5497" s="4">
        <v>100</v>
      </c>
    </row>
    <row r="5498" spans="1:12">
      <c r="A5498" t="s">
        <v>264</v>
      </c>
      <c r="B5498" s="10">
        <v>45374</v>
      </c>
      <c r="C5498" s="18">
        <f t="shared" si="85"/>
        <v>3</v>
      </c>
      <c r="D5498" t="s">
        <v>196</v>
      </c>
      <c r="E5498">
        <v>4873806</v>
      </c>
      <c r="F5498" t="s">
        <v>8</v>
      </c>
      <c r="G5498" t="s">
        <v>202</v>
      </c>
      <c r="H5498" t="s">
        <v>261</v>
      </c>
      <c r="I5498" s="4">
        <v>41587.104800000001</v>
      </c>
      <c r="J5498" s="4">
        <v>457458.15280000004</v>
      </c>
      <c r="K5498" s="4">
        <v>-22803.805199999999</v>
      </c>
      <c r="L5498" s="4">
        <v>11</v>
      </c>
    </row>
    <row r="5499" spans="1:12">
      <c r="A5499" t="s">
        <v>264</v>
      </c>
      <c r="B5499" s="10">
        <v>45374</v>
      </c>
      <c r="C5499" s="18">
        <f t="shared" si="85"/>
        <v>3</v>
      </c>
      <c r="D5499" t="s">
        <v>196</v>
      </c>
      <c r="E5499">
        <v>4872193</v>
      </c>
      <c r="F5499" t="s">
        <v>8</v>
      </c>
      <c r="G5499" t="s">
        <v>203</v>
      </c>
      <c r="H5499" t="s">
        <v>242</v>
      </c>
      <c r="I5499" s="4">
        <v>100638.28079999999</v>
      </c>
      <c r="J5499" s="4">
        <v>1006382.808</v>
      </c>
      <c r="K5499" s="4">
        <v>-43346.076000000001</v>
      </c>
      <c r="L5499" s="4">
        <v>10</v>
      </c>
    </row>
    <row r="5500" spans="1:12">
      <c r="A5500" t="s">
        <v>264</v>
      </c>
      <c r="B5500" s="10">
        <v>45374</v>
      </c>
      <c r="C5500" s="18">
        <f t="shared" si="85"/>
        <v>3</v>
      </c>
      <c r="D5500" t="s">
        <v>196</v>
      </c>
      <c r="E5500">
        <v>4872193</v>
      </c>
      <c r="F5500" t="s">
        <v>8</v>
      </c>
      <c r="G5500" t="s">
        <v>203</v>
      </c>
      <c r="H5500" t="s">
        <v>240</v>
      </c>
      <c r="I5500" s="4">
        <v>100638.28079999999</v>
      </c>
      <c r="J5500" s="4">
        <v>1006382.808</v>
      </c>
      <c r="K5500" s="4">
        <v>-43346.076000000001</v>
      </c>
      <c r="L5500" s="4">
        <v>10</v>
      </c>
    </row>
    <row r="5501" spans="1:12">
      <c r="A5501" t="s">
        <v>264</v>
      </c>
      <c r="B5501" s="10">
        <v>45374</v>
      </c>
      <c r="C5501" s="18">
        <f t="shared" si="85"/>
        <v>3</v>
      </c>
      <c r="D5501" t="s">
        <v>196</v>
      </c>
      <c r="E5501">
        <v>4872193</v>
      </c>
      <c r="F5501" t="s">
        <v>8</v>
      </c>
      <c r="G5501" t="s">
        <v>203</v>
      </c>
      <c r="H5501" t="s">
        <v>238</v>
      </c>
      <c r="I5501" s="4">
        <v>95606.36675999999</v>
      </c>
      <c r="J5501" s="4">
        <v>956063.66759999993</v>
      </c>
      <c r="K5501" s="4">
        <v>-43346.076000000001</v>
      </c>
      <c r="L5501" s="4">
        <v>10</v>
      </c>
    </row>
    <row r="5502" spans="1:12">
      <c r="A5502" t="s">
        <v>264</v>
      </c>
      <c r="B5502" s="10">
        <v>45374</v>
      </c>
      <c r="C5502" s="18">
        <f t="shared" si="85"/>
        <v>3</v>
      </c>
      <c r="D5502" t="s">
        <v>196</v>
      </c>
      <c r="E5502">
        <v>4872193</v>
      </c>
      <c r="F5502" t="s">
        <v>8</v>
      </c>
      <c r="G5502" t="s">
        <v>203</v>
      </c>
      <c r="H5502" t="s">
        <v>232</v>
      </c>
      <c r="I5502" s="4">
        <v>100638.28079999999</v>
      </c>
      <c r="J5502" s="4">
        <v>1006382.808</v>
      </c>
      <c r="K5502" s="4">
        <v>-43346.076000000001</v>
      </c>
      <c r="L5502" s="4">
        <v>10</v>
      </c>
    </row>
    <row r="5503" spans="1:12">
      <c r="A5503" t="s">
        <v>264</v>
      </c>
      <c r="B5503" s="10">
        <v>45374</v>
      </c>
      <c r="C5503" s="18">
        <f t="shared" si="85"/>
        <v>3</v>
      </c>
      <c r="D5503" t="s">
        <v>196</v>
      </c>
      <c r="E5503">
        <v>4872193</v>
      </c>
      <c r="F5503" t="s">
        <v>8</v>
      </c>
      <c r="G5503" t="s">
        <v>203</v>
      </c>
      <c r="H5503" t="s">
        <v>230</v>
      </c>
      <c r="I5503" s="4">
        <v>100638.28079999999</v>
      </c>
      <c r="J5503" s="4">
        <v>1006382.808</v>
      </c>
      <c r="K5503" s="4">
        <v>-43346.076000000001</v>
      </c>
      <c r="L5503" s="4">
        <v>10</v>
      </c>
    </row>
    <row r="5504" spans="1:12">
      <c r="A5504" t="s">
        <v>264</v>
      </c>
      <c r="B5504" s="10">
        <v>45374</v>
      </c>
      <c r="C5504" s="18">
        <f t="shared" si="85"/>
        <v>3</v>
      </c>
      <c r="D5504" t="s">
        <v>196</v>
      </c>
      <c r="E5504">
        <v>4872193</v>
      </c>
      <c r="F5504" t="s">
        <v>8</v>
      </c>
      <c r="G5504" t="s">
        <v>203</v>
      </c>
      <c r="H5504" t="s">
        <v>244</v>
      </c>
      <c r="I5504" s="4">
        <v>125766.4408</v>
      </c>
      <c r="J5504" s="4">
        <v>1257664.4080000001</v>
      </c>
      <c r="K5504" s="4">
        <v>-56538.36</v>
      </c>
      <c r="L5504" s="4">
        <v>10</v>
      </c>
    </row>
    <row r="5505" spans="1:12">
      <c r="A5505" t="s">
        <v>264</v>
      </c>
      <c r="B5505" s="10">
        <v>45374</v>
      </c>
      <c r="C5505" s="18">
        <f t="shared" si="85"/>
        <v>3</v>
      </c>
      <c r="D5505" t="s">
        <v>196</v>
      </c>
      <c r="E5505">
        <v>4872193</v>
      </c>
      <c r="F5505" t="s">
        <v>8</v>
      </c>
      <c r="G5505" t="s">
        <v>203</v>
      </c>
      <c r="H5505" t="s">
        <v>237</v>
      </c>
      <c r="I5505" s="4">
        <v>125766.4408</v>
      </c>
      <c r="J5505" s="4">
        <v>1257664.4080000001</v>
      </c>
      <c r="K5505" s="4">
        <v>-56538.36</v>
      </c>
      <c r="L5505" s="4">
        <v>10</v>
      </c>
    </row>
    <row r="5506" spans="1:12">
      <c r="A5506" t="s">
        <v>264</v>
      </c>
      <c r="B5506" s="10">
        <v>45374</v>
      </c>
      <c r="C5506" s="18">
        <f t="shared" ref="C5506:C5569" si="86">MONTH(B5506)</f>
        <v>3</v>
      </c>
      <c r="D5506" t="s">
        <v>196</v>
      </c>
      <c r="E5506">
        <v>4872193</v>
      </c>
      <c r="F5506" t="s">
        <v>8</v>
      </c>
      <c r="G5506" t="s">
        <v>203</v>
      </c>
      <c r="H5506" t="s">
        <v>229</v>
      </c>
      <c r="I5506" s="4">
        <v>125766.4408</v>
      </c>
      <c r="J5506" s="4">
        <v>1257664.4080000001</v>
      </c>
      <c r="K5506" s="4">
        <v>-56538.36</v>
      </c>
      <c r="L5506" s="4">
        <v>10</v>
      </c>
    </row>
    <row r="5507" spans="1:12">
      <c r="A5507" t="s">
        <v>264</v>
      </c>
      <c r="B5507" s="10">
        <v>45374</v>
      </c>
      <c r="C5507" s="18">
        <f t="shared" si="86"/>
        <v>3</v>
      </c>
      <c r="D5507" t="s">
        <v>196</v>
      </c>
      <c r="E5507">
        <v>4873723</v>
      </c>
      <c r="F5507" t="s">
        <v>8</v>
      </c>
      <c r="G5507" t="s">
        <v>204</v>
      </c>
      <c r="H5507" t="s">
        <v>218</v>
      </c>
      <c r="I5507" s="4">
        <v>71740.896800000002</v>
      </c>
      <c r="J5507" s="4">
        <v>717408.96799999999</v>
      </c>
      <c r="K5507" s="4">
        <v>-35807.628000000004</v>
      </c>
      <c r="L5507" s="4">
        <v>10</v>
      </c>
    </row>
    <row r="5508" spans="1:12">
      <c r="A5508" t="s">
        <v>264</v>
      </c>
      <c r="B5508" s="10">
        <v>45374</v>
      </c>
      <c r="C5508" s="18">
        <f t="shared" si="86"/>
        <v>3</v>
      </c>
      <c r="D5508" t="s">
        <v>196</v>
      </c>
      <c r="E5508">
        <v>4873723</v>
      </c>
      <c r="F5508" t="s">
        <v>8</v>
      </c>
      <c r="G5508" t="s">
        <v>202</v>
      </c>
      <c r="H5508" t="s">
        <v>259</v>
      </c>
      <c r="I5508" s="4">
        <v>30279.432800000002</v>
      </c>
      <c r="J5508" s="4">
        <v>90838.2984</v>
      </c>
      <c r="K5508" s="4">
        <v>-4523.0688</v>
      </c>
      <c r="L5508" s="4">
        <v>3</v>
      </c>
    </row>
    <row r="5509" spans="1:12">
      <c r="A5509" t="s">
        <v>264</v>
      </c>
      <c r="B5509" s="10">
        <v>45374</v>
      </c>
      <c r="C5509" s="18">
        <f t="shared" si="86"/>
        <v>3</v>
      </c>
      <c r="D5509" t="s">
        <v>196</v>
      </c>
      <c r="E5509">
        <v>4878908</v>
      </c>
      <c r="F5509" t="s">
        <v>8</v>
      </c>
      <c r="G5509" t="s">
        <v>202</v>
      </c>
      <c r="H5509" t="s">
        <v>255</v>
      </c>
      <c r="I5509" s="4">
        <v>72489.71596799999</v>
      </c>
      <c r="J5509" s="4">
        <v>1449794.3193599998</v>
      </c>
      <c r="K5509" s="4">
        <v>-75384.479999999996</v>
      </c>
      <c r="L5509" s="4">
        <v>20</v>
      </c>
    </row>
    <row r="5510" spans="1:12">
      <c r="A5510" t="s">
        <v>264</v>
      </c>
      <c r="B5510" s="10">
        <v>45375</v>
      </c>
      <c r="C5510" s="18">
        <f t="shared" si="86"/>
        <v>3</v>
      </c>
      <c r="D5510" t="s">
        <v>196</v>
      </c>
      <c r="E5510">
        <v>4871883</v>
      </c>
      <c r="F5510" t="s">
        <v>8</v>
      </c>
      <c r="G5510" t="s">
        <v>206</v>
      </c>
      <c r="H5510" t="s">
        <v>209</v>
      </c>
      <c r="I5510" s="4">
        <v>17715.352800000001</v>
      </c>
      <c r="J5510" s="4">
        <v>1771535.28</v>
      </c>
      <c r="K5510" s="4">
        <v>-175897.12</v>
      </c>
      <c r="L5510" s="4">
        <v>100</v>
      </c>
    </row>
    <row r="5511" spans="1:12">
      <c r="A5511" t="s">
        <v>264</v>
      </c>
      <c r="B5511" s="10">
        <v>45375</v>
      </c>
      <c r="C5511" s="18">
        <f t="shared" si="86"/>
        <v>3</v>
      </c>
      <c r="D5511" t="s">
        <v>196</v>
      </c>
      <c r="E5511">
        <v>4871600</v>
      </c>
      <c r="F5511" t="s">
        <v>8</v>
      </c>
      <c r="G5511" t="s">
        <v>204</v>
      </c>
      <c r="H5511" t="s">
        <v>220</v>
      </c>
      <c r="I5511" s="4">
        <v>37817.880799999999</v>
      </c>
      <c r="J5511" s="4">
        <v>189089.40399999998</v>
      </c>
      <c r="K5511" s="4">
        <v>-9423.06</v>
      </c>
      <c r="L5511" s="4">
        <v>5</v>
      </c>
    </row>
    <row r="5512" spans="1:12">
      <c r="A5512" t="s">
        <v>264</v>
      </c>
      <c r="B5512" s="10">
        <v>45375</v>
      </c>
      <c r="C5512" s="18">
        <f t="shared" si="86"/>
        <v>3</v>
      </c>
      <c r="D5512" t="s">
        <v>196</v>
      </c>
      <c r="E5512">
        <v>4871600</v>
      </c>
      <c r="F5512" t="s">
        <v>8</v>
      </c>
      <c r="G5512" t="s">
        <v>204</v>
      </c>
      <c r="H5512" t="s">
        <v>212</v>
      </c>
      <c r="I5512" s="4">
        <v>62946.040799999995</v>
      </c>
      <c r="J5512" s="4">
        <v>314730.20399999997</v>
      </c>
      <c r="K5512" s="4">
        <v>-9423.06</v>
      </c>
      <c r="L5512" s="4">
        <v>5</v>
      </c>
    </row>
    <row r="5513" spans="1:12">
      <c r="A5513" t="s">
        <v>264</v>
      </c>
      <c r="B5513" s="10">
        <v>45375</v>
      </c>
      <c r="C5513" s="18">
        <f t="shared" si="86"/>
        <v>3</v>
      </c>
      <c r="D5513" t="s">
        <v>196</v>
      </c>
      <c r="E5513">
        <v>4872246</v>
      </c>
      <c r="F5513" t="s">
        <v>8</v>
      </c>
      <c r="G5513" t="s">
        <v>205</v>
      </c>
      <c r="H5513" t="s">
        <v>211</v>
      </c>
      <c r="I5513" s="4">
        <v>5151.2727999999997</v>
      </c>
      <c r="J5513" s="4">
        <v>515127.27999999997</v>
      </c>
      <c r="K5513" s="4">
        <v>-25128.16</v>
      </c>
      <c r="L5513" s="4">
        <v>100</v>
      </c>
    </row>
    <row r="5514" spans="1:12">
      <c r="A5514" t="s">
        <v>264</v>
      </c>
      <c r="B5514" s="10">
        <v>45375</v>
      </c>
      <c r="C5514" s="18">
        <f t="shared" si="86"/>
        <v>3</v>
      </c>
      <c r="D5514" t="s">
        <v>196</v>
      </c>
      <c r="E5514">
        <v>4879214</v>
      </c>
      <c r="F5514" t="s">
        <v>8</v>
      </c>
      <c r="G5514" t="s">
        <v>202</v>
      </c>
      <c r="H5514" t="s">
        <v>256</v>
      </c>
      <c r="I5514" s="4">
        <v>64202.448800000006</v>
      </c>
      <c r="J5514" s="4">
        <v>513619.59040000004</v>
      </c>
      <c r="K5514" s="4">
        <v>-25630.7232</v>
      </c>
      <c r="L5514" s="4">
        <v>8</v>
      </c>
    </row>
    <row r="5515" spans="1:12">
      <c r="A5515" t="s">
        <v>264</v>
      </c>
      <c r="B5515" s="10">
        <v>45375</v>
      </c>
      <c r="C5515" s="18">
        <f t="shared" si="86"/>
        <v>3</v>
      </c>
      <c r="D5515" t="s">
        <v>196</v>
      </c>
      <c r="E5515">
        <v>4875440</v>
      </c>
      <c r="F5515" t="s">
        <v>8</v>
      </c>
      <c r="G5515" t="s">
        <v>203</v>
      </c>
      <c r="H5515" t="s">
        <v>245</v>
      </c>
      <c r="I5515" s="4">
        <v>100638.28079999999</v>
      </c>
      <c r="J5515" s="4">
        <v>201276.56159999999</v>
      </c>
      <c r="K5515" s="4">
        <v>-8669.2151999999987</v>
      </c>
      <c r="L5515" s="4">
        <v>2</v>
      </c>
    </row>
    <row r="5516" spans="1:12">
      <c r="A5516" t="s">
        <v>264</v>
      </c>
      <c r="B5516" s="10">
        <v>45375</v>
      </c>
      <c r="C5516" s="18">
        <f t="shared" si="86"/>
        <v>3</v>
      </c>
      <c r="D5516" t="s">
        <v>196</v>
      </c>
      <c r="E5516">
        <v>4875440</v>
      </c>
      <c r="F5516" t="s">
        <v>8</v>
      </c>
      <c r="G5516" t="s">
        <v>203</v>
      </c>
      <c r="H5516" t="s">
        <v>242</v>
      </c>
      <c r="I5516" s="4">
        <v>100638.28079999999</v>
      </c>
      <c r="J5516" s="4">
        <v>201276.56159999999</v>
      </c>
      <c r="K5516" s="4">
        <v>-8669.2151999999987</v>
      </c>
      <c r="L5516" s="4">
        <v>2</v>
      </c>
    </row>
    <row r="5517" spans="1:12">
      <c r="A5517" t="s">
        <v>264</v>
      </c>
      <c r="B5517" s="10">
        <v>45375</v>
      </c>
      <c r="C5517" s="18">
        <f t="shared" si="86"/>
        <v>3</v>
      </c>
      <c r="D5517" t="s">
        <v>196</v>
      </c>
      <c r="E5517">
        <v>4875440</v>
      </c>
      <c r="F5517" t="s">
        <v>8</v>
      </c>
      <c r="G5517" t="s">
        <v>203</v>
      </c>
      <c r="H5517" t="s">
        <v>240</v>
      </c>
      <c r="I5517" s="4">
        <v>100638.28079999999</v>
      </c>
      <c r="J5517" s="4">
        <v>201276.56159999999</v>
      </c>
      <c r="K5517" s="4">
        <v>-8669.2151999999987</v>
      </c>
      <c r="L5517" s="4">
        <v>2</v>
      </c>
    </row>
    <row r="5518" spans="1:12">
      <c r="A5518" t="s">
        <v>264</v>
      </c>
      <c r="B5518" s="10">
        <v>45375</v>
      </c>
      <c r="C5518" s="18">
        <f t="shared" si="86"/>
        <v>3</v>
      </c>
      <c r="D5518" t="s">
        <v>196</v>
      </c>
      <c r="E5518">
        <v>4875440</v>
      </c>
      <c r="F5518" t="s">
        <v>8</v>
      </c>
      <c r="G5518" t="s">
        <v>203</v>
      </c>
      <c r="H5518" t="s">
        <v>238</v>
      </c>
      <c r="I5518" s="4">
        <v>95606.36675999999</v>
      </c>
      <c r="J5518" s="4">
        <v>191212.73351999998</v>
      </c>
      <c r="K5518" s="4">
        <v>-8669.2151999999987</v>
      </c>
      <c r="L5518" s="4">
        <v>2</v>
      </c>
    </row>
    <row r="5519" spans="1:12">
      <c r="A5519" t="s">
        <v>264</v>
      </c>
      <c r="B5519" s="10">
        <v>45375</v>
      </c>
      <c r="C5519" s="18">
        <f t="shared" si="86"/>
        <v>3</v>
      </c>
      <c r="D5519" t="s">
        <v>196</v>
      </c>
      <c r="E5519">
        <v>4875440</v>
      </c>
      <c r="F5519" t="s">
        <v>8</v>
      </c>
      <c r="G5519" t="s">
        <v>203</v>
      </c>
      <c r="H5519" t="s">
        <v>232</v>
      </c>
      <c r="I5519" s="4">
        <v>100638.28079999999</v>
      </c>
      <c r="J5519" s="4">
        <v>201276.56159999999</v>
      </c>
      <c r="K5519" s="4">
        <v>-8669.2151999999987</v>
      </c>
      <c r="L5519" s="4">
        <v>2</v>
      </c>
    </row>
    <row r="5520" spans="1:12">
      <c r="A5520" t="s">
        <v>264</v>
      </c>
      <c r="B5520" s="10">
        <v>45375</v>
      </c>
      <c r="C5520" s="18">
        <f t="shared" si="86"/>
        <v>3</v>
      </c>
      <c r="D5520" t="s">
        <v>196</v>
      </c>
      <c r="E5520">
        <v>4875440</v>
      </c>
      <c r="F5520" t="s">
        <v>8</v>
      </c>
      <c r="G5520" t="s">
        <v>203</v>
      </c>
      <c r="H5520" t="s">
        <v>244</v>
      </c>
      <c r="I5520" s="4">
        <v>125766.4408</v>
      </c>
      <c r="J5520" s="4">
        <v>125766.4408</v>
      </c>
      <c r="K5520" s="4">
        <v>-5653.8360000000002</v>
      </c>
      <c r="L5520" s="4">
        <v>1</v>
      </c>
    </row>
    <row r="5521" spans="1:12">
      <c r="A5521" t="s">
        <v>264</v>
      </c>
      <c r="B5521" s="10">
        <v>45375</v>
      </c>
      <c r="C5521" s="18">
        <f t="shared" si="86"/>
        <v>3</v>
      </c>
      <c r="D5521" t="s">
        <v>196</v>
      </c>
      <c r="E5521">
        <v>4875440</v>
      </c>
      <c r="F5521" t="s">
        <v>8</v>
      </c>
      <c r="G5521" t="s">
        <v>203</v>
      </c>
      <c r="H5521" t="s">
        <v>241</v>
      </c>
      <c r="I5521" s="4">
        <v>125766.4408</v>
      </c>
      <c r="J5521" s="4">
        <v>125766.4408</v>
      </c>
      <c r="K5521" s="4">
        <v>-5653.8360000000002</v>
      </c>
      <c r="L5521" s="4">
        <v>1</v>
      </c>
    </row>
    <row r="5522" spans="1:12">
      <c r="A5522" t="s">
        <v>264</v>
      </c>
      <c r="B5522" s="10">
        <v>45375</v>
      </c>
      <c r="C5522" s="18">
        <f t="shared" si="86"/>
        <v>3</v>
      </c>
      <c r="D5522" t="s">
        <v>196</v>
      </c>
      <c r="E5522">
        <v>4875440</v>
      </c>
      <c r="F5522" t="s">
        <v>8</v>
      </c>
      <c r="G5522" t="s">
        <v>203</v>
      </c>
      <c r="H5522" t="s">
        <v>237</v>
      </c>
      <c r="I5522" s="4">
        <v>125766.4408</v>
      </c>
      <c r="J5522" s="4">
        <v>125766.4408</v>
      </c>
      <c r="K5522" s="4">
        <v>-5653.8360000000002</v>
      </c>
      <c r="L5522" s="4">
        <v>1</v>
      </c>
    </row>
    <row r="5523" spans="1:12">
      <c r="A5523" t="s">
        <v>264</v>
      </c>
      <c r="B5523" s="10">
        <v>45375</v>
      </c>
      <c r="C5523" s="18">
        <f t="shared" si="86"/>
        <v>3</v>
      </c>
      <c r="D5523" t="s">
        <v>196</v>
      </c>
      <c r="E5523">
        <v>4875440</v>
      </c>
      <c r="F5523" t="s">
        <v>8</v>
      </c>
      <c r="G5523" t="s">
        <v>203</v>
      </c>
      <c r="H5523" t="s">
        <v>235</v>
      </c>
      <c r="I5523" s="4">
        <v>125766.4408</v>
      </c>
      <c r="J5523" s="4">
        <v>125766.4408</v>
      </c>
      <c r="K5523" s="4">
        <v>-5653.8360000000002</v>
      </c>
      <c r="L5523" s="4">
        <v>1</v>
      </c>
    </row>
    <row r="5524" spans="1:12">
      <c r="A5524" t="s">
        <v>264</v>
      </c>
      <c r="B5524" s="10">
        <v>45375</v>
      </c>
      <c r="C5524" s="18">
        <f t="shared" si="86"/>
        <v>3</v>
      </c>
      <c r="D5524" t="s">
        <v>196</v>
      </c>
      <c r="E5524">
        <v>4875440</v>
      </c>
      <c r="F5524" t="s">
        <v>8</v>
      </c>
      <c r="G5524" t="s">
        <v>203</v>
      </c>
      <c r="H5524" t="s">
        <v>233</v>
      </c>
      <c r="I5524" s="4">
        <v>120735.78316800001</v>
      </c>
      <c r="J5524" s="4">
        <v>120735.78316800001</v>
      </c>
      <c r="K5524" s="4">
        <v>-5653.8360000000002</v>
      </c>
      <c r="L5524" s="4">
        <v>1</v>
      </c>
    </row>
    <row r="5525" spans="1:12">
      <c r="A5525" t="s">
        <v>264</v>
      </c>
      <c r="B5525" s="10">
        <v>45375</v>
      </c>
      <c r="C5525" s="18">
        <f t="shared" si="86"/>
        <v>3</v>
      </c>
      <c r="D5525" t="s">
        <v>196</v>
      </c>
      <c r="E5525">
        <v>4875440</v>
      </c>
      <c r="F5525" t="s">
        <v>8</v>
      </c>
      <c r="G5525" t="s">
        <v>203</v>
      </c>
      <c r="H5525" t="s">
        <v>231</v>
      </c>
      <c r="I5525" s="4">
        <v>125766.4408</v>
      </c>
      <c r="J5525" s="4">
        <v>125766.4408</v>
      </c>
      <c r="K5525" s="4">
        <v>-5653.8360000000002</v>
      </c>
      <c r="L5525" s="4">
        <v>1</v>
      </c>
    </row>
    <row r="5526" spans="1:12">
      <c r="A5526" t="s">
        <v>264</v>
      </c>
      <c r="B5526" s="10">
        <v>45375</v>
      </c>
      <c r="C5526" s="18">
        <f t="shared" si="86"/>
        <v>3</v>
      </c>
      <c r="D5526" t="s">
        <v>196</v>
      </c>
      <c r="E5526">
        <v>4875440</v>
      </c>
      <c r="F5526" t="s">
        <v>8</v>
      </c>
      <c r="G5526" t="s">
        <v>203</v>
      </c>
      <c r="H5526" t="s">
        <v>229</v>
      </c>
      <c r="I5526" s="4">
        <v>125766.4408</v>
      </c>
      <c r="J5526" s="4">
        <v>125766.4408</v>
      </c>
      <c r="K5526" s="4">
        <v>-5653.8360000000002</v>
      </c>
      <c r="L5526" s="4">
        <v>1</v>
      </c>
    </row>
    <row r="5527" spans="1:12">
      <c r="A5527" t="s">
        <v>264</v>
      </c>
      <c r="B5527" s="10">
        <v>45375</v>
      </c>
      <c r="C5527" s="18">
        <f t="shared" si="86"/>
        <v>3</v>
      </c>
      <c r="D5527" t="s">
        <v>196</v>
      </c>
      <c r="E5527">
        <v>4872210</v>
      </c>
      <c r="F5527" t="s">
        <v>8</v>
      </c>
      <c r="G5527" t="s">
        <v>203</v>
      </c>
      <c r="H5527" t="s">
        <v>225</v>
      </c>
      <c r="I5527" s="4">
        <v>100638.28079999999</v>
      </c>
      <c r="J5527" s="4">
        <v>5031914.04</v>
      </c>
      <c r="K5527" s="4">
        <v>-216730.38</v>
      </c>
      <c r="L5527" s="4">
        <v>50</v>
      </c>
    </row>
    <row r="5528" spans="1:12">
      <c r="A5528" t="s">
        <v>264</v>
      </c>
      <c r="B5528" s="10">
        <v>45376</v>
      </c>
      <c r="C5528" s="18">
        <f t="shared" si="86"/>
        <v>3</v>
      </c>
      <c r="D5528" t="s">
        <v>196</v>
      </c>
      <c r="E5528">
        <v>4874006</v>
      </c>
      <c r="F5528" t="s">
        <v>8</v>
      </c>
      <c r="G5528" t="s">
        <v>203</v>
      </c>
      <c r="H5528" t="s">
        <v>245</v>
      </c>
      <c r="I5528" s="4">
        <v>100638.28079999999</v>
      </c>
      <c r="J5528" s="4">
        <v>402553.12319999997</v>
      </c>
      <c r="K5528" s="4">
        <v>-17338.430399999997</v>
      </c>
      <c r="L5528" s="4">
        <v>4</v>
      </c>
    </row>
    <row r="5529" spans="1:12">
      <c r="A5529" t="s">
        <v>264</v>
      </c>
      <c r="B5529" s="10">
        <v>45376</v>
      </c>
      <c r="C5529" s="18">
        <f t="shared" si="86"/>
        <v>3</v>
      </c>
      <c r="D5529" t="s">
        <v>196</v>
      </c>
      <c r="E5529">
        <v>4874006</v>
      </c>
      <c r="F5529" t="s">
        <v>8</v>
      </c>
      <c r="G5529" t="s">
        <v>203</v>
      </c>
      <c r="H5529" t="s">
        <v>230</v>
      </c>
      <c r="I5529" s="4">
        <v>100638.28079999999</v>
      </c>
      <c r="J5529" s="4">
        <v>402553.12319999997</v>
      </c>
      <c r="K5529" s="4">
        <v>-17338.430399999997</v>
      </c>
      <c r="L5529" s="4">
        <v>4</v>
      </c>
    </row>
    <row r="5530" spans="1:12">
      <c r="A5530" t="s">
        <v>264</v>
      </c>
      <c r="B5530" s="10">
        <v>45376</v>
      </c>
      <c r="C5530" s="18">
        <f t="shared" si="86"/>
        <v>3</v>
      </c>
      <c r="D5530" t="s">
        <v>196</v>
      </c>
      <c r="E5530">
        <v>4874006</v>
      </c>
      <c r="F5530" t="s">
        <v>8</v>
      </c>
      <c r="G5530" t="s">
        <v>203</v>
      </c>
      <c r="H5530" t="s">
        <v>226</v>
      </c>
      <c r="I5530" s="4">
        <v>100638.28079999999</v>
      </c>
      <c r="J5530" s="4">
        <v>1207659.3695999999</v>
      </c>
      <c r="K5530" s="4">
        <v>-52015.291199999992</v>
      </c>
      <c r="L5530" s="4">
        <v>12</v>
      </c>
    </row>
    <row r="5531" spans="1:12">
      <c r="A5531" t="s">
        <v>264</v>
      </c>
      <c r="B5531" s="10">
        <v>45376</v>
      </c>
      <c r="C5531" s="18">
        <f t="shared" si="86"/>
        <v>3</v>
      </c>
      <c r="D5531" t="s">
        <v>196</v>
      </c>
      <c r="E5531">
        <v>4874006</v>
      </c>
      <c r="F5531" t="s">
        <v>8</v>
      </c>
      <c r="G5531" t="s">
        <v>203</v>
      </c>
      <c r="H5531" t="s">
        <v>244</v>
      </c>
      <c r="I5531" s="4">
        <v>125766.4408</v>
      </c>
      <c r="J5531" s="4">
        <v>503065.76319999999</v>
      </c>
      <c r="K5531" s="4">
        <v>-22615.344000000001</v>
      </c>
      <c r="L5531" s="4">
        <v>4</v>
      </c>
    </row>
    <row r="5532" spans="1:12">
      <c r="A5532" t="s">
        <v>264</v>
      </c>
      <c r="B5532" s="10">
        <v>45376</v>
      </c>
      <c r="C5532" s="18">
        <f t="shared" si="86"/>
        <v>3</v>
      </c>
      <c r="D5532" t="s">
        <v>196</v>
      </c>
      <c r="E5532">
        <v>4874006</v>
      </c>
      <c r="F5532" t="s">
        <v>8</v>
      </c>
      <c r="G5532" t="s">
        <v>203</v>
      </c>
      <c r="H5532" t="s">
        <v>233</v>
      </c>
      <c r="I5532" s="4">
        <v>120735.78316800001</v>
      </c>
      <c r="J5532" s="4">
        <v>482943.13267200004</v>
      </c>
      <c r="K5532" s="4">
        <v>-22615.344000000001</v>
      </c>
      <c r="L5532" s="4">
        <v>4</v>
      </c>
    </row>
    <row r="5533" spans="1:12">
      <c r="A5533" t="s">
        <v>264</v>
      </c>
      <c r="B5533" s="10">
        <v>45376</v>
      </c>
      <c r="C5533" s="18">
        <f t="shared" si="86"/>
        <v>3</v>
      </c>
      <c r="D5533" t="s">
        <v>196</v>
      </c>
      <c r="E5533">
        <v>4874006</v>
      </c>
      <c r="F5533" t="s">
        <v>8</v>
      </c>
      <c r="G5533" t="s">
        <v>203</v>
      </c>
      <c r="H5533" t="s">
        <v>229</v>
      </c>
      <c r="I5533" s="4">
        <v>125766.4408</v>
      </c>
      <c r="J5533" s="4">
        <v>503065.76319999999</v>
      </c>
      <c r="K5533" s="4">
        <v>-22615.344000000001</v>
      </c>
      <c r="L5533" s="4">
        <v>4</v>
      </c>
    </row>
    <row r="5534" spans="1:12">
      <c r="A5534" t="s">
        <v>264</v>
      </c>
      <c r="B5534" s="10">
        <v>45377</v>
      </c>
      <c r="C5534" s="18">
        <f t="shared" si="86"/>
        <v>3</v>
      </c>
      <c r="D5534" t="s">
        <v>196</v>
      </c>
      <c r="E5534">
        <v>4878825</v>
      </c>
      <c r="F5534" t="s">
        <v>8</v>
      </c>
      <c r="G5534" t="s">
        <v>204</v>
      </c>
      <c r="H5534" t="s">
        <v>218</v>
      </c>
      <c r="I5534" s="4">
        <v>71740.896800000002</v>
      </c>
      <c r="J5534" s="4">
        <v>3587044.8400000003</v>
      </c>
      <c r="K5534" s="4">
        <v>-179038.13999999998</v>
      </c>
      <c r="L5534" s="4">
        <v>50</v>
      </c>
    </row>
    <row r="5535" spans="1:12">
      <c r="A5535" t="s">
        <v>264</v>
      </c>
      <c r="B5535" s="10">
        <v>45377</v>
      </c>
      <c r="C5535" s="18">
        <f t="shared" si="86"/>
        <v>3</v>
      </c>
      <c r="D5535" t="s">
        <v>196</v>
      </c>
      <c r="E5535">
        <v>4878825</v>
      </c>
      <c r="F5535" t="s">
        <v>8</v>
      </c>
      <c r="G5535" t="s">
        <v>204</v>
      </c>
      <c r="H5535" t="s">
        <v>214</v>
      </c>
      <c r="I5535" s="4">
        <v>119484.4008</v>
      </c>
      <c r="J5535" s="4">
        <v>5974220.04</v>
      </c>
      <c r="K5535" s="4">
        <v>-298396.90000000002</v>
      </c>
      <c r="L5535" s="4">
        <v>50</v>
      </c>
    </row>
    <row r="5536" spans="1:12">
      <c r="A5536" t="s">
        <v>264</v>
      </c>
      <c r="B5536" s="10">
        <v>45377</v>
      </c>
      <c r="C5536" s="18">
        <f t="shared" si="86"/>
        <v>3</v>
      </c>
      <c r="D5536" t="s">
        <v>196</v>
      </c>
      <c r="E5536">
        <v>4872070</v>
      </c>
      <c r="F5536" t="s">
        <v>8</v>
      </c>
      <c r="G5536" t="s">
        <v>203</v>
      </c>
      <c r="H5536" t="s">
        <v>235</v>
      </c>
      <c r="I5536" s="4">
        <v>125766.4408</v>
      </c>
      <c r="J5536" s="4">
        <v>251532.88159999999</v>
      </c>
      <c r="K5536" s="4">
        <v>-11307.672</v>
      </c>
      <c r="L5536" s="4">
        <v>2</v>
      </c>
    </row>
    <row r="5537" spans="1:12">
      <c r="A5537" t="s">
        <v>264</v>
      </c>
      <c r="B5537" s="10">
        <v>45377</v>
      </c>
      <c r="C5537" s="18">
        <f t="shared" si="86"/>
        <v>3</v>
      </c>
      <c r="D5537" t="s">
        <v>196</v>
      </c>
      <c r="E5537">
        <v>4875440</v>
      </c>
      <c r="F5537" t="s">
        <v>8</v>
      </c>
      <c r="G5537" t="s">
        <v>202</v>
      </c>
      <c r="H5537" t="s">
        <v>256</v>
      </c>
      <c r="I5537" s="4">
        <v>64202.448800000006</v>
      </c>
      <c r="J5537" s="4">
        <v>385214.69280000002</v>
      </c>
      <c r="K5537" s="4">
        <v>-19223.042399999998</v>
      </c>
      <c r="L5537" s="4">
        <v>6</v>
      </c>
    </row>
    <row r="5538" spans="1:12">
      <c r="A5538" t="s">
        <v>264</v>
      </c>
      <c r="B5538" s="10">
        <v>45377</v>
      </c>
      <c r="C5538" s="18">
        <f t="shared" si="86"/>
        <v>3</v>
      </c>
      <c r="D5538" t="s">
        <v>196</v>
      </c>
      <c r="E5538">
        <v>4877306</v>
      </c>
      <c r="F5538" t="s">
        <v>8</v>
      </c>
      <c r="G5538" t="s">
        <v>203</v>
      </c>
      <c r="H5538" t="s">
        <v>232</v>
      </c>
      <c r="I5538" s="4">
        <v>100638.28079999999</v>
      </c>
      <c r="J5538" s="4">
        <v>1006382.808</v>
      </c>
      <c r="K5538" s="4">
        <v>-43346.076000000001</v>
      </c>
      <c r="L5538" s="4">
        <v>10</v>
      </c>
    </row>
    <row r="5539" spans="1:12">
      <c r="A5539" t="s">
        <v>264</v>
      </c>
      <c r="B5539" s="10">
        <v>45378</v>
      </c>
      <c r="C5539" s="18">
        <f t="shared" si="86"/>
        <v>3</v>
      </c>
      <c r="D5539" t="s">
        <v>196</v>
      </c>
      <c r="E5539">
        <v>4873570</v>
      </c>
      <c r="F5539" t="s">
        <v>8</v>
      </c>
      <c r="G5539" t="s">
        <v>203</v>
      </c>
      <c r="H5539" t="s">
        <v>240</v>
      </c>
      <c r="I5539" s="4">
        <v>100638.28079999999</v>
      </c>
      <c r="J5539" s="4">
        <v>1006382.808</v>
      </c>
      <c r="K5539" s="4">
        <v>-43346.076000000001</v>
      </c>
      <c r="L5539" s="4">
        <v>10</v>
      </c>
    </row>
    <row r="5540" spans="1:12">
      <c r="A5540" t="s">
        <v>264</v>
      </c>
      <c r="B5540" s="10">
        <v>45378</v>
      </c>
      <c r="C5540" s="18">
        <f t="shared" si="86"/>
        <v>3</v>
      </c>
      <c r="D5540" t="s">
        <v>196</v>
      </c>
      <c r="E5540">
        <v>4873570</v>
      </c>
      <c r="F5540" t="s">
        <v>8</v>
      </c>
      <c r="G5540" t="s">
        <v>203</v>
      </c>
      <c r="H5540" t="s">
        <v>238</v>
      </c>
      <c r="I5540" s="4">
        <v>95606.36675999999</v>
      </c>
      <c r="J5540" s="4">
        <v>956063.66759999993</v>
      </c>
      <c r="K5540" s="4">
        <v>-43346.076000000001</v>
      </c>
      <c r="L5540" s="4">
        <v>10</v>
      </c>
    </row>
    <row r="5541" spans="1:12">
      <c r="A5541" t="s">
        <v>264</v>
      </c>
      <c r="B5541" s="10">
        <v>45378</v>
      </c>
      <c r="C5541" s="18">
        <f t="shared" si="86"/>
        <v>3</v>
      </c>
      <c r="D5541" t="s">
        <v>196</v>
      </c>
      <c r="E5541">
        <v>4873570</v>
      </c>
      <c r="F5541" t="s">
        <v>8</v>
      </c>
      <c r="G5541" t="s">
        <v>203</v>
      </c>
      <c r="H5541" t="s">
        <v>236</v>
      </c>
      <c r="I5541" s="4">
        <v>100638.28079999999</v>
      </c>
      <c r="J5541" s="4">
        <v>2012765.6159999999</v>
      </c>
      <c r="K5541" s="4">
        <v>-86692.152000000002</v>
      </c>
      <c r="L5541" s="4">
        <v>20</v>
      </c>
    </row>
    <row r="5542" spans="1:12">
      <c r="A5542" t="s">
        <v>264</v>
      </c>
      <c r="B5542" s="10">
        <v>45378</v>
      </c>
      <c r="C5542" s="18">
        <f t="shared" si="86"/>
        <v>3</v>
      </c>
      <c r="D5542" t="s">
        <v>196</v>
      </c>
      <c r="E5542">
        <v>4873570</v>
      </c>
      <c r="F5542" t="s">
        <v>8</v>
      </c>
      <c r="G5542" t="s">
        <v>203</v>
      </c>
      <c r="H5542" t="s">
        <v>232</v>
      </c>
      <c r="I5542" s="4">
        <v>100638.28079999999</v>
      </c>
      <c r="J5542" s="4">
        <v>2012765.6159999999</v>
      </c>
      <c r="K5542" s="4">
        <v>-86692.152000000002</v>
      </c>
      <c r="L5542" s="4">
        <v>20</v>
      </c>
    </row>
    <row r="5543" spans="1:12">
      <c r="A5543" t="s">
        <v>264</v>
      </c>
      <c r="B5543" s="10">
        <v>45378</v>
      </c>
      <c r="C5543" s="18">
        <f t="shared" si="86"/>
        <v>3</v>
      </c>
      <c r="D5543" t="s">
        <v>196</v>
      </c>
      <c r="E5543">
        <v>4873570</v>
      </c>
      <c r="F5543" t="s">
        <v>8</v>
      </c>
      <c r="G5543" t="s">
        <v>203</v>
      </c>
      <c r="H5543" t="s">
        <v>230</v>
      </c>
      <c r="I5543" s="4">
        <v>100638.28079999999</v>
      </c>
      <c r="J5543" s="4">
        <v>2012765.6159999999</v>
      </c>
      <c r="K5543" s="4">
        <v>-86692.152000000002</v>
      </c>
      <c r="L5543" s="4">
        <v>20</v>
      </c>
    </row>
    <row r="5544" spans="1:12">
      <c r="A5544" t="s">
        <v>264</v>
      </c>
      <c r="B5544" s="10">
        <v>45378</v>
      </c>
      <c r="C5544" s="18">
        <f t="shared" si="86"/>
        <v>3</v>
      </c>
      <c r="D5544" t="s">
        <v>196</v>
      </c>
      <c r="E5544">
        <v>4873570</v>
      </c>
      <c r="F5544" t="s">
        <v>8</v>
      </c>
      <c r="G5544" t="s">
        <v>203</v>
      </c>
      <c r="H5544" t="s">
        <v>223</v>
      </c>
      <c r="I5544" s="4">
        <v>100638.28079999999</v>
      </c>
      <c r="J5544" s="4">
        <v>1006382.808</v>
      </c>
      <c r="K5544" s="4">
        <v>-43346.076000000001</v>
      </c>
      <c r="L5544" s="4">
        <v>10</v>
      </c>
    </row>
    <row r="5545" spans="1:12">
      <c r="A5545" t="s">
        <v>264</v>
      </c>
      <c r="B5545" s="10">
        <v>45378</v>
      </c>
      <c r="C5545" s="18">
        <f t="shared" si="86"/>
        <v>3</v>
      </c>
      <c r="D5545" t="s">
        <v>196</v>
      </c>
      <c r="E5545">
        <v>4873570</v>
      </c>
      <c r="F5545" t="s">
        <v>8</v>
      </c>
      <c r="G5545" t="s">
        <v>203</v>
      </c>
      <c r="H5545" t="s">
        <v>244</v>
      </c>
      <c r="I5545" s="4">
        <v>125766.4408</v>
      </c>
      <c r="J5545" s="4">
        <v>1257664.4080000001</v>
      </c>
      <c r="K5545" s="4">
        <v>-56538.36</v>
      </c>
      <c r="L5545" s="4">
        <v>10</v>
      </c>
    </row>
    <row r="5546" spans="1:12">
      <c r="A5546" t="s">
        <v>264</v>
      </c>
      <c r="B5546" s="10">
        <v>45378</v>
      </c>
      <c r="C5546" s="18">
        <f t="shared" si="86"/>
        <v>3</v>
      </c>
      <c r="D5546" t="s">
        <v>196</v>
      </c>
      <c r="E5546">
        <v>4873570</v>
      </c>
      <c r="F5546" t="s">
        <v>8</v>
      </c>
      <c r="G5546" t="s">
        <v>203</v>
      </c>
      <c r="H5546" t="s">
        <v>231</v>
      </c>
      <c r="I5546" s="4">
        <v>125766.4408</v>
      </c>
      <c r="J5546" s="4">
        <v>1257664.4080000001</v>
      </c>
      <c r="K5546" s="4">
        <v>-56538.36</v>
      </c>
      <c r="L5546" s="4">
        <v>10</v>
      </c>
    </row>
    <row r="5547" spans="1:12">
      <c r="A5547" t="s">
        <v>264</v>
      </c>
      <c r="B5547" s="10">
        <v>45378</v>
      </c>
      <c r="C5547" s="18">
        <f t="shared" si="86"/>
        <v>3</v>
      </c>
      <c r="D5547" t="s">
        <v>196</v>
      </c>
      <c r="E5547">
        <v>4872156</v>
      </c>
      <c r="F5547" t="s">
        <v>8</v>
      </c>
      <c r="G5547" t="s">
        <v>202</v>
      </c>
      <c r="H5547" t="s">
        <v>261</v>
      </c>
      <c r="I5547" s="4">
        <v>41587.104800000001</v>
      </c>
      <c r="J5547" s="4">
        <v>2786336.0216000001</v>
      </c>
      <c r="K5547" s="4">
        <v>-138895.9044</v>
      </c>
      <c r="L5547" s="4">
        <v>67</v>
      </c>
    </row>
    <row r="5548" spans="1:12">
      <c r="A5548" t="s">
        <v>264</v>
      </c>
      <c r="B5548" s="10">
        <v>45378</v>
      </c>
      <c r="C5548" s="18">
        <f t="shared" si="86"/>
        <v>3</v>
      </c>
      <c r="D5548" t="s">
        <v>196</v>
      </c>
      <c r="E5548">
        <v>4872156</v>
      </c>
      <c r="F5548" t="s">
        <v>8</v>
      </c>
      <c r="G5548" t="s">
        <v>202</v>
      </c>
      <c r="H5548" t="s">
        <v>260</v>
      </c>
      <c r="I5548" s="4">
        <v>41587.104800000001</v>
      </c>
      <c r="J5548" s="4">
        <v>2079355.24</v>
      </c>
      <c r="K5548" s="4">
        <v>-103653.66</v>
      </c>
      <c r="L5548" s="4">
        <v>50</v>
      </c>
    </row>
    <row r="5549" spans="1:12">
      <c r="A5549" t="s">
        <v>264</v>
      </c>
      <c r="B5549" s="10">
        <v>45378</v>
      </c>
      <c r="C5549" s="18">
        <f t="shared" si="86"/>
        <v>3</v>
      </c>
      <c r="D5549" t="s">
        <v>196</v>
      </c>
      <c r="E5549">
        <v>4871657</v>
      </c>
      <c r="F5549" t="s">
        <v>8</v>
      </c>
      <c r="G5549" t="s">
        <v>204</v>
      </c>
      <c r="H5549" t="s">
        <v>221</v>
      </c>
      <c r="I5549" s="4">
        <v>25253.800799999997</v>
      </c>
      <c r="J5549" s="4">
        <v>50507.601599999995</v>
      </c>
      <c r="K5549" s="4">
        <v>-2512.8160000000003</v>
      </c>
      <c r="L5549" s="4">
        <v>2</v>
      </c>
    </row>
    <row r="5550" spans="1:12">
      <c r="A5550" t="s">
        <v>264</v>
      </c>
      <c r="B5550" s="10">
        <v>45378</v>
      </c>
      <c r="C5550" s="18">
        <f t="shared" si="86"/>
        <v>3</v>
      </c>
      <c r="D5550" t="s">
        <v>196</v>
      </c>
      <c r="E5550">
        <v>4871657</v>
      </c>
      <c r="F5550" t="s">
        <v>8</v>
      </c>
      <c r="G5550" t="s">
        <v>204</v>
      </c>
      <c r="H5550" t="s">
        <v>220</v>
      </c>
      <c r="I5550" s="4">
        <v>37817.880799999999</v>
      </c>
      <c r="J5550" s="4">
        <v>151271.5232</v>
      </c>
      <c r="K5550" s="4">
        <v>-7538.4479999999994</v>
      </c>
      <c r="L5550" s="4">
        <v>4</v>
      </c>
    </row>
    <row r="5551" spans="1:12">
      <c r="A5551" t="s">
        <v>264</v>
      </c>
      <c r="B5551" s="10">
        <v>45378</v>
      </c>
      <c r="C5551" s="18">
        <f t="shared" si="86"/>
        <v>3</v>
      </c>
      <c r="D5551" t="s">
        <v>196</v>
      </c>
      <c r="E5551">
        <v>4871657</v>
      </c>
      <c r="F5551" t="s">
        <v>8</v>
      </c>
      <c r="G5551" t="s">
        <v>204</v>
      </c>
      <c r="H5551" t="s">
        <v>212</v>
      </c>
      <c r="I5551" s="4">
        <v>62946.040799999995</v>
      </c>
      <c r="J5551" s="4">
        <v>251784.16319999998</v>
      </c>
      <c r="K5551" s="4">
        <v>-7538.4479999999994</v>
      </c>
      <c r="L5551" s="4">
        <v>4</v>
      </c>
    </row>
    <row r="5552" spans="1:12">
      <c r="A5552" t="s">
        <v>264</v>
      </c>
      <c r="B5552" s="10">
        <v>45378</v>
      </c>
      <c r="C5552" s="18">
        <f t="shared" si="86"/>
        <v>3</v>
      </c>
      <c r="D5552" t="s">
        <v>196</v>
      </c>
      <c r="E5552">
        <v>4873723</v>
      </c>
      <c r="F5552" t="s">
        <v>8</v>
      </c>
      <c r="G5552" t="s">
        <v>204</v>
      </c>
      <c r="H5552" t="s">
        <v>212</v>
      </c>
      <c r="I5552" s="4">
        <v>62946.040799999995</v>
      </c>
      <c r="J5552" s="4">
        <v>251784.16319999998</v>
      </c>
      <c r="K5552" s="4">
        <v>-7538.4479999999994</v>
      </c>
      <c r="L5552" s="4">
        <v>4</v>
      </c>
    </row>
    <row r="5553" spans="1:12">
      <c r="A5553" t="s">
        <v>264</v>
      </c>
      <c r="B5553" s="10">
        <v>45379</v>
      </c>
      <c r="C5553" s="18">
        <f t="shared" si="86"/>
        <v>3</v>
      </c>
      <c r="D5553" t="s">
        <v>196</v>
      </c>
      <c r="E5553">
        <v>4879214</v>
      </c>
      <c r="F5553" t="s">
        <v>8</v>
      </c>
      <c r="G5553" t="s">
        <v>204</v>
      </c>
      <c r="H5553" t="s">
        <v>213</v>
      </c>
      <c r="I5553" s="4">
        <v>119484.4008</v>
      </c>
      <c r="J5553" s="4">
        <v>358453.20240000001</v>
      </c>
      <c r="K5553" s="4">
        <v>-17903.814000000002</v>
      </c>
      <c r="L5553" s="4">
        <v>3</v>
      </c>
    </row>
    <row r="5554" spans="1:12">
      <c r="A5554" t="s">
        <v>264</v>
      </c>
      <c r="B5554" s="10">
        <v>45379</v>
      </c>
      <c r="C5554" s="18">
        <f t="shared" si="86"/>
        <v>3</v>
      </c>
      <c r="D5554" t="s">
        <v>196</v>
      </c>
      <c r="E5554">
        <v>4878748</v>
      </c>
      <c r="F5554" t="s">
        <v>8</v>
      </c>
      <c r="G5554" t="s">
        <v>204</v>
      </c>
      <c r="H5554" t="s">
        <v>214</v>
      </c>
      <c r="I5554" s="4">
        <v>119484.4008</v>
      </c>
      <c r="J5554" s="4">
        <v>716906.40480000002</v>
      </c>
      <c r="K5554" s="4">
        <v>-35807.628000000004</v>
      </c>
      <c r="L5554" s="4">
        <v>6</v>
      </c>
    </row>
    <row r="5555" spans="1:12">
      <c r="A5555" t="s">
        <v>264</v>
      </c>
      <c r="B5555" s="10">
        <v>45379</v>
      </c>
      <c r="C5555" s="18">
        <f t="shared" si="86"/>
        <v>3</v>
      </c>
      <c r="D5555" t="s">
        <v>196</v>
      </c>
      <c r="E5555">
        <v>4878748</v>
      </c>
      <c r="F5555" t="s">
        <v>8</v>
      </c>
      <c r="G5555" t="s">
        <v>205</v>
      </c>
      <c r="H5555" t="s">
        <v>246</v>
      </c>
      <c r="I5555" s="4">
        <v>5967.9380000000001</v>
      </c>
      <c r="J5555" s="4">
        <v>596793.80000000005</v>
      </c>
      <c r="K5555" s="4">
        <v>-31410.2</v>
      </c>
      <c r="L5555" s="4">
        <v>100</v>
      </c>
    </row>
    <row r="5556" spans="1:12">
      <c r="A5556" t="s">
        <v>264</v>
      </c>
      <c r="B5556" s="10">
        <v>45379</v>
      </c>
      <c r="C5556" s="18">
        <f t="shared" si="86"/>
        <v>3</v>
      </c>
      <c r="D5556" t="s">
        <v>196</v>
      </c>
      <c r="E5556">
        <v>4872205</v>
      </c>
      <c r="F5556" t="s">
        <v>8</v>
      </c>
      <c r="G5556" t="s">
        <v>203</v>
      </c>
      <c r="H5556" t="s">
        <v>236</v>
      </c>
      <c r="I5556" s="4">
        <v>100638.28079999999</v>
      </c>
      <c r="J5556" s="4">
        <v>2012765.6159999999</v>
      </c>
      <c r="K5556" s="4">
        <v>-86692.152000000002</v>
      </c>
      <c r="L5556" s="4">
        <v>20</v>
      </c>
    </row>
    <row r="5557" spans="1:12">
      <c r="A5557" t="s">
        <v>264</v>
      </c>
      <c r="B5557" s="10">
        <v>45379</v>
      </c>
      <c r="C5557" s="18">
        <f t="shared" si="86"/>
        <v>3</v>
      </c>
      <c r="D5557" t="s">
        <v>196</v>
      </c>
      <c r="E5557">
        <v>4872205</v>
      </c>
      <c r="F5557" t="s">
        <v>8</v>
      </c>
      <c r="G5557" t="s">
        <v>203</v>
      </c>
      <c r="H5557" t="s">
        <v>228</v>
      </c>
      <c r="I5557" s="4">
        <v>100638.28079999999</v>
      </c>
      <c r="J5557" s="4">
        <v>2012765.6159999999</v>
      </c>
      <c r="K5557" s="4">
        <v>-86692.152000000002</v>
      </c>
      <c r="L5557" s="4">
        <v>20</v>
      </c>
    </row>
    <row r="5558" spans="1:12">
      <c r="A5558" t="s">
        <v>264</v>
      </c>
      <c r="B5558" s="10">
        <v>45379</v>
      </c>
      <c r="C5558" s="18">
        <f t="shared" si="86"/>
        <v>3</v>
      </c>
      <c r="D5558" t="s">
        <v>196</v>
      </c>
      <c r="E5558">
        <v>4872205</v>
      </c>
      <c r="F5558" t="s">
        <v>8</v>
      </c>
      <c r="G5558" t="s">
        <v>203</v>
      </c>
      <c r="H5558" t="s">
        <v>227</v>
      </c>
      <c r="I5558" s="4">
        <v>100638.28079999999</v>
      </c>
      <c r="J5558" s="4">
        <v>2012765.6159999999</v>
      </c>
      <c r="K5558" s="4">
        <v>-86692.152000000002</v>
      </c>
      <c r="L5558" s="4">
        <v>20</v>
      </c>
    </row>
    <row r="5559" spans="1:12">
      <c r="A5559" t="s">
        <v>264</v>
      </c>
      <c r="B5559" s="10">
        <v>45379</v>
      </c>
      <c r="C5559" s="18">
        <f t="shared" si="86"/>
        <v>3</v>
      </c>
      <c r="D5559" t="s">
        <v>196</v>
      </c>
      <c r="E5559">
        <v>4872205</v>
      </c>
      <c r="F5559" t="s">
        <v>8</v>
      </c>
      <c r="G5559" t="s">
        <v>203</v>
      </c>
      <c r="H5559" t="s">
        <v>226</v>
      </c>
      <c r="I5559" s="4">
        <v>100638.28079999999</v>
      </c>
      <c r="J5559" s="4">
        <v>2012765.6159999999</v>
      </c>
      <c r="K5559" s="4">
        <v>-86692.152000000002</v>
      </c>
      <c r="L5559" s="4">
        <v>20</v>
      </c>
    </row>
    <row r="5560" spans="1:12">
      <c r="A5560" t="s">
        <v>264</v>
      </c>
      <c r="B5560" s="10">
        <v>45379</v>
      </c>
      <c r="C5560" s="18">
        <f t="shared" si="86"/>
        <v>3</v>
      </c>
      <c r="D5560" t="s">
        <v>196</v>
      </c>
      <c r="E5560">
        <v>4872205</v>
      </c>
      <c r="F5560" t="s">
        <v>8</v>
      </c>
      <c r="G5560" t="s">
        <v>203</v>
      </c>
      <c r="H5560" t="s">
        <v>225</v>
      </c>
      <c r="I5560" s="4">
        <v>100638.28079999999</v>
      </c>
      <c r="J5560" s="4">
        <v>2012765.6159999999</v>
      </c>
      <c r="K5560" s="4">
        <v>-86692.152000000002</v>
      </c>
      <c r="L5560" s="4">
        <v>20</v>
      </c>
    </row>
    <row r="5561" spans="1:12">
      <c r="A5561" t="s">
        <v>264</v>
      </c>
      <c r="B5561" s="10">
        <v>45379</v>
      </c>
      <c r="C5561" s="18">
        <f t="shared" si="86"/>
        <v>3</v>
      </c>
      <c r="D5561" t="s">
        <v>196</v>
      </c>
      <c r="E5561">
        <v>4872205</v>
      </c>
      <c r="F5561" t="s">
        <v>8</v>
      </c>
      <c r="G5561" t="s">
        <v>203</v>
      </c>
      <c r="H5561" t="s">
        <v>235</v>
      </c>
      <c r="I5561" s="4">
        <v>125766.4408</v>
      </c>
      <c r="J5561" s="4">
        <v>1257664.4080000001</v>
      </c>
      <c r="K5561" s="4">
        <v>-56538.36</v>
      </c>
      <c r="L5561" s="4">
        <v>10</v>
      </c>
    </row>
    <row r="5562" spans="1:12">
      <c r="A5562" t="s">
        <v>264</v>
      </c>
      <c r="B5562" s="10">
        <v>45379</v>
      </c>
      <c r="C5562" s="18">
        <f t="shared" si="86"/>
        <v>3</v>
      </c>
      <c r="D5562" t="s">
        <v>196</v>
      </c>
      <c r="E5562">
        <v>4872205</v>
      </c>
      <c r="F5562" t="s">
        <v>8</v>
      </c>
      <c r="G5562" t="s">
        <v>203</v>
      </c>
      <c r="H5562" t="s">
        <v>229</v>
      </c>
      <c r="I5562" s="4">
        <v>125766.4408</v>
      </c>
      <c r="J5562" s="4">
        <v>1257664.4080000001</v>
      </c>
      <c r="K5562" s="4">
        <v>-56538.36</v>
      </c>
      <c r="L5562" s="4">
        <v>10</v>
      </c>
    </row>
    <row r="5563" spans="1:12">
      <c r="A5563" t="s">
        <v>264</v>
      </c>
      <c r="B5563" s="10">
        <v>45380</v>
      </c>
      <c r="C5563" s="18">
        <f t="shared" si="86"/>
        <v>3</v>
      </c>
      <c r="D5563" t="s">
        <v>196</v>
      </c>
      <c r="E5563">
        <v>4871657</v>
      </c>
      <c r="F5563" t="s">
        <v>8</v>
      </c>
      <c r="G5563" t="s">
        <v>204</v>
      </c>
      <c r="H5563" t="s">
        <v>213</v>
      </c>
      <c r="I5563" s="4">
        <v>119484.4008</v>
      </c>
      <c r="J5563" s="4">
        <v>2987110.02</v>
      </c>
      <c r="K5563" s="4">
        <v>-149198.45000000001</v>
      </c>
      <c r="L5563" s="4">
        <v>25</v>
      </c>
    </row>
    <row r="5564" spans="1:12">
      <c r="A5564" t="s">
        <v>264</v>
      </c>
      <c r="B5564" s="10">
        <v>45380</v>
      </c>
      <c r="C5564" s="18">
        <f t="shared" si="86"/>
        <v>3</v>
      </c>
      <c r="D5564" t="s">
        <v>196</v>
      </c>
      <c r="E5564">
        <v>4874586</v>
      </c>
      <c r="F5564" t="s">
        <v>8</v>
      </c>
      <c r="G5564" t="s">
        <v>204</v>
      </c>
      <c r="H5564" t="s">
        <v>219</v>
      </c>
      <c r="I5564" s="4">
        <v>44099.9208</v>
      </c>
      <c r="J5564" s="4">
        <v>881998.41599999997</v>
      </c>
      <c r="K5564" s="4">
        <v>-37692.239999999998</v>
      </c>
      <c r="L5564" s="4">
        <v>20</v>
      </c>
    </row>
    <row r="5565" spans="1:12">
      <c r="A5565" t="s">
        <v>264</v>
      </c>
      <c r="B5565" s="10">
        <v>45380</v>
      </c>
      <c r="C5565" s="18">
        <f t="shared" si="86"/>
        <v>3</v>
      </c>
      <c r="D5565" t="s">
        <v>196</v>
      </c>
      <c r="E5565">
        <v>4874586</v>
      </c>
      <c r="F5565" t="s">
        <v>8</v>
      </c>
      <c r="G5565" t="s">
        <v>204</v>
      </c>
      <c r="H5565" t="s">
        <v>218</v>
      </c>
      <c r="I5565" s="4">
        <v>71740.896800000002</v>
      </c>
      <c r="J5565" s="4">
        <v>1219595.2456</v>
      </c>
      <c r="K5565" s="4">
        <v>-60872.967599999996</v>
      </c>
      <c r="L5565" s="4">
        <v>17</v>
      </c>
    </row>
    <row r="5566" spans="1:12">
      <c r="A5566" t="s">
        <v>264</v>
      </c>
      <c r="B5566" s="10">
        <v>45380</v>
      </c>
      <c r="C5566" s="18">
        <f t="shared" si="86"/>
        <v>3</v>
      </c>
      <c r="D5566" t="s">
        <v>196</v>
      </c>
      <c r="E5566">
        <v>4874586</v>
      </c>
      <c r="F5566" t="s">
        <v>8</v>
      </c>
      <c r="G5566" t="s">
        <v>204</v>
      </c>
      <c r="H5566" t="s">
        <v>217</v>
      </c>
      <c r="I5566" s="4">
        <v>78022.936799999996</v>
      </c>
      <c r="J5566" s="4">
        <v>1326389.9256</v>
      </c>
      <c r="K5566" s="4">
        <v>-60872.967599999996</v>
      </c>
      <c r="L5566" s="4">
        <v>17</v>
      </c>
    </row>
    <row r="5567" spans="1:12">
      <c r="A5567" t="s">
        <v>264</v>
      </c>
      <c r="B5567" s="10">
        <v>45380</v>
      </c>
      <c r="C5567" s="18">
        <f t="shared" si="86"/>
        <v>3</v>
      </c>
      <c r="D5567" t="s">
        <v>196</v>
      </c>
      <c r="E5567">
        <v>4874586</v>
      </c>
      <c r="F5567" t="s">
        <v>8</v>
      </c>
      <c r="G5567" t="s">
        <v>204</v>
      </c>
      <c r="H5567" t="s">
        <v>216</v>
      </c>
      <c r="I5567" s="4">
        <v>113202.36079999999</v>
      </c>
      <c r="J5567" s="4">
        <v>4188487.3495999998</v>
      </c>
      <c r="K5567" s="4">
        <v>-209191.93199999997</v>
      </c>
      <c r="L5567" s="4">
        <v>37</v>
      </c>
    </row>
    <row r="5568" spans="1:12">
      <c r="A5568" t="s">
        <v>264</v>
      </c>
      <c r="B5568" s="10">
        <v>45380</v>
      </c>
      <c r="C5568" s="18">
        <f t="shared" si="86"/>
        <v>3</v>
      </c>
      <c r="D5568" t="s">
        <v>196</v>
      </c>
      <c r="E5568">
        <v>4874586</v>
      </c>
      <c r="F5568" t="s">
        <v>8</v>
      </c>
      <c r="G5568" t="s">
        <v>204</v>
      </c>
      <c r="H5568" t="s">
        <v>220</v>
      </c>
      <c r="I5568" s="4">
        <v>37817.880799999999</v>
      </c>
      <c r="J5568" s="4">
        <v>1512715.2319999998</v>
      </c>
      <c r="K5568" s="4">
        <v>-75384.479999999996</v>
      </c>
      <c r="L5568" s="4">
        <v>40</v>
      </c>
    </row>
    <row r="5569" spans="1:12">
      <c r="A5569" t="s">
        <v>264</v>
      </c>
      <c r="B5569" s="10">
        <v>45380</v>
      </c>
      <c r="C5569" s="18">
        <f t="shared" si="86"/>
        <v>3</v>
      </c>
      <c r="D5569" t="s">
        <v>196</v>
      </c>
      <c r="E5569">
        <v>4874586</v>
      </c>
      <c r="F5569" t="s">
        <v>8</v>
      </c>
      <c r="G5569" t="s">
        <v>202</v>
      </c>
      <c r="H5569" t="s">
        <v>257</v>
      </c>
      <c r="I5569" s="4">
        <v>56664.000799999994</v>
      </c>
      <c r="J5569" s="4">
        <v>5666400.0799999991</v>
      </c>
      <c r="K5569" s="4">
        <v>-282691.8</v>
      </c>
      <c r="L5569" s="4">
        <v>100</v>
      </c>
    </row>
    <row r="5570" spans="1:12">
      <c r="A5570" t="s">
        <v>264</v>
      </c>
      <c r="B5570" s="10">
        <v>45381</v>
      </c>
      <c r="C5570" s="18">
        <f t="shared" ref="C5570:C5633" si="87">MONTH(B5570)</f>
        <v>3</v>
      </c>
      <c r="D5570" t="s">
        <v>196</v>
      </c>
      <c r="E5570">
        <v>4872080</v>
      </c>
      <c r="F5570" t="s">
        <v>8</v>
      </c>
      <c r="G5570" t="s">
        <v>203</v>
      </c>
      <c r="H5570" t="s">
        <v>229</v>
      </c>
      <c r="I5570" s="4">
        <v>125766.4408</v>
      </c>
      <c r="J5570" s="4">
        <v>2515328.8160000001</v>
      </c>
      <c r="K5570" s="4">
        <v>-113076.72</v>
      </c>
      <c r="L5570" s="4">
        <v>20</v>
      </c>
    </row>
    <row r="5571" spans="1:12">
      <c r="A5571" t="s">
        <v>264</v>
      </c>
      <c r="B5571" s="10">
        <v>45381</v>
      </c>
      <c r="C5571" s="18">
        <f t="shared" si="87"/>
        <v>3</v>
      </c>
      <c r="D5571" t="s">
        <v>196</v>
      </c>
      <c r="E5571">
        <v>4872156</v>
      </c>
      <c r="F5571" t="s">
        <v>8</v>
      </c>
      <c r="G5571" t="s">
        <v>204</v>
      </c>
      <c r="H5571" t="s">
        <v>212</v>
      </c>
      <c r="I5571" s="4">
        <v>62946.040799999995</v>
      </c>
      <c r="J5571" s="4">
        <v>629460.40799999994</v>
      </c>
      <c r="K5571" s="4">
        <v>-18846.12</v>
      </c>
      <c r="L5571" s="4">
        <v>10</v>
      </c>
    </row>
    <row r="5572" spans="1:12">
      <c r="A5572" t="s">
        <v>264</v>
      </c>
      <c r="B5572" s="10">
        <v>45381</v>
      </c>
      <c r="C5572" s="18">
        <f t="shared" si="87"/>
        <v>3</v>
      </c>
      <c r="D5572" t="s">
        <v>196</v>
      </c>
      <c r="E5572">
        <v>4872156</v>
      </c>
      <c r="F5572" t="s">
        <v>8</v>
      </c>
      <c r="G5572" t="s">
        <v>202</v>
      </c>
      <c r="H5572" t="s">
        <v>261</v>
      </c>
      <c r="I5572" s="4">
        <v>41587.104800000001</v>
      </c>
      <c r="J5572" s="4">
        <v>4158710.48</v>
      </c>
      <c r="K5572" s="4">
        <v>-207307.32</v>
      </c>
      <c r="L5572" s="4">
        <v>100</v>
      </c>
    </row>
    <row r="5573" spans="1:12">
      <c r="A5573" t="s">
        <v>264</v>
      </c>
      <c r="B5573" s="10">
        <v>45381</v>
      </c>
      <c r="C5573" s="18">
        <f t="shared" si="87"/>
        <v>3</v>
      </c>
      <c r="D5573" t="s">
        <v>196</v>
      </c>
      <c r="E5573">
        <v>4872156</v>
      </c>
      <c r="F5573" t="s">
        <v>8</v>
      </c>
      <c r="G5573" t="s">
        <v>202</v>
      </c>
      <c r="H5573" t="s">
        <v>260</v>
      </c>
      <c r="I5573" s="4">
        <v>41587.104800000001</v>
      </c>
      <c r="J5573" s="4">
        <v>4158710.48</v>
      </c>
      <c r="K5573" s="4">
        <v>-207307.32</v>
      </c>
      <c r="L5573" s="4">
        <v>100</v>
      </c>
    </row>
    <row r="5574" spans="1:12">
      <c r="A5574" t="s">
        <v>264</v>
      </c>
      <c r="B5574" s="10">
        <v>45381</v>
      </c>
      <c r="C5574" s="18">
        <f t="shared" si="87"/>
        <v>3</v>
      </c>
      <c r="D5574" t="s">
        <v>196</v>
      </c>
      <c r="E5574">
        <v>4872156</v>
      </c>
      <c r="F5574" t="s">
        <v>8</v>
      </c>
      <c r="G5574" t="s">
        <v>202</v>
      </c>
      <c r="H5574" t="s">
        <v>258</v>
      </c>
      <c r="I5574" s="4">
        <v>37817.880799999999</v>
      </c>
      <c r="J5574" s="4">
        <v>3781788.08</v>
      </c>
      <c r="K5574" s="4">
        <v>-188461.2</v>
      </c>
      <c r="L5574" s="4">
        <v>100</v>
      </c>
    </row>
    <row r="5575" spans="1:12">
      <c r="A5575" t="s">
        <v>264</v>
      </c>
      <c r="B5575" s="10">
        <v>45381</v>
      </c>
      <c r="C5575" s="18">
        <f t="shared" si="87"/>
        <v>3</v>
      </c>
      <c r="D5575" t="s">
        <v>196</v>
      </c>
      <c r="E5575">
        <v>4873723</v>
      </c>
      <c r="F5575" t="s">
        <v>8</v>
      </c>
      <c r="G5575" t="s">
        <v>202</v>
      </c>
      <c r="H5575" t="s">
        <v>261</v>
      </c>
      <c r="I5575" s="4">
        <v>41587.104800000001</v>
      </c>
      <c r="J5575" s="4">
        <v>706980.78159999999</v>
      </c>
      <c r="K5575" s="4">
        <v>-35242.244400000003</v>
      </c>
      <c r="L5575" s="4">
        <v>17</v>
      </c>
    </row>
    <row r="5576" spans="1:12">
      <c r="A5576" t="s">
        <v>264</v>
      </c>
      <c r="B5576" s="10">
        <v>45381</v>
      </c>
      <c r="C5576" s="18">
        <f t="shared" si="87"/>
        <v>3</v>
      </c>
      <c r="D5576" t="s">
        <v>196</v>
      </c>
      <c r="E5576">
        <v>4873723</v>
      </c>
      <c r="F5576" t="s">
        <v>8</v>
      </c>
      <c r="G5576" t="s">
        <v>202</v>
      </c>
      <c r="H5576" t="s">
        <v>258</v>
      </c>
      <c r="I5576" s="4">
        <v>37817.880799999999</v>
      </c>
      <c r="J5576" s="4">
        <v>75635.761599999998</v>
      </c>
      <c r="K5576" s="4">
        <v>-3769.2239999999997</v>
      </c>
      <c r="L5576" s="4">
        <v>2</v>
      </c>
    </row>
    <row r="5577" spans="1:12">
      <c r="A5577" t="s">
        <v>264</v>
      </c>
      <c r="B5577" s="10">
        <v>45382</v>
      </c>
      <c r="C5577" s="18">
        <f t="shared" si="87"/>
        <v>3</v>
      </c>
      <c r="D5577" t="s">
        <v>196</v>
      </c>
      <c r="E5577">
        <v>4872571</v>
      </c>
      <c r="F5577" t="s">
        <v>8</v>
      </c>
      <c r="G5577" t="s">
        <v>203</v>
      </c>
      <c r="H5577" t="s">
        <v>245</v>
      </c>
      <c r="I5577" s="4">
        <v>100638.28079999999</v>
      </c>
      <c r="J5577" s="4">
        <v>1006382.808</v>
      </c>
      <c r="K5577" s="4">
        <v>-43346.076000000001</v>
      </c>
      <c r="L5577" s="4">
        <v>10</v>
      </c>
    </row>
    <row r="5578" spans="1:12">
      <c r="A5578" t="s">
        <v>264</v>
      </c>
      <c r="B5578" s="10">
        <v>45382</v>
      </c>
      <c r="C5578" s="18">
        <f t="shared" si="87"/>
        <v>3</v>
      </c>
      <c r="D5578" t="s">
        <v>196</v>
      </c>
      <c r="E5578">
        <v>4872571</v>
      </c>
      <c r="F5578" t="s">
        <v>8</v>
      </c>
      <c r="G5578" t="s">
        <v>203</v>
      </c>
      <c r="H5578" t="s">
        <v>240</v>
      </c>
      <c r="I5578" s="4">
        <v>100638.28079999999</v>
      </c>
      <c r="J5578" s="4">
        <v>1006382.808</v>
      </c>
      <c r="K5578" s="4">
        <v>-43346.076000000001</v>
      </c>
      <c r="L5578" s="4">
        <v>10</v>
      </c>
    </row>
    <row r="5579" spans="1:12">
      <c r="A5579" t="s">
        <v>264</v>
      </c>
      <c r="B5579" s="10">
        <v>45382</v>
      </c>
      <c r="C5579" s="18">
        <f t="shared" si="87"/>
        <v>3</v>
      </c>
      <c r="D5579" t="s">
        <v>196</v>
      </c>
      <c r="E5579">
        <v>4872571</v>
      </c>
      <c r="F5579" t="s">
        <v>8</v>
      </c>
      <c r="G5579" t="s">
        <v>203</v>
      </c>
      <c r="H5579" t="s">
        <v>238</v>
      </c>
      <c r="I5579" s="4">
        <v>95606.36675999999</v>
      </c>
      <c r="J5579" s="4">
        <v>956063.66759999993</v>
      </c>
      <c r="K5579" s="4">
        <v>-43346.076000000001</v>
      </c>
      <c r="L5579" s="4">
        <v>10</v>
      </c>
    </row>
    <row r="5580" spans="1:12">
      <c r="A5580" t="s">
        <v>264</v>
      </c>
      <c r="B5580" s="10">
        <v>45382</v>
      </c>
      <c r="C5580" s="18">
        <f t="shared" si="87"/>
        <v>3</v>
      </c>
      <c r="D5580" t="s">
        <v>196</v>
      </c>
      <c r="E5580">
        <v>4872571</v>
      </c>
      <c r="F5580" t="s">
        <v>8</v>
      </c>
      <c r="G5580" t="s">
        <v>203</v>
      </c>
      <c r="H5580" t="s">
        <v>244</v>
      </c>
      <c r="I5580" s="4">
        <v>125766.4408</v>
      </c>
      <c r="J5580" s="4">
        <v>1257664.4080000001</v>
      </c>
      <c r="K5580" s="4">
        <v>-56538.36</v>
      </c>
      <c r="L5580" s="4">
        <v>10</v>
      </c>
    </row>
    <row r="5581" spans="1:12">
      <c r="A5581" t="s">
        <v>264</v>
      </c>
      <c r="B5581" s="10">
        <v>45382</v>
      </c>
      <c r="C5581" s="18">
        <f t="shared" si="87"/>
        <v>3</v>
      </c>
      <c r="D5581" t="s">
        <v>196</v>
      </c>
      <c r="E5581">
        <v>4872571</v>
      </c>
      <c r="F5581" t="s">
        <v>8</v>
      </c>
      <c r="G5581" t="s">
        <v>203</v>
      </c>
      <c r="H5581" t="s">
        <v>237</v>
      </c>
      <c r="I5581" s="4">
        <v>125766.4408</v>
      </c>
      <c r="J5581" s="4">
        <v>1257664.4080000001</v>
      </c>
      <c r="K5581" s="4">
        <v>-56538.36</v>
      </c>
      <c r="L5581" s="4">
        <v>10</v>
      </c>
    </row>
    <row r="5582" spans="1:12">
      <c r="A5582" t="s">
        <v>264</v>
      </c>
      <c r="B5582" s="10">
        <v>45382</v>
      </c>
      <c r="C5582" s="18">
        <f t="shared" si="87"/>
        <v>3</v>
      </c>
      <c r="D5582" t="s">
        <v>196</v>
      </c>
      <c r="E5582">
        <v>4872571</v>
      </c>
      <c r="F5582" t="s">
        <v>8</v>
      </c>
      <c r="G5582" t="s">
        <v>202</v>
      </c>
      <c r="H5582" t="s">
        <v>261</v>
      </c>
      <c r="I5582" s="4">
        <v>41587.104800000001</v>
      </c>
      <c r="J5582" s="4">
        <v>4158710.48</v>
      </c>
      <c r="K5582" s="4">
        <v>-207307.32</v>
      </c>
      <c r="L5582" s="4">
        <v>100</v>
      </c>
    </row>
    <row r="5583" spans="1:12">
      <c r="A5583" t="s">
        <v>264</v>
      </c>
      <c r="B5583" s="10">
        <v>45382</v>
      </c>
      <c r="C5583" s="18">
        <f t="shared" si="87"/>
        <v>3</v>
      </c>
      <c r="D5583" t="s">
        <v>196</v>
      </c>
      <c r="E5583">
        <v>4872189</v>
      </c>
      <c r="F5583" t="s">
        <v>8</v>
      </c>
      <c r="G5583" t="s">
        <v>203</v>
      </c>
      <c r="H5583" t="s">
        <v>232</v>
      </c>
      <c r="I5583" s="4">
        <v>100638.28079999999</v>
      </c>
      <c r="J5583" s="4">
        <v>2012765.6159999999</v>
      </c>
      <c r="K5583" s="4">
        <v>-86692.152000000002</v>
      </c>
      <c r="L5583" s="4">
        <v>20</v>
      </c>
    </row>
    <row r="5584" spans="1:12">
      <c r="A5584" t="s">
        <v>264</v>
      </c>
      <c r="B5584" s="10">
        <v>45382</v>
      </c>
      <c r="C5584" s="18">
        <f t="shared" si="87"/>
        <v>3</v>
      </c>
      <c r="D5584" t="s">
        <v>196</v>
      </c>
      <c r="E5584">
        <v>4872189</v>
      </c>
      <c r="F5584" t="s">
        <v>8</v>
      </c>
      <c r="G5584" t="s">
        <v>203</v>
      </c>
      <c r="H5584" t="s">
        <v>230</v>
      </c>
      <c r="I5584" s="4">
        <v>100638.28079999999</v>
      </c>
      <c r="J5584" s="4">
        <v>2012765.6159999999</v>
      </c>
      <c r="K5584" s="4">
        <v>-86692.152000000002</v>
      </c>
      <c r="L5584" s="4">
        <v>20</v>
      </c>
    </row>
    <row r="5585" spans="1:12">
      <c r="A5585" t="s">
        <v>264</v>
      </c>
      <c r="B5585" s="10">
        <v>45382</v>
      </c>
      <c r="C5585" s="18">
        <f t="shared" si="87"/>
        <v>3</v>
      </c>
      <c r="D5585" t="s">
        <v>196</v>
      </c>
      <c r="E5585">
        <v>4872189</v>
      </c>
      <c r="F5585" t="s">
        <v>8</v>
      </c>
      <c r="G5585" t="s">
        <v>203</v>
      </c>
      <c r="H5585" t="s">
        <v>228</v>
      </c>
      <c r="I5585" s="4">
        <v>100638.28079999999</v>
      </c>
      <c r="J5585" s="4">
        <v>2012765.6159999999</v>
      </c>
      <c r="K5585" s="4">
        <v>-86692.152000000002</v>
      </c>
      <c r="L5585" s="4">
        <v>20</v>
      </c>
    </row>
    <row r="5586" spans="1:12">
      <c r="A5586" t="s">
        <v>264</v>
      </c>
      <c r="B5586" s="10">
        <v>45382</v>
      </c>
      <c r="C5586" s="18">
        <f t="shared" si="87"/>
        <v>3</v>
      </c>
      <c r="D5586" t="s">
        <v>196</v>
      </c>
      <c r="E5586">
        <v>4872189</v>
      </c>
      <c r="F5586" t="s">
        <v>8</v>
      </c>
      <c r="G5586" t="s">
        <v>203</v>
      </c>
      <c r="H5586" t="s">
        <v>227</v>
      </c>
      <c r="I5586" s="4">
        <v>100638.28079999999</v>
      </c>
      <c r="J5586" s="4">
        <v>2012765.6159999999</v>
      </c>
      <c r="K5586" s="4">
        <v>-86692.152000000002</v>
      </c>
      <c r="L5586" s="4">
        <v>20</v>
      </c>
    </row>
    <row r="5587" spans="1:12">
      <c r="A5587" t="s">
        <v>264</v>
      </c>
      <c r="B5587" s="10">
        <v>45382</v>
      </c>
      <c r="C5587" s="18">
        <f t="shared" si="87"/>
        <v>3</v>
      </c>
      <c r="D5587" t="s">
        <v>196</v>
      </c>
      <c r="E5587">
        <v>4872189</v>
      </c>
      <c r="F5587" t="s">
        <v>8</v>
      </c>
      <c r="G5587" t="s">
        <v>203</v>
      </c>
      <c r="H5587" t="s">
        <v>226</v>
      </c>
      <c r="I5587" s="4">
        <v>100638.28079999999</v>
      </c>
      <c r="J5587" s="4">
        <v>2012765.6159999999</v>
      </c>
      <c r="K5587" s="4">
        <v>-86692.152000000002</v>
      </c>
      <c r="L5587" s="4">
        <v>20</v>
      </c>
    </row>
    <row r="5588" spans="1:12">
      <c r="A5588" t="s">
        <v>264</v>
      </c>
      <c r="B5588" s="10">
        <v>45382</v>
      </c>
      <c r="C5588" s="18">
        <f t="shared" si="87"/>
        <v>3</v>
      </c>
      <c r="D5588" t="s">
        <v>196</v>
      </c>
      <c r="E5588">
        <v>4872189</v>
      </c>
      <c r="F5588" t="s">
        <v>8</v>
      </c>
      <c r="G5588" t="s">
        <v>203</v>
      </c>
      <c r="H5588" t="s">
        <v>237</v>
      </c>
      <c r="I5588" s="4">
        <v>125766.4408</v>
      </c>
      <c r="J5588" s="4">
        <v>1257664.4080000001</v>
      </c>
      <c r="K5588" s="4">
        <v>-56538.36</v>
      </c>
      <c r="L5588" s="4">
        <v>10</v>
      </c>
    </row>
    <row r="5589" spans="1:12">
      <c r="A5589" t="s">
        <v>264</v>
      </c>
      <c r="B5589" s="10">
        <v>45382</v>
      </c>
      <c r="C5589" s="18">
        <f t="shared" si="87"/>
        <v>3</v>
      </c>
      <c r="D5589" t="s">
        <v>196</v>
      </c>
      <c r="E5589">
        <v>4872189</v>
      </c>
      <c r="F5589" t="s">
        <v>8</v>
      </c>
      <c r="G5589" t="s">
        <v>203</v>
      </c>
      <c r="H5589" t="s">
        <v>233</v>
      </c>
      <c r="I5589" s="4">
        <v>120735.78316800001</v>
      </c>
      <c r="J5589" s="4">
        <v>1207357.8316800001</v>
      </c>
      <c r="K5589" s="4">
        <v>-56538.36</v>
      </c>
      <c r="L5589" s="4">
        <v>10</v>
      </c>
    </row>
    <row r="5590" spans="1:12">
      <c r="A5590" t="s">
        <v>264</v>
      </c>
      <c r="B5590" s="10">
        <v>45382</v>
      </c>
      <c r="C5590" s="18">
        <f t="shared" si="87"/>
        <v>3</v>
      </c>
      <c r="D5590" t="s">
        <v>196</v>
      </c>
      <c r="E5590">
        <v>4872189</v>
      </c>
      <c r="F5590" t="s">
        <v>8</v>
      </c>
      <c r="G5590" t="s">
        <v>203</v>
      </c>
      <c r="H5590" t="s">
        <v>231</v>
      </c>
      <c r="I5590" s="4">
        <v>125766.4408</v>
      </c>
      <c r="J5590" s="4">
        <v>1257664.4080000001</v>
      </c>
      <c r="K5590" s="4">
        <v>-56538.36</v>
      </c>
      <c r="L5590" s="4">
        <v>10</v>
      </c>
    </row>
    <row r="5591" spans="1:12">
      <c r="A5591" t="s">
        <v>264</v>
      </c>
      <c r="B5591" s="10">
        <v>45382</v>
      </c>
      <c r="C5591" s="18">
        <f t="shared" si="87"/>
        <v>3</v>
      </c>
      <c r="D5591" t="s">
        <v>196</v>
      </c>
      <c r="E5591">
        <v>4872189</v>
      </c>
      <c r="F5591" t="s">
        <v>8</v>
      </c>
      <c r="G5591" t="s">
        <v>203</v>
      </c>
      <c r="H5591" t="s">
        <v>229</v>
      </c>
      <c r="I5591" s="4">
        <v>125766.4408</v>
      </c>
      <c r="J5591" s="4">
        <v>1257664.4080000001</v>
      </c>
      <c r="K5591" s="4">
        <v>-56538.36</v>
      </c>
      <c r="L5591" s="4">
        <v>10</v>
      </c>
    </row>
    <row r="5592" spans="1:12">
      <c r="A5592" t="s">
        <v>264</v>
      </c>
      <c r="B5592" s="10">
        <v>45382</v>
      </c>
      <c r="C5592" s="18">
        <f t="shared" si="87"/>
        <v>3</v>
      </c>
      <c r="D5592" t="s">
        <v>196</v>
      </c>
      <c r="E5592">
        <v>4879214</v>
      </c>
      <c r="F5592" t="s">
        <v>8</v>
      </c>
      <c r="G5592" t="s">
        <v>202</v>
      </c>
      <c r="H5592" t="s">
        <v>256</v>
      </c>
      <c r="I5592" s="4">
        <v>64202.448800000006</v>
      </c>
      <c r="J5592" s="4">
        <v>577822.0392</v>
      </c>
      <c r="K5592" s="4">
        <v>-28834.563599999998</v>
      </c>
      <c r="L5592" s="4">
        <v>9</v>
      </c>
    </row>
    <row r="5593" spans="1:12">
      <c r="A5593" t="s">
        <v>105</v>
      </c>
      <c r="B5593" s="10">
        <v>45330</v>
      </c>
      <c r="C5593" s="18">
        <f t="shared" si="87"/>
        <v>2</v>
      </c>
      <c r="D5593" t="s">
        <v>186</v>
      </c>
      <c r="E5593">
        <v>4879063</v>
      </c>
      <c r="F5593" t="s">
        <v>8</v>
      </c>
      <c r="G5593" t="s">
        <v>203</v>
      </c>
      <c r="H5593" t="s">
        <v>243</v>
      </c>
      <c r="I5593" s="4">
        <v>100638.28079999999</v>
      </c>
      <c r="J5593" s="4">
        <v>603829.68479999993</v>
      </c>
      <c r="K5593" s="4">
        <v>-30191.484240000002</v>
      </c>
      <c r="L5593" s="4">
        <v>6</v>
      </c>
    </row>
    <row r="5594" spans="1:12">
      <c r="A5594" t="s">
        <v>105</v>
      </c>
      <c r="B5594" s="10">
        <v>45330</v>
      </c>
      <c r="C5594" s="18">
        <f t="shared" si="87"/>
        <v>2</v>
      </c>
      <c r="D5594" t="s">
        <v>186</v>
      </c>
      <c r="E5594">
        <v>4879063</v>
      </c>
      <c r="F5594" t="s">
        <v>8</v>
      </c>
      <c r="G5594" t="s">
        <v>203</v>
      </c>
      <c r="H5594" t="s">
        <v>240</v>
      </c>
      <c r="I5594" s="4">
        <v>100638.28079999999</v>
      </c>
      <c r="J5594" s="4">
        <v>603829.68479999993</v>
      </c>
      <c r="K5594" s="4">
        <v>-30191.484240000002</v>
      </c>
      <c r="L5594" s="4">
        <v>6</v>
      </c>
    </row>
    <row r="5595" spans="1:12">
      <c r="A5595" t="s">
        <v>105</v>
      </c>
      <c r="B5595" s="10">
        <v>45330</v>
      </c>
      <c r="C5595" s="18">
        <f t="shared" si="87"/>
        <v>2</v>
      </c>
      <c r="D5595" t="s">
        <v>186</v>
      </c>
      <c r="E5595">
        <v>4879063</v>
      </c>
      <c r="F5595" t="s">
        <v>8</v>
      </c>
      <c r="G5595" t="s">
        <v>203</v>
      </c>
      <c r="H5595" t="s">
        <v>238</v>
      </c>
      <c r="I5595" s="4">
        <v>95606.36675999999</v>
      </c>
      <c r="J5595" s="4">
        <v>573638.20055999991</v>
      </c>
      <c r="K5595" s="4">
        <v>-30191.484240000002</v>
      </c>
      <c r="L5595" s="4">
        <v>6</v>
      </c>
    </row>
    <row r="5596" spans="1:12">
      <c r="A5596" t="s">
        <v>105</v>
      </c>
      <c r="B5596" s="10">
        <v>45335</v>
      </c>
      <c r="C5596" s="18">
        <f t="shared" si="87"/>
        <v>2</v>
      </c>
      <c r="D5596" t="s">
        <v>129</v>
      </c>
      <c r="E5596">
        <v>4877196</v>
      </c>
      <c r="F5596" t="s">
        <v>8</v>
      </c>
      <c r="G5596" t="s">
        <v>203</v>
      </c>
      <c r="H5596" t="s">
        <v>227</v>
      </c>
      <c r="I5596" s="4">
        <v>100638.28079999999</v>
      </c>
      <c r="J5596" s="4">
        <v>603829.68479999993</v>
      </c>
      <c r="L5596" s="4">
        <v>6</v>
      </c>
    </row>
    <row r="5597" spans="1:12">
      <c r="A5597" t="s">
        <v>105</v>
      </c>
      <c r="B5597" s="10">
        <v>45335</v>
      </c>
      <c r="C5597" s="18">
        <f t="shared" si="87"/>
        <v>2</v>
      </c>
      <c r="D5597" t="s">
        <v>129</v>
      </c>
      <c r="E5597">
        <v>4877196</v>
      </c>
      <c r="F5597" t="s">
        <v>8</v>
      </c>
      <c r="G5597" t="s">
        <v>203</v>
      </c>
      <c r="H5597" t="s">
        <v>226</v>
      </c>
      <c r="I5597" s="4">
        <v>100638.28079999999</v>
      </c>
      <c r="J5597" s="4">
        <v>603829.68479999993</v>
      </c>
      <c r="L5597" s="4">
        <v>6</v>
      </c>
    </row>
    <row r="5598" spans="1:12">
      <c r="A5598" t="s">
        <v>105</v>
      </c>
      <c r="B5598" s="10">
        <v>45329</v>
      </c>
      <c r="C5598" s="18">
        <f t="shared" si="87"/>
        <v>2</v>
      </c>
      <c r="D5598" t="s">
        <v>116</v>
      </c>
      <c r="E5598">
        <v>4878420</v>
      </c>
      <c r="F5598" t="s">
        <v>8</v>
      </c>
      <c r="G5598" t="s">
        <v>203</v>
      </c>
      <c r="H5598" t="s">
        <v>240</v>
      </c>
      <c r="I5598" s="4">
        <v>100638.28079999999</v>
      </c>
      <c r="J5598" s="4">
        <v>201276.56159999999</v>
      </c>
      <c r="L5598" s="4">
        <v>2</v>
      </c>
    </row>
    <row r="5599" spans="1:12">
      <c r="A5599" t="s">
        <v>105</v>
      </c>
      <c r="B5599" s="10">
        <v>45329</v>
      </c>
      <c r="C5599" s="18">
        <f t="shared" si="87"/>
        <v>2</v>
      </c>
      <c r="D5599" t="s">
        <v>116</v>
      </c>
      <c r="E5599">
        <v>4878420</v>
      </c>
      <c r="F5599" t="s">
        <v>8</v>
      </c>
      <c r="G5599" t="s">
        <v>203</v>
      </c>
      <c r="H5599" t="s">
        <v>228</v>
      </c>
      <c r="I5599" s="4">
        <v>100638.28079999999</v>
      </c>
      <c r="J5599" s="4">
        <v>201276.56159999999</v>
      </c>
      <c r="L5599" s="4">
        <v>2</v>
      </c>
    </row>
    <row r="5600" spans="1:12">
      <c r="A5600" t="s">
        <v>105</v>
      </c>
      <c r="B5600" s="10">
        <v>45330</v>
      </c>
      <c r="C5600" s="18">
        <f t="shared" si="87"/>
        <v>2</v>
      </c>
      <c r="D5600" t="s">
        <v>118</v>
      </c>
      <c r="E5600">
        <v>4877622</v>
      </c>
      <c r="F5600" t="s">
        <v>8</v>
      </c>
      <c r="G5600" t="s">
        <v>203</v>
      </c>
      <c r="H5600" t="s">
        <v>240</v>
      </c>
      <c r="I5600" s="4">
        <v>100638.28079999999</v>
      </c>
      <c r="J5600" s="4">
        <v>201276.56159999999</v>
      </c>
      <c r="L5600" s="4">
        <v>2</v>
      </c>
    </row>
    <row r="5601" spans="1:12">
      <c r="A5601" t="s">
        <v>105</v>
      </c>
      <c r="B5601" s="10">
        <v>45330</v>
      </c>
      <c r="C5601" s="18">
        <f t="shared" si="87"/>
        <v>2</v>
      </c>
      <c r="D5601" t="s">
        <v>118</v>
      </c>
      <c r="E5601">
        <v>4877622</v>
      </c>
      <c r="F5601" t="s">
        <v>8</v>
      </c>
      <c r="G5601" t="s">
        <v>203</v>
      </c>
      <c r="H5601" t="s">
        <v>227</v>
      </c>
      <c r="I5601" s="4">
        <v>100638.28079999999</v>
      </c>
      <c r="J5601" s="4">
        <v>201276.56159999999</v>
      </c>
      <c r="L5601" s="4">
        <v>2</v>
      </c>
    </row>
    <row r="5602" spans="1:12">
      <c r="A5602" t="s">
        <v>105</v>
      </c>
      <c r="B5602" s="10">
        <v>45330</v>
      </c>
      <c r="C5602" s="18">
        <f t="shared" si="87"/>
        <v>2</v>
      </c>
      <c r="D5602" t="s">
        <v>118</v>
      </c>
      <c r="E5602">
        <v>4877622</v>
      </c>
      <c r="F5602" t="s">
        <v>8</v>
      </c>
      <c r="G5602" t="s">
        <v>203</v>
      </c>
      <c r="H5602" t="s">
        <v>225</v>
      </c>
      <c r="I5602" s="4">
        <v>100638.28079999999</v>
      </c>
      <c r="J5602" s="4">
        <v>201276.56159999999</v>
      </c>
      <c r="L5602" s="4">
        <v>2</v>
      </c>
    </row>
    <row r="5603" spans="1:12">
      <c r="A5603" t="s">
        <v>105</v>
      </c>
      <c r="B5603" s="10">
        <v>45330</v>
      </c>
      <c r="C5603" s="18">
        <f t="shared" si="87"/>
        <v>2</v>
      </c>
      <c r="D5603" t="s">
        <v>118</v>
      </c>
      <c r="E5603">
        <v>4877622</v>
      </c>
      <c r="F5603" t="s">
        <v>8</v>
      </c>
      <c r="G5603" t="s">
        <v>203</v>
      </c>
      <c r="H5603" t="s">
        <v>224</v>
      </c>
      <c r="I5603" s="4">
        <v>100638.28079999999</v>
      </c>
      <c r="J5603" s="4">
        <v>201276.56159999999</v>
      </c>
      <c r="L5603" s="4">
        <v>2</v>
      </c>
    </row>
    <row r="5604" spans="1:12">
      <c r="A5604" t="s">
        <v>105</v>
      </c>
      <c r="B5604" s="10">
        <v>45332</v>
      </c>
      <c r="C5604" s="18">
        <f t="shared" si="87"/>
        <v>2</v>
      </c>
      <c r="D5604" t="s">
        <v>114</v>
      </c>
      <c r="E5604">
        <v>4878058</v>
      </c>
      <c r="F5604" t="s">
        <v>8</v>
      </c>
      <c r="G5604" t="s">
        <v>203</v>
      </c>
      <c r="H5604" t="s">
        <v>224</v>
      </c>
      <c r="I5604" s="4">
        <v>100638.28079999999</v>
      </c>
      <c r="J5604" s="4">
        <v>201276.56159999999</v>
      </c>
      <c r="L5604" s="4">
        <v>2</v>
      </c>
    </row>
    <row r="5605" spans="1:12">
      <c r="A5605" t="s">
        <v>105</v>
      </c>
      <c r="B5605" s="10">
        <v>45332</v>
      </c>
      <c r="C5605" s="18">
        <f t="shared" si="87"/>
        <v>2</v>
      </c>
      <c r="D5605" t="s">
        <v>114</v>
      </c>
      <c r="E5605">
        <v>4878058</v>
      </c>
      <c r="F5605" t="s">
        <v>8</v>
      </c>
      <c r="G5605" t="s">
        <v>203</v>
      </c>
      <c r="H5605" t="s">
        <v>223</v>
      </c>
      <c r="I5605" s="4">
        <v>100638.28079999999</v>
      </c>
      <c r="J5605" s="4">
        <v>201276.56159999999</v>
      </c>
      <c r="L5605" s="4">
        <v>2</v>
      </c>
    </row>
    <row r="5606" spans="1:12">
      <c r="A5606" t="s">
        <v>105</v>
      </c>
      <c r="B5606" s="10">
        <v>45332</v>
      </c>
      <c r="C5606" s="18">
        <f t="shared" si="87"/>
        <v>2</v>
      </c>
      <c r="D5606" t="s">
        <v>114</v>
      </c>
      <c r="E5606">
        <v>4878058</v>
      </c>
      <c r="F5606" t="s">
        <v>8</v>
      </c>
      <c r="G5606" t="s">
        <v>203</v>
      </c>
      <c r="H5606" t="s">
        <v>222</v>
      </c>
      <c r="I5606" s="4">
        <v>100638.28079999999</v>
      </c>
      <c r="J5606" s="4">
        <v>201276.56159999999</v>
      </c>
      <c r="L5606" s="4">
        <v>2</v>
      </c>
    </row>
    <row r="5607" spans="1:12">
      <c r="A5607" t="s">
        <v>105</v>
      </c>
      <c r="B5607" s="10">
        <v>45332</v>
      </c>
      <c r="C5607" s="18">
        <f t="shared" si="87"/>
        <v>2</v>
      </c>
      <c r="D5607" t="s">
        <v>117</v>
      </c>
      <c r="E5607">
        <v>4879308</v>
      </c>
      <c r="F5607" t="s">
        <v>8</v>
      </c>
      <c r="G5607" t="s">
        <v>203</v>
      </c>
      <c r="H5607" t="s">
        <v>228</v>
      </c>
      <c r="I5607" s="4">
        <v>100638.28079999999</v>
      </c>
      <c r="J5607" s="4">
        <v>201276.56159999999</v>
      </c>
      <c r="L5607" s="4">
        <v>2</v>
      </c>
    </row>
    <row r="5608" spans="1:12">
      <c r="A5608" t="s">
        <v>105</v>
      </c>
      <c r="B5608" s="10">
        <v>45332</v>
      </c>
      <c r="C5608" s="18">
        <f t="shared" si="87"/>
        <v>2</v>
      </c>
      <c r="D5608" t="s">
        <v>117</v>
      </c>
      <c r="E5608">
        <v>4879308</v>
      </c>
      <c r="F5608" t="s">
        <v>8</v>
      </c>
      <c r="G5608" t="s">
        <v>203</v>
      </c>
      <c r="H5608" t="s">
        <v>225</v>
      </c>
      <c r="I5608" s="4">
        <v>100638.28079999999</v>
      </c>
      <c r="J5608" s="4">
        <v>201276.56159999999</v>
      </c>
      <c r="L5608" s="4">
        <v>2</v>
      </c>
    </row>
    <row r="5609" spans="1:12">
      <c r="A5609" t="s">
        <v>105</v>
      </c>
      <c r="B5609" s="10">
        <v>45334</v>
      </c>
      <c r="C5609" s="18">
        <f t="shared" si="87"/>
        <v>2</v>
      </c>
      <c r="D5609" t="s">
        <v>109</v>
      </c>
      <c r="E5609">
        <v>4878250</v>
      </c>
      <c r="F5609" t="s">
        <v>8</v>
      </c>
      <c r="G5609" t="s">
        <v>203</v>
      </c>
      <c r="H5609" t="s">
        <v>239</v>
      </c>
      <c r="I5609" s="4">
        <v>125766.4408</v>
      </c>
      <c r="J5609" s="4">
        <v>125766.4408</v>
      </c>
      <c r="L5609" s="4">
        <v>1</v>
      </c>
    </row>
    <row r="5610" spans="1:12">
      <c r="A5610" t="s">
        <v>105</v>
      </c>
      <c r="B5610" s="10">
        <v>45334</v>
      </c>
      <c r="C5610" s="18">
        <f t="shared" si="87"/>
        <v>2</v>
      </c>
      <c r="D5610" t="s">
        <v>109</v>
      </c>
      <c r="E5610">
        <v>4878250</v>
      </c>
      <c r="F5610" t="s">
        <v>8</v>
      </c>
      <c r="G5610" t="s">
        <v>203</v>
      </c>
      <c r="H5610" t="s">
        <v>237</v>
      </c>
      <c r="I5610" s="4">
        <v>125766.4408</v>
      </c>
      <c r="J5610" s="4">
        <v>125766.4408</v>
      </c>
      <c r="L5610" s="4">
        <v>1</v>
      </c>
    </row>
    <row r="5611" spans="1:12">
      <c r="A5611" t="s">
        <v>105</v>
      </c>
      <c r="B5611" s="10">
        <v>45336</v>
      </c>
      <c r="C5611" s="18">
        <f t="shared" si="87"/>
        <v>2</v>
      </c>
      <c r="D5611" t="s">
        <v>125</v>
      </c>
      <c r="E5611">
        <v>4879105</v>
      </c>
      <c r="F5611" t="s">
        <v>8</v>
      </c>
      <c r="G5611" t="s">
        <v>203</v>
      </c>
      <c r="H5611" t="s">
        <v>244</v>
      </c>
      <c r="I5611" s="4">
        <v>125766.4408</v>
      </c>
      <c r="J5611" s="4">
        <v>251532.88159999999</v>
      </c>
      <c r="L5611" s="4">
        <v>2</v>
      </c>
    </row>
    <row r="5612" spans="1:12">
      <c r="A5612" t="s">
        <v>105</v>
      </c>
      <c r="B5612" s="10">
        <v>45336</v>
      </c>
      <c r="C5612" s="18">
        <f t="shared" si="87"/>
        <v>2</v>
      </c>
      <c r="D5612" t="s">
        <v>125</v>
      </c>
      <c r="E5612">
        <v>4879105</v>
      </c>
      <c r="F5612" t="s">
        <v>8</v>
      </c>
      <c r="G5612" t="s">
        <v>203</v>
      </c>
      <c r="H5612" t="s">
        <v>239</v>
      </c>
      <c r="I5612" s="4">
        <v>125766.4408</v>
      </c>
      <c r="J5612" s="4">
        <v>251532.88159999999</v>
      </c>
      <c r="L5612" s="4">
        <v>2</v>
      </c>
    </row>
    <row r="5613" spans="1:12">
      <c r="A5613" t="s">
        <v>105</v>
      </c>
      <c r="B5613" s="10">
        <v>45336</v>
      </c>
      <c r="C5613" s="18">
        <f t="shared" si="87"/>
        <v>2</v>
      </c>
      <c r="D5613" t="s">
        <v>125</v>
      </c>
      <c r="E5613">
        <v>4879105</v>
      </c>
      <c r="F5613" t="s">
        <v>8</v>
      </c>
      <c r="G5613" t="s">
        <v>203</v>
      </c>
      <c r="H5613" t="s">
        <v>237</v>
      </c>
      <c r="I5613" s="4">
        <v>125766.4408</v>
      </c>
      <c r="J5613" s="4">
        <v>251532.88159999999</v>
      </c>
      <c r="L5613" s="4">
        <v>2</v>
      </c>
    </row>
    <row r="5614" spans="1:12">
      <c r="A5614" t="s">
        <v>105</v>
      </c>
      <c r="B5614" s="10">
        <v>45336</v>
      </c>
      <c r="C5614" s="18">
        <f t="shared" si="87"/>
        <v>2</v>
      </c>
      <c r="D5614" t="s">
        <v>125</v>
      </c>
      <c r="E5614">
        <v>4879105</v>
      </c>
      <c r="F5614" t="s">
        <v>8</v>
      </c>
      <c r="G5614" t="s">
        <v>203</v>
      </c>
      <c r="H5614" t="s">
        <v>229</v>
      </c>
      <c r="I5614" s="4">
        <v>125766.4408</v>
      </c>
      <c r="J5614" s="4">
        <v>251532.88159999999</v>
      </c>
      <c r="L5614" s="4">
        <v>2</v>
      </c>
    </row>
    <row r="5615" spans="1:12">
      <c r="A5615" t="s">
        <v>105</v>
      </c>
      <c r="B5615" s="10">
        <v>45338</v>
      </c>
      <c r="C5615" s="18">
        <f t="shared" si="87"/>
        <v>2</v>
      </c>
      <c r="D5615" t="s">
        <v>116</v>
      </c>
      <c r="E5615">
        <v>4878427</v>
      </c>
      <c r="F5615" t="s">
        <v>8</v>
      </c>
      <c r="G5615" t="s">
        <v>203</v>
      </c>
      <c r="H5615" t="s">
        <v>234</v>
      </c>
      <c r="I5615" s="4">
        <v>100638.28079999999</v>
      </c>
      <c r="J5615" s="4">
        <v>603829.68479999993</v>
      </c>
      <c r="L5615" s="4">
        <v>6</v>
      </c>
    </row>
    <row r="5616" spans="1:12">
      <c r="A5616" t="s">
        <v>105</v>
      </c>
      <c r="B5616" s="10">
        <v>45338</v>
      </c>
      <c r="C5616" s="18">
        <f t="shared" si="87"/>
        <v>2</v>
      </c>
      <c r="D5616" t="s">
        <v>116</v>
      </c>
      <c r="E5616">
        <v>4878427</v>
      </c>
      <c r="F5616" t="s">
        <v>8</v>
      </c>
      <c r="G5616" t="s">
        <v>203</v>
      </c>
      <c r="H5616" t="s">
        <v>224</v>
      </c>
      <c r="I5616" s="4">
        <v>100638.28079999999</v>
      </c>
      <c r="J5616" s="4">
        <v>603829.68479999993</v>
      </c>
      <c r="L5616" s="4">
        <v>6</v>
      </c>
    </row>
    <row r="5617" spans="1:12">
      <c r="A5617" t="s">
        <v>105</v>
      </c>
      <c r="B5617" s="10">
        <v>45338</v>
      </c>
      <c r="C5617" s="18">
        <f t="shared" si="87"/>
        <v>2</v>
      </c>
      <c r="D5617" t="s">
        <v>116</v>
      </c>
      <c r="E5617">
        <v>4878427</v>
      </c>
      <c r="F5617" t="s">
        <v>8</v>
      </c>
      <c r="G5617" t="s">
        <v>203</v>
      </c>
      <c r="H5617" t="s">
        <v>222</v>
      </c>
      <c r="I5617" s="4">
        <v>100638.28079999999</v>
      </c>
      <c r="J5617" s="4">
        <v>603829.68479999993</v>
      </c>
      <c r="L5617" s="4">
        <v>6</v>
      </c>
    </row>
    <row r="5618" spans="1:12">
      <c r="A5618" t="s">
        <v>105</v>
      </c>
      <c r="B5618" s="10">
        <v>45338</v>
      </c>
      <c r="C5618" s="18">
        <f t="shared" si="87"/>
        <v>2</v>
      </c>
      <c r="D5618" t="s">
        <v>116</v>
      </c>
      <c r="E5618">
        <v>4878466</v>
      </c>
      <c r="F5618" t="s">
        <v>8</v>
      </c>
      <c r="G5618" t="s">
        <v>203</v>
      </c>
      <c r="H5618" t="s">
        <v>243</v>
      </c>
      <c r="I5618" s="4">
        <v>100638.28079999999</v>
      </c>
      <c r="J5618" s="4">
        <v>100638.28079999999</v>
      </c>
      <c r="L5618" s="4">
        <v>1</v>
      </c>
    </row>
    <row r="5619" spans="1:12">
      <c r="A5619" t="s">
        <v>105</v>
      </c>
      <c r="B5619" s="10">
        <v>45338</v>
      </c>
      <c r="C5619" s="18">
        <f t="shared" si="87"/>
        <v>2</v>
      </c>
      <c r="D5619" t="s">
        <v>116</v>
      </c>
      <c r="E5619">
        <v>4878466</v>
      </c>
      <c r="F5619" t="s">
        <v>8</v>
      </c>
      <c r="G5619" t="s">
        <v>203</v>
      </c>
      <c r="H5619" t="s">
        <v>234</v>
      </c>
      <c r="I5619" s="4">
        <v>100638.28079999999</v>
      </c>
      <c r="J5619" s="4">
        <v>100638.28079999999</v>
      </c>
      <c r="L5619" s="4">
        <v>1</v>
      </c>
    </row>
    <row r="5620" spans="1:12">
      <c r="A5620" t="s">
        <v>105</v>
      </c>
      <c r="B5620" s="10">
        <v>45338</v>
      </c>
      <c r="C5620" s="18">
        <f t="shared" si="87"/>
        <v>2</v>
      </c>
      <c r="D5620" t="s">
        <v>116</v>
      </c>
      <c r="E5620">
        <v>4878466</v>
      </c>
      <c r="F5620" t="s">
        <v>8</v>
      </c>
      <c r="G5620" t="s">
        <v>203</v>
      </c>
      <c r="H5620" t="s">
        <v>225</v>
      </c>
      <c r="I5620" s="4">
        <v>100638.28079999999</v>
      </c>
      <c r="J5620" s="4">
        <v>100638.28079999999</v>
      </c>
      <c r="L5620" s="4">
        <v>1</v>
      </c>
    </row>
    <row r="5621" spans="1:12">
      <c r="A5621" t="s">
        <v>105</v>
      </c>
      <c r="B5621" s="10">
        <v>45340</v>
      </c>
      <c r="C5621" s="18">
        <f t="shared" si="87"/>
        <v>2</v>
      </c>
      <c r="D5621" t="s">
        <v>115</v>
      </c>
      <c r="E5621">
        <v>4878409</v>
      </c>
      <c r="F5621" t="s">
        <v>8</v>
      </c>
      <c r="G5621" t="s">
        <v>203</v>
      </c>
      <c r="H5621" t="s">
        <v>226</v>
      </c>
      <c r="I5621" s="4">
        <v>100638.28079999999</v>
      </c>
      <c r="J5621" s="4">
        <v>402553.12319999997</v>
      </c>
      <c r="L5621" s="4">
        <v>4</v>
      </c>
    </row>
    <row r="5622" spans="1:12">
      <c r="A5622" t="s">
        <v>105</v>
      </c>
      <c r="B5622" s="10">
        <v>45340</v>
      </c>
      <c r="C5622" s="18">
        <f t="shared" si="87"/>
        <v>2</v>
      </c>
      <c r="D5622" t="s">
        <v>116</v>
      </c>
      <c r="E5622">
        <v>4878427</v>
      </c>
      <c r="F5622" t="s">
        <v>8</v>
      </c>
      <c r="G5622" t="s">
        <v>203</v>
      </c>
      <c r="H5622" t="s">
        <v>245</v>
      </c>
      <c r="I5622" s="4">
        <v>100638.28079999999</v>
      </c>
      <c r="J5622" s="4">
        <v>603829.68479999993</v>
      </c>
      <c r="L5622" s="4">
        <v>6</v>
      </c>
    </row>
    <row r="5623" spans="1:12">
      <c r="A5623" t="s">
        <v>105</v>
      </c>
      <c r="B5623" s="10">
        <v>45340</v>
      </c>
      <c r="C5623" s="18">
        <f t="shared" si="87"/>
        <v>2</v>
      </c>
      <c r="D5623" t="s">
        <v>116</v>
      </c>
      <c r="E5623">
        <v>4878427</v>
      </c>
      <c r="F5623" t="s">
        <v>8</v>
      </c>
      <c r="G5623" t="s">
        <v>203</v>
      </c>
      <c r="H5623" t="s">
        <v>240</v>
      </c>
      <c r="I5623" s="4">
        <v>100638.28079999999</v>
      </c>
      <c r="J5623" s="4">
        <v>603829.68479999993</v>
      </c>
      <c r="L5623" s="4">
        <v>6</v>
      </c>
    </row>
    <row r="5624" spans="1:12">
      <c r="A5624" t="s">
        <v>105</v>
      </c>
      <c r="B5624" s="10">
        <v>45340</v>
      </c>
      <c r="C5624" s="18">
        <f t="shared" si="87"/>
        <v>2</v>
      </c>
      <c r="D5624" t="s">
        <v>116</v>
      </c>
      <c r="E5624">
        <v>4878427</v>
      </c>
      <c r="F5624" t="s">
        <v>8</v>
      </c>
      <c r="G5624" t="s">
        <v>203</v>
      </c>
      <c r="H5624" t="s">
        <v>238</v>
      </c>
      <c r="I5624" s="4">
        <v>95606.36675999999</v>
      </c>
      <c r="J5624" s="4">
        <v>573638.20055999991</v>
      </c>
      <c r="L5624" s="4">
        <v>6</v>
      </c>
    </row>
    <row r="5625" spans="1:12">
      <c r="A5625" t="s">
        <v>105</v>
      </c>
      <c r="B5625" s="10">
        <v>45342</v>
      </c>
      <c r="C5625" s="18">
        <f t="shared" si="87"/>
        <v>2</v>
      </c>
      <c r="D5625" t="s">
        <v>111</v>
      </c>
      <c r="E5625">
        <v>4878254</v>
      </c>
      <c r="F5625" t="s">
        <v>8</v>
      </c>
      <c r="G5625" t="s">
        <v>203</v>
      </c>
      <c r="H5625" t="s">
        <v>223</v>
      </c>
      <c r="I5625" s="4">
        <v>100638.28079999999</v>
      </c>
      <c r="J5625" s="4">
        <v>201276.56159999999</v>
      </c>
      <c r="L5625" s="4">
        <v>2</v>
      </c>
    </row>
    <row r="5626" spans="1:12">
      <c r="A5626" t="s">
        <v>105</v>
      </c>
      <c r="B5626" s="10">
        <v>45344</v>
      </c>
      <c r="C5626" s="18">
        <f t="shared" si="87"/>
        <v>2</v>
      </c>
      <c r="D5626" t="s">
        <v>119</v>
      </c>
      <c r="E5626">
        <v>4878294</v>
      </c>
      <c r="F5626" t="s">
        <v>8</v>
      </c>
      <c r="G5626" t="s">
        <v>203</v>
      </c>
      <c r="H5626" t="s">
        <v>242</v>
      </c>
      <c r="I5626" s="4">
        <v>100638.28079999999</v>
      </c>
      <c r="J5626" s="4">
        <v>201276.56159999999</v>
      </c>
      <c r="L5626" s="4">
        <v>2</v>
      </c>
    </row>
    <row r="5627" spans="1:12">
      <c r="A5627" t="s">
        <v>105</v>
      </c>
      <c r="B5627" s="10">
        <v>45344</v>
      </c>
      <c r="C5627" s="18">
        <f t="shared" si="87"/>
        <v>2</v>
      </c>
      <c r="D5627" t="s">
        <v>119</v>
      </c>
      <c r="E5627">
        <v>4878294</v>
      </c>
      <c r="F5627" t="s">
        <v>8</v>
      </c>
      <c r="G5627" t="s">
        <v>203</v>
      </c>
      <c r="H5627" t="s">
        <v>234</v>
      </c>
      <c r="I5627" s="4">
        <v>100638.28079999999</v>
      </c>
      <c r="J5627" s="4">
        <v>201276.56159999999</v>
      </c>
      <c r="L5627" s="4">
        <v>2</v>
      </c>
    </row>
    <row r="5628" spans="1:12">
      <c r="A5628" t="s">
        <v>105</v>
      </c>
      <c r="B5628" s="10">
        <v>45344</v>
      </c>
      <c r="C5628" s="18">
        <f t="shared" si="87"/>
        <v>2</v>
      </c>
      <c r="D5628" t="s">
        <v>119</v>
      </c>
      <c r="E5628">
        <v>4878294</v>
      </c>
      <c r="F5628" t="s">
        <v>8</v>
      </c>
      <c r="G5628" t="s">
        <v>203</v>
      </c>
      <c r="H5628" t="s">
        <v>225</v>
      </c>
      <c r="I5628" s="4">
        <v>100638.28079999999</v>
      </c>
      <c r="J5628" s="4">
        <v>201276.56159999999</v>
      </c>
      <c r="L5628" s="4">
        <v>2</v>
      </c>
    </row>
    <row r="5629" spans="1:12">
      <c r="A5629" t="s">
        <v>105</v>
      </c>
      <c r="B5629" s="10">
        <v>45345</v>
      </c>
      <c r="C5629" s="18">
        <f t="shared" si="87"/>
        <v>2</v>
      </c>
      <c r="D5629" t="s">
        <v>114</v>
      </c>
      <c r="E5629">
        <v>4878068</v>
      </c>
      <c r="F5629" t="s">
        <v>8</v>
      </c>
      <c r="G5629" t="s">
        <v>203</v>
      </c>
      <c r="H5629" t="s">
        <v>234</v>
      </c>
      <c r="I5629" s="4">
        <v>100638.28079999999</v>
      </c>
      <c r="J5629" s="4">
        <v>201276.56159999999</v>
      </c>
      <c r="L5629" s="4">
        <v>2</v>
      </c>
    </row>
    <row r="5630" spans="1:12">
      <c r="A5630" t="s">
        <v>105</v>
      </c>
      <c r="B5630" s="10">
        <v>45345</v>
      </c>
      <c r="C5630" s="18">
        <f t="shared" si="87"/>
        <v>2</v>
      </c>
      <c r="D5630" t="s">
        <v>114</v>
      </c>
      <c r="E5630">
        <v>4878068</v>
      </c>
      <c r="F5630" t="s">
        <v>8</v>
      </c>
      <c r="G5630" t="s">
        <v>203</v>
      </c>
      <c r="H5630" t="s">
        <v>230</v>
      </c>
      <c r="I5630" s="4">
        <v>100638.28079999999</v>
      </c>
      <c r="J5630" s="4">
        <v>201276.56159999999</v>
      </c>
      <c r="L5630" s="4">
        <v>2</v>
      </c>
    </row>
    <row r="5631" spans="1:12">
      <c r="A5631" t="s">
        <v>105</v>
      </c>
      <c r="B5631" s="10">
        <v>45345</v>
      </c>
      <c r="C5631" s="18">
        <f t="shared" si="87"/>
        <v>2</v>
      </c>
      <c r="D5631" t="s">
        <v>116</v>
      </c>
      <c r="E5631">
        <v>4878465</v>
      </c>
      <c r="F5631" t="s">
        <v>8</v>
      </c>
      <c r="G5631" t="s">
        <v>203</v>
      </c>
      <c r="H5631" t="s">
        <v>234</v>
      </c>
      <c r="I5631" s="4">
        <v>100638.28079999999</v>
      </c>
      <c r="J5631" s="4">
        <v>0</v>
      </c>
    </row>
    <row r="5632" spans="1:12">
      <c r="A5632" t="s">
        <v>105</v>
      </c>
      <c r="B5632" s="10">
        <v>45346</v>
      </c>
      <c r="C5632" s="18">
        <f t="shared" si="87"/>
        <v>2</v>
      </c>
      <c r="D5632" t="s">
        <v>111</v>
      </c>
      <c r="E5632">
        <v>4878259</v>
      </c>
      <c r="F5632" t="s">
        <v>8</v>
      </c>
      <c r="G5632" t="s">
        <v>203</v>
      </c>
      <c r="H5632" t="s">
        <v>229</v>
      </c>
      <c r="I5632" s="4">
        <v>125766.4408</v>
      </c>
      <c r="J5632" s="4">
        <v>125766.4408</v>
      </c>
      <c r="L5632" s="4">
        <v>1</v>
      </c>
    </row>
    <row r="5633" spans="1:12">
      <c r="A5633" t="s">
        <v>105</v>
      </c>
      <c r="B5633" s="10">
        <v>45346</v>
      </c>
      <c r="C5633" s="18">
        <f t="shared" si="87"/>
        <v>2</v>
      </c>
      <c r="D5633" t="s">
        <v>116</v>
      </c>
      <c r="E5633">
        <v>4878465</v>
      </c>
      <c r="F5633" t="s">
        <v>8</v>
      </c>
      <c r="G5633" t="s">
        <v>203</v>
      </c>
      <c r="H5633" t="s">
        <v>243</v>
      </c>
      <c r="I5633" s="4">
        <v>100638.28079999999</v>
      </c>
      <c r="J5633" s="4">
        <v>201276.56159999999</v>
      </c>
      <c r="L5633" s="4">
        <v>2</v>
      </c>
    </row>
    <row r="5634" spans="1:12">
      <c r="A5634" t="s">
        <v>105</v>
      </c>
      <c r="B5634" s="10">
        <v>45346</v>
      </c>
      <c r="C5634" s="18">
        <f t="shared" ref="C5634:C5697" si="88">MONTH(B5634)</f>
        <v>2</v>
      </c>
      <c r="D5634" t="s">
        <v>116</v>
      </c>
      <c r="E5634">
        <v>4878465</v>
      </c>
      <c r="F5634" t="s">
        <v>8</v>
      </c>
      <c r="G5634" t="s">
        <v>203</v>
      </c>
      <c r="H5634" t="s">
        <v>236</v>
      </c>
      <c r="I5634" s="4">
        <v>100638.28079999999</v>
      </c>
      <c r="J5634" s="4">
        <v>201276.56159999999</v>
      </c>
      <c r="L5634" s="4">
        <v>2</v>
      </c>
    </row>
    <row r="5635" spans="1:12">
      <c r="A5635" t="s">
        <v>105</v>
      </c>
      <c r="B5635" s="10">
        <v>45346</v>
      </c>
      <c r="C5635" s="18">
        <f t="shared" si="88"/>
        <v>2</v>
      </c>
      <c r="D5635" t="s">
        <v>116</v>
      </c>
      <c r="E5635">
        <v>4878465</v>
      </c>
      <c r="F5635" t="s">
        <v>8</v>
      </c>
      <c r="G5635" t="s">
        <v>203</v>
      </c>
      <c r="H5635" t="s">
        <v>230</v>
      </c>
      <c r="I5635" s="4">
        <v>100638.28079999999</v>
      </c>
      <c r="J5635" s="4">
        <v>201276.56159999999</v>
      </c>
      <c r="L5635" s="4">
        <v>2</v>
      </c>
    </row>
    <row r="5636" spans="1:12">
      <c r="A5636" t="s">
        <v>105</v>
      </c>
      <c r="B5636" s="10">
        <v>45348</v>
      </c>
      <c r="C5636" s="18">
        <f t="shared" si="88"/>
        <v>2</v>
      </c>
      <c r="D5636" t="s">
        <v>114</v>
      </c>
      <c r="E5636">
        <v>4878077</v>
      </c>
      <c r="F5636" t="s">
        <v>8</v>
      </c>
      <c r="G5636" t="s">
        <v>203</v>
      </c>
      <c r="H5636" t="s">
        <v>227</v>
      </c>
      <c r="I5636" s="4">
        <v>100638.28079999999</v>
      </c>
      <c r="J5636" s="4">
        <v>201276.56159999999</v>
      </c>
      <c r="L5636" s="4">
        <v>2</v>
      </c>
    </row>
    <row r="5637" spans="1:12">
      <c r="A5637" t="s">
        <v>105</v>
      </c>
      <c r="B5637" s="10">
        <v>45348</v>
      </c>
      <c r="C5637" s="18">
        <f t="shared" si="88"/>
        <v>2</v>
      </c>
      <c r="D5637" t="s">
        <v>114</v>
      </c>
      <c r="E5637">
        <v>4878077</v>
      </c>
      <c r="F5637" t="s">
        <v>8</v>
      </c>
      <c r="G5637" t="s">
        <v>203</v>
      </c>
      <c r="H5637" t="s">
        <v>222</v>
      </c>
      <c r="I5637" s="4">
        <v>100638.28079999999</v>
      </c>
      <c r="J5637" s="4">
        <v>201276.56159999999</v>
      </c>
      <c r="L5637" s="4">
        <v>2</v>
      </c>
    </row>
    <row r="5638" spans="1:12">
      <c r="A5638" t="s">
        <v>107</v>
      </c>
      <c r="B5638" s="10">
        <v>45323</v>
      </c>
      <c r="C5638" s="18">
        <f t="shared" si="88"/>
        <v>2</v>
      </c>
      <c r="D5638" t="s">
        <v>154</v>
      </c>
      <c r="E5638">
        <v>4875765</v>
      </c>
      <c r="F5638" t="s">
        <v>8</v>
      </c>
      <c r="G5638" t="s">
        <v>203</v>
      </c>
      <c r="H5638" t="s">
        <v>227</v>
      </c>
      <c r="I5638" s="4">
        <v>100638.28079999999</v>
      </c>
      <c r="J5638" s="4">
        <v>402553.12319999997</v>
      </c>
      <c r="L5638" s="4">
        <v>4</v>
      </c>
    </row>
    <row r="5639" spans="1:12">
      <c r="A5639" t="s">
        <v>107</v>
      </c>
      <c r="B5639" s="10">
        <v>45323</v>
      </c>
      <c r="C5639" s="18">
        <f t="shared" si="88"/>
        <v>2</v>
      </c>
      <c r="D5639" t="s">
        <v>154</v>
      </c>
      <c r="E5639">
        <v>4875765</v>
      </c>
      <c r="F5639" t="s">
        <v>8</v>
      </c>
      <c r="G5639" t="s">
        <v>203</v>
      </c>
      <c r="H5639" t="s">
        <v>231</v>
      </c>
      <c r="I5639" s="4">
        <v>125766.4408</v>
      </c>
      <c r="J5639" s="4">
        <v>251532.88159999999</v>
      </c>
      <c r="L5639" s="4">
        <v>2</v>
      </c>
    </row>
    <row r="5640" spans="1:12">
      <c r="A5640" t="s">
        <v>107</v>
      </c>
      <c r="B5640" s="10">
        <v>45324</v>
      </c>
      <c r="C5640" s="18">
        <f t="shared" si="88"/>
        <v>2</v>
      </c>
      <c r="D5640" t="s">
        <v>162</v>
      </c>
      <c r="E5640">
        <v>4878188</v>
      </c>
      <c r="F5640" t="s">
        <v>8</v>
      </c>
      <c r="G5640" t="s">
        <v>203</v>
      </c>
      <c r="H5640" t="s">
        <v>240</v>
      </c>
      <c r="I5640" s="4">
        <v>100638.28079999999</v>
      </c>
      <c r="J5640" s="4">
        <v>201276.56159999999</v>
      </c>
      <c r="L5640" s="4">
        <v>2</v>
      </c>
    </row>
    <row r="5641" spans="1:12">
      <c r="A5641" t="s">
        <v>107</v>
      </c>
      <c r="B5641" s="10">
        <v>45324</v>
      </c>
      <c r="C5641" s="18">
        <f t="shared" si="88"/>
        <v>2</v>
      </c>
      <c r="D5641" t="s">
        <v>162</v>
      </c>
      <c r="E5641">
        <v>4878188</v>
      </c>
      <c r="F5641" t="s">
        <v>8</v>
      </c>
      <c r="G5641" t="s">
        <v>203</v>
      </c>
      <c r="H5641" t="s">
        <v>225</v>
      </c>
      <c r="I5641" s="4">
        <v>100638.28079999999</v>
      </c>
      <c r="J5641" s="4">
        <v>201276.56159999999</v>
      </c>
      <c r="L5641" s="4">
        <v>2</v>
      </c>
    </row>
    <row r="5642" spans="1:12">
      <c r="A5642" t="s">
        <v>107</v>
      </c>
      <c r="B5642" s="10">
        <v>45327</v>
      </c>
      <c r="C5642" s="18">
        <f t="shared" si="88"/>
        <v>2</v>
      </c>
      <c r="D5642" t="s">
        <v>151</v>
      </c>
      <c r="E5642">
        <v>4876098</v>
      </c>
      <c r="F5642" t="s">
        <v>8</v>
      </c>
      <c r="G5642" t="s">
        <v>204</v>
      </c>
      <c r="H5642" t="s">
        <v>214</v>
      </c>
      <c r="I5642" s="4">
        <v>119484.4008</v>
      </c>
      <c r="J5642" s="4">
        <v>1911750.4128</v>
      </c>
      <c r="L5642" s="4">
        <v>16</v>
      </c>
    </row>
    <row r="5643" spans="1:12">
      <c r="A5643" t="s">
        <v>107</v>
      </c>
      <c r="B5643" s="10">
        <v>45327</v>
      </c>
      <c r="C5643" s="18">
        <f t="shared" si="88"/>
        <v>2</v>
      </c>
      <c r="D5643" t="s">
        <v>151</v>
      </c>
      <c r="E5643">
        <v>4876098</v>
      </c>
      <c r="F5643" t="s">
        <v>8</v>
      </c>
      <c r="G5643" t="s">
        <v>204</v>
      </c>
      <c r="H5643" t="s">
        <v>221</v>
      </c>
      <c r="I5643" s="4">
        <v>25253.800799999997</v>
      </c>
      <c r="J5643" s="4">
        <v>505076.01599999995</v>
      </c>
      <c r="L5643" s="4">
        <v>20</v>
      </c>
    </row>
    <row r="5644" spans="1:12">
      <c r="A5644" t="s">
        <v>107</v>
      </c>
      <c r="B5644" s="10">
        <v>45327</v>
      </c>
      <c r="C5644" s="18">
        <f t="shared" si="88"/>
        <v>2</v>
      </c>
      <c r="D5644" t="s">
        <v>140</v>
      </c>
      <c r="E5644">
        <v>4877412</v>
      </c>
      <c r="F5644" t="s">
        <v>8</v>
      </c>
      <c r="G5644" t="s">
        <v>203</v>
      </c>
      <c r="H5644" t="s">
        <v>230</v>
      </c>
      <c r="I5644" s="4">
        <v>100638.28079999999</v>
      </c>
      <c r="J5644" s="4">
        <v>402553.12319999997</v>
      </c>
      <c r="L5644" s="4">
        <v>4</v>
      </c>
    </row>
    <row r="5645" spans="1:12">
      <c r="A5645" t="s">
        <v>107</v>
      </c>
      <c r="B5645" s="10">
        <v>45327</v>
      </c>
      <c r="C5645" s="18">
        <f t="shared" si="88"/>
        <v>2</v>
      </c>
      <c r="D5645" t="s">
        <v>140</v>
      </c>
      <c r="E5645">
        <v>4876550</v>
      </c>
      <c r="F5645" t="s">
        <v>8</v>
      </c>
      <c r="G5645" t="s">
        <v>203</v>
      </c>
      <c r="H5645" t="s">
        <v>239</v>
      </c>
      <c r="I5645" s="4">
        <v>125766.4408</v>
      </c>
      <c r="J5645" s="4">
        <v>251532.88159999999</v>
      </c>
      <c r="L5645" s="4">
        <v>2</v>
      </c>
    </row>
    <row r="5646" spans="1:12">
      <c r="A5646" t="s">
        <v>107</v>
      </c>
      <c r="B5646" s="10">
        <v>45328</v>
      </c>
      <c r="C5646" s="18">
        <f t="shared" si="88"/>
        <v>2</v>
      </c>
      <c r="D5646" t="s">
        <v>177</v>
      </c>
      <c r="E5646">
        <v>4877105</v>
      </c>
      <c r="F5646" t="s">
        <v>8</v>
      </c>
      <c r="G5646" t="s">
        <v>205</v>
      </c>
      <c r="H5646" t="s">
        <v>211</v>
      </c>
      <c r="I5646" s="4">
        <v>5151.2727999999997</v>
      </c>
      <c r="J5646" s="4">
        <v>51512.727999999996</v>
      </c>
      <c r="L5646" s="4">
        <v>10</v>
      </c>
    </row>
    <row r="5647" spans="1:12">
      <c r="A5647" t="s">
        <v>107</v>
      </c>
      <c r="B5647" s="10">
        <v>45328</v>
      </c>
      <c r="C5647" s="18">
        <f t="shared" si="88"/>
        <v>2</v>
      </c>
      <c r="D5647" t="s">
        <v>183</v>
      </c>
      <c r="E5647">
        <v>4874373</v>
      </c>
      <c r="F5647" t="s">
        <v>8</v>
      </c>
      <c r="G5647" t="s">
        <v>202</v>
      </c>
      <c r="H5647" t="s">
        <v>259</v>
      </c>
      <c r="I5647" s="4">
        <v>30279.432800000002</v>
      </c>
      <c r="J5647" s="4">
        <v>3027943.2800000003</v>
      </c>
      <c r="K5647" s="4">
        <v>-151397.16400000002</v>
      </c>
      <c r="L5647" s="4">
        <v>100</v>
      </c>
    </row>
    <row r="5648" spans="1:12">
      <c r="A5648" t="s">
        <v>107</v>
      </c>
      <c r="B5648" s="10">
        <v>45328</v>
      </c>
      <c r="C5648" s="18">
        <f t="shared" si="88"/>
        <v>2</v>
      </c>
      <c r="D5648" t="s">
        <v>183</v>
      </c>
      <c r="E5648">
        <v>4874373</v>
      </c>
      <c r="F5648" t="s">
        <v>8</v>
      </c>
      <c r="G5648" t="s">
        <v>202</v>
      </c>
      <c r="H5648" t="s">
        <v>253</v>
      </c>
      <c r="I5648" s="4">
        <v>46669.275160000005</v>
      </c>
      <c r="J5648" s="4">
        <v>4666927.5160000008</v>
      </c>
      <c r="K5648" s="4">
        <v>-245627.764</v>
      </c>
      <c r="L5648" s="4">
        <v>100</v>
      </c>
    </row>
    <row r="5649" spans="1:12">
      <c r="A5649" t="s">
        <v>107</v>
      </c>
      <c r="B5649" s="10">
        <v>45329</v>
      </c>
      <c r="C5649" s="18">
        <f t="shared" si="88"/>
        <v>2</v>
      </c>
      <c r="D5649" t="s">
        <v>189</v>
      </c>
      <c r="E5649">
        <v>4879154</v>
      </c>
      <c r="F5649" t="s">
        <v>8</v>
      </c>
      <c r="G5649" t="s">
        <v>205</v>
      </c>
      <c r="H5649" t="s">
        <v>211</v>
      </c>
      <c r="I5649" s="4">
        <v>5151.2727999999997</v>
      </c>
      <c r="J5649" s="4">
        <v>77269.09199999999</v>
      </c>
      <c r="L5649" s="4">
        <v>15</v>
      </c>
    </row>
    <row r="5650" spans="1:12">
      <c r="A5650" t="s">
        <v>107</v>
      </c>
      <c r="B5650" s="10">
        <v>45330</v>
      </c>
      <c r="C5650" s="18">
        <f t="shared" si="88"/>
        <v>2</v>
      </c>
      <c r="D5650" t="s">
        <v>154</v>
      </c>
      <c r="E5650">
        <v>4876770</v>
      </c>
      <c r="F5650" t="s">
        <v>8</v>
      </c>
      <c r="G5650" t="s">
        <v>203</v>
      </c>
      <c r="H5650" t="s">
        <v>230</v>
      </c>
      <c r="I5650" s="4">
        <v>100638.28079999999</v>
      </c>
      <c r="J5650" s="4">
        <v>201276.56159999999</v>
      </c>
      <c r="L5650" s="4">
        <v>2</v>
      </c>
    </row>
    <row r="5651" spans="1:12">
      <c r="A5651" t="s">
        <v>107</v>
      </c>
      <c r="B5651" s="10">
        <v>45331</v>
      </c>
      <c r="C5651" s="18">
        <f t="shared" si="88"/>
        <v>2</v>
      </c>
      <c r="D5651" t="s">
        <v>162</v>
      </c>
      <c r="E5651">
        <v>4878188</v>
      </c>
      <c r="F5651" t="s">
        <v>8</v>
      </c>
      <c r="G5651" t="s">
        <v>203</v>
      </c>
      <c r="H5651" t="s">
        <v>239</v>
      </c>
      <c r="I5651" s="4">
        <v>125766.4408</v>
      </c>
      <c r="J5651" s="4">
        <v>125766.4408</v>
      </c>
      <c r="L5651" s="4">
        <v>1</v>
      </c>
    </row>
    <row r="5652" spans="1:12">
      <c r="A5652" t="s">
        <v>107</v>
      </c>
      <c r="B5652" s="10">
        <v>45331</v>
      </c>
      <c r="C5652" s="18">
        <f t="shared" si="88"/>
        <v>2</v>
      </c>
      <c r="D5652" t="s">
        <v>162</v>
      </c>
      <c r="E5652">
        <v>4878188</v>
      </c>
      <c r="F5652" t="s">
        <v>8</v>
      </c>
      <c r="G5652" t="s">
        <v>203</v>
      </c>
      <c r="H5652" t="s">
        <v>231</v>
      </c>
      <c r="I5652" s="4">
        <v>125766.4408</v>
      </c>
      <c r="J5652" s="4">
        <v>125766.4408</v>
      </c>
      <c r="L5652" s="4">
        <v>1</v>
      </c>
    </row>
    <row r="5653" spans="1:12">
      <c r="A5653" t="s">
        <v>107</v>
      </c>
      <c r="B5653" s="10">
        <v>45331</v>
      </c>
      <c r="C5653" s="18">
        <f t="shared" si="88"/>
        <v>2</v>
      </c>
      <c r="D5653" t="s">
        <v>162</v>
      </c>
      <c r="E5653">
        <v>4874391</v>
      </c>
      <c r="F5653" t="s">
        <v>8</v>
      </c>
      <c r="G5653" t="s">
        <v>203</v>
      </c>
      <c r="H5653" t="s">
        <v>240</v>
      </c>
      <c r="I5653" s="4">
        <v>100638.28079999999</v>
      </c>
      <c r="J5653" s="4">
        <v>402553.12319999997</v>
      </c>
      <c r="L5653" s="4">
        <v>4</v>
      </c>
    </row>
    <row r="5654" spans="1:12">
      <c r="A5654" t="s">
        <v>107</v>
      </c>
      <c r="B5654" s="10">
        <v>45331</v>
      </c>
      <c r="C5654" s="18">
        <f t="shared" si="88"/>
        <v>2</v>
      </c>
      <c r="D5654" t="s">
        <v>162</v>
      </c>
      <c r="E5654">
        <v>4874391</v>
      </c>
      <c r="F5654" t="s">
        <v>8</v>
      </c>
      <c r="G5654" t="s">
        <v>203</v>
      </c>
      <c r="H5654" t="s">
        <v>230</v>
      </c>
      <c r="I5654" s="4">
        <v>100638.28079999999</v>
      </c>
      <c r="J5654" s="4">
        <v>201276.56159999999</v>
      </c>
      <c r="L5654" s="4">
        <v>2</v>
      </c>
    </row>
    <row r="5655" spans="1:12">
      <c r="A5655" t="s">
        <v>107</v>
      </c>
      <c r="B5655" s="10">
        <v>45331</v>
      </c>
      <c r="C5655" s="18">
        <f t="shared" si="88"/>
        <v>2</v>
      </c>
      <c r="D5655" t="s">
        <v>162</v>
      </c>
      <c r="E5655">
        <v>4874391</v>
      </c>
      <c r="F5655" t="s">
        <v>8</v>
      </c>
      <c r="G5655" t="s">
        <v>203</v>
      </c>
      <c r="H5655" t="s">
        <v>239</v>
      </c>
      <c r="I5655" s="4">
        <v>125766.4408</v>
      </c>
      <c r="J5655" s="4">
        <v>754598.64480000001</v>
      </c>
      <c r="L5655" s="4">
        <v>6</v>
      </c>
    </row>
    <row r="5656" spans="1:12">
      <c r="A5656" t="s">
        <v>107</v>
      </c>
      <c r="B5656" s="10">
        <v>45339</v>
      </c>
      <c r="C5656" s="18">
        <f t="shared" si="88"/>
        <v>2</v>
      </c>
      <c r="D5656" t="s">
        <v>151</v>
      </c>
      <c r="E5656">
        <v>4874397</v>
      </c>
      <c r="F5656" t="s">
        <v>8</v>
      </c>
      <c r="G5656" t="s">
        <v>203</v>
      </c>
      <c r="H5656" t="s">
        <v>231</v>
      </c>
      <c r="I5656" s="4">
        <v>125766.4408</v>
      </c>
      <c r="J5656" s="4">
        <v>-125766.4408</v>
      </c>
      <c r="L5656" s="4">
        <v>-1</v>
      </c>
    </row>
    <row r="5657" spans="1:12">
      <c r="A5657" t="s">
        <v>107</v>
      </c>
      <c r="B5657" s="10">
        <v>45339</v>
      </c>
      <c r="C5657" s="18">
        <f t="shared" si="88"/>
        <v>2</v>
      </c>
      <c r="D5657" t="s">
        <v>151</v>
      </c>
      <c r="E5657">
        <v>4874397</v>
      </c>
      <c r="F5657" t="s">
        <v>8</v>
      </c>
      <c r="G5657" t="s">
        <v>203</v>
      </c>
      <c r="H5657" t="s">
        <v>229</v>
      </c>
      <c r="I5657" s="4">
        <v>125766.4408</v>
      </c>
      <c r="J5657" s="4">
        <v>-125766.4408</v>
      </c>
      <c r="L5657" s="4">
        <v>-1</v>
      </c>
    </row>
    <row r="5658" spans="1:12">
      <c r="A5658" t="s">
        <v>107</v>
      </c>
      <c r="B5658" s="10">
        <v>45341</v>
      </c>
      <c r="C5658" s="18">
        <f t="shared" si="88"/>
        <v>2</v>
      </c>
      <c r="D5658" t="s">
        <v>151</v>
      </c>
      <c r="E5658">
        <v>4876098</v>
      </c>
      <c r="F5658" t="s">
        <v>8</v>
      </c>
      <c r="G5658" t="s">
        <v>204</v>
      </c>
      <c r="H5658" t="s">
        <v>214</v>
      </c>
      <c r="I5658" s="4">
        <v>119484.4008</v>
      </c>
      <c r="J5658" s="4">
        <v>1672781.6112000002</v>
      </c>
      <c r="L5658" s="4">
        <v>14</v>
      </c>
    </row>
    <row r="5659" spans="1:12">
      <c r="A5659" t="s">
        <v>107</v>
      </c>
      <c r="B5659" s="10">
        <v>45343</v>
      </c>
      <c r="C5659" s="18">
        <f t="shared" si="88"/>
        <v>2</v>
      </c>
      <c r="D5659" t="s">
        <v>182</v>
      </c>
      <c r="E5659">
        <v>4874538</v>
      </c>
      <c r="F5659" t="s">
        <v>8</v>
      </c>
      <c r="G5659" t="s">
        <v>203</v>
      </c>
      <c r="H5659" t="s">
        <v>239</v>
      </c>
      <c r="I5659" s="4">
        <v>125766.4408</v>
      </c>
      <c r="J5659" s="4">
        <v>125766.4408</v>
      </c>
      <c r="L5659" s="4">
        <v>1</v>
      </c>
    </row>
    <row r="5660" spans="1:12">
      <c r="A5660" t="s">
        <v>107</v>
      </c>
      <c r="B5660" s="10">
        <v>45343</v>
      </c>
      <c r="C5660" s="18">
        <f t="shared" si="88"/>
        <v>2</v>
      </c>
      <c r="D5660" t="s">
        <v>182</v>
      </c>
      <c r="E5660">
        <v>4874538</v>
      </c>
      <c r="F5660" t="s">
        <v>8</v>
      </c>
      <c r="G5660" t="s">
        <v>203</v>
      </c>
      <c r="H5660" t="s">
        <v>229</v>
      </c>
      <c r="I5660" s="4">
        <v>125766.4408</v>
      </c>
      <c r="J5660" s="4">
        <v>125766.4408</v>
      </c>
      <c r="L5660" s="4">
        <v>1</v>
      </c>
    </row>
    <row r="5661" spans="1:12">
      <c r="A5661" t="s">
        <v>107</v>
      </c>
      <c r="B5661" s="10">
        <v>45344</v>
      </c>
      <c r="C5661" s="18">
        <f t="shared" si="88"/>
        <v>2</v>
      </c>
      <c r="D5661" t="s">
        <v>182</v>
      </c>
      <c r="E5661">
        <v>4874538</v>
      </c>
      <c r="F5661" t="s">
        <v>8</v>
      </c>
      <c r="G5661" t="s">
        <v>203</v>
      </c>
      <c r="H5661" t="s">
        <v>222</v>
      </c>
      <c r="I5661" s="4">
        <v>100638.28079999999</v>
      </c>
      <c r="J5661" s="4">
        <v>-100638.28079999999</v>
      </c>
      <c r="L5661" s="4">
        <v>-1</v>
      </c>
    </row>
    <row r="5662" spans="1:12">
      <c r="A5662" t="s">
        <v>107</v>
      </c>
      <c r="B5662" s="10">
        <v>45344</v>
      </c>
      <c r="C5662" s="18">
        <f t="shared" si="88"/>
        <v>2</v>
      </c>
      <c r="D5662" t="s">
        <v>182</v>
      </c>
      <c r="E5662">
        <v>4874538</v>
      </c>
      <c r="F5662" t="s">
        <v>8</v>
      </c>
      <c r="G5662" t="s">
        <v>203</v>
      </c>
      <c r="H5662" t="s">
        <v>231</v>
      </c>
      <c r="I5662" s="4">
        <v>125766.4408</v>
      </c>
      <c r="J5662" s="4">
        <v>125766.4408</v>
      </c>
      <c r="L5662" s="4">
        <v>1</v>
      </c>
    </row>
    <row r="5663" spans="1:12">
      <c r="A5663" t="s">
        <v>107</v>
      </c>
      <c r="B5663" s="10">
        <v>45345</v>
      </c>
      <c r="C5663" s="18">
        <f t="shared" si="88"/>
        <v>2</v>
      </c>
      <c r="D5663" t="s">
        <v>162</v>
      </c>
      <c r="E5663">
        <v>4878188</v>
      </c>
      <c r="F5663" t="s">
        <v>8</v>
      </c>
      <c r="G5663" t="s">
        <v>203</v>
      </c>
      <c r="H5663" t="s">
        <v>243</v>
      </c>
      <c r="I5663" s="4">
        <v>100638.28079999999</v>
      </c>
      <c r="J5663" s="4">
        <v>201276.56159999999</v>
      </c>
      <c r="L5663" s="4">
        <v>2</v>
      </c>
    </row>
    <row r="5664" spans="1:12">
      <c r="A5664" t="s">
        <v>107</v>
      </c>
      <c r="B5664" s="10">
        <v>45345</v>
      </c>
      <c r="C5664" s="18">
        <f t="shared" si="88"/>
        <v>2</v>
      </c>
      <c r="D5664" t="s">
        <v>162</v>
      </c>
      <c r="E5664">
        <v>4878188</v>
      </c>
      <c r="F5664" t="s">
        <v>8</v>
      </c>
      <c r="G5664" t="s">
        <v>203</v>
      </c>
      <c r="H5664" t="s">
        <v>240</v>
      </c>
      <c r="I5664" s="4">
        <v>100638.28079999999</v>
      </c>
      <c r="J5664" s="4">
        <v>201276.56159999999</v>
      </c>
      <c r="L5664" s="4">
        <v>2</v>
      </c>
    </row>
    <row r="5665" spans="1:12">
      <c r="A5665" t="s">
        <v>107</v>
      </c>
      <c r="B5665" s="10">
        <v>45345</v>
      </c>
      <c r="C5665" s="18">
        <f t="shared" si="88"/>
        <v>2</v>
      </c>
      <c r="D5665" t="s">
        <v>162</v>
      </c>
      <c r="E5665">
        <v>4878188</v>
      </c>
      <c r="F5665" t="s">
        <v>8</v>
      </c>
      <c r="G5665" t="s">
        <v>203</v>
      </c>
      <c r="H5665" t="s">
        <v>230</v>
      </c>
      <c r="I5665" s="4">
        <v>100638.28079999999</v>
      </c>
      <c r="J5665" s="4">
        <v>201276.56159999999</v>
      </c>
      <c r="L5665" s="4">
        <v>2</v>
      </c>
    </row>
    <row r="5666" spans="1:12">
      <c r="A5666" t="s">
        <v>107</v>
      </c>
      <c r="B5666" s="10">
        <v>45345</v>
      </c>
      <c r="C5666" s="18">
        <f t="shared" si="88"/>
        <v>2</v>
      </c>
      <c r="D5666" t="s">
        <v>162</v>
      </c>
      <c r="E5666">
        <v>4878188</v>
      </c>
      <c r="F5666" t="s">
        <v>8</v>
      </c>
      <c r="G5666" t="s">
        <v>203</v>
      </c>
      <c r="H5666" t="s">
        <v>228</v>
      </c>
      <c r="I5666" s="4">
        <v>100638.28079999999</v>
      </c>
      <c r="J5666" s="4">
        <v>201276.56159999999</v>
      </c>
      <c r="L5666" s="4">
        <v>2</v>
      </c>
    </row>
    <row r="5667" spans="1:12">
      <c r="A5667" t="s">
        <v>107</v>
      </c>
      <c r="B5667" s="10">
        <v>45345</v>
      </c>
      <c r="C5667" s="18">
        <f t="shared" si="88"/>
        <v>2</v>
      </c>
      <c r="D5667" t="s">
        <v>162</v>
      </c>
      <c r="E5667">
        <v>4874391</v>
      </c>
      <c r="F5667" t="s">
        <v>8</v>
      </c>
      <c r="G5667" t="s">
        <v>203</v>
      </c>
      <c r="H5667" t="s">
        <v>228</v>
      </c>
      <c r="I5667" s="4">
        <v>100638.28079999999</v>
      </c>
      <c r="J5667" s="4">
        <v>402553.12319999997</v>
      </c>
      <c r="L5667" s="4">
        <v>4</v>
      </c>
    </row>
    <row r="5668" spans="1:12">
      <c r="A5668" t="s">
        <v>107</v>
      </c>
      <c r="B5668" s="10">
        <v>45345</v>
      </c>
      <c r="C5668" s="18">
        <f t="shared" si="88"/>
        <v>2</v>
      </c>
      <c r="D5668" t="s">
        <v>182</v>
      </c>
      <c r="E5668">
        <v>4876974</v>
      </c>
      <c r="F5668" t="s">
        <v>8</v>
      </c>
      <c r="G5668" t="s">
        <v>203</v>
      </c>
      <c r="H5668" t="s">
        <v>236</v>
      </c>
      <c r="I5668" s="4">
        <v>100638.28079999999</v>
      </c>
      <c r="J5668" s="4">
        <v>201276.56159999999</v>
      </c>
      <c r="L5668" s="4">
        <v>2</v>
      </c>
    </row>
    <row r="5669" spans="1:12">
      <c r="A5669" t="s">
        <v>107</v>
      </c>
      <c r="B5669" s="10">
        <v>45345</v>
      </c>
      <c r="C5669" s="18">
        <f t="shared" si="88"/>
        <v>2</v>
      </c>
      <c r="D5669" t="s">
        <v>182</v>
      </c>
      <c r="E5669">
        <v>4876974</v>
      </c>
      <c r="F5669" t="s">
        <v>8</v>
      </c>
      <c r="G5669" t="s">
        <v>203</v>
      </c>
      <c r="H5669" t="s">
        <v>234</v>
      </c>
      <c r="I5669" s="4">
        <v>100638.28079999999</v>
      </c>
      <c r="J5669" s="4">
        <v>201276.56159999999</v>
      </c>
      <c r="L5669" s="4">
        <v>2</v>
      </c>
    </row>
    <row r="5670" spans="1:12">
      <c r="A5670" t="s">
        <v>107</v>
      </c>
      <c r="B5670" s="10">
        <v>45345</v>
      </c>
      <c r="C5670" s="18">
        <f t="shared" si="88"/>
        <v>2</v>
      </c>
      <c r="D5670" t="s">
        <v>182</v>
      </c>
      <c r="E5670">
        <v>4876974</v>
      </c>
      <c r="F5670" t="s">
        <v>8</v>
      </c>
      <c r="G5670" t="s">
        <v>203</v>
      </c>
      <c r="H5670" t="s">
        <v>223</v>
      </c>
      <c r="I5670" s="4">
        <v>100638.28079999999</v>
      </c>
      <c r="J5670" s="4">
        <v>201276.56159999999</v>
      </c>
      <c r="L5670" s="4">
        <v>2</v>
      </c>
    </row>
    <row r="5671" spans="1:12">
      <c r="A5671" t="s">
        <v>107</v>
      </c>
      <c r="B5671" s="10">
        <v>45350</v>
      </c>
      <c r="C5671" s="18">
        <f t="shared" si="88"/>
        <v>2</v>
      </c>
      <c r="D5671" t="s">
        <v>189</v>
      </c>
      <c r="E5671">
        <v>4876797</v>
      </c>
      <c r="F5671" t="s">
        <v>8</v>
      </c>
      <c r="G5671" t="s">
        <v>203</v>
      </c>
      <c r="H5671" t="s">
        <v>235</v>
      </c>
      <c r="I5671" s="4">
        <v>125766.4408</v>
      </c>
      <c r="J5671" s="4">
        <v>251532.88159999999</v>
      </c>
      <c r="K5671" s="4">
        <v>-11697.15848</v>
      </c>
      <c r="L5671" s="4">
        <v>2</v>
      </c>
    </row>
    <row r="5672" spans="1:12">
      <c r="A5672" t="s">
        <v>107</v>
      </c>
      <c r="B5672" s="10">
        <v>45351</v>
      </c>
      <c r="C5672" s="18">
        <f t="shared" si="88"/>
        <v>2</v>
      </c>
      <c r="D5672" t="s">
        <v>154</v>
      </c>
      <c r="E5672">
        <v>4874955</v>
      </c>
      <c r="F5672" t="s">
        <v>8</v>
      </c>
      <c r="G5672" t="s">
        <v>203</v>
      </c>
      <c r="H5672" t="s">
        <v>234</v>
      </c>
      <c r="I5672" s="4">
        <v>100638.28079999999</v>
      </c>
      <c r="J5672" s="4">
        <v>402553.12319999997</v>
      </c>
      <c r="L5672" s="4">
        <v>4</v>
      </c>
    </row>
    <row r="5673" spans="1:12">
      <c r="A5673" t="s">
        <v>107</v>
      </c>
      <c r="B5673" s="10">
        <v>45351</v>
      </c>
      <c r="C5673" s="18">
        <f t="shared" si="88"/>
        <v>2</v>
      </c>
      <c r="D5673" t="s">
        <v>154</v>
      </c>
      <c r="E5673">
        <v>4874955</v>
      </c>
      <c r="F5673" t="s">
        <v>8</v>
      </c>
      <c r="G5673" t="s">
        <v>203</v>
      </c>
      <c r="H5673" t="s">
        <v>232</v>
      </c>
      <c r="I5673" s="4">
        <v>100638.28079999999</v>
      </c>
      <c r="J5673" s="4">
        <v>402553.12319999997</v>
      </c>
      <c r="L5673" s="4">
        <v>4</v>
      </c>
    </row>
    <row r="5674" spans="1:12">
      <c r="A5674" t="s">
        <v>93</v>
      </c>
      <c r="B5674" s="10">
        <v>45325</v>
      </c>
      <c r="C5674" s="18">
        <f t="shared" si="88"/>
        <v>2</v>
      </c>
      <c r="D5674" t="s">
        <v>184</v>
      </c>
      <c r="E5674">
        <v>4876484</v>
      </c>
      <c r="F5674" t="s">
        <v>89</v>
      </c>
      <c r="G5674" t="s">
        <v>203</v>
      </c>
      <c r="H5674" t="s">
        <v>242</v>
      </c>
      <c r="I5674" s="4">
        <v>100638.28079999999</v>
      </c>
      <c r="J5674" s="4">
        <v>201276.56159999999</v>
      </c>
      <c r="L5674" s="4">
        <v>2</v>
      </c>
    </row>
    <row r="5675" spans="1:12">
      <c r="A5675" t="s">
        <v>93</v>
      </c>
      <c r="B5675" s="10">
        <v>45325</v>
      </c>
      <c r="C5675" s="18">
        <f t="shared" si="88"/>
        <v>2</v>
      </c>
      <c r="D5675" t="s">
        <v>184</v>
      </c>
      <c r="E5675">
        <v>4876484</v>
      </c>
      <c r="F5675" t="s">
        <v>89</v>
      </c>
      <c r="G5675" t="s">
        <v>203</v>
      </c>
      <c r="H5675" t="s">
        <v>238</v>
      </c>
      <c r="I5675" s="4">
        <v>95606.36675999999</v>
      </c>
      <c r="J5675" s="4">
        <v>191212.73351999998</v>
      </c>
      <c r="L5675" s="4">
        <v>2</v>
      </c>
    </row>
    <row r="5676" spans="1:12">
      <c r="A5676" t="s">
        <v>93</v>
      </c>
      <c r="B5676" s="10">
        <v>45325</v>
      </c>
      <c r="C5676" s="18">
        <f t="shared" si="88"/>
        <v>2</v>
      </c>
      <c r="D5676" t="s">
        <v>184</v>
      </c>
      <c r="E5676">
        <v>4876484</v>
      </c>
      <c r="F5676" t="s">
        <v>89</v>
      </c>
      <c r="G5676" t="s">
        <v>203</v>
      </c>
      <c r="H5676" t="s">
        <v>223</v>
      </c>
      <c r="I5676" s="4">
        <v>100638.28079999999</v>
      </c>
      <c r="J5676" s="4">
        <v>201276.56159999999</v>
      </c>
      <c r="L5676" s="4">
        <v>2</v>
      </c>
    </row>
    <row r="5677" spans="1:12">
      <c r="A5677" t="s">
        <v>93</v>
      </c>
      <c r="B5677" s="10">
        <v>45326</v>
      </c>
      <c r="C5677" s="18">
        <f t="shared" si="88"/>
        <v>2</v>
      </c>
      <c r="D5677" t="s">
        <v>184</v>
      </c>
      <c r="E5677">
        <v>4873678</v>
      </c>
      <c r="F5677" t="s">
        <v>90</v>
      </c>
      <c r="G5677" t="s">
        <v>204</v>
      </c>
      <c r="H5677" t="s">
        <v>219</v>
      </c>
      <c r="I5677" s="4">
        <v>44099.9208</v>
      </c>
      <c r="J5677" s="4">
        <v>220499.60399999999</v>
      </c>
      <c r="L5677" s="4">
        <v>5</v>
      </c>
    </row>
    <row r="5678" spans="1:12">
      <c r="A5678" t="s">
        <v>93</v>
      </c>
      <c r="B5678" s="10">
        <v>45326</v>
      </c>
      <c r="C5678" s="18">
        <f t="shared" si="88"/>
        <v>2</v>
      </c>
      <c r="D5678" t="s">
        <v>184</v>
      </c>
      <c r="E5678">
        <v>4873678</v>
      </c>
      <c r="F5678" t="s">
        <v>90</v>
      </c>
      <c r="G5678" t="s">
        <v>204</v>
      </c>
      <c r="H5678" t="s">
        <v>217</v>
      </c>
      <c r="I5678" s="4">
        <v>78022.936799999996</v>
      </c>
      <c r="J5678" s="4">
        <v>156045.87359999999</v>
      </c>
      <c r="L5678" s="4">
        <v>2</v>
      </c>
    </row>
    <row r="5679" spans="1:12">
      <c r="A5679" t="s">
        <v>93</v>
      </c>
      <c r="B5679" s="10">
        <v>45350</v>
      </c>
      <c r="C5679" s="18">
        <f t="shared" si="88"/>
        <v>2</v>
      </c>
      <c r="D5679" t="s">
        <v>184</v>
      </c>
      <c r="E5679">
        <v>4873371</v>
      </c>
      <c r="F5679" t="s">
        <v>87</v>
      </c>
      <c r="G5679" t="s">
        <v>203</v>
      </c>
      <c r="H5679" t="s">
        <v>236</v>
      </c>
      <c r="I5679" s="4">
        <v>100638.28079999999</v>
      </c>
      <c r="J5679" s="4">
        <v>201276.56159999999</v>
      </c>
      <c r="L5679" s="4">
        <v>2</v>
      </c>
    </row>
    <row r="5680" spans="1:12">
      <c r="A5680" t="s">
        <v>93</v>
      </c>
      <c r="B5680" s="10">
        <v>45350</v>
      </c>
      <c r="C5680" s="18">
        <f t="shared" si="88"/>
        <v>2</v>
      </c>
      <c r="D5680" t="s">
        <v>184</v>
      </c>
      <c r="E5680">
        <v>4873371</v>
      </c>
      <c r="F5680" t="s">
        <v>87</v>
      </c>
      <c r="G5680" t="s">
        <v>203</v>
      </c>
      <c r="H5680" t="s">
        <v>228</v>
      </c>
      <c r="I5680" s="4">
        <v>100638.28079999999</v>
      </c>
      <c r="J5680" s="4">
        <v>402553.12319999997</v>
      </c>
      <c r="L5680" s="4">
        <v>4</v>
      </c>
    </row>
    <row r="5681" spans="1:12">
      <c r="A5681" t="s">
        <v>93</v>
      </c>
      <c r="B5681" s="10">
        <v>45350</v>
      </c>
      <c r="C5681" s="18">
        <f t="shared" si="88"/>
        <v>2</v>
      </c>
      <c r="D5681" t="s">
        <v>184</v>
      </c>
      <c r="E5681">
        <v>4878605</v>
      </c>
      <c r="F5681" t="s">
        <v>87</v>
      </c>
      <c r="G5681" t="s">
        <v>203</v>
      </c>
      <c r="H5681" t="s">
        <v>236</v>
      </c>
      <c r="I5681" s="4">
        <v>100638.28079999999</v>
      </c>
      <c r="J5681" s="4">
        <v>603829.68479999993</v>
      </c>
      <c r="L5681" s="4">
        <v>6</v>
      </c>
    </row>
    <row r="5682" spans="1:12">
      <c r="A5682" t="s">
        <v>93</v>
      </c>
      <c r="B5682" s="10">
        <v>45350</v>
      </c>
      <c r="C5682" s="18">
        <f t="shared" si="88"/>
        <v>2</v>
      </c>
      <c r="D5682" t="s">
        <v>184</v>
      </c>
      <c r="E5682">
        <v>4878605</v>
      </c>
      <c r="F5682" t="s">
        <v>87</v>
      </c>
      <c r="G5682" t="s">
        <v>203</v>
      </c>
      <c r="H5682" t="s">
        <v>224</v>
      </c>
      <c r="I5682" s="4">
        <v>100638.28079999999</v>
      </c>
      <c r="J5682" s="4">
        <v>402553.12319999997</v>
      </c>
      <c r="L5682" s="4">
        <v>4</v>
      </c>
    </row>
    <row r="5683" spans="1:12">
      <c r="A5683" t="s">
        <v>95</v>
      </c>
      <c r="B5683" s="10">
        <v>45328</v>
      </c>
      <c r="C5683" s="18">
        <f t="shared" si="88"/>
        <v>2</v>
      </c>
      <c r="D5683" t="s">
        <v>188</v>
      </c>
      <c r="E5683">
        <v>4876393</v>
      </c>
      <c r="F5683" t="s">
        <v>87</v>
      </c>
      <c r="G5683" t="s">
        <v>203</v>
      </c>
      <c r="H5683" t="s">
        <v>225</v>
      </c>
      <c r="I5683" s="4">
        <v>100638.28079999999</v>
      </c>
      <c r="J5683" s="4">
        <v>402553.12319999997</v>
      </c>
      <c r="L5683" s="4">
        <v>4</v>
      </c>
    </row>
    <row r="5684" spans="1:12">
      <c r="A5684" t="s">
        <v>95</v>
      </c>
      <c r="B5684" s="10">
        <v>45328</v>
      </c>
      <c r="C5684" s="18">
        <f t="shared" si="88"/>
        <v>2</v>
      </c>
      <c r="D5684" t="s">
        <v>188</v>
      </c>
      <c r="E5684">
        <v>4878830</v>
      </c>
      <c r="F5684" t="s">
        <v>90</v>
      </c>
      <c r="G5684" t="s">
        <v>203</v>
      </c>
      <c r="H5684" t="s">
        <v>224</v>
      </c>
      <c r="I5684" s="4">
        <v>100638.28079999999</v>
      </c>
      <c r="J5684" s="4">
        <v>1006382.808</v>
      </c>
      <c r="L5684" s="4">
        <v>10</v>
      </c>
    </row>
    <row r="5685" spans="1:12">
      <c r="A5685" t="s">
        <v>95</v>
      </c>
      <c r="B5685" s="10">
        <v>45328</v>
      </c>
      <c r="C5685" s="18">
        <f t="shared" si="88"/>
        <v>2</v>
      </c>
      <c r="D5685" t="s">
        <v>188</v>
      </c>
      <c r="E5685">
        <v>4876079</v>
      </c>
      <c r="F5685" t="s">
        <v>87</v>
      </c>
      <c r="G5685" t="s">
        <v>203</v>
      </c>
      <c r="H5685" t="s">
        <v>225</v>
      </c>
      <c r="I5685" s="4">
        <v>100638.28079999999</v>
      </c>
      <c r="J5685" s="4">
        <v>402553.12319999997</v>
      </c>
      <c r="L5685" s="4">
        <v>4</v>
      </c>
    </row>
    <row r="5686" spans="1:12">
      <c r="A5686" t="s">
        <v>95</v>
      </c>
      <c r="B5686" s="10">
        <v>45328</v>
      </c>
      <c r="C5686" s="18">
        <f t="shared" si="88"/>
        <v>2</v>
      </c>
      <c r="D5686" t="s">
        <v>188</v>
      </c>
      <c r="E5686">
        <v>4876079</v>
      </c>
      <c r="F5686" t="s">
        <v>87</v>
      </c>
      <c r="G5686" t="s">
        <v>203</v>
      </c>
      <c r="H5686" t="s">
        <v>237</v>
      </c>
      <c r="I5686" s="4">
        <v>125766.4408</v>
      </c>
      <c r="J5686" s="4">
        <v>251532.88159999999</v>
      </c>
      <c r="L5686" s="4">
        <v>2</v>
      </c>
    </row>
    <row r="5687" spans="1:12">
      <c r="A5687" t="s">
        <v>95</v>
      </c>
      <c r="B5687" s="10">
        <v>45329</v>
      </c>
      <c r="C5687" s="18">
        <f t="shared" si="88"/>
        <v>2</v>
      </c>
      <c r="D5687" t="s">
        <v>188</v>
      </c>
      <c r="E5687">
        <v>4876784</v>
      </c>
      <c r="F5687" t="s">
        <v>87</v>
      </c>
      <c r="G5687" t="s">
        <v>203</v>
      </c>
      <c r="H5687" t="s">
        <v>222</v>
      </c>
      <c r="I5687" s="4">
        <v>100638.28079999999</v>
      </c>
      <c r="J5687" s="4">
        <v>402553.12319999997</v>
      </c>
      <c r="L5687" s="4">
        <v>4</v>
      </c>
    </row>
    <row r="5688" spans="1:12">
      <c r="A5688" t="s">
        <v>95</v>
      </c>
      <c r="B5688" s="10">
        <v>45330</v>
      </c>
      <c r="C5688" s="18">
        <f t="shared" si="88"/>
        <v>2</v>
      </c>
      <c r="D5688" t="s">
        <v>188</v>
      </c>
      <c r="E5688">
        <v>4876011</v>
      </c>
      <c r="F5688" t="s">
        <v>87</v>
      </c>
      <c r="G5688" t="s">
        <v>203</v>
      </c>
      <c r="H5688" t="s">
        <v>225</v>
      </c>
      <c r="I5688" s="4">
        <v>100638.28079999999</v>
      </c>
      <c r="J5688" s="4">
        <v>402553.12319999997</v>
      </c>
      <c r="L5688" s="4">
        <v>4</v>
      </c>
    </row>
    <row r="5689" spans="1:12">
      <c r="A5689" t="s">
        <v>95</v>
      </c>
      <c r="B5689" s="10">
        <v>45332</v>
      </c>
      <c r="C5689" s="18">
        <f t="shared" si="88"/>
        <v>2</v>
      </c>
      <c r="D5689" t="s">
        <v>188</v>
      </c>
      <c r="E5689">
        <v>4878040</v>
      </c>
      <c r="F5689" t="s">
        <v>88</v>
      </c>
      <c r="G5689" t="s">
        <v>203</v>
      </c>
      <c r="H5689" t="s">
        <v>238</v>
      </c>
      <c r="I5689" s="4">
        <v>95606.36675999999</v>
      </c>
      <c r="J5689" s="4">
        <v>191212.73351999998</v>
      </c>
      <c r="L5689" s="4">
        <v>2</v>
      </c>
    </row>
    <row r="5690" spans="1:12">
      <c r="A5690" t="s">
        <v>95</v>
      </c>
      <c r="B5690" s="10">
        <v>45333</v>
      </c>
      <c r="C5690" s="18">
        <f t="shared" si="88"/>
        <v>2</v>
      </c>
      <c r="D5690" t="s">
        <v>188</v>
      </c>
      <c r="E5690">
        <v>4877183</v>
      </c>
      <c r="F5690" t="s">
        <v>90</v>
      </c>
      <c r="G5690" t="s">
        <v>203</v>
      </c>
      <c r="H5690" t="s">
        <v>230</v>
      </c>
      <c r="I5690" s="4">
        <v>100638.28079999999</v>
      </c>
      <c r="J5690" s="4">
        <v>201276.56159999999</v>
      </c>
      <c r="L5690" s="4">
        <v>2</v>
      </c>
    </row>
    <row r="5691" spans="1:12">
      <c r="A5691" t="s">
        <v>95</v>
      </c>
      <c r="B5691" s="10">
        <v>45333</v>
      </c>
      <c r="C5691" s="18">
        <f t="shared" si="88"/>
        <v>2</v>
      </c>
      <c r="D5691" t="s">
        <v>188</v>
      </c>
      <c r="E5691">
        <v>4877183</v>
      </c>
      <c r="F5691" t="s">
        <v>90</v>
      </c>
      <c r="G5691" t="s">
        <v>203</v>
      </c>
      <c r="H5691" t="s">
        <v>229</v>
      </c>
      <c r="I5691" s="4">
        <v>125766.4408</v>
      </c>
      <c r="J5691" s="4">
        <v>251532.88159999999</v>
      </c>
      <c r="L5691" s="4">
        <v>2</v>
      </c>
    </row>
    <row r="5692" spans="1:12">
      <c r="A5692" t="s">
        <v>95</v>
      </c>
      <c r="B5692" s="10">
        <v>45333</v>
      </c>
      <c r="C5692" s="18">
        <f t="shared" si="88"/>
        <v>2</v>
      </c>
      <c r="D5692" t="s">
        <v>188</v>
      </c>
      <c r="E5692">
        <v>4877183</v>
      </c>
      <c r="F5692" t="s">
        <v>90</v>
      </c>
      <c r="G5692" t="s">
        <v>205</v>
      </c>
      <c r="H5692" t="s">
        <v>211</v>
      </c>
      <c r="I5692" s="4">
        <v>5151.2727999999997</v>
      </c>
      <c r="J5692" s="4">
        <v>51512.727999999996</v>
      </c>
      <c r="L5692" s="4">
        <v>10</v>
      </c>
    </row>
    <row r="5693" spans="1:12">
      <c r="A5693" t="s">
        <v>95</v>
      </c>
      <c r="B5693" s="10">
        <v>45333</v>
      </c>
      <c r="C5693" s="18">
        <f t="shared" si="88"/>
        <v>2</v>
      </c>
      <c r="D5693" t="s">
        <v>188</v>
      </c>
      <c r="E5693">
        <v>4875913</v>
      </c>
      <c r="F5693" t="s">
        <v>87</v>
      </c>
      <c r="G5693" t="s">
        <v>205</v>
      </c>
      <c r="H5693" t="s">
        <v>210</v>
      </c>
      <c r="I5693" s="4">
        <v>7538.4479999999994</v>
      </c>
      <c r="J5693" s="4">
        <v>30153.791999999998</v>
      </c>
      <c r="L5693" s="4">
        <v>4</v>
      </c>
    </row>
    <row r="5694" spans="1:12">
      <c r="A5694" t="s">
        <v>95</v>
      </c>
      <c r="B5694" s="10">
        <v>45333</v>
      </c>
      <c r="C5694" s="18">
        <f t="shared" si="88"/>
        <v>2</v>
      </c>
      <c r="D5694" t="s">
        <v>188</v>
      </c>
      <c r="E5694">
        <v>4875913</v>
      </c>
      <c r="F5694" t="s">
        <v>87</v>
      </c>
      <c r="G5694" t="s">
        <v>205</v>
      </c>
      <c r="H5694" t="s">
        <v>211</v>
      </c>
      <c r="I5694" s="4">
        <v>5151.2727999999997</v>
      </c>
      <c r="J5694" s="4">
        <v>20605.091199999999</v>
      </c>
      <c r="L5694" s="4">
        <v>4</v>
      </c>
    </row>
    <row r="5695" spans="1:12">
      <c r="A5695" t="s">
        <v>95</v>
      </c>
      <c r="B5695" s="10">
        <v>45334</v>
      </c>
      <c r="C5695" s="18">
        <f t="shared" si="88"/>
        <v>2</v>
      </c>
      <c r="D5695" t="s">
        <v>188</v>
      </c>
      <c r="E5695">
        <v>4876604</v>
      </c>
      <c r="F5695" t="s">
        <v>87</v>
      </c>
      <c r="G5695" t="s">
        <v>203</v>
      </c>
      <c r="H5695" t="s">
        <v>225</v>
      </c>
      <c r="I5695" s="4">
        <v>100638.28079999999</v>
      </c>
      <c r="J5695" s="4">
        <v>301914.84239999996</v>
      </c>
      <c r="L5695" s="4">
        <v>3</v>
      </c>
    </row>
    <row r="5696" spans="1:12">
      <c r="A5696" t="s">
        <v>95</v>
      </c>
      <c r="B5696" s="10">
        <v>45334</v>
      </c>
      <c r="C5696" s="18">
        <f t="shared" si="88"/>
        <v>2</v>
      </c>
      <c r="D5696" t="s">
        <v>188</v>
      </c>
      <c r="E5696">
        <v>4878040</v>
      </c>
      <c r="F5696" t="s">
        <v>88</v>
      </c>
      <c r="G5696" t="s">
        <v>203</v>
      </c>
      <c r="H5696" t="s">
        <v>234</v>
      </c>
      <c r="I5696" s="4">
        <v>100638.28079999999</v>
      </c>
      <c r="J5696" s="4">
        <v>201276.56159999999</v>
      </c>
      <c r="L5696" s="4">
        <v>2</v>
      </c>
    </row>
    <row r="5697" spans="1:12">
      <c r="A5697" t="s">
        <v>95</v>
      </c>
      <c r="B5697" s="10">
        <v>45334</v>
      </c>
      <c r="C5697" s="18">
        <f t="shared" si="88"/>
        <v>2</v>
      </c>
      <c r="D5697" t="s">
        <v>188</v>
      </c>
      <c r="E5697">
        <v>4878040</v>
      </c>
      <c r="F5697" t="s">
        <v>88</v>
      </c>
      <c r="G5697" t="s">
        <v>205</v>
      </c>
      <c r="H5697" t="s">
        <v>210</v>
      </c>
      <c r="I5697" s="4">
        <v>7538.4479999999994</v>
      </c>
      <c r="J5697" s="4">
        <v>22615.343999999997</v>
      </c>
      <c r="L5697" s="4">
        <v>3</v>
      </c>
    </row>
    <row r="5698" spans="1:12">
      <c r="A5698" t="s">
        <v>95</v>
      </c>
      <c r="B5698" s="10">
        <v>45334</v>
      </c>
      <c r="C5698" s="18">
        <f t="shared" ref="C5698:C5761" si="89">MONTH(B5698)</f>
        <v>2</v>
      </c>
      <c r="D5698" t="s">
        <v>188</v>
      </c>
      <c r="E5698">
        <v>4878040</v>
      </c>
      <c r="F5698" t="s">
        <v>88</v>
      </c>
      <c r="G5698" t="s">
        <v>205</v>
      </c>
      <c r="H5698" t="s">
        <v>211</v>
      </c>
      <c r="I5698" s="4">
        <v>5151.2727999999997</v>
      </c>
      <c r="J5698" s="4">
        <v>15453.8184</v>
      </c>
      <c r="L5698" s="4">
        <v>3</v>
      </c>
    </row>
    <row r="5699" spans="1:12">
      <c r="A5699" t="s">
        <v>95</v>
      </c>
      <c r="B5699" s="10">
        <v>45335</v>
      </c>
      <c r="C5699" s="18">
        <f t="shared" si="89"/>
        <v>2</v>
      </c>
      <c r="D5699" t="s">
        <v>188</v>
      </c>
      <c r="E5699">
        <v>4878040</v>
      </c>
      <c r="F5699" t="s">
        <v>88</v>
      </c>
      <c r="G5699" t="s">
        <v>203</v>
      </c>
      <c r="H5699" t="s">
        <v>230</v>
      </c>
      <c r="I5699" s="4">
        <v>100638.28079999999</v>
      </c>
      <c r="J5699" s="4">
        <v>201276.56159999999</v>
      </c>
      <c r="L5699" s="4">
        <v>2</v>
      </c>
    </row>
    <row r="5700" spans="1:12">
      <c r="A5700" t="s">
        <v>95</v>
      </c>
      <c r="B5700" s="10">
        <v>45336</v>
      </c>
      <c r="C5700" s="18">
        <f t="shared" si="89"/>
        <v>2</v>
      </c>
      <c r="D5700" t="s">
        <v>188</v>
      </c>
      <c r="E5700">
        <v>4876149</v>
      </c>
      <c r="F5700" t="s">
        <v>88</v>
      </c>
      <c r="G5700" t="s">
        <v>203</v>
      </c>
      <c r="H5700" t="s">
        <v>229</v>
      </c>
      <c r="I5700" s="4">
        <v>125766.4408</v>
      </c>
      <c r="J5700" s="4">
        <v>377299.3224</v>
      </c>
      <c r="L5700" s="4">
        <v>3</v>
      </c>
    </row>
    <row r="5701" spans="1:12">
      <c r="A5701" t="s">
        <v>95</v>
      </c>
      <c r="B5701" s="10">
        <v>45336</v>
      </c>
      <c r="C5701" s="18">
        <f t="shared" si="89"/>
        <v>2</v>
      </c>
      <c r="D5701" t="s">
        <v>188</v>
      </c>
      <c r="E5701">
        <v>4877327</v>
      </c>
      <c r="F5701" t="s">
        <v>90</v>
      </c>
      <c r="G5701" t="s">
        <v>205</v>
      </c>
      <c r="H5701" t="s">
        <v>211</v>
      </c>
      <c r="I5701" s="4">
        <v>5151.2727999999997</v>
      </c>
      <c r="J5701" s="4">
        <v>25756.363999999998</v>
      </c>
      <c r="L5701" s="4">
        <v>5</v>
      </c>
    </row>
    <row r="5702" spans="1:12">
      <c r="A5702" t="s">
        <v>95</v>
      </c>
      <c r="B5702" s="10">
        <v>45339</v>
      </c>
      <c r="C5702" s="18">
        <f t="shared" si="89"/>
        <v>2</v>
      </c>
      <c r="D5702" t="s">
        <v>188</v>
      </c>
      <c r="E5702">
        <v>4875913</v>
      </c>
      <c r="F5702" t="s">
        <v>87</v>
      </c>
      <c r="G5702" t="s">
        <v>203</v>
      </c>
      <c r="H5702" t="s">
        <v>237</v>
      </c>
      <c r="I5702" s="4">
        <v>125766.4408</v>
      </c>
      <c r="J5702" s="4">
        <v>125766.4408</v>
      </c>
      <c r="L5702" s="4">
        <v>1</v>
      </c>
    </row>
    <row r="5703" spans="1:12">
      <c r="A5703" t="s">
        <v>95</v>
      </c>
      <c r="B5703" s="10">
        <v>45341</v>
      </c>
      <c r="C5703" s="18">
        <f t="shared" si="89"/>
        <v>2</v>
      </c>
      <c r="D5703" t="s">
        <v>188</v>
      </c>
      <c r="E5703">
        <v>4875985</v>
      </c>
      <c r="F5703" t="s">
        <v>90</v>
      </c>
      <c r="G5703" t="s">
        <v>205</v>
      </c>
      <c r="H5703" t="s">
        <v>211</v>
      </c>
      <c r="I5703" s="4">
        <v>5151.2727999999997</v>
      </c>
      <c r="J5703" s="4">
        <v>51512.727999999996</v>
      </c>
      <c r="L5703" s="4">
        <v>10</v>
      </c>
    </row>
    <row r="5704" spans="1:12">
      <c r="A5704" t="s">
        <v>95</v>
      </c>
      <c r="B5704" s="10">
        <v>45341</v>
      </c>
      <c r="C5704" s="18">
        <f t="shared" si="89"/>
        <v>2</v>
      </c>
      <c r="D5704" t="s">
        <v>188</v>
      </c>
      <c r="E5704">
        <v>4876482</v>
      </c>
      <c r="F5704" t="s">
        <v>90</v>
      </c>
      <c r="G5704" t="s">
        <v>203</v>
      </c>
      <c r="H5704" t="s">
        <v>232</v>
      </c>
      <c r="I5704" s="4">
        <v>100638.28079999999</v>
      </c>
      <c r="J5704" s="4">
        <v>100638.28079999999</v>
      </c>
      <c r="L5704" s="4">
        <v>1</v>
      </c>
    </row>
    <row r="5705" spans="1:12">
      <c r="A5705" t="s">
        <v>95</v>
      </c>
      <c r="B5705" s="10">
        <v>45342</v>
      </c>
      <c r="C5705" s="18">
        <f t="shared" si="89"/>
        <v>2</v>
      </c>
      <c r="D5705" t="s">
        <v>188</v>
      </c>
      <c r="E5705">
        <v>4876241</v>
      </c>
      <c r="F5705" t="s">
        <v>89</v>
      </c>
      <c r="G5705" t="s">
        <v>203</v>
      </c>
      <c r="H5705" t="s">
        <v>225</v>
      </c>
      <c r="I5705" s="4">
        <v>100638.28079999999</v>
      </c>
      <c r="J5705" s="4">
        <v>603829.68479999993</v>
      </c>
      <c r="L5705" s="4">
        <v>6</v>
      </c>
    </row>
    <row r="5706" spans="1:12">
      <c r="A5706" t="s">
        <v>95</v>
      </c>
      <c r="B5706" s="10">
        <v>45343</v>
      </c>
      <c r="C5706" s="18">
        <f t="shared" si="89"/>
        <v>2</v>
      </c>
      <c r="D5706" t="s">
        <v>188</v>
      </c>
      <c r="E5706">
        <v>4876241</v>
      </c>
      <c r="F5706" t="s">
        <v>89</v>
      </c>
      <c r="G5706" t="s">
        <v>203</v>
      </c>
      <c r="H5706" t="s">
        <v>232</v>
      </c>
      <c r="I5706" s="4">
        <v>100638.28079999999</v>
      </c>
      <c r="J5706" s="4">
        <v>402553.12319999997</v>
      </c>
      <c r="L5706" s="4">
        <v>4</v>
      </c>
    </row>
    <row r="5707" spans="1:12">
      <c r="A5707" t="s">
        <v>95</v>
      </c>
      <c r="B5707" s="10">
        <v>45343</v>
      </c>
      <c r="C5707" s="18">
        <f t="shared" si="89"/>
        <v>2</v>
      </c>
      <c r="D5707" t="s">
        <v>188</v>
      </c>
      <c r="E5707">
        <v>4878859</v>
      </c>
      <c r="F5707" t="s">
        <v>87</v>
      </c>
      <c r="G5707" t="s">
        <v>203</v>
      </c>
      <c r="H5707" t="s">
        <v>230</v>
      </c>
      <c r="I5707" s="4">
        <v>100638.28079999999</v>
      </c>
      <c r="J5707" s="4">
        <v>1006382.808</v>
      </c>
      <c r="L5707" s="4">
        <v>10</v>
      </c>
    </row>
    <row r="5708" spans="1:12">
      <c r="A5708" t="s">
        <v>95</v>
      </c>
      <c r="B5708" s="10">
        <v>45344</v>
      </c>
      <c r="C5708" s="18">
        <f t="shared" si="89"/>
        <v>2</v>
      </c>
      <c r="D5708" t="s">
        <v>188</v>
      </c>
      <c r="E5708">
        <v>4876014</v>
      </c>
      <c r="F5708" t="s">
        <v>87</v>
      </c>
      <c r="G5708" t="s">
        <v>205</v>
      </c>
      <c r="H5708" t="s">
        <v>210</v>
      </c>
      <c r="I5708" s="4">
        <v>7538.4479999999994</v>
      </c>
      <c r="J5708" s="4">
        <v>37692.239999999998</v>
      </c>
      <c r="L5708" s="4">
        <v>5</v>
      </c>
    </row>
    <row r="5709" spans="1:12">
      <c r="A5709" t="s">
        <v>95</v>
      </c>
      <c r="B5709" s="10">
        <v>45344</v>
      </c>
      <c r="C5709" s="18">
        <f t="shared" si="89"/>
        <v>2</v>
      </c>
      <c r="D5709" t="s">
        <v>188</v>
      </c>
      <c r="E5709">
        <v>4876014</v>
      </c>
      <c r="F5709" t="s">
        <v>87</v>
      </c>
      <c r="G5709" t="s">
        <v>205</v>
      </c>
      <c r="H5709" t="s">
        <v>211</v>
      </c>
      <c r="I5709" s="4">
        <v>5151.2727999999997</v>
      </c>
      <c r="J5709" s="4">
        <v>51512.727999999996</v>
      </c>
      <c r="L5709" s="4">
        <v>10</v>
      </c>
    </row>
    <row r="5710" spans="1:12">
      <c r="A5710" t="s">
        <v>95</v>
      </c>
      <c r="B5710" s="10">
        <v>45344</v>
      </c>
      <c r="C5710" s="18">
        <f t="shared" si="89"/>
        <v>2</v>
      </c>
      <c r="D5710" t="s">
        <v>188</v>
      </c>
      <c r="E5710">
        <v>4877327</v>
      </c>
      <c r="F5710" t="s">
        <v>90</v>
      </c>
      <c r="G5710" t="s">
        <v>203</v>
      </c>
      <c r="H5710" t="s">
        <v>230</v>
      </c>
      <c r="I5710" s="4">
        <v>100638.28079999999</v>
      </c>
      <c r="J5710" s="4">
        <v>201276.56159999999</v>
      </c>
      <c r="L5710" s="4">
        <v>2</v>
      </c>
    </row>
    <row r="5711" spans="1:12">
      <c r="A5711" t="s">
        <v>95</v>
      </c>
      <c r="B5711" s="10">
        <v>45344</v>
      </c>
      <c r="C5711" s="18">
        <f t="shared" si="89"/>
        <v>2</v>
      </c>
      <c r="D5711" t="s">
        <v>188</v>
      </c>
      <c r="E5711">
        <v>4875913</v>
      </c>
      <c r="F5711" t="s">
        <v>87</v>
      </c>
      <c r="G5711" t="s">
        <v>203</v>
      </c>
      <c r="H5711" t="s">
        <v>230</v>
      </c>
      <c r="I5711" s="4">
        <v>100638.28079999999</v>
      </c>
      <c r="J5711" s="4">
        <v>100638.28079999999</v>
      </c>
      <c r="L5711" s="4">
        <v>1</v>
      </c>
    </row>
    <row r="5712" spans="1:12">
      <c r="A5712" t="s">
        <v>95</v>
      </c>
      <c r="B5712" s="10">
        <v>45348</v>
      </c>
      <c r="C5712" s="18">
        <f t="shared" si="89"/>
        <v>2</v>
      </c>
      <c r="D5712" t="s">
        <v>188</v>
      </c>
      <c r="E5712">
        <v>4876173</v>
      </c>
      <c r="F5712" t="s">
        <v>90</v>
      </c>
      <c r="G5712" t="s">
        <v>205</v>
      </c>
      <c r="H5712" t="s">
        <v>211</v>
      </c>
      <c r="I5712" s="4">
        <v>5151.2727999999997</v>
      </c>
      <c r="J5712" s="4">
        <v>10302.545599999999</v>
      </c>
      <c r="L5712" s="4">
        <v>2</v>
      </c>
    </row>
    <row r="5713" spans="1:12">
      <c r="A5713" t="s">
        <v>95</v>
      </c>
      <c r="B5713" s="10">
        <v>45349</v>
      </c>
      <c r="C5713" s="18">
        <f t="shared" si="89"/>
        <v>2</v>
      </c>
      <c r="D5713" t="s">
        <v>188</v>
      </c>
      <c r="E5713">
        <v>4877018</v>
      </c>
      <c r="F5713" t="s">
        <v>89</v>
      </c>
      <c r="G5713" t="s">
        <v>203</v>
      </c>
      <c r="H5713" t="s">
        <v>230</v>
      </c>
      <c r="I5713" s="4">
        <v>100638.28079999999</v>
      </c>
      <c r="J5713" s="4">
        <v>1006382.808</v>
      </c>
      <c r="L5713" s="4">
        <v>10</v>
      </c>
    </row>
    <row r="5714" spans="1:12">
      <c r="A5714" t="s">
        <v>95</v>
      </c>
      <c r="B5714" s="10">
        <v>45349</v>
      </c>
      <c r="C5714" s="18">
        <f t="shared" si="89"/>
        <v>2</v>
      </c>
      <c r="D5714" t="s">
        <v>188</v>
      </c>
      <c r="E5714">
        <v>4877018</v>
      </c>
      <c r="F5714" t="s">
        <v>89</v>
      </c>
      <c r="G5714" t="s">
        <v>203</v>
      </c>
      <c r="H5714" t="s">
        <v>229</v>
      </c>
      <c r="I5714" s="4">
        <v>125766.4408</v>
      </c>
      <c r="J5714" s="4">
        <v>754598.64480000001</v>
      </c>
      <c r="L5714" s="4">
        <v>6</v>
      </c>
    </row>
    <row r="5715" spans="1:12">
      <c r="A5715" t="s">
        <v>106</v>
      </c>
      <c r="B5715" s="10">
        <v>45323</v>
      </c>
      <c r="C5715" s="18">
        <f t="shared" si="89"/>
        <v>2</v>
      </c>
      <c r="D5715" t="s">
        <v>135</v>
      </c>
      <c r="E5715">
        <v>4872947</v>
      </c>
      <c r="F5715" t="s">
        <v>88</v>
      </c>
      <c r="G5715" t="s">
        <v>203</v>
      </c>
      <c r="H5715" t="s">
        <v>242</v>
      </c>
      <c r="I5715" s="4">
        <v>100638.28079999999</v>
      </c>
      <c r="J5715" s="4">
        <v>1006382.808</v>
      </c>
      <c r="L5715" s="4">
        <v>10</v>
      </c>
    </row>
    <row r="5716" spans="1:12">
      <c r="A5716" t="s">
        <v>106</v>
      </c>
      <c r="B5716" s="10">
        <v>45323</v>
      </c>
      <c r="C5716" s="18">
        <f t="shared" si="89"/>
        <v>2</v>
      </c>
      <c r="D5716" t="s">
        <v>135</v>
      </c>
      <c r="E5716">
        <v>4872947</v>
      </c>
      <c r="F5716" t="s">
        <v>88</v>
      </c>
      <c r="G5716" t="s">
        <v>203</v>
      </c>
      <c r="H5716" t="s">
        <v>236</v>
      </c>
      <c r="I5716" s="4">
        <v>100638.28079999999</v>
      </c>
      <c r="J5716" s="4">
        <v>805106.24639999995</v>
      </c>
      <c r="L5716" s="4">
        <v>8</v>
      </c>
    </row>
    <row r="5717" spans="1:12">
      <c r="A5717" t="s">
        <v>106</v>
      </c>
      <c r="B5717" s="10">
        <v>45323</v>
      </c>
      <c r="C5717" s="18">
        <f t="shared" si="89"/>
        <v>2</v>
      </c>
      <c r="D5717" t="s">
        <v>135</v>
      </c>
      <c r="E5717">
        <v>4872947</v>
      </c>
      <c r="F5717" t="s">
        <v>88</v>
      </c>
      <c r="G5717" t="s">
        <v>203</v>
      </c>
      <c r="H5717" t="s">
        <v>234</v>
      </c>
      <c r="I5717" s="4">
        <v>100638.28079999999</v>
      </c>
      <c r="J5717" s="4">
        <v>1006382.808</v>
      </c>
      <c r="L5717" s="4">
        <v>10</v>
      </c>
    </row>
    <row r="5718" spans="1:12">
      <c r="A5718" t="s">
        <v>106</v>
      </c>
      <c r="B5718" s="10">
        <v>45326</v>
      </c>
      <c r="C5718" s="18">
        <f t="shared" si="89"/>
        <v>2</v>
      </c>
      <c r="D5718" t="s">
        <v>135</v>
      </c>
      <c r="E5718">
        <v>4878846</v>
      </c>
      <c r="F5718" t="s">
        <v>89</v>
      </c>
      <c r="G5718" t="s">
        <v>203</v>
      </c>
      <c r="H5718" t="s">
        <v>245</v>
      </c>
      <c r="I5718" s="4">
        <v>100638.28079999999</v>
      </c>
      <c r="J5718" s="4">
        <v>201276.56159999999</v>
      </c>
      <c r="L5718" s="4">
        <v>2</v>
      </c>
    </row>
    <row r="5719" spans="1:12">
      <c r="A5719" t="s">
        <v>106</v>
      </c>
      <c r="B5719" s="10">
        <v>45326</v>
      </c>
      <c r="C5719" s="18">
        <f t="shared" si="89"/>
        <v>2</v>
      </c>
      <c r="D5719" t="s">
        <v>135</v>
      </c>
      <c r="E5719">
        <v>4878846</v>
      </c>
      <c r="F5719" t="s">
        <v>89</v>
      </c>
      <c r="G5719" t="s">
        <v>203</v>
      </c>
      <c r="H5719" t="s">
        <v>227</v>
      </c>
      <c r="I5719" s="4">
        <v>100638.28079999999</v>
      </c>
      <c r="J5719" s="4">
        <v>201276.56159999999</v>
      </c>
      <c r="L5719" s="4">
        <v>2</v>
      </c>
    </row>
    <row r="5720" spans="1:12">
      <c r="A5720" t="s">
        <v>106</v>
      </c>
      <c r="B5720" s="10">
        <v>45326</v>
      </c>
      <c r="C5720" s="18">
        <f t="shared" si="89"/>
        <v>2</v>
      </c>
      <c r="D5720" t="s">
        <v>135</v>
      </c>
      <c r="E5720">
        <v>4878846</v>
      </c>
      <c r="F5720" t="s">
        <v>89</v>
      </c>
      <c r="G5720" t="s">
        <v>203</v>
      </c>
      <c r="H5720" t="s">
        <v>224</v>
      </c>
      <c r="I5720" s="4">
        <v>100638.28079999999</v>
      </c>
      <c r="J5720" s="4">
        <v>201276.56159999999</v>
      </c>
      <c r="L5720" s="4">
        <v>2</v>
      </c>
    </row>
    <row r="5721" spans="1:12">
      <c r="A5721" t="s">
        <v>106</v>
      </c>
      <c r="B5721" s="10">
        <v>45326</v>
      </c>
      <c r="C5721" s="18">
        <f t="shared" si="89"/>
        <v>2</v>
      </c>
      <c r="D5721" t="s">
        <v>135</v>
      </c>
      <c r="E5721">
        <v>4878846</v>
      </c>
      <c r="F5721" t="s">
        <v>89</v>
      </c>
      <c r="G5721" t="s">
        <v>203</v>
      </c>
      <c r="H5721" t="s">
        <v>239</v>
      </c>
      <c r="I5721" s="4">
        <v>125766.4408</v>
      </c>
      <c r="J5721" s="4">
        <v>251532.88159999999</v>
      </c>
      <c r="L5721" s="4">
        <v>2</v>
      </c>
    </row>
    <row r="5722" spans="1:12">
      <c r="A5722" t="s">
        <v>106</v>
      </c>
      <c r="B5722" s="10">
        <v>45326</v>
      </c>
      <c r="C5722" s="18">
        <f t="shared" si="89"/>
        <v>2</v>
      </c>
      <c r="D5722" t="s">
        <v>135</v>
      </c>
      <c r="E5722">
        <v>4878846</v>
      </c>
      <c r="F5722" t="s">
        <v>89</v>
      </c>
      <c r="G5722" t="s">
        <v>203</v>
      </c>
      <c r="H5722" t="s">
        <v>237</v>
      </c>
      <c r="I5722" s="4">
        <v>125766.4408</v>
      </c>
      <c r="J5722" s="4">
        <v>251532.88159999999</v>
      </c>
      <c r="L5722" s="4">
        <v>2</v>
      </c>
    </row>
    <row r="5723" spans="1:12">
      <c r="A5723" t="s">
        <v>106</v>
      </c>
      <c r="B5723" s="10">
        <v>45326</v>
      </c>
      <c r="C5723" s="18">
        <f t="shared" si="89"/>
        <v>2</v>
      </c>
      <c r="D5723" t="s">
        <v>135</v>
      </c>
      <c r="E5723">
        <v>4878846</v>
      </c>
      <c r="F5723" t="s">
        <v>89</v>
      </c>
      <c r="G5723" t="s">
        <v>203</v>
      </c>
      <c r="H5723" t="s">
        <v>235</v>
      </c>
      <c r="I5723" s="4">
        <v>125766.4408</v>
      </c>
      <c r="J5723" s="4">
        <v>251532.88159999999</v>
      </c>
      <c r="L5723" s="4">
        <v>2</v>
      </c>
    </row>
    <row r="5724" spans="1:12">
      <c r="A5724" t="s">
        <v>106</v>
      </c>
      <c r="B5724" s="10">
        <v>45326</v>
      </c>
      <c r="C5724" s="18">
        <f t="shared" si="89"/>
        <v>2</v>
      </c>
      <c r="D5724" t="s">
        <v>135</v>
      </c>
      <c r="E5724">
        <v>4878846</v>
      </c>
      <c r="F5724" t="s">
        <v>89</v>
      </c>
      <c r="G5724" t="s">
        <v>203</v>
      </c>
      <c r="H5724" t="s">
        <v>233</v>
      </c>
      <c r="I5724" s="4">
        <v>120735.78316800001</v>
      </c>
      <c r="J5724" s="4">
        <v>241471.56633600002</v>
      </c>
      <c r="L5724" s="4">
        <v>2</v>
      </c>
    </row>
    <row r="5725" spans="1:12">
      <c r="A5725" t="s">
        <v>106</v>
      </c>
      <c r="B5725" s="10">
        <v>45330</v>
      </c>
      <c r="C5725" s="18">
        <f t="shared" si="89"/>
        <v>2</v>
      </c>
      <c r="D5725" t="s">
        <v>135</v>
      </c>
      <c r="E5725">
        <v>4872948</v>
      </c>
      <c r="F5725" t="s">
        <v>88</v>
      </c>
      <c r="G5725" t="s">
        <v>203</v>
      </c>
      <c r="H5725" t="s">
        <v>224</v>
      </c>
      <c r="I5725" s="4">
        <v>100638.28079999999</v>
      </c>
      <c r="J5725" s="4">
        <v>201276.56159999999</v>
      </c>
      <c r="L5725" s="4">
        <v>2</v>
      </c>
    </row>
    <row r="5726" spans="1:12">
      <c r="A5726" t="s">
        <v>106</v>
      </c>
      <c r="B5726" s="10">
        <v>45330</v>
      </c>
      <c r="C5726" s="18">
        <f t="shared" si="89"/>
        <v>2</v>
      </c>
      <c r="D5726" t="s">
        <v>135</v>
      </c>
      <c r="E5726">
        <v>4872948</v>
      </c>
      <c r="F5726" t="s">
        <v>88</v>
      </c>
      <c r="G5726" t="s">
        <v>203</v>
      </c>
      <c r="H5726" t="s">
        <v>223</v>
      </c>
      <c r="I5726" s="4">
        <v>100638.28079999999</v>
      </c>
      <c r="J5726" s="4">
        <v>1006382.808</v>
      </c>
      <c r="L5726" s="4">
        <v>10</v>
      </c>
    </row>
    <row r="5727" spans="1:12">
      <c r="A5727" t="s">
        <v>106</v>
      </c>
      <c r="B5727" s="10">
        <v>45330</v>
      </c>
      <c r="C5727" s="18">
        <f t="shared" si="89"/>
        <v>2</v>
      </c>
      <c r="D5727" t="s">
        <v>135</v>
      </c>
      <c r="E5727">
        <v>4872948</v>
      </c>
      <c r="F5727" t="s">
        <v>88</v>
      </c>
      <c r="G5727" t="s">
        <v>203</v>
      </c>
      <c r="H5727" t="s">
        <v>239</v>
      </c>
      <c r="I5727" s="4">
        <v>125766.4408</v>
      </c>
      <c r="J5727" s="4">
        <v>377299.3224</v>
      </c>
      <c r="L5727" s="4">
        <v>3</v>
      </c>
    </row>
    <row r="5728" spans="1:12">
      <c r="A5728" t="s">
        <v>106</v>
      </c>
      <c r="B5728" s="10">
        <v>45330</v>
      </c>
      <c r="C5728" s="18">
        <f t="shared" si="89"/>
        <v>2</v>
      </c>
      <c r="D5728" t="s">
        <v>135</v>
      </c>
      <c r="E5728">
        <v>4872948</v>
      </c>
      <c r="F5728" t="s">
        <v>88</v>
      </c>
      <c r="G5728" t="s">
        <v>203</v>
      </c>
      <c r="H5728" t="s">
        <v>237</v>
      </c>
      <c r="I5728" s="4">
        <v>125766.4408</v>
      </c>
      <c r="J5728" s="4">
        <v>754598.64480000001</v>
      </c>
      <c r="L5728" s="4">
        <v>6</v>
      </c>
    </row>
    <row r="5729" spans="1:12">
      <c r="A5729" t="s">
        <v>106</v>
      </c>
      <c r="B5729" s="10">
        <v>45330</v>
      </c>
      <c r="C5729" s="18">
        <f t="shared" si="89"/>
        <v>2</v>
      </c>
      <c r="D5729" t="s">
        <v>135</v>
      </c>
      <c r="E5729">
        <v>4872953</v>
      </c>
      <c r="F5729" t="s">
        <v>87</v>
      </c>
      <c r="G5729" t="s">
        <v>203</v>
      </c>
      <c r="H5729" t="s">
        <v>242</v>
      </c>
      <c r="I5729" s="4">
        <v>100638.28079999999</v>
      </c>
      <c r="J5729" s="4">
        <v>603829.68479999993</v>
      </c>
      <c r="L5729" s="4">
        <v>6</v>
      </c>
    </row>
    <row r="5730" spans="1:12">
      <c r="A5730" t="s">
        <v>106</v>
      </c>
      <c r="B5730" s="10">
        <v>45330</v>
      </c>
      <c r="C5730" s="18">
        <f t="shared" si="89"/>
        <v>2</v>
      </c>
      <c r="D5730" t="s">
        <v>135</v>
      </c>
      <c r="E5730">
        <v>4872953</v>
      </c>
      <c r="F5730" t="s">
        <v>87</v>
      </c>
      <c r="G5730" t="s">
        <v>203</v>
      </c>
      <c r="H5730" t="s">
        <v>240</v>
      </c>
      <c r="I5730" s="4">
        <v>100638.28079999999</v>
      </c>
      <c r="J5730" s="4">
        <v>603829.68479999993</v>
      </c>
      <c r="L5730" s="4">
        <v>6</v>
      </c>
    </row>
    <row r="5731" spans="1:12">
      <c r="A5731" t="s">
        <v>106</v>
      </c>
      <c r="B5731" s="10">
        <v>45330</v>
      </c>
      <c r="C5731" s="18">
        <f t="shared" si="89"/>
        <v>2</v>
      </c>
      <c r="D5731" t="s">
        <v>135</v>
      </c>
      <c r="E5731">
        <v>4872953</v>
      </c>
      <c r="F5731" t="s">
        <v>87</v>
      </c>
      <c r="G5731" t="s">
        <v>203</v>
      </c>
      <c r="H5731" t="s">
        <v>227</v>
      </c>
      <c r="I5731" s="4">
        <v>100638.28079999999</v>
      </c>
      <c r="J5731" s="4">
        <v>402553.12319999997</v>
      </c>
      <c r="L5731" s="4">
        <v>4</v>
      </c>
    </row>
    <row r="5732" spans="1:12">
      <c r="A5732" t="s">
        <v>106</v>
      </c>
      <c r="B5732" s="10">
        <v>45330</v>
      </c>
      <c r="C5732" s="18">
        <f t="shared" si="89"/>
        <v>2</v>
      </c>
      <c r="D5732" t="s">
        <v>135</v>
      </c>
      <c r="E5732">
        <v>4873291</v>
      </c>
      <c r="F5732" t="s">
        <v>89</v>
      </c>
      <c r="G5732" t="s">
        <v>203</v>
      </c>
      <c r="H5732" t="s">
        <v>245</v>
      </c>
      <c r="I5732" s="4">
        <v>100638.28079999999</v>
      </c>
      <c r="J5732" s="4">
        <v>402553.12319999997</v>
      </c>
      <c r="L5732" s="4">
        <v>4</v>
      </c>
    </row>
    <row r="5733" spans="1:12">
      <c r="A5733" t="s">
        <v>106</v>
      </c>
      <c r="B5733" s="10">
        <v>45330</v>
      </c>
      <c r="C5733" s="18">
        <f t="shared" si="89"/>
        <v>2</v>
      </c>
      <c r="D5733" t="s">
        <v>135</v>
      </c>
      <c r="E5733">
        <v>4873291</v>
      </c>
      <c r="F5733" t="s">
        <v>89</v>
      </c>
      <c r="G5733" t="s">
        <v>203</v>
      </c>
      <c r="H5733" t="s">
        <v>240</v>
      </c>
      <c r="I5733" s="4">
        <v>100638.28079999999</v>
      </c>
      <c r="J5733" s="4">
        <v>402553.12319999997</v>
      </c>
      <c r="L5733" s="4">
        <v>4</v>
      </c>
    </row>
    <row r="5734" spans="1:12">
      <c r="A5734" t="s">
        <v>106</v>
      </c>
      <c r="B5734" s="10">
        <v>45330</v>
      </c>
      <c r="C5734" s="18">
        <f t="shared" si="89"/>
        <v>2</v>
      </c>
      <c r="D5734" t="s">
        <v>135</v>
      </c>
      <c r="E5734">
        <v>4873291</v>
      </c>
      <c r="F5734" t="s">
        <v>89</v>
      </c>
      <c r="G5734" t="s">
        <v>203</v>
      </c>
      <c r="H5734" t="s">
        <v>230</v>
      </c>
      <c r="I5734" s="4">
        <v>100638.28079999999</v>
      </c>
      <c r="J5734" s="4">
        <v>402553.12319999997</v>
      </c>
      <c r="L5734" s="4">
        <v>4</v>
      </c>
    </row>
    <row r="5735" spans="1:12">
      <c r="A5735" t="s">
        <v>106</v>
      </c>
      <c r="B5735" s="10">
        <v>45330</v>
      </c>
      <c r="C5735" s="18">
        <f t="shared" si="89"/>
        <v>2</v>
      </c>
      <c r="D5735" t="s">
        <v>135</v>
      </c>
      <c r="E5735">
        <v>4873291</v>
      </c>
      <c r="F5735" t="s">
        <v>89</v>
      </c>
      <c r="G5735" t="s">
        <v>203</v>
      </c>
      <c r="H5735" t="s">
        <v>227</v>
      </c>
      <c r="I5735" s="4">
        <v>100638.28079999999</v>
      </c>
      <c r="J5735" s="4">
        <v>402553.12319999997</v>
      </c>
      <c r="L5735" s="4">
        <v>4</v>
      </c>
    </row>
    <row r="5736" spans="1:12">
      <c r="A5736" t="s">
        <v>106</v>
      </c>
      <c r="B5736" s="10">
        <v>45330</v>
      </c>
      <c r="C5736" s="18">
        <f t="shared" si="89"/>
        <v>2</v>
      </c>
      <c r="D5736" t="s">
        <v>135</v>
      </c>
      <c r="E5736">
        <v>4873291</v>
      </c>
      <c r="F5736" t="s">
        <v>89</v>
      </c>
      <c r="G5736" t="s">
        <v>203</v>
      </c>
      <c r="H5736" t="s">
        <v>222</v>
      </c>
      <c r="I5736" s="4">
        <v>100638.28079999999</v>
      </c>
      <c r="J5736" s="4">
        <v>402553.12319999997</v>
      </c>
      <c r="L5736" s="4">
        <v>4</v>
      </c>
    </row>
    <row r="5737" spans="1:12">
      <c r="A5737" t="s">
        <v>106</v>
      </c>
      <c r="B5737" s="10">
        <v>45334</v>
      </c>
      <c r="C5737" s="18">
        <f t="shared" si="89"/>
        <v>2</v>
      </c>
      <c r="D5737" t="s">
        <v>135</v>
      </c>
      <c r="E5737">
        <v>4872844</v>
      </c>
      <c r="F5737" t="s">
        <v>88</v>
      </c>
      <c r="G5737" t="s">
        <v>204</v>
      </c>
      <c r="H5737" t="s">
        <v>219</v>
      </c>
      <c r="I5737" s="4">
        <v>44099.9208</v>
      </c>
      <c r="J5737" s="4">
        <v>220499.60399999999</v>
      </c>
      <c r="L5737" s="4">
        <v>5</v>
      </c>
    </row>
    <row r="5738" spans="1:12">
      <c r="A5738" t="s">
        <v>106</v>
      </c>
      <c r="B5738" s="10">
        <v>45334</v>
      </c>
      <c r="C5738" s="18">
        <f t="shared" si="89"/>
        <v>2</v>
      </c>
      <c r="D5738" t="s">
        <v>135</v>
      </c>
      <c r="E5738">
        <v>4872950</v>
      </c>
      <c r="F5738" t="s">
        <v>88</v>
      </c>
      <c r="G5738" t="s">
        <v>203</v>
      </c>
      <c r="H5738" t="s">
        <v>245</v>
      </c>
      <c r="I5738" s="4">
        <v>100638.28079999999</v>
      </c>
      <c r="J5738" s="4">
        <v>201276.56159999999</v>
      </c>
      <c r="L5738" s="4">
        <v>2</v>
      </c>
    </row>
    <row r="5739" spans="1:12">
      <c r="A5739" t="s">
        <v>106</v>
      </c>
      <c r="B5739" s="10">
        <v>45334</v>
      </c>
      <c r="C5739" s="18">
        <f t="shared" si="89"/>
        <v>2</v>
      </c>
      <c r="D5739" t="s">
        <v>135</v>
      </c>
      <c r="E5739">
        <v>4872950</v>
      </c>
      <c r="F5739" t="s">
        <v>88</v>
      </c>
      <c r="G5739" t="s">
        <v>203</v>
      </c>
      <c r="H5739" t="s">
        <v>243</v>
      </c>
      <c r="I5739" s="4">
        <v>100638.28079999999</v>
      </c>
      <c r="J5739" s="4">
        <v>201276.56159999999</v>
      </c>
      <c r="L5739" s="4">
        <v>2</v>
      </c>
    </row>
    <row r="5740" spans="1:12">
      <c r="A5740" t="s">
        <v>106</v>
      </c>
      <c r="B5740" s="10">
        <v>45334</v>
      </c>
      <c r="C5740" s="18">
        <f t="shared" si="89"/>
        <v>2</v>
      </c>
      <c r="D5740" t="s">
        <v>135</v>
      </c>
      <c r="E5740">
        <v>4872950</v>
      </c>
      <c r="F5740" t="s">
        <v>88</v>
      </c>
      <c r="G5740" t="s">
        <v>203</v>
      </c>
      <c r="H5740" t="s">
        <v>234</v>
      </c>
      <c r="I5740" s="4">
        <v>100638.28079999999</v>
      </c>
      <c r="J5740" s="4">
        <v>201276.56159999999</v>
      </c>
      <c r="L5740" s="4">
        <v>2</v>
      </c>
    </row>
    <row r="5741" spans="1:12">
      <c r="A5741" t="s">
        <v>106</v>
      </c>
      <c r="B5741" s="10">
        <v>45334</v>
      </c>
      <c r="C5741" s="18">
        <f t="shared" si="89"/>
        <v>2</v>
      </c>
      <c r="D5741" t="s">
        <v>135</v>
      </c>
      <c r="E5741">
        <v>4872950</v>
      </c>
      <c r="F5741" t="s">
        <v>88</v>
      </c>
      <c r="G5741" t="s">
        <v>203</v>
      </c>
      <c r="H5741" t="s">
        <v>232</v>
      </c>
      <c r="I5741" s="4">
        <v>100638.28079999999</v>
      </c>
      <c r="J5741" s="4">
        <v>201276.56159999999</v>
      </c>
      <c r="L5741" s="4">
        <v>2</v>
      </c>
    </row>
    <row r="5742" spans="1:12">
      <c r="A5742" t="s">
        <v>106</v>
      </c>
      <c r="B5742" s="10">
        <v>45334</v>
      </c>
      <c r="C5742" s="18">
        <f t="shared" si="89"/>
        <v>2</v>
      </c>
      <c r="D5742" t="s">
        <v>135</v>
      </c>
      <c r="E5742">
        <v>4872950</v>
      </c>
      <c r="F5742" t="s">
        <v>88</v>
      </c>
      <c r="G5742" t="s">
        <v>203</v>
      </c>
      <c r="H5742" t="s">
        <v>230</v>
      </c>
      <c r="I5742" s="4">
        <v>100638.28079999999</v>
      </c>
      <c r="J5742" s="4">
        <v>201276.56159999999</v>
      </c>
      <c r="L5742" s="4">
        <v>2</v>
      </c>
    </row>
    <row r="5743" spans="1:12">
      <c r="A5743" t="s">
        <v>106</v>
      </c>
      <c r="B5743" s="10">
        <v>45334</v>
      </c>
      <c r="C5743" s="18">
        <f t="shared" si="89"/>
        <v>2</v>
      </c>
      <c r="D5743" t="s">
        <v>135</v>
      </c>
      <c r="E5743">
        <v>4872950</v>
      </c>
      <c r="F5743" t="s">
        <v>88</v>
      </c>
      <c r="G5743" t="s">
        <v>203</v>
      </c>
      <c r="H5743" t="s">
        <v>226</v>
      </c>
      <c r="I5743" s="4">
        <v>100638.28079999999</v>
      </c>
      <c r="J5743" s="4">
        <v>201276.56159999999</v>
      </c>
      <c r="L5743" s="4">
        <v>2</v>
      </c>
    </row>
    <row r="5744" spans="1:12">
      <c r="A5744" t="s">
        <v>106</v>
      </c>
      <c r="B5744" s="10">
        <v>45334</v>
      </c>
      <c r="C5744" s="18">
        <f t="shared" si="89"/>
        <v>2</v>
      </c>
      <c r="D5744" t="s">
        <v>135</v>
      </c>
      <c r="E5744">
        <v>4872950</v>
      </c>
      <c r="F5744" t="s">
        <v>88</v>
      </c>
      <c r="G5744" t="s">
        <v>203</v>
      </c>
      <c r="H5744" t="s">
        <v>225</v>
      </c>
      <c r="I5744" s="4">
        <v>100638.28079999999</v>
      </c>
      <c r="J5744" s="4">
        <v>201276.56159999999</v>
      </c>
      <c r="L5744" s="4">
        <v>2</v>
      </c>
    </row>
    <row r="5745" spans="1:12">
      <c r="A5745" t="s">
        <v>106</v>
      </c>
      <c r="B5745" s="10">
        <v>45334</v>
      </c>
      <c r="C5745" s="18">
        <f t="shared" si="89"/>
        <v>2</v>
      </c>
      <c r="D5745" t="s">
        <v>135</v>
      </c>
      <c r="E5745">
        <v>4872950</v>
      </c>
      <c r="F5745" t="s">
        <v>88</v>
      </c>
      <c r="G5745" t="s">
        <v>203</v>
      </c>
      <c r="H5745" t="s">
        <v>222</v>
      </c>
      <c r="I5745" s="4">
        <v>100638.28079999999</v>
      </c>
      <c r="J5745" s="4">
        <v>201276.56159999999</v>
      </c>
      <c r="L5745" s="4">
        <v>2</v>
      </c>
    </row>
    <row r="5746" spans="1:12">
      <c r="A5746" t="s">
        <v>106</v>
      </c>
      <c r="B5746" s="10">
        <v>45334</v>
      </c>
      <c r="C5746" s="18">
        <f t="shared" si="89"/>
        <v>2</v>
      </c>
      <c r="D5746" t="s">
        <v>135</v>
      </c>
      <c r="E5746">
        <v>4872950</v>
      </c>
      <c r="F5746" t="s">
        <v>88</v>
      </c>
      <c r="G5746" t="s">
        <v>203</v>
      </c>
      <c r="H5746" t="s">
        <v>244</v>
      </c>
      <c r="I5746" s="4">
        <v>125766.4408</v>
      </c>
      <c r="J5746" s="4">
        <v>251532.88159999999</v>
      </c>
      <c r="L5746" s="4">
        <v>2</v>
      </c>
    </row>
    <row r="5747" spans="1:12">
      <c r="A5747" t="s">
        <v>106</v>
      </c>
      <c r="B5747" s="10">
        <v>45334</v>
      </c>
      <c r="C5747" s="18">
        <f t="shared" si="89"/>
        <v>2</v>
      </c>
      <c r="D5747" t="s">
        <v>135</v>
      </c>
      <c r="E5747">
        <v>4872950</v>
      </c>
      <c r="F5747" t="s">
        <v>88</v>
      </c>
      <c r="G5747" t="s">
        <v>203</v>
      </c>
      <c r="H5747" t="s">
        <v>241</v>
      </c>
      <c r="I5747" s="4">
        <v>125766.4408</v>
      </c>
      <c r="J5747" s="4">
        <v>251532.88159999999</v>
      </c>
      <c r="L5747" s="4">
        <v>2</v>
      </c>
    </row>
    <row r="5748" spans="1:12">
      <c r="A5748" t="s">
        <v>106</v>
      </c>
      <c r="B5748" s="10">
        <v>45334</v>
      </c>
      <c r="C5748" s="18">
        <f t="shared" si="89"/>
        <v>2</v>
      </c>
      <c r="D5748" t="s">
        <v>135</v>
      </c>
      <c r="E5748">
        <v>4872950</v>
      </c>
      <c r="F5748" t="s">
        <v>88</v>
      </c>
      <c r="G5748" t="s">
        <v>203</v>
      </c>
      <c r="H5748" t="s">
        <v>233</v>
      </c>
      <c r="I5748" s="4">
        <v>120735.78316800001</v>
      </c>
      <c r="J5748" s="4">
        <v>241471.56633600002</v>
      </c>
      <c r="L5748" s="4">
        <v>2</v>
      </c>
    </row>
    <row r="5749" spans="1:12">
      <c r="A5749" t="s">
        <v>106</v>
      </c>
      <c r="B5749" s="10">
        <v>45334</v>
      </c>
      <c r="C5749" s="18">
        <f t="shared" si="89"/>
        <v>2</v>
      </c>
      <c r="D5749" t="s">
        <v>135</v>
      </c>
      <c r="E5749">
        <v>4872950</v>
      </c>
      <c r="F5749" t="s">
        <v>88</v>
      </c>
      <c r="G5749" t="s">
        <v>203</v>
      </c>
      <c r="H5749" t="s">
        <v>229</v>
      </c>
      <c r="I5749" s="4">
        <v>125766.4408</v>
      </c>
      <c r="J5749" s="4">
        <v>251532.88159999999</v>
      </c>
      <c r="L5749" s="4">
        <v>2</v>
      </c>
    </row>
    <row r="5750" spans="1:12">
      <c r="A5750" t="s">
        <v>106</v>
      </c>
      <c r="B5750" s="10">
        <v>45339</v>
      </c>
      <c r="C5750" s="18">
        <f t="shared" si="89"/>
        <v>2</v>
      </c>
      <c r="D5750" t="s">
        <v>135</v>
      </c>
      <c r="E5750">
        <v>4873481</v>
      </c>
      <c r="F5750" t="s">
        <v>87</v>
      </c>
      <c r="G5750" t="s">
        <v>203</v>
      </c>
      <c r="H5750" t="s">
        <v>245</v>
      </c>
      <c r="I5750" s="4">
        <v>100638.28079999999</v>
      </c>
      <c r="J5750" s="4">
        <v>402553.12319999997</v>
      </c>
      <c r="L5750" s="4">
        <v>4</v>
      </c>
    </row>
    <row r="5751" spans="1:12">
      <c r="A5751" t="s">
        <v>106</v>
      </c>
      <c r="B5751" s="10">
        <v>45339</v>
      </c>
      <c r="C5751" s="18">
        <f t="shared" si="89"/>
        <v>2</v>
      </c>
      <c r="D5751" t="s">
        <v>135</v>
      </c>
      <c r="E5751">
        <v>4873481</v>
      </c>
      <c r="F5751" t="s">
        <v>87</v>
      </c>
      <c r="G5751" t="s">
        <v>203</v>
      </c>
      <c r="H5751" t="s">
        <v>234</v>
      </c>
      <c r="I5751" s="4">
        <v>100638.28079999999</v>
      </c>
      <c r="J5751" s="4">
        <v>402553.12319999997</v>
      </c>
      <c r="L5751" s="4">
        <v>4</v>
      </c>
    </row>
    <row r="5752" spans="1:12">
      <c r="A5752" t="s">
        <v>106</v>
      </c>
      <c r="B5752" s="10">
        <v>45339</v>
      </c>
      <c r="C5752" s="18">
        <f t="shared" si="89"/>
        <v>2</v>
      </c>
      <c r="D5752" t="s">
        <v>135</v>
      </c>
      <c r="E5752">
        <v>4873481</v>
      </c>
      <c r="F5752" t="s">
        <v>87</v>
      </c>
      <c r="G5752" t="s">
        <v>203</v>
      </c>
      <c r="H5752" t="s">
        <v>228</v>
      </c>
      <c r="I5752" s="4">
        <v>100638.28079999999</v>
      </c>
      <c r="J5752" s="4">
        <v>402553.12319999997</v>
      </c>
      <c r="L5752" s="4">
        <v>4</v>
      </c>
    </row>
    <row r="5753" spans="1:12">
      <c r="A5753" t="s">
        <v>106</v>
      </c>
      <c r="B5753" s="10">
        <v>45339</v>
      </c>
      <c r="C5753" s="18">
        <f t="shared" si="89"/>
        <v>2</v>
      </c>
      <c r="D5753" t="s">
        <v>135</v>
      </c>
      <c r="E5753">
        <v>4873481</v>
      </c>
      <c r="F5753" t="s">
        <v>87</v>
      </c>
      <c r="G5753" t="s">
        <v>203</v>
      </c>
      <c r="H5753" t="s">
        <v>226</v>
      </c>
      <c r="I5753" s="4">
        <v>100638.28079999999</v>
      </c>
      <c r="J5753" s="4">
        <v>402553.12319999997</v>
      </c>
      <c r="L5753" s="4">
        <v>4</v>
      </c>
    </row>
    <row r="5754" spans="1:12">
      <c r="A5754" t="s">
        <v>106</v>
      </c>
      <c r="B5754" s="10">
        <v>45339</v>
      </c>
      <c r="C5754" s="18">
        <f t="shared" si="89"/>
        <v>2</v>
      </c>
      <c r="D5754" t="s">
        <v>135</v>
      </c>
      <c r="E5754">
        <v>4873481</v>
      </c>
      <c r="F5754" t="s">
        <v>87</v>
      </c>
      <c r="G5754" t="s">
        <v>203</v>
      </c>
      <c r="H5754" t="s">
        <v>222</v>
      </c>
      <c r="I5754" s="4">
        <v>100638.28079999999</v>
      </c>
      <c r="J5754" s="4">
        <v>402553.12319999997</v>
      </c>
      <c r="L5754" s="4">
        <v>4</v>
      </c>
    </row>
    <row r="5755" spans="1:12">
      <c r="A5755" t="s">
        <v>106</v>
      </c>
      <c r="B5755" s="10">
        <v>45339</v>
      </c>
      <c r="C5755" s="18">
        <f t="shared" si="89"/>
        <v>2</v>
      </c>
      <c r="D5755" t="s">
        <v>135</v>
      </c>
      <c r="E5755">
        <v>4873481</v>
      </c>
      <c r="F5755" t="s">
        <v>87</v>
      </c>
      <c r="G5755" t="s">
        <v>203</v>
      </c>
      <c r="H5755" t="s">
        <v>244</v>
      </c>
      <c r="I5755" s="4">
        <v>125766.4408</v>
      </c>
      <c r="J5755" s="4">
        <v>251532.88159999999</v>
      </c>
      <c r="L5755" s="4">
        <v>2</v>
      </c>
    </row>
    <row r="5756" spans="1:12">
      <c r="A5756" t="s">
        <v>106</v>
      </c>
      <c r="B5756" s="10">
        <v>45339</v>
      </c>
      <c r="C5756" s="18">
        <f t="shared" si="89"/>
        <v>2</v>
      </c>
      <c r="D5756" t="s">
        <v>135</v>
      </c>
      <c r="E5756">
        <v>4873481</v>
      </c>
      <c r="F5756" t="s">
        <v>87</v>
      </c>
      <c r="G5756" t="s">
        <v>203</v>
      </c>
      <c r="H5756" t="s">
        <v>233</v>
      </c>
      <c r="I5756" s="4">
        <v>120735.78316800001</v>
      </c>
      <c r="J5756" s="4">
        <v>241471.56633600002</v>
      </c>
      <c r="L5756" s="4">
        <v>2</v>
      </c>
    </row>
    <row r="5757" spans="1:12">
      <c r="A5757" t="s">
        <v>106</v>
      </c>
      <c r="B5757" s="10">
        <v>45341</v>
      </c>
      <c r="C5757" s="18">
        <f t="shared" si="89"/>
        <v>2</v>
      </c>
      <c r="D5757" t="s">
        <v>135</v>
      </c>
      <c r="E5757">
        <v>4878582</v>
      </c>
      <c r="F5757" t="s">
        <v>90</v>
      </c>
      <c r="G5757" t="s">
        <v>203</v>
      </c>
      <c r="H5757" t="s">
        <v>244</v>
      </c>
      <c r="I5757" s="4">
        <v>125766.4408</v>
      </c>
      <c r="J5757" s="4">
        <v>251532.88159999999</v>
      </c>
      <c r="L5757" s="4">
        <v>2</v>
      </c>
    </row>
    <row r="5758" spans="1:12">
      <c r="A5758" t="s">
        <v>106</v>
      </c>
      <c r="B5758" s="10">
        <v>45341</v>
      </c>
      <c r="C5758" s="18">
        <f t="shared" si="89"/>
        <v>2</v>
      </c>
      <c r="D5758" t="s">
        <v>135</v>
      </c>
      <c r="E5758">
        <v>4878582</v>
      </c>
      <c r="F5758" t="s">
        <v>90</v>
      </c>
      <c r="G5758" t="s">
        <v>203</v>
      </c>
      <c r="H5758" t="s">
        <v>231</v>
      </c>
      <c r="I5758" s="4">
        <v>125766.4408</v>
      </c>
      <c r="J5758" s="4">
        <v>251532.88159999999</v>
      </c>
      <c r="L5758" s="4">
        <v>2</v>
      </c>
    </row>
    <row r="5759" spans="1:12">
      <c r="A5759" t="s">
        <v>106</v>
      </c>
      <c r="B5759" s="10">
        <v>45341</v>
      </c>
      <c r="C5759" s="18">
        <f t="shared" si="89"/>
        <v>2</v>
      </c>
      <c r="D5759" t="s">
        <v>135</v>
      </c>
      <c r="E5759">
        <v>4878582</v>
      </c>
      <c r="F5759" t="s">
        <v>90</v>
      </c>
      <c r="G5759" t="s">
        <v>203</v>
      </c>
      <c r="H5759" t="s">
        <v>229</v>
      </c>
      <c r="I5759" s="4">
        <v>125766.4408</v>
      </c>
      <c r="J5759" s="4">
        <v>251532.88159999999</v>
      </c>
      <c r="L5759" s="4">
        <v>2</v>
      </c>
    </row>
    <row r="5760" spans="1:12">
      <c r="A5760" t="s">
        <v>106</v>
      </c>
      <c r="B5760" s="10">
        <v>45345</v>
      </c>
      <c r="C5760" s="18">
        <f t="shared" si="89"/>
        <v>2</v>
      </c>
      <c r="D5760" t="s">
        <v>135</v>
      </c>
      <c r="E5760">
        <v>4878797</v>
      </c>
      <c r="F5760" t="s">
        <v>88</v>
      </c>
      <c r="G5760" t="s">
        <v>204</v>
      </c>
      <c r="H5760" t="s">
        <v>212</v>
      </c>
      <c r="I5760" s="4">
        <v>62946.040799999995</v>
      </c>
      <c r="J5760" s="4">
        <v>629460.40799999994</v>
      </c>
      <c r="L5760" s="4">
        <v>10</v>
      </c>
    </row>
    <row r="5761" spans="1:12">
      <c r="A5761" t="s">
        <v>106</v>
      </c>
      <c r="B5761" s="10">
        <v>45346</v>
      </c>
      <c r="C5761" s="18">
        <f t="shared" si="89"/>
        <v>2</v>
      </c>
      <c r="D5761" t="s">
        <v>135</v>
      </c>
      <c r="E5761">
        <v>4878846</v>
      </c>
      <c r="F5761" t="s">
        <v>89</v>
      </c>
      <c r="G5761" t="s">
        <v>203</v>
      </c>
      <c r="H5761" t="s">
        <v>242</v>
      </c>
      <c r="I5761" s="4">
        <v>100638.28079999999</v>
      </c>
      <c r="J5761" s="4">
        <v>402553.12319999997</v>
      </c>
      <c r="L5761" s="4">
        <v>4</v>
      </c>
    </row>
    <row r="5762" spans="1:12">
      <c r="A5762" t="s">
        <v>106</v>
      </c>
      <c r="B5762" s="10">
        <v>45346</v>
      </c>
      <c r="C5762" s="18">
        <f t="shared" ref="C5762:C5825" si="90">MONTH(B5762)</f>
        <v>2</v>
      </c>
      <c r="D5762" t="s">
        <v>135</v>
      </c>
      <c r="E5762">
        <v>4878846</v>
      </c>
      <c r="F5762" t="s">
        <v>89</v>
      </c>
      <c r="G5762" t="s">
        <v>203</v>
      </c>
      <c r="H5762" t="s">
        <v>234</v>
      </c>
      <c r="I5762" s="4">
        <v>100638.28079999999</v>
      </c>
      <c r="J5762" s="4">
        <v>402553.12319999997</v>
      </c>
      <c r="L5762" s="4">
        <v>4</v>
      </c>
    </row>
    <row r="5763" spans="1:12">
      <c r="A5763" t="s">
        <v>106</v>
      </c>
      <c r="B5763" s="10">
        <v>45346</v>
      </c>
      <c r="C5763" s="18">
        <f t="shared" si="90"/>
        <v>2</v>
      </c>
      <c r="D5763" t="s">
        <v>135</v>
      </c>
      <c r="E5763">
        <v>4878846</v>
      </c>
      <c r="F5763" t="s">
        <v>89</v>
      </c>
      <c r="G5763" t="s">
        <v>203</v>
      </c>
      <c r="H5763" t="s">
        <v>230</v>
      </c>
      <c r="I5763" s="4">
        <v>100638.28079999999</v>
      </c>
      <c r="J5763" s="4">
        <v>402553.12319999997</v>
      </c>
      <c r="L5763" s="4">
        <v>4</v>
      </c>
    </row>
    <row r="5764" spans="1:12">
      <c r="A5764" t="s">
        <v>106</v>
      </c>
      <c r="B5764" s="10">
        <v>45346</v>
      </c>
      <c r="C5764" s="18">
        <f t="shared" si="90"/>
        <v>2</v>
      </c>
      <c r="D5764" t="s">
        <v>135</v>
      </c>
      <c r="E5764">
        <v>4878846</v>
      </c>
      <c r="F5764" t="s">
        <v>89</v>
      </c>
      <c r="G5764" t="s">
        <v>203</v>
      </c>
      <c r="H5764" t="s">
        <v>226</v>
      </c>
      <c r="I5764" s="4">
        <v>100638.28079999999</v>
      </c>
      <c r="J5764" s="4">
        <v>805106.24639999995</v>
      </c>
      <c r="L5764" s="4">
        <v>8</v>
      </c>
    </row>
    <row r="5765" spans="1:12">
      <c r="A5765" t="s">
        <v>106</v>
      </c>
      <c r="B5765" s="10">
        <v>45346</v>
      </c>
      <c r="C5765" s="18">
        <f t="shared" si="90"/>
        <v>2</v>
      </c>
      <c r="D5765" t="s">
        <v>135</v>
      </c>
      <c r="E5765">
        <v>4878846</v>
      </c>
      <c r="F5765" t="s">
        <v>89</v>
      </c>
      <c r="G5765" t="s">
        <v>203</v>
      </c>
      <c r="H5765" t="s">
        <v>235</v>
      </c>
      <c r="I5765" s="4">
        <v>125766.4408</v>
      </c>
      <c r="J5765" s="4">
        <v>377299.3224</v>
      </c>
      <c r="L5765" s="4">
        <v>3</v>
      </c>
    </row>
    <row r="5766" spans="1:12">
      <c r="A5766" t="s">
        <v>106</v>
      </c>
      <c r="B5766" s="10">
        <v>45346</v>
      </c>
      <c r="C5766" s="18">
        <f t="shared" si="90"/>
        <v>2</v>
      </c>
      <c r="D5766" t="s">
        <v>135</v>
      </c>
      <c r="E5766">
        <v>4878846</v>
      </c>
      <c r="F5766" t="s">
        <v>89</v>
      </c>
      <c r="G5766" t="s">
        <v>203</v>
      </c>
      <c r="H5766" t="s">
        <v>231</v>
      </c>
      <c r="I5766" s="4">
        <v>125766.4408</v>
      </c>
      <c r="J5766" s="4">
        <v>377299.3224</v>
      </c>
      <c r="L5766" s="4">
        <v>3</v>
      </c>
    </row>
    <row r="5767" spans="1:12">
      <c r="A5767" t="s">
        <v>106</v>
      </c>
      <c r="B5767" s="10">
        <v>45346</v>
      </c>
      <c r="C5767" s="18">
        <f t="shared" si="90"/>
        <v>2</v>
      </c>
      <c r="D5767" t="s">
        <v>135</v>
      </c>
      <c r="E5767">
        <v>4878846</v>
      </c>
      <c r="F5767" t="s">
        <v>89</v>
      </c>
      <c r="G5767" t="s">
        <v>203</v>
      </c>
      <c r="H5767" t="s">
        <v>229</v>
      </c>
      <c r="I5767" s="4">
        <v>125766.4408</v>
      </c>
      <c r="J5767" s="4">
        <v>125766.4408</v>
      </c>
      <c r="L5767" s="4">
        <v>1</v>
      </c>
    </row>
    <row r="5768" spans="1:12">
      <c r="A5768" t="s">
        <v>106</v>
      </c>
      <c r="B5768" s="10">
        <v>45346</v>
      </c>
      <c r="C5768" s="18">
        <f t="shared" si="90"/>
        <v>2</v>
      </c>
      <c r="D5768" t="s">
        <v>135</v>
      </c>
      <c r="E5768">
        <v>4872966</v>
      </c>
      <c r="F5768" t="s">
        <v>87</v>
      </c>
      <c r="G5768" t="s">
        <v>204</v>
      </c>
      <c r="H5768" t="s">
        <v>216</v>
      </c>
      <c r="I5768" s="4">
        <v>113202.36079999999</v>
      </c>
      <c r="J5768" s="4">
        <v>3396070.824</v>
      </c>
      <c r="L5768" s="4">
        <v>30</v>
      </c>
    </row>
    <row r="5769" spans="1:12">
      <c r="A5769" t="s">
        <v>106</v>
      </c>
      <c r="B5769" s="10">
        <v>45347</v>
      </c>
      <c r="C5769" s="18">
        <f t="shared" si="90"/>
        <v>2</v>
      </c>
      <c r="D5769" t="s">
        <v>135</v>
      </c>
      <c r="E5769">
        <v>4872403</v>
      </c>
      <c r="F5769" t="s">
        <v>89</v>
      </c>
      <c r="G5769" t="s">
        <v>204</v>
      </c>
      <c r="H5769" t="s">
        <v>217</v>
      </c>
      <c r="I5769" s="4">
        <v>78022.936799999996</v>
      </c>
      <c r="J5769" s="4">
        <v>156045.87359999999</v>
      </c>
      <c r="L5769" s="4">
        <v>2</v>
      </c>
    </row>
    <row r="5770" spans="1:12">
      <c r="A5770" t="s">
        <v>264</v>
      </c>
      <c r="B5770" s="10">
        <v>45323</v>
      </c>
      <c r="C5770" s="18">
        <f t="shared" si="90"/>
        <v>2</v>
      </c>
      <c r="D5770" t="s">
        <v>196</v>
      </c>
      <c r="E5770">
        <v>4874006</v>
      </c>
      <c r="F5770" t="s">
        <v>8</v>
      </c>
      <c r="G5770" t="s">
        <v>203</v>
      </c>
      <c r="H5770" t="s">
        <v>242</v>
      </c>
      <c r="I5770" s="4">
        <v>100638.28079999999</v>
      </c>
      <c r="J5770" s="4">
        <v>603829.68479999993</v>
      </c>
      <c r="K5770" s="4">
        <v>-27138.412800000002</v>
      </c>
      <c r="L5770" s="4">
        <v>6</v>
      </c>
    </row>
    <row r="5771" spans="1:12">
      <c r="A5771" t="s">
        <v>264</v>
      </c>
      <c r="B5771" s="10">
        <v>45323</v>
      </c>
      <c r="C5771" s="18">
        <f t="shared" si="90"/>
        <v>2</v>
      </c>
      <c r="D5771" t="s">
        <v>196</v>
      </c>
      <c r="E5771">
        <v>4874006</v>
      </c>
      <c r="F5771" t="s">
        <v>8</v>
      </c>
      <c r="G5771" t="s">
        <v>203</v>
      </c>
      <c r="H5771" t="s">
        <v>240</v>
      </c>
      <c r="I5771" s="4">
        <v>100638.28079999999</v>
      </c>
      <c r="J5771" s="4">
        <v>1610212.4927999999</v>
      </c>
      <c r="K5771" s="4">
        <v>-72369.1008</v>
      </c>
      <c r="L5771" s="4">
        <v>16</v>
      </c>
    </row>
    <row r="5772" spans="1:12">
      <c r="A5772" t="s">
        <v>264</v>
      </c>
      <c r="B5772" s="10">
        <v>45323</v>
      </c>
      <c r="C5772" s="18">
        <f t="shared" si="90"/>
        <v>2</v>
      </c>
      <c r="D5772" t="s">
        <v>196</v>
      </c>
      <c r="E5772">
        <v>4874006</v>
      </c>
      <c r="F5772" t="s">
        <v>8</v>
      </c>
      <c r="G5772" t="s">
        <v>203</v>
      </c>
      <c r="H5772" t="s">
        <v>238</v>
      </c>
      <c r="I5772" s="4">
        <v>95606.36675999999</v>
      </c>
      <c r="J5772" s="4">
        <v>956063.66759999993</v>
      </c>
      <c r="K5772" s="4">
        <v>-45230.688000000002</v>
      </c>
      <c r="L5772" s="4">
        <v>10</v>
      </c>
    </row>
    <row r="5773" spans="1:12">
      <c r="A5773" t="s">
        <v>264</v>
      </c>
      <c r="B5773" s="10">
        <v>45323</v>
      </c>
      <c r="C5773" s="18">
        <f t="shared" si="90"/>
        <v>2</v>
      </c>
      <c r="D5773" t="s">
        <v>196</v>
      </c>
      <c r="E5773">
        <v>4874006</v>
      </c>
      <c r="F5773" t="s">
        <v>8</v>
      </c>
      <c r="G5773" t="s">
        <v>203</v>
      </c>
      <c r="H5773" t="s">
        <v>236</v>
      </c>
      <c r="I5773" s="4">
        <v>100638.28079999999</v>
      </c>
      <c r="J5773" s="4">
        <v>1006382.808</v>
      </c>
      <c r="K5773" s="4">
        <v>-45230.688000000002</v>
      </c>
      <c r="L5773" s="4">
        <v>10</v>
      </c>
    </row>
    <row r="5774" spans="1:12">
      <c r="A5774" t="s">
        <v>264</v>
      </c>
      <c r="B5774" s="10">
        <v>45323</v>
      </c>
      <c r="C5774" s="18">
        <f t="shared" si="90"/>
        <v>2</v>
      </c>
      <c r="D5774" t="s">
        <v>196</v>
      </c>
      <c r="E5774">
        <v>4874006</v>
      </c>
      <c r="F5774" t="s">
        <v>8</v>
      </c>
      <c r="G5774" t="s">
        <v>203</v>
      </c>
      <c r="H5774" t="s">
        <v>227</v>
      </c>
      <c r="I5774" s="4">
        <v>100638.28079999999</v>
      </c>
      <c r="J5774" s="4">
        <v>1006382.808</v>
      </c>
      <c r="K5774" s="4">
        <v>-45230.688000000002</v>
      </c>
      <c r="L5774" s="4">
        <v>10</v>
      </c>
    </row>
    <row r="5775" spans="1:12">
      <c r="A5775" t="s">
        <v>264</v>
      </c>
      <c r="B5775" s="10">
        <v>45323</v>
      </c>
      <c r="C5775" s="18">
        <f t="shared" si="90"/>
        <v>2</v>
      </c>
      <c r="D5775" t="s">
        <v>196</v>
      </c>
      <c r="E5775">
        <v>4874006</v>
      </c>
      <c r="F5775" t="s">
        <v>8</v>
      </c>
      <c r="G5775" t="s">
        <v>203</v>
      </c>
      <c r="H5775" t="s">
        <v>224</v>
      </c>
      <c r="I5775" s="4">
        <v>100638.28079999999</v>
      </c>
      <c r="J5775" s="4">
        <v>603829.68479999993</v>
      </c>
      <c r="K5775" s="4">
        <v>-27138.412800000002</v>
      </c>
      <c r="L5775" s="4">
        <v>6</v>
      </c>
    </row>
    <row r="5776" spans="1:12">
      <c r="A5776" t="s">
        <v>264</v>
      </c>
      <c r="B5776" s="10">
        <v>45323</v>
      </c>
      <c r="C5776" s="18">
        <f t="shared" si="90"/>
        <v>2</v>
      </c>
      <c r="D5776" t="s">
        <v>196</v>
      </c>
      <c r="E5776">
        <v>4874006</v>
      </c>
      <c r="F5776" t="s">
        <v>8</v>
      </c>
      <c r="G5776" t="s">
        <v>203</v>
      </c>
      <c r="H5776" t="s">
        <v>223</v>
      </c>
      <c r="I5776" s="4">
        <v>100638.28079999999</v>
      </c>
      <c r="J5776" s="4">
        <v>603829.68479999993</v>
      </c>
      <c r="K5776" s="4">
        <v>-27138.412800000002</v>
      </c>
      <c r="L5776" s="4">
        <v>6</v>
      </c>
    </row>
    <row r="5777" spans="1:12">
      <c r="A5777" t="s">
        <v>264</v>
      </c>
      <c r="B5777" s="10">
        <v>45323</v>
      </c>
      <c r="C5777" s="18">
        <f t="shared" si="90"/>
        <v>2</v>
      </c>
      <c r="D5777" t="s">
        <v>196</v>
      </c>
      <c r="E5777">
        <v>4874006</v>
      </c>
      <c r="F5777" t="s">
        <v>8</v>
      </c>
      <c r="G5777" t="s">
        <v>203</v>
      </c>
      <c r="H5777" t="s">
        <v>241</v>
      </c>
      <c r="I5777" s="4">
        <v>125766.4408</v>
      </c>
      <c r="J5777" s="4">
        <v>754598.64480000001</v>
      </c>
      <c r="K5777" s="4">
        <v>-35053.783199999998</v>
      </c>
      <c r="L5777" s="4">
        <v>6</v>
      </c>
    </row>
    <row r="5778" spans="1:12">
      <c r="A5778" t="s">
        <v>264</v>
      </c>
      <c r="B5778" s="10">
        <v>45323</v>
      </c>
      <c r="C5778" s="18">
        <f t="shared" si="90"/>
        <v>2</v>
      </c>
      <c r="D5778" t="s">
        <v>196</v>
      </c>
      <c r="E5778">
        <v>4874006</v>
      </c>
      <c r="F5778" t="s">
        <v>8</v>
      </c>
      <c r="G5778" t="s">
        <v>203</v>
      </c>
      <c r="H5778" t="s">
        <v>239</v>
      </c>
      <c r="I5778" s="4">
        <v>125766.4408</v>
      </c>
      <c r="J5778" s="4">
        <v>754598.64480000001</v>
      </c>
      <c r="K5778" s="4">
        <v>-35053.783199999998</v>
      </c>
      <c r="L5778" s="4">
        <v>6</v>
      </c>
    </row>
    <row r="5779" spans="1:12">
      <c r="A5779" t="s">
        <v>264</v>
      </c>
      <c r="B5779" s="10">
        <v>45323</v>
      </c>
      <c r="C5779" s="18">
        <f t="shared" si="90"/>
        <v>2</v>
      </c>
      <c r="D5779" t="s">
        <v>196</v>
      </c>
      <c r="E5779">
        <v>4874006</v>
      </c>
      <c r="F5779" t="s">
        <v>8</v>
      </c>
      <c r="G5779" t="s">
        <v>204</v>
      </c>
      <c r="H5779" t="s">
        <v>215</v>
      </c>
      <c r="I5779" s="4">
        <v>75510.12079999999</v>
      </c>
      <c r="J5779" s="4">
        <v>3775506.0399999996</v>
      </c>
      <c r="K5779" s="4">
        <v>-188461.2</v>
      </c>
      <c r="L5779" s="4">
        <v>50</v>
      </c>
    </row>
    <row r="5780" spans="1:12">
      <c r="A5780" t="s">
        <v>264</v>
      </c>
      <c r="B5780" s="10">
        <v>45323</v>
      </c>
      <c r="C5780" s="18">
        <f t="shared" si="90"/>
        <v>2</v>
      </c>
      <c r="D5780" t="s">
        <v>196</v>
      </c>
      <c r="E5780">
        <v>4872058</v>
      </c>
      <c r="F5780" t="s">
        <v>8</v>
      </c>
      <c r="G5780" t="s">
        <v>203</v>
      </c>
      <c r="H5780" t="s">
        <v>242</v>
      </c>
      <c r="I5780" s="4">
        <v>100638.28079999999</v>
      </c>
      <c r="J5780" s="4">
        <v>1006382.808</v>
      </c>
      <c r="K5780" s="4">
        <v>-45230.688000000002</v>
      </c>
      <c r="L5780" s="4">
        <v>10</v>
      </c>
    </row>
    <row r="5781" spans="1:12">
      <c r="A5781" t="s">
        <v>264</v>
      </c>
      <c r="B5781" s="10">
        <v>45323</v>
      </c>
      <c r="C5781" s="18">
        <f t="shared" si="90"/>
        <v>2</v>
      </c>
      <c r="D5781" t="s">
        <v>196</v>
      </c>
      <c r="E5781">
        <v>4872058</v>
      </c>
      <c r="F5781" t="s">
        <v>8</v>
      </c>
      <c r="G5781" t="s">
        <v>203</v>
      </c>
      <c r="H5781" t="s">
        <v>234</v>
      </c>
      <c r="I5781" s="4">
        <v>100638.28079999999</v>
      </c>
      <c r="J5781" s="4">
        <v>1006382.808</v>
      </c>
      <c r="K5781" s="4">
        <v>-45230.688000000002</v>
      </c>
      <c r="L5781" s="4">
        <v>10</v>
      </c>
    </row>
    <row r="5782" spans="1:12">
      <c r="A5782" t="s">
        <v>264</v>
      </c>
      <c r="B5782" s="10">
        <v>45323</v>
      </c>
      <c r="C5782" s="18">
        <f t="shared" si="90"/>
        <v>2</v>
      </c>
      <c r="D5782" t="s">
        <v>196</v>
      </c>
      <c r="E5782">
        <v>4872058</v>
      </c>
      <c r="F5782" t="s">
        <v>8</v>
      </c>
      <c r="G5782" t="s">
        <v>203</v>
      </c>
      <c r="H5782" t="s">
        <v>227</v>
      </c>
      <c r="I5782" s="4">
        <v>100638.28079999999</v>
      </c>
      <c r="J5782" s="4">
        <v>1006382.808</v>
      </c>
      <c r="K5782" s="4">
        <v>-45230.688000000002</v>
      </c>
      <c r="L5782" s="4">
        <v>10</v>
      </c>
    </row>
    <row r="5783" spans="1:12">
      <c r="A5783" t="s">
        <v>264</v>
      </c>
      <c r="B5783" s="10">
        <v>45323</v>
      </c>
      <c r="C5783" s="18">
        <f t="shared" si="90"/>
        <v>2</v>
      </c>
      <c r="D5783" t="s">
        <v>196</v>
      </c>
      <c r="E5783">
        <v>4872058</v>
      </c>
      <c r="F5783" t="s">
        <v>8</v>
      </c>
      <c r="G5783" t="s">
        <v>203</v>
      </c>
      <c r="H5783" t="s">
        <v>223</v>
      </c>
      <c r="I5783" s="4">
        <v>100638.28079999999</v>
      </c>
      <c r="J5783" s="4">
        <v>1006382.808</v>
      </c>
      <c r="K5783" s="4">
        <v>-45230.688000000002</v>
      </c>
      <c r="L5783" s="4">
        <v>10</v>
      </c>
    </row>
    <row r="5784" spans="1:12">
      <c r="A5784" t="s">
        <v>264</v>
      </c>
      <c r="B5784" s="10">
        <v>45323</v>
      </c>
      <c r="C5784" s="18">
        <f t="shared" si="90"/>
        <v>2</v>
      </c>
      <c r="D5784" t="s">
        <v>196</v>
      </c>
      <c r="E5784">
        <v>4872058</v>
      </c>
      <c r="F5784" t="s">
        <v>8</v>
      </c>
      <c r="G5784" t="s">
        <v>203</v>
      </c>
      <c r="H5784" t="s">
        <v>241</v>
      </c>
      <c r="I5784" s="4">
        <v>125766.4408</v>
      </c>
      <c r="J5784" s="4">
        <v>1257664.4080000001</v>
      </c>
      <c r="K5784" s="4">
        <v>-58422.972000000002</v>
      </c>
      <c r="L5784" s="4">
        <v>10</v>
      </c>
    </row>
    <row r="5785" spans="1:12">
      <c r="A5785" t="s">
        <v>264</v>
      </c>
      <c r="B5785" s="10">
        <v>45323</v>
      </c>
      <c r="C5785" s="18">
        <f t="shared" si="90"/>
        <v>2</v>
      </c>
      <c r="D5785" t="s">
        <v>196</v>
      </c>
      <c r="E5785">
        <v>4872058</v>
      </c>
      <c r="F5785" t="s">
        <v>8</v>
      </c>
      <c r="G5785" t="s">
        <v>203</v>
      </c>
      <c r="H5785" t="s">
        <v>233</v>
      </c>
      <c r="I5785" s="4">
        <v>120735.78316800001</v>
      </c>
      <c r="J5785" s="4">
        <v>1207357.8316800001</v>
      </c>
      <c r="K5785" s="4">
        <v>-58422.972000000002</v>
      </c>
      <c r="L5785" s="4">
        <v>10</v>
      </c>
    </row>
    <row r="5786" spans="1:12">
      <c r="A5786" t="s">
        <v>264</v>
      </c>
      <c r="B5786" s="10">
        <v>45323</v>
      </c>
      <c r="C5786" s="18">
        <f t="shared" si="90"/>
        <v>2</v>
      </c>
      <c r="D5786" t="s">
        <v>196</v>
      </c>
      <c r="E5786">
        <v>4873570</v>
      </c>
      <c r="F5786" t="s">
        <v>8</v>
      </c>
      <c r="G5786" t="s">
        <v>203</v>
      </c>
      <c r="H5786" t="s">
        <v>245</v>
      </c>
      <c r="I5786" s="4">
        <v>100638.28079999999</v>
      </c>
      <c r="J5786" s="4">
        <v>201276.56159999999</v>
      </c>
      <c r="L5786" s="4">
        <v>2</v>
      </c>
    </row>
    <row r="5787" spans="1:12">
      <c r="A5787" t="s">
        <v>264</v>
      </c>
      <c r="B5787" s="10">
        <v>45323</v>
      </c>
      <c r="C5787" s="18">
        <f t="shared" si="90"/>
        <v>2</v>
      </c>
      <c r="D5787" t="s">
        <v>196</v>
      </c>
      <c r="E5787">
        <v>4873570</v>
      </c>
      <c r="F5787" t="s">
        <v>8</v>
      </c>
      <c r="G5787" t="s">
        <v>203</v>
      </c>
      <c r="H5787" t="s">
        <v>243</v>
      </c>
      <c r="I5787" s="4">
        <v>100638.28079999999</v>
      </c>
      <c r="J5787" s="4">
        <v>1006382.808</v>
      </c>
      <c r="K5787" s="4">
        <v>-45230.688000000002</v>
      </c>
      <c r="L5787" s="4">
        <v>10</v>
      </c>
    </row>
    <row r="5788" spans="1:12">
      <c r="A5788" t="s">
        <v>264</v>
      </c>
      <c r="B5788" s="10">
        <v>45323</v>
      </c>
      <c r="C5788" s="18">
        <f t="shared" si="90"/>
        <v>2</v>
      </c>
      <c r="D5788" t="s">
        <v>196</v>
      </c>
      <c r="E5788">
        <v>4873570</v>
      </c>
      <c r="F5788" t="s">
        <v>8</v>
      </c>
      <c r="G5788" t="s">
        <v>203</v>
      </c>
      <c r="H5788" t="s">
        <v>242</v>
      </c>
      <c r="I5788" s="4">
        <v>100638.28079999999</v>
      </c>
      <c r="J5788" s="4">
        <v>201276.56159999999</v>
      </c>
      <c r="K5788" s="4">
        <v>-9046.1376</v>
      </c>
      <c r="L5788" s="4">
        <v>2</v>
      </c>
    </row>
    <row r="5789" spans="1:12">
      <c r="A5789" t="s">
        <v>264</v>
      </c>
      <c r="B5789" s="10">
        <v>45323</v>
      </c>
      <c r="C5789" s="18">
        <f t="shared" si="90"/>
        <v>2</v>
      </c>
      <c r="D5789" t="s">
        <v>196</v>
      </c>
      <c r="E5789">
        <v>4873570</v>
      </c>
      <c r="F5789" t="s">
        <v>8</v>
      </c>
      <c r="G5789" t="s">
        <v>203</v>
      </c>
      <c r="H5789" t="s">
        <v>240</v>
      </c>
      <c r="I5789" s="4">
        <v>100638.28079999999</v>
      </c>
      <c r="J5789" s="4">
        <v>1006382.808</v>
      </c>
      <c r="K5789" s="4">
        <v>-45230.688000000002</v>
      </c>
      <c r="L5789" s="4">
        <v>10</v>
      </c>
    </row>
    <row r="5790" spans="1:12">
      <c r="A5790" t="s">
        <v>264</v>
      </c>
      <c r="B5790" s="10">
        <v>45323</v>
      </c>
      <c r="C5790" s="18">
        <f t="shared" si="90"/>
        <v>2</v>
      </c>
      <c r="D5790" t="s">
        <v>196</v>
      </c>
      <c r="E5790">
        <v>4873570</v>
      </c>
      <c r="F5790" t="s">
        <v>8</v>
      </c>
      <c r="G5790" t="s">
        <v>203</v>
      </c>
      <c r="H5790" t="s">
        <v>238</v>
      </c>
      <c r="I5790" s="4">
        <v>95606.36675999999</v>
      </c>
      <c r="J5790" s="4">
        <v>191212.73351999998</v>
      </c>
      <c r="K5790" s="4">
        <v>-9046.1376</v>
      </c>
      <c r="L5790" s="4">
        <v>2</v>
      </c>
    </row>
    <row r="5791" spans="1:12">
      <c r="A5791" t="s">
        <v>264</v>
      </c>
      <c r="B5791" s="10">
        <v>45323</v>
      </c>
      <c r="C5791" s="18">
        <f t="shared" si="90"/>
        <v>2</v>
      </c>
      <c r="D5791" t="s">
        <v>196</v>
      </c>
      <c r="E5791">
        <v>4873570</v>
      </c>
      <c r="F5791" t="s">
        <v>8</v>
      </c>
      <c r="G5791" t="s">
        <v>203</v>
      </c>
      <c r="H5791" t="s">
        <v>236</v>
      </c>
      <c r="I5791" s="4">
        <v>100638.28079999999</v>
      </c>
      <c r="J5791" s="4">
        <v>1006382.808</v>
      </c>
      <c r="K5791" s="4">
        <v>-45230.688000000002</v>
      </c>
      <c r="L5791" s="4">
        <v>10</v>
      </c>
    </row>
    <row r="5792" spans="1:12">
      <c r="A5792" t="s">
        <v>264</v>
      </c>
      <c r="B5792" s="10">
        <v>45323</v>
      </c>
      <c r="C5792" s="18">
        <f t="shared" si="90"/>
        <v>2</v>
      </c>
      <c r="D5792" t="s">
        <v>196</v>
      </c>
      <c r="E5792">
        <v>4873570</v>
      </c>
      <c r="F5792" t="s">
        <v>8</v>
      </c>
      <c r="G5792" t="s">
        <v>203</v>
      </c>
      <c r="H5792" t="s">
        <v>232</v>
      </c>
      <c r="I5792" s="4">
        <v>100638.28079999999</v>
      </c>
      <c r="J5792" s="4">
        <v>201276.56159999999</v>
      </c>
      <c r="K5792" s="4">
        <v>-9046.1376</v>
      </c>
      <c r="L5792" s="4">
        <v>2</v>
      </c>
    </row>
    <row r="5793" spans="1:12">
      <c r="A5793" t="s">
        <v>264</v>
      </c>
      <c r="B5793" s="10">
        <v>45323</v>
      </c>
      <c r="C5793" s="18">
        <f t="shared" si="90"/>
        <v>2</v>
      </c>
      <c r="D5793" t="s">
        <v>196</v>
      </c>
      <c r="E5793">
        <v>4873570</v>
      </c>
      <c r="F5793" t="s">
        <v>8</v>
      </c>
      <c r="G5793" t="s">
        <v>203</v>
      </c>
      <c r="H5793" t="s">
        <v>230</v>
      </c>
      <c r="I5793" s="4">
        <v>100638.28079999999</v>
      </c>
      <c r="J5793" s="4">
        <v>1006382.808</v>
      </c>
      <c r="K5793" s="4">
        <v>-45230.688000000002</v>
      </c>
      <c r="L5793" s="4">
        <v>10</v>
      </c>
    </row>
    <row r="5794" spans="1:12">
      <c r="A5794" t="s">
        <v>264</v>
      </c>
      <c r="B5794" s="10">
        <v>45323</v>
      </c>
      <c r="C5794" s="18">
        <f t="shared" si="90"/>
        <v>2</v>
      </c>
      <c r="D5794" t="s">
        <v>196</v>
      </c>
      <c r="E5794">
        <v>4873570</v>
      </c>
      <c r="F5794" t="s">
        <v>8</v>
      </c>
      <c r="G5794" t="s">
        <v>203</v>
      </c>
      <c r="H5794" t="s">
        <v>228</v>
      </c>
      <c r="I5794" s="4">
        <v>100638.28079999999</v>
      </c>
      <c r="J5794" s="4">
        <v>201276.56159999999</v>
      </c>
      <c r="K5794" s="4">
        <v>-9046.1376</v>
      </c>
      <c r="L5794" s="4">
        <v>2</v>
      </c>
    </row>
    <row r="5795" spans="1:12">
      <c r="A5795" t="s">
        <v>264</v>
      </c>
      <c r="B5795" s="10">
        <v>45323</v>
      </c>
      <c r="C5795" s="18">
        <f t="shared" si="90"/>
        <v>2</v>
      </c>
      <c r="D5795" t="s">
        <v>196</v>
      </c>
      <c r="E5795">
        <v>4873570</v>
      </c>
      <c r="F5795" t="s">
        <v>8</v>
      </c>
      <c r="G5795" t="s">
        <v>203</v>
      </c>
      <c r="H5795" t="s">
        <v>227</v>
      </c>
      <c r="I5795" s="4">
        <v>100638.28079999999</v>
      </c>
      <c r="J5795" s="4">
        <v>201276.56159999999</v>
      </c>
      <c r="K5795" s="4">
        <v>-9046.1376</v>
      </c>
      <c r="L5795" s="4">
        <v>2</v>
      </c>
    </row>
    <row r="5796" spans="1:12">
      <c r="A5796" t="s">
        <v>264</v>
      </c>
      <c r="B5796" s="10">
        <v>45323</v>
      </c>
      <c r="C5796" s="18">
        <f t="shared" si="90"/>
        <v>2</v>
      </c>
      <c r="D5796" t="s">
        <v>196</v>
      </c>
      <c r="E5796">
        <v>4873570</v>
      </c>
      <c r="F5796" t="s">
        <v>8</v>
      </c>
      <c r="G5796" t="s">
        <v>203</v>
      </c>
      <c r="H5796" t="s">
        <v>226</v>
      </c>
      <c r="I5796" s="4">
        <v>100638.28079999999</v>
      </c>
      <c r="J5796" s="4">
        <v>201276.56159999999</v>
      </c>
      <c r="K5796" s="4">
        <v>-9046.1376</v>
      </c>
      <c r="L5796" s="4">
        <v>2</v>
      </c>
    </row>
    <row r="5797" spans="1:12">
      <c r="A5797" t="s">
        <v>264</v>
      </c>
      <c r="B5797" s="10">
        <v>45323</v>
      </c>
      <c r="C5797" s="18">
        <f t="shared" si="90"/>
        <v>2</v>
      </c>
      <c r="D5797" t="s">
        <v>196</v>
      </c>
      <c r="E5797">
        <v>4873570</v>
      </c>
      <c r="F5797" t="s">
        <v>8</v>
      </c>
      <c r="G5797" t="s">
        <v>203</v>
      </c>
      <c r="H5797" t="s">
        <v>237</v>
      </c>
      <c r="I5797" s="4">
        <v>125766.4408</v>
      </c>
      <c r="J5797" s="4">
        <v>628832.20400000003</v>
      </c>
      <c r="K5797" s="4">
        <v>-29211.486000000001</v>
      </c>
      <c r="L5797" s="4">
        <v>5</v>
      </c>
    </row>
    <row r="5798" spans="1:12">
      <c r="A5798" t="s">
        <v>264</v>
      </c>
      <c r="B5798" s="10">
        <v>45323</v>
      </c>
      <c r="C5798" s="18">
        <f t="shared" si="90"/>
        <v>2</v>
      </c>
      <c r="D5798" t="s">
        <v>196</v>
      </c>
      <c r="E5798">
        <v>4873570</v>
      </c>
      <c r="F5798" t="s">
        <v>8</v>
      </c>
      <c r="G5798" t="s">
        <v>203</v>
      </c>
      <c r="H5798" t="s">
        <v>235</v>
      </c>
      <c r="I5798" s="4">
        <v>125766.4408</v>
      </c>
      <c r="J5798" s="4">
        <v>628832.20400000003</v>
      </c>
      <c r="K5798" s="4">
        <v>-29211.486000000001</v>
      </c>
      <c r="L5798" s="4">
        <v>5</v>
      </c>
    </row>
    <row r="5799" spans="1:12">
      <c r="A5799" t="s">
        <v>264</v>
      </c>
      <c r="B5799" s="10">
        <v>45323</v>
      </c>
      <c r="C5799" s="18">
        <f t="shared" si="90"/>
        <v>2</v>
      </c>
      <c r="D5799" t="s">
        <v>196</v>
      </c>
      <c r="E5799">
        <v>4873570</v>
      </c>
      <c r="F5799" t="s">
        <v>8</v>
      </c>
      <c r="G5799" t="s">
        <v>203</v>
      </c>
      <c r="H5799" t="s">
        <v>229</v>
      </c>
      <c r="I5799" s="4">
        <v>125766.4408</v>
      </c>
      <c r="J5799" s="4">
        <v>628832.20400000003</v>
      </c>
      <c r="K5799" s="4">
        <v>-29211.486000000001</v>
      </c>
      <c r="L5799" s="4">
        <v>5</v>
      </c>
    </row>
    <row r="5800" spans="1:12">
      <c r="A5800" t="s">
        <v>264</v>
      </c>
      <c r="B5800" s="10">
        <v>45323</v>
      </c>
      <c r="C5800" s="18">
        <f t="shared" si="90"/>
        <v>2</v>
      </c>
      <c r="D5800" t="s">
        <v>196</v>
      </c>
      <c r="E5800">
        <v>4872163</v>
      </c>
      <c r="F5800" t="s">
        <v>8</v>
      </c>
      <c r="G5800" t="s">
        <v>203</v>
      </c>
      <c r="H5800" t="s">
        <v>231</v>
      </c>
      <c r="I5800" s="4">
        <v>125766.4408</v>
      </c>
      <c r="J5800" s="4">
        <v>1257664.4080000001</v>
      </c>
      <c r="K5800" s="4">
        <v>-58422.972000000002</v>
      </c>
      <c r="L5800" s="4">
        <v>10</v>
      </c>
    </row>
    <row r="5801" spans="1:12">
      <c r="A5801" t="s">
        <v>264</v>
      </c>
      <c r="B5801" s="10">
        <v>45323</v>
      </c>
      <c r="C5801" s="18">
        <f t="shared" si="90"/>
        <v>2</v>
      </c>
      <c r="D5801" t="s">
        <v>196</v>
      </c>
      <c r="E5801">
        <v>4875779</v>
      </c>
      <c r="F5801" t="s">
        <v>8</v>
      </c>
      <c r="G5801" t="s">
        <v>204</v>
      </c>
      <c r="H5801" t="s">
        <v>221</v>
      </c>
      <c r="I5801" s="4">
        <v>25253.800799999997</v>
      </c>
      <c r="J5801" s="4">
        <v>202030.40639999998</v>
      </c>
      <c r="K5801" s="4">
        <v>-10051.264000000001</v>
      </c>
      <c r="L5801" s="4">
        <v>8</v>
      </c>
    </row>
    <row r="5802" spans="1:12">
      <c r="A5802" t="s">
        <v>264</v>
      </c>
      <c r="B5802" s="10">
        <v>45323</v>
      </c>
      <c r="C5802" s="18">
        <f t="shared" si="90"/>
        <v>2</v>
      </c>
      <c r="D5802" t="s">
        <v>196</v>
      </c>
      <c r="E5802">
        <v>4875779</v>
      </c>
      <c r="F5802" t="s">
        <v>8</v>
      </c>
      <c r="G5802" t="s">
        <v>204</v>
      </c>
      <c r="H5802" t="s">
        <v>220</v>
      </c>
      <c r="I5802" s="4">
        <v>37817.880799999999</v>
      </c>
      <c r="J5802" s="4">
        <v>302543.04639999999</v>
      </c>
      <c r="K5802" s="4">
        <v>-15076.895999999999</v>
      </c>
      <c r="L5802" s="4">
        <v>8</v>
      </c>
    </row>
    <row r="5803" spans="1:12">
      <c r="A5803" t="s">
        <v>264</v>
      </c>
      <c r="B5803" s="10">
        <v>45323</v>
      </c>
      <c r="C5803" s="18">
        <f t="shared" si="90"/>
        <v>2</v>
      </c>
      <c r="D5803" t="s">
        <v>196</v>
      </c>
      <c r="E5803">
        <v>4875779</v>
      </c>
      <c r="F5803" t="s">
        <v>8</v>
      </c>
      <c r="G5803" t="s">
        <v>204</v>
      </c>
      <c r="H5803" t="s">
        <v>212</v>
      </c>
      <c r="I5803" s="4">
        <v>62946.040799999995</v>
      </c>
      <c r="J5803" s="4">
        <v>1007136.6527999999</v>
      </c>
      <c r="K5803" s="4">
        <v>-30153.791999999998</v>
      </c>
      <c r="L5803" s="4">
        <v>16</v>
      </c>
    </row>
    <row r="5804" spans="1:12">
      <c r="A5804" t="s">
        <v>264</v>
      </c>
      <c r="B5804" s="10">
        <v>45324</v>
      </c>
      <c r="C5804" s="18">
        <f t="shared" si="90"/>
        <v>2</v>
      </c>
      <c r="D5804" t="s">
        <v>196</v>
      </c>
      <c r="E5804">
        <v>4872156</v>
      </c>
      <c r="F5804" t="s">
        <v>8</v>
      </c>
      <c r="G5804" t="s">
        <v>202</v>
      </c>
      <c r="H5804" t="s">
        <v>261</v>
      </c>
      <c r="I5804" s="4">
        <v>41587.104800000001</v>
      </c>
      <c r="J5804" s="4">
        <v>1164438.9344000001</v>
      </c>
      <c r="K5804" s="4">
        <v>-58046.049599999998</v>
      </c>
      <c r="L5804" s="4">
        <v>28</v>
      </c>
    </row>
    <row r="5805" spans="1:12">
      <c r="A5805" t="s">
        <v>264</v>
      </c>
      <c r="B5805" s="10">
        <v>45324</v>
      </c>
      <c r="C5805" s="18">
        <f t="shared" si="90"/>
        <v>2</v>
      </c>
      <c r="D5805" t="s">
        <v>196</v>
      </c>
      <c r="E5805">
        <v>4872156</v>
      </c>
      <c r="F5805" t="s">
        <v>8</v>
      </c>
      <c r="G5805" t="s">
        <v>202</v>
      </c>
      <c r="H5805" t="s">
        <v>256</v>
      </c>
      <c r="I5805" s="4">
        <v>64202.448800000006</v>
      </c>
      <c r="J5805" s="4">
        <v>1284048.976</v>
      </c>
      <c r="K5805" s="4">
        <v>-64076.807999999997</v>
      </c>
      <c r="L5805" s="4">
        <v>20</v>
      </c>
    </row>
    <row r="5806" spans="1:12">
      <c r="A5806" t="s">
        <v>264</v>
      </c>
      <c r="B5806" s="10">
        <v>45324</v>
      </c>
      <c r="C5806" s="18">
        <f t="shared" si="90"/>
        <v>2</v>
      </c>
      <c r="D5806" t="s">
        <v>196</v>
      </c>
      <c r="E5806">
        <v>4872592</v>
      </c>
      <c r="F5806" t="s">
        <v>8</v>
      </c>
      <c r="G5806" t="s">
        <v>204</v>
      </c>
      <c r="H5806" t="s">
        <v>219</v>
      </c>
      <c r="I5806" s="4">
        <v>44099.9208</v>
      </c>
      <c r="J5806" s="4">
        <v>220499.60399999999</v>
      </c>
      <c r="K5806" s="4">
        <v>-9423.06</v>
      </c>
      <c r="L5806" s="4">
        <v>5</v>
      </c>
    </row>
    <row r="5807" spans="1:12">
      <c r="A5807" t="s">
        <v>264</v>
      </c>
      <c r="B5807" s="10">
        <v>45325</v>
      </c>
      <c r="C5807" s="18">
        <f t="shared" si="90"/>
        <v>2</v>
      </c>
      <c r="D5807" t="s">
        <v>196</v>
      </c>
      <c r="E5807">
        <v>4872571</v>
      </c>
      <c r="F5807" t="s">
        <v>8</v>
      </c>
      <c r="G5807" t="s">
        <v>203</v>
      </c>
      <c r="H5807" t="s">
        <v>245</v>
      </c>
      <c r="I5807" s="4">
        <v>100638.28079999999</v>
      </c>
      <c r="J5807" s="4">
        <v>2012765.6159999999</v>
      </c>
      <c r="K5807" s="4">
        <v>-90461.376000000004</v>
      </c>
      <c r="L5807" s="4">
        <v>20</v>
      </c>
    </row>
    <row r="5808" spans="1:12">
      <c r="A5808" t="s">
        <v>264</v>
      </c>
      <c r="B5808" s="10">
        <v>45325</v>
      </c>
      <c r="C5808" s="18">
        <f t="shared" si="90"/>
        <v>2</v>
      </c>
      <c r="D5808" t="s">
        <v>196</v>
      </c>
      <c r="E5808">
        <v>4872571</v>
      </c>
      <c r="F5808" t="s">
        <v>8</v>
      </c>
      <c r="G5808" t="s">
        <v>203</v>
      </c>
      <c r="H5808" t="s">
        <v>243</v>
      </c>
      <c r="I5808" s="4">
        <v>100638.28079999999</v>
      </c>
      <c r="J5808" s="4">
        <v>2012765.6159999999</v>
      </c>
      <c r="K5808" s="4">
        <v>-90461.376000000004</v>
      </c>
      <c r="L5808" s="4">
        <v>20</v>
      </c>
    </row>
    <row r="5809" spans="1:12">
      <c r="A5809" t="s">
        <v>264</v>
      </c>
      <c r="B5809" s="10">
        <v>45325</v>
      </c>
      <c r="C5809" s="18">
        <f t="shared" si="90"/>
        <v>2</v>
      </c>
      <c r="D5809" t="s">
        <v>196</v>
      </c>
      <c r="E5809">
        <v>4872571</v>
      </c>
      <c r="F5809" t="s">
        <v>8</v>
      </c>
      <c r="G5809" t="s">
        <v>203</v>
      </c>
      <c r="H5809" t="s">
        <v>242</v>
      </c>
      <c r="I5809" s="4">
        <v>100638.28079999999</v>
      </c>
      <c r="J5809" s="4">
        <v>2012765.6159999999</v>
      </c>
      <c r="K5809" s="4">
        <v>-90461.376000000004</v>
      </c>
      <c r="L5809" s="4">
        <v>20</v>
      </c>
    </row>
    <row r="5810" spans="1:12">
      <c r="A5810" t="s">
        <v>264</v>
      </c>
      <c r="B5810" s="10">
        <v>45325</v>
      </c>
      <c r="C5810" s="18">
        <f t="shared" si="90"/>
        <v>2</v>
      </c>
      <c r="D5810" t="s">
        <v>196</v>
      </c>
      <c r="E5810">
        <v>4872571</v>
      </c>
      <c r="F5810" t="s">
        <v>8</v>
      </c>
      <c r="G5810" t="s">
        <v>203</v>
      </c>
      <c r="H5810" t="s">
        <v>240</v>
      </c>
      <c r="I5810" s="4">
        <v>100638.28079999999</v>
      </c>
      <c r="J5810" s="4">
        <v>2012765.6159999999</v>
      </c>
      <c r="K5810" s="4">
        <v>-90461.376000000004</v>
      </c>
      <c r="L5810" s="4">
        <v>20</v>
      </c>
    </row>
    <row r="5811" spans="1:12">
      <c r="A5811" t="s">
        <v>264</v>
      </c>
      <c r="B5811" s="10">
        <v>45325</v>
      </c>
      <c r="C5811" s="18">
        <f t="shared" si="90"/>
        <v>2</v>
      </c>
      <c r="D5811" t="s">
        <v>196</v>
      </c>
      <c r="E5811">
        <v>4872571</v>
      </c>
      <c r="F5811" t="s">
        <v>8</v>
      </c>
      <c r="G5811" t="s">
        <v>203</v>
      </c>
      <c r="H5811" t="s">
        <v>241</v>
      </c>
      <c r="I5811" s="4">
        <v>125766.4408</v>
      </c>
      <c r="J5811" s="4">
        <v>1257664.4080000001</v>
      </c>
      <c r="K5811" s="4">
        <v>-58422.972000000002</v>
      </c>
      <c r="L5811" s="4">
        <v>10</v>
      </c>
    </row>
    <row r="5812" spans="1:12">
      <c r="A5812" t="s">
        <v>264</v>
      </c>
      <c r="B5812" s="10">
        <v>45325</v>
      </c>
      <c r="C5812" s="18">
        <f t="shared" si="90"/>
        <v>2</v>
      </c>
      <c r="D5812" t="s">
        <v>196</v>
      </c>
      <c r="E5812">
        <v>4872571</v>
      </c>
      <c r="F5812" t="s">
        <v>8</v>
      </c>
      <c r="G5812" t="s">
        <v>203</v>
      </c>
      <c r="H5812" t="s">
        <v>235</v>
      </c>
      <c r="I5812" s="4">
        <v>125766.4408</v>
      </c>
      <c r="J5812" s="4">
        <v>1257664.4080000001</v>
      </c>
      <c r="K5812" s="4">
        <v>-58422.972000000002</v>
      </c>
      <c r="L5812" s="4">
        <v>10</v>
      </c>
    </row>
    <row r="5813" spans="1:12">
      <c r="A5813" t="s">
        <v>264</v>
      </c>
      <c r="B5813" s="10">
        <v>45325</v>
      </c>
      <c r="C5813" s="18">
        <f t="shared" si="90"/>
        <v>2</v>
      </c>
      <c r="D5813" t="s">
        <v>196</v>
      </c>
      <c r="E5813">
        <v>4872158</v>
      </c>
      <c r="F5813" t="s">
        <v>8</v>
      </c>
      <c r="G5813" t="s">
        <v>203</v>
      </c>
      <c r="H5813" t="s">
        <v>245</v>
      </c>
      <c r="I5813" s="4">
        <v>100638.28079999999</v>
      </c>
      <c r="J5813" s="4">
        <v>1006382.808</v>
      </c>
      <c r="K5813" s="4">
        <v>-45230.688000000002</v>
      </c>
      <c r="L5813" s="4">
        <v>10</v>
      </c>
    </row>
    <row r="5814" spans="1:12">
      <c r="A5814" t="s">
        <v>264</v>
      </c>
      <c r="B5814" s="10">
        <v>45325</v>
      </c>
      <c r="C5814" s="18">
        <f t="shared" si="90"/>
        <v>2</v>
      </c>
      <c r="D5814" t="s">
        <v>196</v>
      </c>
      <c r="E5814">
        <v>4872158</v>
      </c>
      <c r="F5814" t="s">
        <v>8</v>
      </c>
      <c r="G5814" t="s">
        <v>203</v>
      </c>
      <c r="H5814" t="s">
        <v>242</v>
      </c>
      <c r="I5814" s="4">
        <v>100638.28079999999</v>
      </c>
      <c r="J5814" s="4">
        <v>1006382.808</v>
      </c>
      <c r="K5814" s="4">
        <v>-45230.688000000002</v>
      </c>
      <c r="L5814" s="4">
        <v>10</v>
      </c>
    </row>
    <row r="5815" spans="1:12">
      <c r="A5815" t="s">
        <v>264</v>
      </c>
      <c r="B5815" s="10">
        <v>45325</v>
      </c>
      <c r="C5815" s="18">
        <f t="shared" si="90"/>
        <v>2</v>
      </c>
      <c r="D5815" t="s">
        <v>196</v>
      </c>
      <c r="E5815">
        <v>4872158</v>
      </c>
      <c r="F5815" t="s">
        <v>8</v>
      </c>
      <c r="G5815" t="s">
        <v>203</v>
      </c>
      <c r="H5815" t="s">
        <v>240</v>
      </c>
      <c r="I5815" s="4">
        <v>100638.28079999999</v>
      </c>
      <c r="J5815" s="4">
        <v>1006382.808</v>
      </c>
      <c r="K5815" s="4">
        <v>-45230.688000000002</v>
      </c>
      <c r="L5815" s="4">
        <v>10</v>
      </c>
    </row>
    <row r="5816" spans="1:12">
      <c r="A5816" t="s">
        <v>264</v>
      </c>
      <c r="B5816" s="10">
        <v>45325</v>
      </c>
      <c r="C5816" s="18">
        <f t="shared" si="90"/>
        <v>2</v>
      </c>
      <c r="D5816" t="s">
        <v>196</v>
      </c>
      <c r="E5816">
        <v>4872158</v>
      </c>
      <c r="F5816" t="s">
        <v>8</v>
      </c>
      <c r="G5816" t="s">
        <v>203</v>
      </c>
      <c r="H5816" t="s">
        <v>234</v>
      </c>
      <c r="I5816" s="4">
        <v>100638.28079999999</v>
      </c>
      <c r="J5816" s="4">
        <v>1006382.808</v>
      </c>
      <c r="K5816" s="4">
        <v>-45230.688000000002</v>
      </c>
      <c r="L5816" s="4">
        <v>10</v>
      </c>
    </row>
    <row r="5817" spans="1:12">
      <c r="A5817" t="s">
        <v>264</v>
      </c>
      <c r="B5817" s="10">
        <v>45325</v>
      </c>
      <c r="C5817" s="18">
        <f t="shared" si="90"/>
        <v>2</v>
      </c>
      <c r="D5817" t="s">
        <v>196</v>
      </c>
      <c r="E5817">
        <v>4872158</v>
      </c>
      <c r="F5817" t="s">
        <v>8</v>
      </c>
      <c r="G5817" t="s">
        <v>203</v>
      </c>
      <c r="H5817" t="s">
        <v>232</v>
      </c>
      <c r="I5817" s="4">
        <v>100638.28079999999</v>
      </c>
      <c r="J5817" s="4">
        <v>1006382.808</v>
      </c>
      <c r="K5817" s="4">
        <v>-45230.688000000002</v>
      </c>
      <c r="L5817" s="4">
        <v>10</v>
      </c>
    </row>
    <row r="5818" spans="1:12">
      <c r="A5818" t="s">
        <v>264</v>
      </c>
      <c r="B5818" s="10">
        <v>45325</v>
      </c>
      <c r="C5818" s="18">
        <f t="shared" si="90"/>
        <v>2</v>
      </c>
      <c r="D5818" t="s">
        <v>196</v>
      </c>
      <c r="E5818">
        <v>4872158</v>
      </c>
      <c r="F5818" t="s">
        <v>8</v>
      </c>
      <c r="G5818" t="s">
        <v>203</v>
      </c>
      <c r="H5818" t="s">
        <v>230</v>
      </c>
      <c r="I5818" s="4">
        <v>100638.28079999999</v>
      </c>
      <c r="J5818" s="4">
        <v>1006382.808</v>
      </c>
      <c r="K5818" s="4">
        <v>-45230.688000000002</v>
      </c>
      <c r="L5818" s="4">
        <v>10</v>
      </c>
    </row>
    <row r="5819" spans="1:12">
      <c r="A5819" t="s">
        <v>264</v>
      </c>
      <c r="B5819" s="10">
        <v>45325</v>
      </c>
      <c r="C5819" s="18">
        <f t="shared" si="90"/>
        <v>2</v>
      </c>
      <c r="D5819" t="s">
        <v>196</v>
      </c>
      <c r="E5819">
        <v>4872158</v>
      </c>
      <c r="F5819" t="s">
        <v>8</v>
      </c>
      <c r="G5819" t="s">
        <v>203</v>
      </c>
      <c r="H5819" t="s">
        <v>228</v>
      </c>
      <c r="I5819" s="4">
        <v>100638.28079999999</v>
      </c>
      <c r="J5819" s="4">
        <v>1006382.808</v>
      </c>
      <c r="K5819" s="4">
        <v>-45230.688000000002</v>
      </c>
      <c r="L5819" s="4">
        <v>10</v>
      </c>
    </row>
    <row r="5820" spans="1:12">
      <c r="A5820" t="s">
        <v>264</v>
      </c>
      <c r="B5820" s="10">
        <v>45325</v>
      </c>
      <c r="C5820" s="18">
        <f t="shared" si="90"/>
        <v>2</v>
      </c>
      <c r="D5820" t="s">
        <v>196</v>
      </c>
      <c r="E5820">
        <v>4872158</v>
      </c>
      <c r="F5820" t="s">
        <v>8</v>
      </c>
      <c r="G5820" t="s">
        <v>203</v>
      </c>
      <c r="H5820" t="s">
        <v>226</v>
      </c>
      <c r="I5820" s="4">
        <v>100638.28079999999</v>
      </c>
      <c r="J5820" s="4">
        <v>1006382.808</v>
      </c>
      <c r="K5820" s="4">
        <v>-45230.688000000002</v>
      </c>
      <c r="L5820" s="4">
        <v>10</v>
      </c>
    </row>
    <row r="5821" spans="1:12">
      <c r="A5821" t="s">
        <v>264</v>
      </c>
      <c r="B5821" s="10">
        <v>45325</v>
      </c>
      <c r="C5821" s="18">
        <f t="shared" si="90"/>
        <v>2</v>
      </c>
      <c r="D5821" t="s">
        <v>196</v>
      </c>
      <c r="E5821">
        <v>4872158</v>
      </c>
      <c r="F5821" t="s">
        <v>8</v>
      </c>
      <c r="G5821" t="s">
        <v>203</v>
      </c>
      <c r="H5821" t="s">
        <v>225</v>
      </c>
      <c r="I5821" s="4">
        <v>100638.28079999999</v>
      </c>
      <c r="J5821" s="4">
        <v>1006382.808</v>
      </c>
      <c r="K5821" s="4">
        <v>-45230.688000000002</v>
      </c>
      <c r="L5821" s="4">
        <v>10</v>
      </c>
    </row>
    <row r="5822" spans="1:12">
      <c r="A5822" t="s">
        <v>264</v>
      </c>
      <c r="B5822" s="10">
        <v>45325</v>
      </c>
      <c r="C5822" s="18">
        <f t="shared" si="90"/>
        <v>2</v>
      </c>
      <c r="D5822" t="s">
        <v>196</v>
      </c>
      <c r="E5822">
        <v>4872158</v>
      </c>
      <c r="F5822" t="s">
        <v>8</v>
      </c>
      <c r="G5822" t="s">
        <v>203</v>
      </c>
      <c r="H5822" t="s">
        <v>223</v>
      </c>
      <c r="I5822" s="4">
        <v>100638.28079999999</v>
      </c>
      <c r="J5822" s="4">
        <v>1006382.808</v>
      </c>
      <c r="K5822" s="4">
        <v>-45230.688000000002</v>
      </c>
      <c r="L5822" s="4">
        <v>10</v>
      </c>
    </row>
    <row r="5823" spans="1:12">
      <c r="A5823" t="s">
        <v>264</v>
      </c>
      <c r="B5823" s="10">
        <v>45325</v>
      </c>
      <c r="C5823" s="18">
        <f t="shared" si="90"/>
        <v>2</v>
      </c>
      <c r="D5823" t="s">
        <v>196</v>
      </c>
      <c r="E5823">
        <v>4872158</v>
      </c>
      <c r="F5823" t="s">
        <v>8</v>
      </c>
      <c r="G5823" t="s">
        <v>203</v>
      </c>
      <c r="H5823" t="s">
        <v>222</v>
      </c>
      <c r="I5823" s="4">
        <v>100638.28079999999</v>
      </c>
      <c r="J5823" s="4">
        <v>1006382.808</v>
      </c>
      <c r="K5823" s="4">
        <v>-45230.688000000002</v>
      </c>
      <c r="L5823" s="4">
        <v>10</v>
      </c>
    </row>
    <row r="5824" spans="1:12">
      <c r="A5824" t="s">
        <v>264</v>
      </c>
      <c r="B5824" s="10">
        <v>45325</v>
      </c>
      <c r="C5824" s="18">
        <f t="shared" si="90"/>
        <v>2</v>
      </c>
      <c r="D5824" t="s">
        <v>196</v>
      </c>
      <c r="E5824">
        <v>4876343</v>
      </c>
      <c r="F5824" t="s">
        <v>8</v>
      </c>
      <c r="G5824" t="s">
        <v>203</v>
      </c>
      <c r="H5824" t="s">
        <v>245</v>
      </c>
      <c r="I5824" s="4">
        <v>100638.28079999999</v>
      </c>
      <c r="J5824" s="4">
        <v>402553.12319999997</v>
      </c>
      <c r="K5824" s="4">
        <v>-18092.2752</v>
      </c>
      <c r="L5824" s="4">
        <v>4</v>
      </c>
    </row>
    <row r="5825" spans="1:12">
      <c r="A5825" t="s">
        <v>264</v>
      </c>
      <c r="B5825" s="10">
        <v>45325</v>
      </c>
      <c r="C5825" s="18">
        <f t="shared" si="90"/>
        <v>2</v>
      </c>
      <c r="D5825" t="s">
        <v>196</v>
      </c>
      <c r="E5825">
        <v>4876343</v>
      </c>
      <c r="F5825" t="s">
        <v>8</v>
      </c>
      <c r="G5825" t="s">
        <v>203</v>
      </c>
      <c r="H5825" t="s">
        <v>242</v>
      </c>
      <c r="I5825" s="4">
        <v>100638.28079999999</v>
      </c>
      <c r="J5825" s="4">
        <v>402553.12319999997</v>
      </c>
      <c r="K5825" s="4">
        <v>-18092.2752</v>
      </c>
      <c r="L5825" s="4">
        <v>4</v>
      </c>
    </row>
    <row r="5826" spans="1:12">
      <c r="A5826" t="s">
        <v>264</v>
      </c>
      <c r="B5826" s="10">
        <v>45325</v>
      </c>
      <c r="C5826" s="18">
        <f t="shared" ref="C5826:C5889" si="91">MONTH(B5826)</f>
        <v>2</v>
      </c>
      <c r="D5826" t="s">
        <v>196</v>
      </c>
      <c r="E5826">
        <v>4876343</v>
      </c>
      <c r="F5826" t="s">
        <v>8</v>
      </c>
      <c r="G5826" t="s">
        <v>203</v>
      </c>
      <c r="H5826" t="s">
        <v>240</v>
      </c>
      <c r="I5826" s="4">
        <v>100638.28079999999</v>
      </c>
      <c r="J5826" s="4">
        <v>402553.12319999997</v>
      </c>
      <c r="K5826" s="4">
        <v>-18092.2752</v>
      </c>
      <c r="L5826" s="4">
        <v>4</v>
      </c>
    </row>
    <row r="5827" spans="1:12">
      <c r="A5827" t="s">
        <v>264</v>
      </c>
      <c r="B5827" s="10">
        <v>45325</v>
      </c>
      <c r="C5827" s="18">
        <f t="shared" si="91"/>
        <v>2</v>
      </c>
      <c r="D5827" t="s">
        <v>196</v>
      </c>
      <c r="E5827">
        <v>4876343</v>
      </c>
      <c r="F5827" t="s">
        <v>8</v>
      </c>
      <c r="G5827" t="s">
        <v>203</v>
      </c>
      <c r="H5827" t="s">
        <v>234</v>
      </c>
      <c r="I5827" s="4">
        <v>100638.28079999999</v>
      </c>
      <c r="J5827" s="4">
        <v>402553.12319999997</v>
      </c>
      <c r="K5827" s="4">
        <v>-18092.2752</v>
      </c>
      <c r="L5827" s="4">
        <v>4</v>
      </c>
    </row>
    <row r="5828" spans="1:12">
      <c r="A5828" t="s">
        <v>264</v>
      </c>
      <c r="B5828" s="10">
        <v>45325</v>
      </c>
      <c r="C5828" s="18">
        <f t="shared" si="91"/>
        <v>2</v>
      </c>
      <c r="D5828" t="s">
        <v>196</v>
      </c>
      <c r="E5828">
        <v>4876343</v>
      </c>
      <c r="F5828" t="s">
        <v>8</v>
      </c>
      <c r="G5828" t="s">
        <v>203</v>
      </c>
      <c r="H5828" t="s">
        <v>232</v>
      </c>
      <c r="I5828" s="4">
        <v>100638.28079999999</v>
      </c>
      <c r="J5828" s="4">
        <v>402553.12319999997</v>
      </c>
      <c r="K5828" s="4">
        <v>-18092.2752</v>
      </c>
      <c r="L5828" s="4">
        <v>4</v>
      </c>
    </row>
    <row r="5829" spans="1:12">
      <c r="A5829" t="s">
        <v>264</v>
      </c>
      <c r="B5829" s="10">
        <v>45325</v>
      </c>
      <c r="C5829" s="18">
        <f t="shared" si="91"/>
        <v>2</v>
      </c>
      <c r="D5829" t="s">
        <v>196</v>
      </c>
      <c r="E5829">
        <v>4876343</v>
      </c>
      <c r="F5829" t="s">
        <v>8</v>
      </c>
      <c r="G5829" t="s">
        <v>203</v>
      </c>
      <c r="H5829" t="s">
        <v>230</v>
      </c>
      <c r="I5829" s="4">
        <v>100638.28079999999</v>
      </c>
      <c r="J5829" s="4">
        <v>402553.12319999997</v>
      </c>
      <c r="K5829" s="4">
        <v>-18092.2752</v>
      </c>
      <c r="L5829" s="4">
        <v>4</v>
      </c>
    </row>
    <row r="5830" spans="1:12">
      <c r="A5830" t="s">
        <v>264</v>
      </c>
      <c r="B5830" s="10">
        <v>45325</v>
      </c>
      <c r="C5830" s="18">
        <f t="shared" si="91"/>
        <v>2</v>
      </c>
      <c r="D5830" t="s">
        <v>196</v>
      </c>
      <c r="E5830">
        <v>4876343</v>
      </c>
      <c r="F5830" t="s">
        <v>8</v>
      </c>
      <c r="G5830" t="s">
        <v>203</v>
      </c>
      <c r="H5830" t="s">
        <v>224</v>
      </c>
      <c r="I5830" s="4">
        <v>100638.28079999999</v>
      </c>
      <c r="J5830" s="4">
        <v>402553.12319999997</v>
      </c>
      <c r="K5830" s="4">
        <v>-18092.2752</v>
      </c>
      <c r="L5830" s="4">
        <v>4</v>
      </c>
    </row>
    <row r="5831" spans="1:12">
      <c r="A5831" t="s">
        <v>264</v>
      </c>
      <c r="B5831" s="10">
        <v>45325</v>
      </c>
      <c r="C5831" s="18">
        <f t="shared" si="91"/>
        <v>2</v>
      </c>
      <c r="D5831" t="s">
        <v>196</v>
      </c>
      <c r="E5831">
        <v>4876343</v>
      </c>
      <c r="F5831" t="s">
        <v>8</v>
      </c>
      <c r="G5831" t="s">
        <v>203</v>
      </c>
      <c r="H5831" t="s">
        <v>244</v>
      </c>
      <c r="I5831" s="4">
        <v>125766.4408</v>
      </c>
      <c r="J5831" s="4">
        <v>503065.76319999999</v>
      </c>
      <c r="K5831" s="4">
        <v>-23369.1888</v>
      </c>
      <c r="L5831" s="4">
        <v>4</v>
      </c>
    </row>
    <row r="5832" spans="1:12">
      <c r="A5832" t="s">
        <v>264</v>
      </c>
      <c r="B5832" s="10">
        <v>45325</v>
      </c>
      <c r="C5832" s="18">
        <f t="shared" si="91"/>
        <v>2</v>
      </c>
      <c r="D5832" t="s">
        <v>196</v>
      </c>
      <c r="E5832">
        <v>4876343</v>
      </c>
      <c r="F5832" t="s">
        <v>8</v>
      </c>
      <c r="G5832" t="s">
        <v>203</v>
      </c>
      <c r="H5832" t="s">
        <v>241</v>
      </c>
      <c r="I5832" s="4">
        <v>125766.4408</v>
      </c>
      <c r="J5832" s="4">
        <v>503065.76319999999</v>
      </c>
      <c r="K5832" s="4">
        <v>-23369.1888</v>
      </c>
      <c r="L5832" s="4">
        <v>4</v>
      </c>
    </row>
    <row r="5833" spans="1:12">
      <c r="A5833" t="s">
        <v>264</v>
      </c>
      <c r="B5833" s="10">
        <v>45325</v>
      </c>
      <c r="C5833" s="18">
        <f t="shared" si="91"/>
        <v>2</v>
      </c>
      <c r="D5833" t="s">
        <v>196</v>
      </c>
      <c r="E5833">
        <v>4876343</v>
      </c>
      <c r="F5833" t="s">
        <v>8</v>
      </c>
      <c r="G5833" t="s">
        <v>203</v>
      </c>
      <c r="H5833" t="s">
        <v>239</v>
      </c>
      <c r="I5833" s="4">
        <v>125766.4408</v>
      </c>
      <c r="J5833" s="4">
        <v>503065.76319999999</v>
      </c>
      <c r="K5833" s="4">
        <v>-23369.1888</v>
      </c>
      <c r="L5833" s="4">
        <v>4</v>
      </c>
    </row>
    <row r="5834" spans="1:12">
      <c r="A5834" t="s">
        <v>264</v>
      </c>
      <c r="B5834" s="10">
        <v>45325</v>
      </c>
      <c r="C5834" s="18">
        <f t="shared" si="91"/>
        <v>2</v>
      </c>
      <c r="D5834" t="s">
        <v>196</v>
      </c>
      <c r="E5834">
        <v>4876343</v>
      </c>
      <c r="F5834" t="s">
        <v>8</v>
      </c>
      <c r="G5834" t="s">
        <v>203</v>
      </c>
      <c r="H5834" t="s">
        <v>233</v>
      </c>
      <c r="I5834" s="4">
        <v>120735.78316800001</v>
      </c>
      <c r="J5834" s="4">
        <v>482943.13267200004</v>
      </c>
      <c r="K5834" s="4">
        <v>-23369.1888</v>
      </c>
      <c r="L5834" s="4">
        <v>4</v>
      </c>
    </row>
    <row r="5835" spans="1:12">
      <c r="A5835" t="s">
        <v>264</v>
      </c>
      <c r="B5835" s="10">
        <v>45325</v>
      </c>
      <c r="C5835" s="18">
        <f t="shared" si="91"/>
        <v>2</v>
      </c>
      <c r="D5835" t="s">
        <v>196</v>
      </c>
      <c r="E5835">
        <v>4876343</v>
      </c>
      <c r="F5835" t="s">
        <v>8</v>
      </c>
      <c r="G5835" t="s">
        <v>203</v>
      </c>
      <c r="H5835" t="s">
        <v>231</v>
      </c>
      <c r="I5835" s="4">
        <v>125766.4408</v>
      </c>
      <c r="J5835" s="4">
        <v>503065.76319999999</v>
      </c>
      <c r="K5835" s="4">
        <v>-23369.1888</v>
      </c>
      <c r="L5835" s="4">
        <v>4</v>
      </c>
    </row>
    <row r="5836" spans="1:12">
      <c r="A5836" t="s">
        <v>264</v>
      </c>
      <c r="B5836" s="10">
        <v>45325</v>
      </c>
      <c r="C5836" s="18">
        <f t="shared" si="91"/>
        <v>2</v>
      </c>
      <c r="D5836" t="s">
        <v>196</v>
      </c>
      <c r="E5836">
        <v>4876343</v>
      </c>
      <c r="F5836" t="s">
        <v>8</v>
      </c>
      <c r="G5836" t="s">
        <v>203</v>
      </c>
      <c r="H5836" t="s">
        <v>229</v>
      </c>
      <c r="I5836" s="4">
        <v>125766.4408</v>
      </c>
      <c r="J5836" s="4">
        <v>503065.76319999999</v>
      </c>
      <c r="K5836" s="4">
        <v>-23369.1888</v>
      </c>
      <c r="L5836" s="4">
        <v>4</v>
      </c>
    </row>
    <row r="5837" spans="1:12">
      <c r="A5837" t="s">
        <v>264</v>
      </c>
      <c r="B5837" s="10">
        <v>45325</v>
      </c>
      <c r="C5837" s="18">
        <f t="shared" si="91"/>
        <v>2</v>
      </c>
      <c r="D5837" t="s">
        <v>196</v>
      </c>
      <c r="E5837">
        <v>4876343</v>
      </c>
      <c r="F5837" t="s">
        <v>8</v>
      </c>
      <c r="G5837" t="s">
        <v>204</v>
      </c>
      <c r="H5837" t="s">
        <v>219</v>
      </c>
      <c r="I5837" s="4">
        <v>44099.9208</v>
      </c>
      <c r="J5837" s="4">
        <v>440999.20799999998</v>
      </c>
      <c r="K5837" s="4">
        <v>-18846.12</v>
      </c>
      <c r="L5837" s="4">
        <v>10</v>
      </c>
    </row>
    <row r="5838" spans="1:12">
      <c r="A5838" t="s">
        <v>264</v>
      </c>
      <c r="B5838" s="10">
        <v>45325</v>
      </c>
      <c r="C5838" s="18">
        <f t="shared" si="91"/>
        <v>2</v>
      </c>
      <c r="D5838" t="s">
        <v>196</v>
      </c>
      <c r="E5838">
        <v>4876343</v>
      </c>
      <c r="F5838" t="s">
        <v>8</v>
      </c>
      <c r="G5838" t="s">
        <v>204</v>
      </c>
      <c r="H5838" t="s">
        <v>218</v>
      </c>
      <c r="I5838" s="4">
        <v>71740.896800000002</v>
      </c>
      <c r="J5838" s="4">
        <v>717408.96799999999</v>
      </c>
      <c r="K5838" s="4">
        <v>-35807.628000000004</v>
      </c>
      <c r="L5838" s="4">
        <v>10</v>
      </c>
    </row>
    <row r="5839" spans="1:12">
      <c r="A5839" t="s">
        <v>264</v>
      </c>
      <c r="B5839" s="10">
        <v>45325</v>
      </c>
      <c r="C5839" s="18">
        <f t="shared" si="91"/>
        <v>2</v>
      </c>
      <c r="D5839" t="s">
        <v>196</v>
      </c>
      <c r="E5839">
        <v>4876343</v>
      </c>
      <c r="F5839" t="s">
        <v>8</v>
      </c>
      <c r="G5839" t="s">
        <v>204</v>
      </c>
      <c r="H5839" t="s">
        <v>217</v>
      </c>
      <c r="I5839" s="4">
        <v>78022.936799999996</v>
      </c>
      <c r="J5839" s="4">
        <v>780229.36800000002</v>
      </c>
      <c r="K5839" s="4">
        <v>-35807.628000000004</v>
      </c>
      <c r="L5839" s="4">
        <v>10</v>
      </c>
    </row>
    <row r="5840" spans="1:12">
      <c r="A5840" t="s">
        <v>264</v>
      </c>
      <c r="B5840" s="10">
        <v>45325</v>
      </c>
      <c r="C5840" s="18">
        <f t="shared" si="91"/>
        <v>2</v>
      </c>
      <c r="D5840" t="s">
        <v>196</v>
      </c>
      <c r="E5840">
        <v>4876343</v>
      </c>
      <c r="F5840" t="s">
        <v>8</v>
      </c>
      <c r="G5840" t="s">
        <v>204</v>
      </c>
      <c r="H5840" t="s">
        <v>216</v>
      </c>
      <c r="I5840" s="4">
        <v>113202.36079999999</v>
      </c>
      <c r="J5840" s="4">
        <v>1132023.608</v>
      </c>
      <c r="K5840" s="4">
        <v>-56538.36</v>
      </c>
      <c r="L5840" s="4">
        <v>10</v>
      </c>
    </row>
    <row r="5841" spans="1:12">
      <c r="A5841" t="s">
        <v>264</v>
      </c>
      <c r="B5841" s="10">
        <v>45325</v>
      </c>
      <c r="C5841" s="18">
        <f t="shared" si="91"/>
        <v>2</v>
      </c>
      <c r="D5841" t="s">
        <v>196</v>
      </c>
      <c r="E5841">
        <v>4876343</v>
      </c>
      <c r="F5841" t="s">
        <v>8</v>
      </c>
      <c r="G5841" t="s">
        <v>204</v>
      </c>
      <c r="H5841" t="s">
        <v>221</v>
      </c>
      <c r="I5841" s="4">
        <v>25253.800799999997</v>
      </c>
      <c r="J5841" s="4">
        <v>252538.00799999997</v>
      </c>
      <c r="K5841" s="4">
        <v>-12564.08</v>
      </c>
      <c r="L5841" s="4">
        <v>10</v>
      </c>
    </row>
    <row r="5842" spans="1:12">
      <c r="A5842" t="s">
        <v>264</v>
      </c>
      <c r="B5842" s="10">
        <v>45325</v>
      </c>
      <c r="C5842" s="18">
        <f t="shared" si="91"/>
        <v>2</v>
      </c>
      <c r="D5842" t="s">
        <v>196</v>
      </c>
      <c r="E5842">
        <v>4876343</v>
      </c>
      <c r="F5842" t="s">
        <v>8</v>
      </c>
      <c r="G5842" t="s">
        <v>204</v>
      </c>
      <c r="H5842" t="s">
        <v>220</v>
      </c>
      <c r="I5842" s="4">
        <v>37817.880799999999</v>
      </c>
      <c r="J5842" s="4">
        <v>378178.80799999996</v>
      </c>
      <c r="K5842" s="4">
        <v>-18846.12</v>
      </c>
      <c r="L5842" s="4">
        <v>10</v>
      </c>
    </row>
    <row r="5843" spans="1:12">
      <c r="A5843" t="s">
        <v>264</v>
      </c>
      <c r="B5843" s="10">
        <v>45325</v>
      </c>
      <c r="C5843" s="18">
        <f t="shared" si="91"/>
        <v>2</v>
      </c>
      <c r="D5843" t="s">
        <v>196</v>
      </c>
      <c r="E5843">
        <v>4876343</v>
      </c>
      <c r="F5843" t="s">
        <v>8</v>
      </c>
      <c r="G5843" t="s">
        <v>204</v>
      </c>
      <c r="H5843" t="s">
        <v>212</v>
      </c>
      <c r="I5843" s="4">
        <v>62946.040799999995</v>
      </c>
      <c r="J5843" s="4">
        <v>629460.40799999994</v>
      </c>
      <c r="K5843" s="4">
        <v>-18846.12</v>
      </c>
      <c r="L5843" s="4">
        <v>10</v>
      </c>
    </row>
    <row r="5844" spans="1:12">
      <c r="A5844" t="s">
        <v>264</v>
      </c>
      <c r="B5844" s="10">
        <v>45325</v>
      </c>
      <c r="C5844" s="18">
        <f t="shared" si="91"/>
        <v>2</v>
      </c>
      <c r="D5844" t="s">
        <v>196</v>
      </c>
      <c r="E5844">
        <v>4878748</v>
      </c>
      <c r="F5844" t="s">
        <v>8</v>
      </c>
      <c r="G5844" t="s">
        <v>204</v>
      </c>
      <c r="H5844" t="s">
        <v>219</v>
      </c>
      <c r="I5844" s="4">
        <v>44099.9208</v>
      </c>
      <c r="J5844" s="4">
        <v>88199.8416</v>
      </c>
      <c r="K5844" s="4">
        <v>-3769.2239999999997</v>
      </c>
      <c r="L5844" s="4">
        <v>2</v>
      </c>
    </row>
    <row r="5845" spans="1:12">
      <c r="A5845" t="s">
        <v>264</v>
      </c>
      <c r="B5845" s="10">
        <v>45325</v>
      </c>
      <c r="C5845" s="18">
        <f t="shared" si="91"/>
        <v>2</v>
      </c>
      <c r="D5845" t="s">
        <v>196</v>
      </c>
      <c r="E5845">
        <v>4878748</v>
      </c>
      <c r="F5845" t="s">
        <v>8</v>
      </c>
      <c r="G5845" t="s">
        <v>204</v>
      </c>
      <c r="H5845" t="s">
        <v>218</v>
      </c>
      <c r="I5845" s="4">
        <v>71740.896800000002</v>
      </c>
      <c r="J5845" s="4">
        <v>143481.7936</v>
      </c>
      <c r="K5845" s="4">
        <v>-7161.525599999999</v>
      </c>
      <c r="L5845" s="4">
        <v>2</v>
      </c>
    </row>
    <row r="5846" spans="1:12">
      <c r="A5846" t="s">
        <v>264</v>
      </c>
      <c r="B5846" s="10">
        <v>45325</v>
      </c>
      <c r="C5846" s="18">
        <f t="shared" si="91"/>
        <v>2</v>
      </c>
      <c r="D5846" t="s">
        <v>196</v>
      </c>
      <c r="E5846">
        <v>4878748</v>
      </c>
      <c r="F5846" t="s">
        <v>8</v>
      </c>
      <c r="G5846" t="s">
        <v>204</v>
      </c>
      <c r="H5846" t="s">
        <v>217</v>
      </c>
      <c r="I5846" s="4">
        <v>78022.936799999996</v>
      </c>
      <c r="J5846" s="4">
        <v>156045.87359999999</v>
      </c>
      <c r="K5846" s="4">
        <v>-7161.525599999999</v>
      </c>
      <c r="L5846" s="4">
        <v>2</v>
      </c>
    </row>
    <row r="5847" spans="1:12">
      <c r="A5847" t="s">
        <v>264</v>
      </c>
      <c r="B5847" s="10">
        <v>45325</v>
      </c>
      <c r="C5847" s="18">
        <f t="shared" si="91"/>
        <v>2</v>
      </c>
      <c r="D5847" t="s">
        <v>196</v>
      </c>
      <c r="E5847">
        <v>4878748</v>
      </c>
      <c r="F5847" t="s">
        <v>8</v>
      </c>
      <c r="G5847" t="s">
        <v>204</v>
      </c>
      <c r="H5847" t="s">
        <v>216</v>
      </c>
      <c r="I5847" s="4">
        <v>113202.36079999999</v>
      </c>
      <c r="J5847" s="4">
        <v>226404.72159999999</v>
      </c>
      <c r="K5847" s="4">
        <v>-11307.672</v>
      </c>
      <c r="L5847" s="4">
        <v>2</v>
      </c>
    </row>
    <row r="5848" spans="1:12">
      <c r="A5848" t="s">
        <v>264</v>
      </c>
      <c r="B5848" s="10">
        <v>45325</v>
      </c>
      <c r="C5848" s="18">
        <f t="shared" si="91"/>
        <v>2</v>
      </c>
      <c r="D5848" t="s">
        <v>196</v>
      </c>
      <c r="E5848">
        <v>4878748</v>
      </c>
      <c r="F5848" t="s">
        <v>8</v>
      </c>
      <c r="G5848" t="s">
        <v>204</v>
      </c>
      <c r="H5848" t="s">
        <v>215</v>
      </c>
      <c r="I5848" s="4">
        <v>75510.12079999999</v>
      </c>
      <c r="J5848" s="4">
        <v>151020.24159999998</v>
      </c>
      <c r="K5848" s="4">
        <v>-7538.4479999999994</v>
      </c>
      <c r="L5848" s="4">
        <v>2</v>
      </c>
    </row>
    <row r="5849" spans="1:12">
      <c r="A5849" t="s">
        <v>264</v>
      </c>
      <c r="B5849" s="10">
        <v>45325</v>
      </c>
      <c r="C5849" s="18">
        <f t="shared" si="91"/>
        <v>2</v>
      </c>
      <c r="D5849" t="s">
        <v>196</v>
      </c>
      <c r="E5849">
        <v>4878748</v>
      </c>
      <c r="F5849" t="s">
        <v>8</v>
      </c>
      <c r="G5849" t="s">
        <v>204</v>
      </c>
      <c r="H5849" t="s">
        <v>214</v>
      </c>
      <c r="I5849" s="4">
        <v>119484.4008</v>
      </c>
      <c r="J5849" s="4">
        <v>238968.80160000001</v>
      </c>
      <c r="K5849" s="4">
        <v>-11935.876</v>
      </c>
      <c r="L5849" s="4">
        <v>2</v>
      </c>
    </row>
    <row r="5850" spans="1:12">
      <c r="A5850" t="s">
        <v>264</v>
      </c>
      <c r="B5850" s="10">
        <v>45325</v>
      </c>
      <c r="C5850" s="18">
        <f t="shared" si="91"/>
        <v>2</v>
      </c>
      <c r="D5850" t="s">
        <v>196</v>
      </c>
      <c r="E5850">
        <v>4878748</v>
      </c>
      <c r="F5850" t="s">
        <v>8</v>
      </c>
      <c r="G5850" t="s">
        <v>204</v>
      </c>
      <c r="H5850" t="s">
        <v>213</v>
      </c>
      <c r="I5850" s="4">
        <v>119484.4008</v>
      </c>
      <c r="J5850" s="4">
        <v>238968.80160000001</v>
      </c>
      <c r="K5850" s="4">
        <v>-11935.876</v>
      </c>
      <c r="L5850" s="4">
        <v>2</v>
      </c>
    </row>
    <row r="5851" spans="1:12">
      <c r="A5851" t="s">
        <v>264</v>
      </c>
      <c r="B5851" s="10">
        <v>45325</v>
      </c>
      <c r="C5851" s="18">
        <f t="shared" si="91"/>
        <v>2</v>
      </c>
      <c r="D5851" t="s">
        <v>196</v>
      </c>
      <c r="E5851">
        <v>4878748</v>
      </c>
      <c r="F5851" t="s">
        <v>8</v>
      </c>
      <c r="G5851" t="s">
        <v>204</v>
      </c>
      <c r="H5851" t="s">
        <v>221</v>
      </c>
      <c r="I5851" s="4">
        <v>25253.800799999997</v>
      </c>
      <c r="J5851" s="4">
        <v>50507.601599999995</v>
      </c>
      <c r="K5851" s="4">
        <v>-2512.8160000000003</v>
      </c>
      <c r="L5851" s="4">
        <v>2</v>
      </c>
    </row>
    <row r="5852" spans="1:12">
      <c r="A5852" t="s">
        <v>264</v>
      </c>
      <c r="B5852" s="10">
        <v>45325</v>
      </c>
      <c r="C5852" s="18">
        <f t="shared" si="91"/>
        <v>2</v>
      </c>
      <c r="D5852" t="s">
        <v>196</v>
      </c>
      <c r="E5852">
        <v>4878748</v>
      </c>
      <c r="F5852" t="s">
        <v>8</v>
      </c>
      <c r="G5852" t="s">
        <v>204</v>
      </c>
      <c r="H5852" t="s">
        <v>220</v>
      </c>
      <c r="I5852" s="4">
        <v>37817.880799999999</v>
      </c>
      <c r="J5852" s="4">
        <v>75635.761599999998</v>
      </c>
      <c r="K5852" s="4">
        <v>-3769.2239999999997</v>
      </c>
      <c r="L5852" s="4">
        <v>2</v>
      </c>
    </row>
    <row r="5853" spans="1:12">
      <c r="A5853" t="s">
        <v>264</v>
      </c>
      <c r="B5853" s="10">
        <v>45325</v>
      </c>
      <c r="C5853" s="18">
        <f t="shared" si="91"/>
        <v>2</v>
      </c>
      <c r="D5853" t="s">
        <v>196</v>
      </c>
      <c r="E5853">
        <v>4878748</v>
      </c>
      <c r="F5853" t="s">
        <v>8</v>
      </c>
      <c r="G5853" t="s">
        <v>204</v>
      </c>
      <c r="H5853" t="s">
        <v>212</v>
      </c>
      <c r="I5853" s="4">
        <v>62946.040799999995</v>
      </c>
      <c r="J5853" s="4">
        <v>125892.08159999999</v>
      </c>
      <c r="K5853" s="4">
        <v>-3769.2239999999997</v>
      </c>
      <c r="L5853" s="4">
        <v>2</v>
      </c>
    </row>
    <row r="5854" spans="1:12">
      <c r="A5854" t="s">
        <v>264</v>
      </c>
      <c r="B5854" s="10">
        <v>45325</v>
      </c>
      <c r="C5854" s="18">
        <f t="shared" si="91"/>
        <v>2</v>
      </c>
      <c r="D5854" t="s">
        <v>196</v>
      </c>
      <c r="E5854">
        <v>4878748</v>
      </c>
      <c r="F5854" t="s">
        <v>8</v>
      </c>
      <c r="G5854" t="s">
        <v>206</v>
      </c>
      <c r="H5854" t="s">
        <v>248</v>
      </c>
      <c r="I5854" s="4">
        <v>16207.663200000001</v>
      </c>
      <c r="J5854" s="4">
        <v>1620766.32</v>
      </c>
      <c r="K5854" s="4">
        <v>-84807.54</v>
      </c>
      <c r="L5854" s="4">
        <v>100</v>
      </c>
    </row>
    <row r="5855" spans="1:12">
      <c r="A5855" t="s">
        <v>264</v>
      </c>
      <c r="B5855" s="10">
        <v>45325</v>
      </c>
      <c r="C5855" s="18">
        <f t="shared" si="91"/>
        <v>2</v>
      </c>
      <c r="D5855" t="s">
        <v>196</v>
      </c>
      <c r="E5855">
        <v>4878748</v>
      </c>
      <c r="F5855" t="s">
        <v>8</v>
      </c>
      <c r="G5855" t="s">
        <v>206</v>
      </c>
      <c r="H5855" t="s">
        <v>250</v>
      </c>
      <c r="I5855" s="4">
        <v>17715.352800000001</v>
      </c>
      <c r="J5855" s="4">
        <v>1771535.28</v>
      </c>
      <c r="K5855" s="4">
        <v>-87948.56</v>
      </c>
      <c r="L5855" s="4">
        <v>100</v>
      </c>
    </row>
    <row r="5856" spans="1:12">
      <c r="A5856" t="s">
        <v>264</v>
      </c>
      <c r="B5856" s="10">
        <v>45325</v>
      </c>
      <c r="C5856" s="18">
        <f t="shared" si="91"/>
        <v>2</v>
      </c>
      <c r="D5856" t="s">
        <v>196</v>
      </c>
      <c r="E5856">
        <v>4878748</v>
      </c>
      <c r="F5856" t="s">
        <v>8</v>
      </c>
      <c r="G5856" t="s">
        <v>206</v>
      </c>
      <c r="H5856" t="s">
        <v>249</v>
      </c>
      <c r="I5856" s="4">
        <v>17715.352800000001</v>
      </c>
      <c r="J5856" s="4">
        <v>1771535.28</v>
      </c>
      <c r="K5856" s="4">
        <v>-87948.56</v>
      </c>
      <c r="L5856" s="4">
        <v>100</v>
      </c>
    </row>
    <row r="5857" spans="1:12">
      <c r="A5857" t="s">
        <v>264</v>
      </c>
      <c r="B5857" s="10">
        <v>45325</v>
      </c>
      <c r="C5857" s="18">
        <f t="shared" si="91"/>
        <v>2</v>
      </c>
      <c r="D5857" t="s">
        <v>196</v>
      </c>
      <c r="E5857">
        <v>4878748</v>
      </c>
      <c r="F5857" t="s">
        <v>8</v>
      </c>
      <c r="G5857" t="s">
        <v>206</v>
      </c>
      <c r="H5857" t="s">
        <v>209</v>
      </c>
      <c r="I5857" s="4">
        <v>17715.352800000001</v>
      </c>
      <c r="J5857" s="4">
        <v>1771535.28</v>
      </c>
      <c r="K5857" s="4">
        <v>-87948.56</v>
      </c>
      <c r="L5857" s="4">
        <v>100</v>
      </c>
    </row>
    <row r="5858" spans="1:12">
      <c r="A5858" t="s">
        <v>264</v>
      </c>
      <c r="B5858" s="10">
        <v>45325</v>
      </c>
      <c r="C5858" s="18">
        <f t="shared" si="91"/>
        <v>2</v>
      </c>
      <c r="D5858" t="s">
        <v>196</v>
      </c>
      <c r="E5858">
        <v>4878748</v>
      </c>
      <c r="F5858" t="s">
        <v>8</v>
      </c>
      <c r="G5858" t="s">
        <v>206</v>
      </c>
      <c r="H5858" t="s">
        <v>252</v>
      </c>
      <c r="I5858" s="4">
        <v>20102.528000000002</v>
      </c>
      <c r="J5858" s="4">
        <v>2010252.8000000003</v>
      </c>
      <c r="K5858" s="4">
        <v>-100512.64</v>
      </c>
      <c r="L5858" s="4">
        <v>100</v>
      </c>
    </row>
    <row r="5859" spans="1:12">
      <c r="A5859" t="s">
        <v>264</v>
      </c>
      <c r="B5859" s="10">
        <v>45325</v>
      </c>
      <c r="C5859" s="18">
        <f t="shared" si="91"/>
        <v>2</v>
      </c>
      <c r="D5859" t="s">
        <v>196</v>
      </c>
      <c r="E5859">
        <v>4878748</v>
      </c>
      <c r="F5859" t="s">
        <v>8</v>
      </c>
      <c r="G5859" t="s">
        <v>206</v>
      </c>
      <c r="H5859" t="s">
        <v>251</v>
      </c>
      <c r="I5859" s="4">
        <v>19223.042399999998</v>
      </c>
      <c r="J5859" s="4">
        <v>1922304.2399999998</v>
      </c>
      <c r="K5859" s="4">
        <v>-100512.64</v>
      </c>
      <c r="L5859" s="4">
        <v>100</v>
      </c>
    </row>
    <row r="5860" spans="1:12">
      <c r="A5860" t="s">
        <v>264</v>
      </c>
      <c r="B5860" s="10">
        <v>45325</v>
      </c>
      <c r="C5860" s="18">
        <f t="shared" si="91"/>
        <v>2</v>
      </c>
      <c r="D5860" t="s">
        <v>196</v>
      </c>
      <c r="E5860">
        <v>4874586</v>
      </c>
      <c r="F5860" t="s">
        <v>8</v>
      </c>
      <c r="G5860" t="s">
        <v>203</v>
      </c>
      <c r="H5860" t="s">
        <v>243</v>
      </c>
      <c r="I5860" s="4">
        <v>100638.28079999999</v>
      </c>
      <c r="J5860" s="4">
        <v>1006382.808</v>
      </c>
      <c r="K5860" s="4">
        <v>-45230.688000000002</v>
      </c>
      <c r="L5860" s="4">
        <v>10</v>
      </c>
    </row>
    <row r="5861" spans="1:12">
      <c r="A5861" t="s">
        <v>264</v>
      </c>
      <c r="B5861" s="10">
        <v>45325</v>
      </c>
      <c r="C5861" s="18">
        <f t="shared" si="91"/>
        <v>2</v>
      </c>
      <c r="D5861" t="s">
        <v>196</v>
      </c>
      <c r="E5861">
        <v>4874586</v>
      </c>
      <c r="F5861" t="s">
        <v>8</v>
      </c>
      <c r="G5861" t="s">
        <v>203</v>
      </c>
      <c r="H5861" t="s">
        <v>240</v>
      </c>
      <c r="I5861" s="4">
        <v>100638.28079999999</v>
      </c>
      <c r="J5861" s="4">
        <v>1006382.808</v>
      </c>
      <c r="K5861" s="4">
        <v>-45230.688000000002</v>
      </c>
      <c r="L5861" s="4">
        <v>10</v>
      </c>
    </row>
    <row r="5862" spans="1:12">
      <c r="A5862" t="s">
        <v>264</v>
      </c>
      <c r="B5862" s="10">
        <v>45325</v>
      </c>
      <c r="C5862" s="18">
        <f t="shared" si="91"/>
        <v>2</v>
      </c>
      <c r="D5862" t="s">
        <v>196</v>
      </c>
      <c r="E5862">
        <v>4874586</v>
      </c>
      <c r="F5862" t="s">
        <v>8</v>
      </c>
      <c r="G5862" t="s">
        <v>203</v>
      </c>
      <c r="H5862" t="s">
        <v>232</v>
      </c>
      <c r="I5862" s="4">
        <v>100638.28079999999</v>
      </c>
      <c r="J5862" s="4">
        <v>1006382.808</v>
      </c>
      <c r="K5862" s="4">
        <v>-45230.688000000002</v>
      </c>
      <c r="L5862" s="4">
        <v>10</v>
      </c>
    </row>
    <row r="5863" spans="1:12">
      <c r="A5863" t="s">
        <v>264</v>
      </c>
      <c r="B5863" s="10">
        <v>45325</v>
      </c>
      <c r="C5863" s="18">
        <f t="shared" si="91"/>
        <v>2</v>
      </c>
      <c r="D5863" t="s">
        <v>196</v>
      </c>
      <c r="E5863">
        <v>4874586</v>
      </c>
      <c r="F5863" t="s">
        <v>8</v>
      </c>
      <c r="G5863" t="s">
        <v>203</v>
      </c>
      <c r="H5863" t="s">
        <v>230</v>
      </c>
      <c r="I5863" s="4">
        <v>100638.28079999999</v>
      </c>
      <c r="J5863" s="4">
        <v>1006382.808</v>
      </c>
      <c r="K5863" s="4">
        <v>-45230.688000000002</v>
      </c>
      <c r="L5863" s="4">
        <v>10</v>
      </c>
    </row>
    <row r="5864" spans="1:12">
      <c r="A5864" t="s">
        <v>264</v>
      </c>
      <c r="B5864" s="10">
        <v>45325</v>
      </c>
      <c r="C5864" s="18">
        <f t="shared" si="91"/>
        <v>2</v>
      </c>
      <c r="D5864" t="s">
        <v>196</v>
      </c>
      <c r="E5864">
        <v>4874586</v>
      </c>
      <c r="F5864" t="s">
        <v>8</v>
      </c>
      <c r="G5864" t="s">
        <v>203</v>
      </c>
      <c r="H5864" t="s">
        <v>228</v>
      </c>
      <c r="I5864" s="4">
        <v>100638.28079999999</v>
      </c>
      <c r="J5864" s="4">
        <v>1006382.808</v>
      </c>
      <c r="K5864" s="4">
        <v>-45230.688000000002</v>
      </c>
      <c r="L5864" s="4">
        <v>10</v>
      </c>
    </row>
    <row r="5865" spans="1:12">
      <c r="A5865" t="s">
        <v>264</v>
      </c>
      <c r="B5865" s="10">
        <v>45325</v>
      </c>
      <c r="C5865" s="18">
        <f t="shared" si="91"/>
        <v>2</v>
      </c>
      <c r="D5865" t="s">
        <v>196</v>
      </c>
      <c r="E5865">
        <v>4874586</v>
      </c>
      <c r="F5865" t="s">
        <v>8</v>
      </c>
      <c r="G5865" t="s">
        <v>203</v>
      </c>
      <c r="H5865" t="s">
        <v>244</v>
      </c>
      <c r="I5865" s="4">
        <v>125766.4408</v>
      </c>
      <c r="J5865" s="4">
        <v>1257664.4080000001</v>
      </c>
      <c r="K5865" s="4">
        <v>-58422.972000000002</v>
      </c>
      <c r="L5865" s="4">
        <v>10</v>
      </c>
    </row>
    <row r="5866" spans="1:12">
      <c r="A5866" t="s">
        <v>264</v>
      </c>
      <c r="B5866" s="10">
        <v>45325</v>
      </c>
      <c r="C5866" s="18">
        <f t="shared" si="91"/>
        <v>2</v>
      </c>
      <c r="D5866" t="s">
        <v>196</v>
      </c>
      <c r="E5866">
        <v>4874586</v>
      </c>
      <c r="F5866" t="s">
        <v>8</v>
      </c>
      <c r="G5866" t="s">
        <v>203</v>
      </c>
      <c r="H5866" t="s">
        <v>239</v>
      </c>
      <c r="I5866" s="4">
        <v>125766.4408</v>
      </c>
      <c r="J5866" s="4">
        <v>1257664.4080000001</v>
      </c>
      <c r="K5866" s="4">
        <v>-58422.972000000002</v>
      </c>
      <c r="L5866" s="4">
        <v>10</v>
      </c>
    </row>
    <row r="5867" spans="1:12">
      <c r="A5867" t="s">
        <v>264</v>
      </c>
      <c r="B5867" s="10">
        <v>45325</v>
      </c>
      <c r="C5867" s="18">
        <f t="shared" si="91"/>
        <v>2</v>
      </c>
      <c r="D5867" t="s">
        <v>196</v>
      </c>
      <c r="E5867">
        <v>4874586</v>
      </c>
      <c r="F5867" t="s">
        <v>8</v>
      </c>
      <c r="G5867" t="s">
        <v>204</v>
      </c>
      <c r="H5867" t="s">
        <v>214</v>
      </c>
      <c r="I5867" s="4">
        <v>119484.4008</v>
      </c>
      <c r="J5867" s="4">
        <v>1911750.4128</v>
      </c>
      <c r="K5867" s="4">
        <v>-95487.008000000002</v>
      </c>
      <c r="L5867" s="4">
        <v>16</v>
      </c>
    </row>
    <row r="5868" spans="1:12">
      <c r="A5868" t="s">
        <v>264</v>
      </c>
      <c r="B5868" s="10">
        <v>45325</v>
      </c>
      <c r="C5868" s="18">
        <f t="shared" si="91"/>
        <v>2</v>
      </c>
      <c r="D5868" t="s">
        <v>196</v>
      </c>
      <c r="E5868">
        <v>4874586</v>
      </c>
      <c r="F5868" t="s">
        <v>8</v>
      </c>
      <c r="G5868" t="s">
        <v>204</v>
      </c>
      <c r="H5868" t="s">
        <v>221</v>
      </c>
      <c r="I5868" s="4">
        <v>25253.800799999997</v>
      </c>
      <c r="J5868" s="4">
        <v>505076.01599999995</v>
      </c>
      <c r="K5868" s="4">
        <v>-25128.16</v>
      </c>
      <c r="L5868" s="4">
        <v>20</v>
      </c>
    </row>
    <row r="5869" spans="1:12">
      <c r="A5869" t="s">
        <v>264</v>
      </c>
      <c r="B5869" s="10">
        <v>45325</v>
      </c>
      <c r="C5869" s="18">
        <f t="shared" si="91"/>
        <v>2</v>
      </c>
      <c r="D5869" t="s">
        <v>196</v>
      </c>
      <c r="E5869">
        <v>4874586</v>
      </c>
      <c r="F5869" t="s">
        <v>8</v>
      </c>
      <c r="G5869" t="s">
        <v>202</v>
      </c>
      <c r="H5869" t="s">
        <v>259</v>
      </c>
      <c r="I5869" s="4">
        <v>30279.432800000002</v>
      </c>
      <c r="J5869" s="4">
        <v>3027943.2800000003</v>
      </c>
      <c r="K5869" s="4">
        <v>-150768.95999999999</v>
      </c>
      <c r="L5869" s="4">
        <v>100</v>
      </c>
    </row>
    <row r="5870" spans="1:12">
      <c r="A5870" t="s">
        <v>264</v>
      </c>
      <c r="B5870" s="10">
        <v>45325</v>
      </c>
      <c r="C5870" s="18">
        <f t="shared" si="91"/>
        <v>2</v>
      </c>
      <c r="D5870" t="s">
        <v>196</v>
      </c>
      <c r="E5870">
        <v>4874586</v>
      </c>
      <c r="F5870" t="s">
        <v>8</v>
      </c>
      <c r="G5870" t="s">
        <v>202</v>
      </c>
      <c r="H5870" t="s">
        <v>253</v>
      </c>
      <c r="I5870" s="4">
        <v>46669.275160000005</v>
      </c>
      <c r="J5870" s="4">
        <v>4666927.5160000008</v>
      </c>
      <c r="K5870" s="4">
        <v>-244999.56</v>
      </c>
      <c r="L5870" s="4">
        <v>100</v>
      </c>
    </row>
    <row r="5871" spans="1:12">
      <c r="A5871" t="s">
        <v>264</v>
      </c>
      <c r="B5871" s="10">
        <v>45325</v>
      </c>
      <c r="C5871" s="18">
        <f t="shared" si="91"/>
        <v>2</v>
      </c>
      <c r="D5871" t="s">
        <v>196</v>
      </c>
      <c r="E5871">
        <v>4872208</v>
      </c>
      <c r="F5871" t="s">
        <v>8</v>
      </c>
      <c r="G5871" t="s">
        <v>203</v>
      </c>
      <c r="H5871" t="s">
        <v>244</v>
      </c>
      <c r="I5871" s="4">
        <v>125766.4408</v>
      </c>
      <c r="J5871" s="4">
        <v>628832.20400000003</v>
      </c>
      <c r="K5871" s="4">
        <v>-29211.486000000001</v>
      </c>
      <c r="L5871" s="4">
        <v>5</v>
      </c>
    </row>
    <row r="5872" spans="1:12">
      <c r="A5872" t="s">
        <v>264</v>
      </c>
      <c r="B5872" s="10">
        <v>45325</v>
      </c>
      <c r="C5872" s="18">
        <f t="shared" si="91"/>
        <v>2</v>
      </c>
      <c r="D5872" t="s">
        <v>196</v>
      </c>
      <c r="E5872">
        <v>4872208</v>
      </c>
      <c r="F5872" t="s">
        <v>8</v>
      </c>
      <c r="G5872" t="s">
        <v>203</v>
      </c>
      <c r="H5872" t="s">
        <v>241</v>
      </c>
      <c r="I5872" s="4">
        <v>125766.4408</v>
      </c>
      <c r="J5872" s="4">
        <v>628832.20400000003</v>
      </c>
      <c r="K5872" s="4">
        <v>-29211.486000000001</v>
      </c>
      <c r="L5872" s="4">
        <v>5</v>
      </c>
    </row>
    <row r="5873" spans="1:12">
      <c r="A5873" t="s">
        <v>264</v>
      </c>
      <c r="B5873" s="10">
        <v>45325</v>
      </c>
      <c r="C5873" s="18">
        <f t="shared" si="91"/>
        <v>2</v>
      </c>
      <c r="D5873" t="s">
        <v>196</v>
      </c>
      <c r="E5873">
        <v>4872208</v>
      </c>
      <c r="F5873" t="s">
        <v>8</v>
      </c>
      <c r="G5873" t="s">
        <v>203</v>
      </c>
      <c r="H5873" t="s">
        <v>235</v>
      </c>
      <c r="I5873" s="4">
        <v>125766.4408</v>
      </c>
      <c r="J5873" s="4">
        <v>628832.20400000003</v>
      </c>
      <c r="K5873" s="4">
        <v>-29211.486000000001</v>
      </c>
      <c r="L5873" s="4">
        <v>5</v>
      </c>
    </row>
    <row r="5874" spans="1:12">
      <c r="A5874" t="s">
        <v>264</v>
      </c>
      <c r="B5874" s="10">
        <v>45325</v>
      </c>
      <c r="C5874" s="18">
        <f t="shared" si="91"/>
        <v>2</v>
      </c>
      <c r="D5874" t="s">
        <v>196</v>
      </c>
      <c r="E5874">
        <v>4876759</v>
      </c>
      <c r="F5874" t="s">
        <v>8</v>
      </c>
      <c r="G5874" t="s">
        <v>203</v>
      </c>
      <c r="H5874" t="s">
        <v>241</v>
      </c>
      <c r="I5874" s="4">
        <v>125766.4408</v>
      </c>
      <c r="J5874" s="4">
        <v>628832.20400000003</v>
      </c>
      <c r="K5874" s="4">
        <v>-29211.486000000001</v>
      </c>
      <c r="L5874" s="4">
        <v>5</v>
      </c>
    </row>
    <row r="5875" spans="1:12">
      <c r="A5875" t="s">
        <v>264</v>
      </c>
      <c r="B5875" s="10">
        <v>45325</v>
      </c>
      <c r="C5875" s="18">
        <f t="shared" si="91"/>
        <v>2</v>
      </c>
      <c r="D5875" t="s">
        <v>196</v>
      </c>
      <c r="E5875">
        <v>4876759</v>
      </c>
      <c r="F5875" t="s">
        <v>8</v>
      </c>
      <c r="G5875" t="s">
        <v>203</v>
      </c>
      <c r="H5875" t="s">
        <v>235</v>
      </c>
      <c r="I5875" s="4">
        <v>125766.4408</v>
      </c>
      <c r="J5875" s="4">
        <v>628832.20400000003</v>
      </c>
      <c r="K5875" s="4">
        <v>-29211.486000000001</v>
      </c>
      <c r="L5875" s="4">
        <v>5</v>
      </c>
    </row>
    <row r="5876" spans="1:12">
      <c r="A5876" t="s">
        <v>264</v>
      </c>
      <c r="B5876" s="10">
        <v>45325</v>
      </c>
      <c r="C5876" s="18">
        <f t="shared" si="91"/>
        <v>2</v>
      </c>
      <c r="D5876" t="s">
        <v>196</v>
      </c>
      <c r="E5876">
        <v>4876759</v>
      </c>
      <c r="F5876" t="s">
        <v>8</v>
      </c>
      <c r="G5876" t="s">
        <v>203</v>
      </c>
      <c r="H5876" t="s">
        <v>229</v>
      </c>
      <c r="I5876" s="4">
        <v>125766.4408</v>
      </c>
      <c r="J5876" s="4">
        <v>628832.20400000003</v>
      </c>
      <c r="K5876" s="4">
        <v>-29211.486000000001</v>
      </c>
      <c r="L5876" s="4">
        <v>5</v>
      </c>
    </row>
    <row r="5877" spans="1:12">
      <c r="A5877" t="s">
        <v>264</v>
      </c>
      <c r="B5877" s="10">
        <v>45325</v>
      </c>
      <c r="C5877" s="18">
        <f t="shared" si="91"/>
        <v>2</v>
      </c>
      <c r="D5877" t="s">
        <v>196</v>
      </c>
      <c r="E5877">
        <v>4872103</v>
      </c>
      <c r="F5877" t="s">
        <v>8</v>
      </c>
      <c r="G5877" t="s">
        <v>202</v>
      </c>
      <c r="H5877" t="s">
        <v>261</v>
      </c>
      <c r="I5877" s="4">
        <v>41587.104800000001</v>
      </c>
      <c r="J5877" s="4">
        <v>8317420.96</v>
      </c>
      <c r="K5877" s="4">
        <v>-414614.64</v>
      </c>
      <c r="L5877" s="4">
        <v>200</v>
      </c>
    </row>
    <row r="5878" spans="1:12">
      <c r="A5878" t="s">
        <v>264</v>
      </c>
      <c r="B5878" s="10">
        <v>45325</v>
      </c>
      <c r="C5878" s="18">
        <f t="shared" si="91"/>
        <v>2</v>
      </c>
      <c r="D5878" t="s">
        <v>196</v>
      </c>
      <c r="E5878">
        <v>4874664</v>
      </c>
      <c r="F5878" t="s">
        <v>8</v>
      </c>
      <c r="G5878" t="s">
        <v>204</v>
      </c>
      <c r="H5878" t="s">
        <v>212</v>
      </c>
      <c r="I5878" s="4">
        <v>62946.040799999995</v>
      </c>
      <c r="J5878" s="4">
        <v>1258920.8159999999</v>
      </c>
      <c r="K5878" s="4">
        <v>-37692.239999999998</v>
      </c>
      <c r="L5878" s="4">
        <v>20</v>
      </c>
    </row>
    <row r="5879" spans="1:12">
      <c r="A5879" t="s">
        <v>264</v>
      </c>
      <c r="B5879" s="10">
        <v>45325</v>
      </c>
      <c r="C5879" s="18">
        <f t="shared" si="91"/>
        <v>2</v>
      </c>
      <c r="D5879" t="s">
        <v>196</v>
      </c>
      <c r="E5879">
        <v>4874664</v>
      </c>
      <c r="F5879" t="s">
        <v>8</v>
      </c>
      <c r="G5879" t="s">
        <v>202</v>
      </c>
      <c r="H5879" t="s">
        <v>261</v>
      </c>
      <c r="I5879" s="4">
        <v>41587.104800000001</v>
      </c>
      <c r="J5879" s="4">
        <v>415871.04800000001</v>
      </c>
      <c r="K5879" s="4">
        <v>-20730.732</v>
      </c>
      <c r="L5879" s="4">
        <v>10</v>
      </c>
    </row>
    <row r="5880" spans="1:12">
      <c r="A5880" t="s">
        <v>264</v>
      </c>
      <c r="B5880" s="10">
        <v>45325</v>
      </c>
      <c r="C5880" s="18">
        <f t="shared" si="91"/>
        <v>2</v>
      </c>
      <c r="D5880" t="s">
        <v>196</v>
      </c>
      <c r="E5880">
        <v>4874664</v>
      </c>
      <c r="F5880" t="s">
        <v>8</v>
      </c>
      <c r="G5880" t="s">
        <v>202</v>
      </c>
      <c r="H5880" t="s">
        <v>259</v>
      </c>
      <c r="I5880" s="4">
        <v>30279.432800000002</v>
      </c>
      <c r="J5880" s="4">
        <v>151397.16400000002</v>
      </c>
      <c r="K5880" s="4">
        <v>-7538.4479999999994</v>
      </c>
      <c r="L5880" s="4">
        <v>5</v>
      </c>
    </row>
    <row r="5881" spans="1:12">
      <c r="A5881" t="s">
        <v>264</v>
      </c>
      <c r="B5881" s="10">
        <v>45325</v>
      </c>
      <c r="C5881" s="18">
        <f t="shared" si="91"/>
        <v>2</v>
      </c>
      <c r="D5881" t="s">
        <v>196</v>
      </c>
      <c r="E5881">
        <v>4874664</v>
      </c>
      <c r="F5881" t="s">
        <v>8</v>
      </c>
      <c r="G5881" t="s">
        <v>205</v>
      </c>
      <c r="H5881" t="s">
        <v>211</v>
      </c>
      <c r="I5881" s="4">
        <v>5151.2727999999997</v>
      </c>
      <c r="J5881" s="4">
        <v>515127.27999999997</v>
      </c>
      <c r="K5881" s="4">
        <v>-25128.16</v>
      </c>
      <c r="L5881" s="4">
        <v>100</v>
      </c>
    </row>
    <row r="5882" spans="1:12">
      <c r="A5882" t="s">
        <v>264</v>
      </c>
      <c r="B5882" s="10">
        <v>45325</v>
      </c>
      <c r="C5882" s="18">
        <f t="shared" si="91"/>
        <v>2</v>
      </c>
      <c r="D5882" t="s">
        <v>196</v>
      </c>
      <c r="E5882">
        <v>4874664</v>
      </c>
      <c r="F5882" t="s">
        <v>8</v>
      </c>
      <c r="G5882" t="s">
        <v>205</v>
      </c>
      <c r="H5882" t="s">
        <v>246</v>
      </c>
      <c r="I5882" s="4">
        <v>5967.9380000000001</v>
      </c>
      <c r="J5882" s="4">
        <v>298396.90000000002</v>
      </c>
      <c r="K5882" s="4">
        <v>-15705.1</v>
      </c>
      <c r="L5882" s="4">
        <v>50</v>
      </c>
    </row>
    <row r="5883" spans="1:12">
      <c r="A5883" t="s">
        <v>264</v>
      </c>
      <c r="B5883" s="10">
        <v>45326</v>
      </c>
      <c r="C5883" s="18">
        <f t="shared" si="91"/>
        <v>2</v>
      </c>
      <c r="D5883" t="s">
        <v>196</v>
      </c>
      <c r="E5883">
        <v>4872246</v>
      </c>
      <c r="F5883" t="s">
        <v>8</v>
      </c>
      <c r="G5883" t="s">
        <v>203</v>
      </c>
      <c r="H5883" t="s">
        <v>236</v>
      </c>
      <c r="I5883" s="4">
        <v>100638.28079999999</v>
      </c>
      <c r="J5883" s="4">
        <v>603829.68479999993</v>
      </c>
      <c r="K5883" s="4">
        <v>-27138.412800000002</v>
      </c>
      <c r="L5883" s="4">
        <v>6</v>
      </c>
    </row>
    <row r="5884" spans="1:12">
      <c r="A5884" t="s">
        <v>264</v>
      </c>
      <c r="B5884" s="10">
        <v>45326</v>
      </c>
      <c r="C5884" s="18">
        <f t="shared" si="91"/>
        <v>2</v>
      </c>
      <c r="D5884" t="s">
        <v>196</v>
      </c>
      <c r="E5884">
        <v>4872246</v>
      </c>
      <c r="F5884" t="s">
        <v>8</v>
      </c>
      <c r="G5884" t="s">
        <v>203</v>
      </c>
      <c r="H5884" t="s">
        <v>234</v>
      </c>
      <c r="I5884" s="4">
        <v>100638.28079999999</v>
      </c>
      <c r="J5884" s="4">
        <v>603829.68479999993</v>
      </c>
      <c r="K5884" s="4">
        <v>-27138.412800000002</v>
      </c>
      <c r="L5884" s="4">
        <v>6</v>
      </c>
    </row>
    <row r="5885" spans="1:12">
      <c r="A5885" t="s">
        <v>264</v>
      </c>
      <c r="B5885" s="10">
        <v>45326</v>
      </c>
      <c r="C5885" s="18">
        <f t="shared" si="91"/>
        <v>2</v>
      </c>
      <c r="D5885" t="s">
        <v>196</v>
      </c>
      <c r="E5885">
        <v>4872246</v>
      </c>
      <c r="F5885" t="s">
        <v>8</v>
      </c>
      <c r="G5885" t="s">
        <v>203</v>
      </c>
      <c r="H5885" t="s">
        <v>230</v>
      </c>
      <c r="I5885" s="4">
        <v>100638.28079999999</v>
      </c>
      <c r="J5885" s="4">
        <v>402553.12319999997</v>
      </c>
      <c r="K5885" s="4">
        <v>-18092.2752</v>
      </c>
      <c r="L5885" s="4">
        <v>4</v>
      </c>
    </row>
    <row r="5886" spans="1:12">
      <c r="A5886" t="s">
        <v>264</v>
      </c>
      <c r="B5886" s="10">
        <v>45326</v>
      </c>
      <c r="C5886" s="18">
        <f t="shared" si="91"/>
        <v>2</v>
      </c>
      <c r="D5886" t="s">
        <v>196</v>
      </c>
      <c r="E5886">
        <v>4872246</v>
      </c>
      <c r="F5886" t="s">
        <v>8</v>
      </c>
      <c r="G5886" t="s">
        <v>203</v>
      </c>
      <c r="H5886" t="s">
        <v>225</v>
      </c>
      <c r="I5886" s="4">
        <v>100638.28079999999</v>
      </c>
      <c r="J5886" s="4">
        <v>201276.56159999999</v>
      </c>
      <c r="K5886" s="4">
        <v>-9046.1376</v>
      </c>
      <c r="L5886" s="4">
        <v>2</v>
      </c>
    </row>
    <row r="5887" spans="1:12">
      <c r="A5887" t="s">
        <v>264</v>
      </c>
      <c r="B5887" s="10">
        <v>45326</v>
      </c>
      <c r="C5887" s="18">
        <f t="shared" si="91"/>
        <v>2</v>
      </c>
      <c r="D5887" t="s">
        <v>196</v>
      </c>
      <c r="E5887">
        <v>4872571</v>
      </c>
      <c r="F5887" t="s">
        <v>8</v>
      </c>
      <c r="G5887" t="s">
        <v>204</v>
      </c>
      <c r="H5887" t="s">
        <v>217</v>
      </c>
      <c r="I5887" s="4">
        <v>78022.936799999996</v>
      </c>
      <c r="J5887" s="4">
        <v>1560458.736</v>
      </c>
      <c r="K5887" s="4">
        <v>-71615.256000000008</v>
      </c>
      <c r="L5887" s="4">
        <v>20</v>
      </c>
    </row>
    <row r="5888" spans="1:12">
      <c r="A5888" t="s">
        <v>264</v>
      </c>
      <c r="B5888" s="10">
        <v>45326</v>
      </c>
      <c r="C5888" s="18">
        <f t="shared" si="91"/>
        <v>2</v>
      </c>
      <c r="D5888" t="s">
        <v>196</v>
      </c>
      <c r="E5888">
        <v>4872156</v>
      </c>
      <c r="F5888" t="s">
        <v>8</v>
      </c>
      <c r="G5888" t="s">
        <v>204</v>
      </c>
      <c r="H5888" t="s">
        <v>217</v>
      </c>
      <c r="I5888" s="4">
        <v>78022.936799999996</v>
      </c>
      <c r="J5888" s="4">
        <v>2340688.1039999998</v>
      </c>
      <c r="K5888" s="4">
        <v>-107422.88400000001</v>
      </c>
      <c r="L5888" s="4">
        <v>30</v>
      </c>
    </row>
    <row r="5889" spans="1:12">
      <c r="A5889" t="s">
        <v>264</v>
      </c>
      <c r="B5889" s="10">
        <v>45326</v>
      </c>
      <c r="C5889" s="18">
        <f t="shared" si="91"/>
        <v>2</v>
      </c>
      <c r="D5889" t="s">
        <v>196</v>
      </c>
      <c r="E5889">
        <v>4876950</v>
      </c>
      <c r="F5889" t="s">
        <v>8</v>
      </c>
      <c r="G5889" t="s">
        <v>202</v>
      </c>
      <c r="H5889" t="s">
        <v>261</v>
      </c>
      <c r="I5889" s="4">
        <v>41587.104800000001</v>
      </c>
      <c r="J5889" s="4">
        <v>207935.524</v>
      </c>
      <c r="K5889" s="4">
        <v>-10365.366</v>
      </c>
      <c r="L5889" s="4">
        <v>5</v>
      </c>
    </row>
    <row r="5890" spans="1:12">
      <c r="A5890" t="s">
        <v>264</v>
      </c>
      <c r="B5890" s="10">
        <v>45326</v>
      </c>
      <c r="C5890" s="18">
        <f t="shared" ref="C5890:C5953" si="92">MONTH(B5890)</f>
        <v>2</v>
      </c>
      <c r="D5890" t="s">
        <v>196</v>
      </c>
      <c r="E5890">
        <v>4872379</v>
      </c>
      <c r="F5890" t="s">
        <v>8</v>
      </c>
      <c r="G5890" t="s">
        <v>205</v>
      </c>
      <c r="H5890" t="s">
        <v>210</v>
      </c>
      <c r="I5890" s="4">
        <v>7538.4479999999994</v>
      </c>
      <c r="J5890" s="4">
        <v>376922.39999999997</v>
      </c>
      <c r="K5890" s="4">
        <v>-18846.12</v>
      </c>
      <c r="L5890" s="4">
        <v>50</v>
      </c>
    </row>
    <row r="5891" spans="1:12">
      <c r="A5891" t="s">
        <v>264</v>
      </c>
      <c r="B5891" s="10">
        <v>45326</v>
      </c>
      <c r="C5891" s="18">
        <f t="shared" si="92"/>
        <v>2</v>
      </c>
      <c r="D5891" t="s">
        <v>196</v>
      </c>
      <c r="E5891">
        <v>4872379</v>
      </c>
      <c r="F5891" t="s">
        <v>8</v>
      </c>
      <c r="G5891" t="s">
        <v>205</v>
      </c>
      <c r="H5891" t="s">
        <v>211</v>
      </c>
      <c r="I5891" s="4">
        <v>5151.2727999999997</v>
      </c>
      <c r="J5891" s="4">
        <v>257563.63999999998</v>
      </c>
      <c r="K5891" s="4">
        <v>-12564.08</v>
      </c>
      <c r="L5891" s="4">
        <v>50</v>
      </c>
    </row>
    <row r="5892" spans="1:12">
      <c r="A5892" t="s">
        <v>264</v>
      </c>
      <c r="B5892" s="10">
        <v>45326</v>
      </c>
      <c r="C5892" s="18">
        <f t="shared" si="92"/>
        <v>2</v>
      </c>
      <c r="D5892" t="s">
        <v>196</v>
      </c>
      <c r="E5892">
        <v>4872210</v>
      </c>
      <c r="F5892" t="s">
        <v>8</v>
      </c>
      <c r="G5892" t="s">
        <v>203</v>
      </c>
      <c r="H5892" t="s">
        <v>230</v>
      </c>
      <c r="I5892" s="4">
        <v>100638.28079999999</v>
      </c>
      <c r="J5892" s="4">
        <v>1006382.808</v>
      </c>
      <c r="K5892" s="4">
        <v>-45230.688000000002</v>
      </c>
      <c r="L5892" s="4">
        <v>10</v>
      </c>
    </row>
    <row r="5893" spans="1:12">
      <c r="A5893" t="s">
        <v>264</v>
      </c>
      <c r="B5893" s="10">
        <v>45326</v>
      </c>
      <c r="C5893" s="18">
        <f t="shared" si="92"/>
        <v>2</v>
      </c>
      <c r="D5893" t="s">
        <v>196</v>
      </c>
      <c r="E5893">
        <v>4872210</v>
      </c>
      <c r="F5893" t="s">
        <v>8</v>
      </c>
      <c r="G5893" t="s">
        <v>203</v>
      </c>
      <c r="H5893" t="s">
        <v>225</v>
      </c>
      <c r="I5893" s="4">
        <v>100638.28079999999</v>
      </c>
      <c r="J5893" s="4">
        <v>1006382.808</v>
      </c>
      <c r="K5893" s="4">
        <v>-45230.688000000002</v>
      </c>
      <c r="L5893" s="4">
        <v>10</v>
      </c>
    </row>
    <row r="5894" spans="1:12">
      <c r="A5894" t="s">
        <v>264</v>
      </c>
      <c r="B5894" s="10">
        <v>45326</v>
      </c>
      <c r="C5894" s="18">
        <f t="shared" si="92"/>
        <v>2</v>
      </c>
      <c r="D5894" t="s">
        <v>196</v>
      </c>
      <c r="E5894">
        <v>4872210</v>
      </c>
      <c r="F5894" t="s">
        <v>8</v>
      </c>
      <c r="G5894" t="s">
        <v>203</v>
      </c>
      <c r="H5894" t="s">
        <v>224</v>
      </c>
      <c r="I5894" s="4">
        <v>100638.28079999999</v>
      </c>
      <c r="J5894" s="4">
        <v>1006382.808</v>
      </c>
      <c r="K5894" s="4">
        <v>-45230.688000000002</v>
      </c>
      <c r="L5894" s="4">
        <v>10</v>
      </c>
    </row>
    <row r="5895" spans="1:12">
      <c r="A5895" t="s">
        <v>264</v>
      </c>
      <c r="B5895" s="10">
        <v>45326</v>
      </c>
      <c r="C5895" s="18">
        <f t="shared" si="92"/>
        <v>2</v>
      </c>
      <c r="D5895" t="s">
        <v>196</v>
      </c>
      <c r="E5895">
        <v>4872210</v>
      </c>
      <c r="F5895" t="s">
        <v>8</v>
      </c>
      <c r="G5895" t="s">
        <v>203</v>
      </c>
      <c r="H5895" t="s">
        <v>223</v>
      </c>
      <c r="I5895" s="4">
        <v>100638.28079999999</v>
      </c>
      <c r="J5895" s="4">
        <v>1006382.808</v>
      </c>
      <c r="K5895" s="4">
        <v>-45230.688000000002</v>
      </c>
      <c r="L5895" s="4">
        <v>10</v>
      </c>
    </row>
    <row r="5896" spans="1:12">
      <c r="A5896" t="s">
        <v>264</v>
      </c>
      <c r="B5896" s="10">
        <v>45326</v>
      </c>
      <c r="C5896" s="18">
        <f t="shared" si="92"/>
        <v>2</v>
      </c>
      <c r="D5896" t="s">
        <v>196</v>
      </c>
      <c r="E5896">
        <v>4872210</v>
      </c>
      <c r="F5896" t="s">
        <v>8</v>
      </c>
      <c r="G5896" t="s">
        <v>203</v>
      </c>
      <c r="H5896" t="s">
        <v>229</v>
      </c>
      <c r="I5896" s="4">
        <v>125766.4408</v>
      </c>
      <c r="J5896" s="4">
        <v>6288322.04</v>
      </c>
      <c r="K5896" s="4">
        <v>-292114.86</v>
      </c>
      <c r="L5896" s="4">
        <v>50</v>
      </c>
    </row>
    <row r="5897" spans="1:12">
      <c r="A5897" t="s">
        <v>264</v>
      </c>
      <c r="B5897" s="10">
        <v>45327</v>
      </c>
      <c r="C5897" s="18">
        <f t="shared" si="92"/>
        <v>2</v>
      </c>
      <c r="D5897" t="s">
        <v>196</v>
      </c>
      <c r="E5897">
        <v>4878874</v>
      </c>
      <c r="F5897" t="s">
        <v>8</v>
      </c>
      <c r="G5897" t="s">
        <v>202</v>
      </c>
      <c r="H5897" t="s">
        <v>261</v>
      </c>
      <c r="I5897" s="4">
        <v>41587.104800000001</v>
      </c>
      <c r="J5897" s="4">
        <v>499045.25760000001</v>
      </c>
      <c r="K5897" s="4">
        <v>-24876.878400000001</v>
      </c>
      <c r="L5897" s="4">
        <v>12</v>
      </c>
    </row>
    <row r="5898" spans="1:12">
      <c r="A5898" t="s">
        <v>264</v>
      </c>
      <c r="B5898" s="10">
        <v>45327</v>
      </c>
      <c r="C5898" s="18">
        <f t="shared" si="92"/>
        <v>2</v>
      </c>
      <c r="D5898" t="s">
        <v>196</v>
      </c>
      <c r="E5898">
        <v>4872571</v>
      </c>
      <c r="F5898" t="s">
        <v>8</v>
      </c>
      <c r="G5898" t="s">
        <v>202</v>
      </c>
      <c r="H5898" t="s">
        <v>258</v>
      </c>
      <c r="I5898" s="4">
        <v>37817.880799999999</v>
      </c>
      <c r="J5898" s="4">
        <v>189089.40399999998</v>
      </c>
      <c r="K5898" s="4">
        <v>-9423.06</v>
      </c>
      <c r="L5898" s="4">
        <v>5</v>
      </c>
    </row>
    <row r="5899" spans="1:12">
      <c r="A5899" t="s">
        <v>264</v>
      </c>
      <c r="B5899" s="10">
        <v>45327</v>
      </c>
      <c r="C5899" s="18">
        <f t="shared" si="92"/>
        <v>2</v>
      </c>
      <c r="D5899" t="s">
        <v>196</v>
      </c>
      <c r="E5899">
        <v>4872571</v>
      </c>
      <c r="F5899" t="s">
        <v>8</v>
      </c>
      <c r="G5899" t="s">
        <v>202</v>
      </c>
      <c r="H5899" t="s">
        <v>256</v>
      </c>
      <c r="I5899" s="4">
        <v>64202.448800000006</v>
      </c>
      <c r="J5899" s="4">
        <v>385214.69280000002</v>
      </c>
      <c r="K5899" s="4">
        <v>-19223.042399999998</v>
      </c>
      <c r="L5899" s="4">
        <v>6</v>
      </c>
    </row>
    <row r="5900" spans="1:12">
      <c r="A5900" t="s">
        <v>264</v>
      </c>
      <c r="B5900" s="10">
        <v>45327</v>
      </c>
      <c r="C5900" s="18">
        <f t="shared" si="92"/>
        <v>2</v>
      </c>
      <c r="D5900" t="s">
        <v>196</v>
      </c>
      <c r="E5900">
        <v>4872158</v>
      </c>
      <c r="F5900" t="s">
        <v>8</v>
      </c>
      <c r="G5900" t="s">
        <v>202</v>
      </c>
      <c r="H5900" t="s">
        <v>255</v>
      </c>
      <c r="I5900" s="4">
        <v>72489.71596799999</v>
      </c>
      <c r="J5900" s="4">
        <v>9423663.0758399982</v>
      </c>
      <c r="K5900" s="4">
        <v>-489999.12</v>
      </c>
      <c r="L5900" s="4">
        <v>130</v>
      </c>
    </row>
    <row r="5901" spans="1:12">
      <c r="A5901" t="s">
        <v>264</v>
      </c>
      <c r="B5901" s="10">
        <v>45327</v>
      </c>
      <c r="C5901" s="18">
        <f t="shared" si="92"/>
        <v>2</v>
      </c>
      <c r="D5901" t="s">
        <v>196</v>
      </c>
      <c r="E5901">
        <v>4872156</v>
      </c>
      <c r="F5901" t="s">
        <v>8</v>
      </c>
      <c r="G5901" t="s">
        <v>203</v>
      </c>
      <c r="H5901" t="s">
        <v>245</v>
      </c>
      <c r="I5901" s="4">
        <v>100638.28079999999</v>
      </c>
      <c r="J5901" s="4">
        <v>201276.56159999999</v>
      </c>
      <c r="K5901" s="4">
        <v>-9046.1376</v>
      </c>
      <c r="L5901" s="4">
        <v>2</v>
      </c>
    </row>
    <row r="5902" spans="1:12">
      <c r="A5902" t="s">
        <v>264</v>
      </c>
      <c r="B5902" s="10">
        <v>45327</v>
      </c>
      <c r="C5902" s="18">
        <f t="shared" si="92"/>
        <v>2</v>
      </c>
      <c r="D5902" t="s">
        <v>196</v>
      </c>
      <c r="E5902">
        <v>4872156</v>
      </c>
      <c r="F5902" t="s">
        <v>8</v>
      </c>
      <c r="G5902" t="s">
        <v>203</v>
      </c>
      <c r="H5902" t="s">
        <v>243</v>
      </c>
      <c r="I5902" s="4">
        <v>100638.28079999999</v>
      </c>
      <c r="J5902" s="4">
        <v>201276.56159999999</v>
      </c>
      <c r="K5902" s="4">
        <v>-9046.1376</v>
      </c>
      <c r="L5902" s="4">
        <v>2</v>
      </c>
    </row>
    <row r="5903" spans="1:12">
      <c r="A5903" t="s">
        <v>264</v>
      </c>
      <c r="B5903" s="10">
        <v>45327</v>
      </c>
      <c r="C5903" s="18">
        <f t="shared" si="92"/>
        <v>2</v>
      </c>
      <c r="D5903" t="s">
        <v>196</v>
      </c>
      <c r="E5903">
        <v>4872156</v>
      </c>
      <c r="F5903" t="s">
        <v>8</v>
      </c>
      <c r="G5903" t="s">
        <v>203</v>
      </c>
      <c r="H5903" t="s">
        <v>242</v>
      </c>
      <c r="I5903" s="4">
        <v>100638.28079999999</v>
      </c>
      <c r="J5903" s="4">
        <v>201276.56159999999</v>
      </c>
      <c r="K5903" s="4">
        <v>-9046.1376</v>
      </c>
      <c r="L5903" s="4">
        <v>2</v>
      </c>
    </row>
    <row r="5904" spans="1:12">
      <c r="A5904" t="s">
        <v>264</v>
      </c>
      <c r="B5904" s="10">
        <v>45327</v>
      </c>
      <c r="C5904" s="18">
        <f t="shared" si="92"/>
        <v>2</v>
      </c>
      <c r="D5904" t="s">
        <v>196</v>
      </c>
      <c r="E5904">
        <v>4872156</v>
      </c>
      <c r="F5904" t="s">
        <v>8</v>
      </c>
      <c r="G5904" t="s">
        <v>203</v>
      </c>
      <c r="H5904" t="s">
        <v>240</v>
      </c>
      <c r="I5904" s="4">
        <v>100638.28079999999</v>
      </c>
      <c r="J5904" s="4">
        <v>201276.56159999999</v>
      </c>
      <c r="K5904" s="4">
        <v>-9046.1376</v>
      </c>
      <c r="L5904" s="4">
        <v>2</v>
      </c>
    </row>
    <row r="5905" spans="1:12">
      <c r="A5905" t="s">
        <v>264</v>
      </c>
      <c r="B5905" s="10">
        <v>45327</v>
      </c>
      <c r="C5905" s="18">
        <f t="shared" si="92"/>
        <v>2</v>
      </c>
      <c r="D5905" t="s">
        <v>196</v>
      </c>
      <c r="E5905">
        <v>4872156</v>
      </c>
      <c r="F5905" t="s">
        <v>8</v>
      </c>
      <c r="G5905" t="s">
        <v>203</v>
      </c>
      <c r="H5905" t="s">
        <v>238</v>
      </c>
      <c r="I5905" s="4">
        <v>95606.36675999999</v>
      </c>
      <c r="J5905" s="4">
        <v>191212.73351999998</v>
      </c>
      <c r="K5905" s="4">
        <v>-9046.1376</v>
      </c>
      <c r="L5905" s="4">
        <v>2</v>
      </c>
    </row>
    <row r="5906" spans="1:12">
      <c r="A5906" t="s">
        <v>264</v>
      </c>
      <c r="B5906" s="10">
        <v>45327</v>
      </c>
      <c r="C5906" s="18">
        <f t="shared" si="92"/>
        <v>2</v>
      </c>
      <c r="D5906" t="s">
        <v>196</v>
      </c>
      <c r="E5906">
        <v>4872156</v>
      </c>
      <c r="F5906" t="s">
        <v>8</v>
      </c>
      <c r="G5906" t="s">
        <v>203</v>
      </c>
      <c r="H5906" t="s">
        <v>236</v>
      </c>
      <c r="I5906" s="4">
        <v>100638.28079999999</v>
      </c>
      <c r="J5906" s="4">
        <v>201276.56159999999</v>
      </c>
      <c r="K5906" s="4">
        <v>-9046.1376</v>
      </c>
      <c r="L5906" s="4">
        <v>2</v>
      </c>
    </row>
    <row r="5907" spans="1:12">
      <c r="A5907" t="s">
        <v>264</v>
      </c>
      <c r="B5907" s="10">
        <v>45327</v>
      </c>
      <c r="C5907" s="18">
        <f t="shared" si="92"/>
        <v>2</v>
      </c>
      <c r="D5907" t="s">
        <v>196</v>
      </c>
      <c r="E5907">
        <v>4872156</v>
      </c>
      <c r="F5907" t="s">
        <v>8</v>
      </c>
      <c r="G5907" t="s">
        <v>203</v>
      </c>
      <c r="H5907" t="s">
        <v>234</v>
      </c>
      <c r="I5907" s="4">
        <v>100638.28079999999</v>
      </c>
      <c r="J5907" s="4">
        <v>201276.56159999999</v>
      </c>
      <c r="K5907" s="4">
        <v>-9046.1376</v>
      </c>
      <c r="L5907" s="4">
        <v>2</v>
      </c>
    </row>
    <row r="5908" spans="1:12">
      <c r="A5908" t="s">
        <v>264</v>
      </c>
      <c r="B5908" s="10">
        <v>45327</v>
      </c>
      <c r="C5908" s="18">
        <f t="shared" si="92"/>
        <v>2</v>
      </c>
      <c r="D5908" t="s">
        <v>196</v>
      </c>
      <c r="E5908">
        <v>4872156</v>
      </c>
      <c r="F5908" t="s">
        <v>8</v>
      </c>
      <c r="G5908" t="s">
        <v>203</v>
      </c>
      <c r="H5908" t="s">
        <v>232</v>
      </c>
      <c r="I5908" s="4">
        <v>100638.28079999999</v>
      </c>
      <c r="J5908" s="4">
        <v>201276.56159999999</v>
      </c>
      <c r="K5908" s="4">
        <v>-9046.1376</v>
      </c>
      <c r="L5908" s="4">
        <v>2</v>
      </c>
    </row>
    <row r="5909" spans="1:12">
      <c r="A5909" t="s">
        <v>264</v>
      </c>
      <c r="B5909" s="10">
        <v>45327</v>
      </c>
      <c r="C5909" s="18">
        <f t="shared" si="92"/>
        <v>2</v>
      </c>
      <c r="D5909" t="s">
        <v>196</v>
      </c>
      <c r="E5909">
        <v>4872156</v>
      </c>
      <c r="F5909" t="s">
        <v>8</v>
      </c>
      <c r="G5909" t="s">
        <v>203</v>
      </c>
      <c r="H5909" t="s">
        <v>228</v>
      </c>
      <c r="I5909" s="4">
        <v>100638.28079999999</v>
      </c>
      <c r="J5909" s="4">
        <v>201276.56159999999</v>
      </c>
      <c r="K5909" s="4">
        <v>-9046.1376</v>
      </c>
      <c r="L5909" s="4">
        <v>2</v>
      </c>
    </row>
    <row r="5910" spans="1:12">
      <c r="A5910" t="s">
        <v>264</v>
      </c>
      <c r="B5910" s="10">
        <v>45327</v>
      </c>
      <c r="C5910" s="18">
        <f t="shared" si="92"/>
        <v>2</v>
      </c>
      <c r="D5910" t="s">
        <v>196</v>
      </c>
      <c r="E5910">
        <v>4872156</v>
      </c>
      <c r="F5910" t="s">
        <v>8</v>
      </c>
      <c r="G5910" t="s">
        <v>203</v>
      </c>
      <c r="H5910" t="s">
        <v>227</v>
      </c>
      <c r="I5910" s="4">
        <v>100638.28079999999</v>
      </c>
      <c r="J5910" s="4">
        <v>201276.56159999999</v>
      </c>
      <c r="K5910" s="4">
        <v>-9046.1376</v>
      </c>
      <c r="L5910" s="4">
        <v>2</v>
      </c>
    </row>
    <row r="5911" spans="1:12">
      <c r="A5911" t="s">
        <v>264</v>
      </c>
      <c r="B5911" s="10">
        <v>45327</v>
      </c>
      <c r="C5911" s="18">
        <f t="shared" si="92"/>
        <v>2</v>
      </c>
      <c r="D5911" t="s">
        <v>196</v>
      </c>
      <c r="E5911">
        <v>4872156</v>
      </c>
      <c r="F5911" t="s">
        <v>8</v>
      </c>
      <c r="G5911" t="s">
        <v>203</v>
      </c>
      <c r="H5911" t="s">
        <v>226</v>
      </c>
      <c r="I5911" s="4">
        <v>100638.28079999999</v>
      </c>
      <c r="J5911" s="4">
        <v>201276.56159999999</v>
      </c>
      <c r="K5911" s="4">
        <v>-9046.1376</v>
      </c>
      <c r="L5911" s="4">
        <v>2</v>
      </c>
    </row>
    <row r="5912" spans="1:12">
      <c r="A5912" t="s">
        <v>264</v>
      </c>
      <c r="B5912" s="10">
        <v>45327</v>
      </c>
      <c r="C5912" s="18">
        <f t="shared" si="92"/>
        <v>2</v>
      </c>
      <c r="D5912" t="s">
        <v>196</v>
      </c>
      <c r="E5912">
        <v>4872156</v>
      </c>
      <c r="F5912" t="s">
        <v>8</v>
      </c>
      <c r="G5912" t="s">
        <v>203</v>
      </c>
      <c r="H5912" t="s">
        <v>225</v>
      </c>
      <c r="I5912" s="4">
        <v>100638.28079999999</v>
      </c>
      <c r="J5912" s="4">
        <v>201276.56159999999</v>
      </c>
      <c r="K5912" s="4">
        <v>-9046.1376</v>
      </c>
      <c r="L5912" s="4">
        <v>2</v>
      </c>
    </row>
    <row r="5913" spans="1:12">
      <c r="A5913" t="s">
        <v>264</v>
      </c>
      <c r="B5913" s="10">
        <v>45327</v>
      </c>
      <c r="C5913" s="18">
        <f t="shared" si="92"/>
        <v>2</v>
      </c>
      <c r="D5913" t="s">
        <v>196</v>
      </c>
      <c r="E5913">
        <v>4872156</v>
      </c>
      <c r="F5913" t="s">
        <v>8</v>
      </c>
      <c r="G5913" t="s">
        <v>203</v>
      </c>
      <c r="H5913" t="s">
        <v>224</v>
      </c>
      <c r="I5913" s="4">
        <v>100638.28079999999</v>
      </c>
      <c r="J5913" s="4">
        <v>201276.56159999999</v>
      </c>
      <c r="K5913" s="4">
        <v>-9046.1376</v>
      </c>
      <c r="L5913" s="4">
        <v>2</v>
      </c>
    </row>
    <row r="5914" spans="1:12">
      <c r="A5914" t="s">
        <v>264</v>
      </c>
      <c r="B5914" s="10">
        <v>45327</v>
      </c>
      <c r="C5914" s="18">
        <f t="shared" si="92"/>
        <v>2</v>
      </c>
      <c r="D5914" t="s">
        <v>196</v>
      </c>
      <c r="E5914">
        <v>4872156</v>
      </c>
      <c r="F5914" t="s">
        <v>8</v>
      </c>
      <c r="G5914" t="s">
        <v>203</v>
      </c>
      <c r="H5914" t="s">
        <v>223</v>
      </c>
      <c r="I5914" s="4">
        <v>100638.28079999999</v>
      </c>
      <c r="J5914" s="4">
        <v>201276.56159999999</v>
      </c>
      <c r="K5914" s="4">
        <v>-9046.1376</v>
      </c>
      <c r="L5914" s="4">
        <v>2</v>
      </c>
    </row>
    <row r="5915" spans="1:12">
      <c r="A5915" t="s">
        <v>264</v>
      </c>
      <c r="B5915" s="10">
        <v>45327</v>
      </c>
      <c r="C5915" s="18">
        <f t="shared" si="92"/>
        <v>2</v>
      </c>
      <c r="D5915" t="s">
        <v>196</v>
      </c>
      <c r="E5915">
        <v>4872156</v>
      </c>
      <c r="F5915" t="s">
        <v>8</v>
      </c>
      <c r="G5915" t="s">
        <v>203</v>
      </c>
      <c r="H5915" t="s">
        <v>222</v>
      </c>
      <c r="I5915" s="4">
        <v>100638.28079999999</v>
      </c>
      <c r="J5915" s="4">
        <v>201276.56159999999</v>
      </c>
      <c r="K5915" s="4">
        <v>-9046.1376</v>
      </c>
      <c r="L5915" s="4">
        <v>2</v>
      </c>
    </row>
    <row r="5916" spans="1:12">
      <c r="A5916" t="s">
        <v>264</v>
      </c>
      <c r="B5916" s="10">
        <v>45327</v>
      </c>
      <c r="C5916" s="18">
        <f t="shared" si="92"/>
        <v>2</v>
      </c>
      <c r="D5916" t="s">
        <v>196</v>
      </c>
      <c r="E5916">
        <v>4872156</v>
      </c>
      <c r="F5916" t="s">
        <v>8</v>
      </c>
      <c r="G5916" t="s">
        <v>203</v>
      </c>
      <c r="H5916" t="s">
        <v>244</v>
      </c>
      <c r="I5916" s="4">
        <v>125766.4408</v>
      </c>
      <c r="J5916" s="4">
        <v>251532.88159999999</v>
      </c>
      <c r="K5916" s="4">
        <v>-11684.5944</v>
      </c>
      <c r="L5916" s="4">
        <v>2</v>
      </c>
    </row>
    <row r="5917" spans="1:12">
      <c r="A5917" t="s">
        <v>264</v>
      </c>
      <c r="B5917" s="10">
        <v>45327</v>
      </c>
      <c r="C5917" s="18">
        <f t="shared" si="92"/>
        <v>2</v>
      </c>
      <c r="D5917" t="s">
        <v>196</v>
      </c>
      <c r="E5917">
        <v>4872156</v>
      </c>
      <c r="F5917" t="s">
        <v>8</v>
      </c>
      <c r="G5917" t="s">
        <v>203</v>
      </c>
      <c r="H5917" t="s">
        <v>241</v>
      </c>
      <c r="I5917" s="4">
        <v>125766.4408</v>
      </c>
      <c r="J5917" s="4">
        <v>251532.88159999999</v>
      </c>
      <c r="K5917" s="4">
        <v>-11684.5944</v>
      </c>
      <c r="L5917" s="4">
        <v>2</v>
      </c>
    </row>
    <row r="5918" spans="1:12">
      <c r="A5918" t="s">
        <v>264</v>
      </c>
      <c r="B5918" s="10">
        <v>45327</v>
      </c>
      <c r="C5918" s="18">
        <f t="shared" si="92"/>
        <v>2</v>
      </c>
      <c r="D5918" t="s">
        <v>196</v>
      </c>
      <c r="E5918">
        <v>4872156</v>
      </c>
      <c r="F5918" t="s">
        <v>8</v>
      </c>
      <c r="G5918" t="s">
        <v>203</v>
      </c>
      <c r="H5918" t="s">
        <v>239</v>
      </c>
      <c r="I5918" s="4">
        <v>125766.4408</v>
      </c>
      <c r="J5918" s="4">
        <v>251532.88159999999</v>
      </c>
      <c r="K5918" s="4">
        <v>-11684.5944</v>
      </c>
      <c r="L5918" s="4">
        <v>2</v>
      </c>
    </row>
    <row r="5919" spans="1:12">
      <c r="A5919" t="s">
        <v>264</v>
      </c>
      <c r="B5919" s="10">
        <v>45327</v>
      </c>
      <c r="C5919" s="18">
        <f t="shared" si="92"/>
        <v>2</v>
      </c>
      <c r="D5919" t="s">
        <v>196</v>
      </c>
      <c r="E5919">
        <v>4872156</v>
      </c>
      <c r="F5919" t="s">
        <v>8</v>
      </c>
      <c r="G5919" t="s">
        <v>203</v>
      </c>
      <c r="H5919" t="s">
        <v>237</v>
      </c>
      <c r="I5919" s="4">
        <v>125766.4408</v>
      </c>
      <c r="J5919" s="4">
        <v>251532.88159999999</v>
      </c>
      <c r="K5919" s="4">
        <v>-11684.5944</v>
      </c>
      <c r="L5919" s="4">
        <v>2</v>
      </c>
    </row>
    <row r="5920" spans="1:12">
      <c r="A5920" t="s">
        <v>264</v>
      </c>
      <c r="B5920" s="10">
        <v>45327</v>
      </c>
      <c r="C5920" s="18">
        <f t="shared" si="92"/>
        <v>2</v>
      </c>
      <c r="D5920" t="s">
        <v>196</v>
      </c>
      <c r="E5920">
        <v>4872156</v>
      </c>
      <c r="F5920" t="s">
        <v>8</v>
      </c>
      <c r="G5920" t="s">
        <v>203</v>
      </c>
      <c r="H5920" t="s">
        <v>235</v>
      </c>
      <c r="I5920" s="4">
        <v>125766.4408</v>
      </c>
      <c r="J5920" s="4">
        <v>251532.88159999999</v>
      </c>
      <c r="K5920" s="4">
        <v>-11684.5944</v>
      </c>
      <c r="L5920" s="4">
        <v>2</v>
      </c>
    </row>
    <row r="5921" spans="1:12">
      <c r="A5921" t="s">
        <v>264</v>
      </c>
      <c r="B5921" s="10">
        <v>45327</v>
      </c>
      <c r="C5921" s="18">
        <f t="shared" si="92"/>
        <v>2</v>
      </c>
      <c r="D5921" t="s">
        <v>196</v>
      </c>
      <c r="E5921">
        <v>4872156</v>
      </c>
      <c r="F5921" t="s">
        <v>8</v>
      </c>
      <c r="G5921" t="s">
        <v>203</v>
      </c>
      <c r="H5921" t="s">
        <v>233</v>
      </c>
      <c r="I5921" s="4">
        <v>120735.78316800001</v>
      </c>
      <c r="J5921" s="4">
        <v>241471.56633600002</v>
      </c>
      <c r="K5921" s="4">
        <v>-11684.5944</v>
      </c>
      <c r="L5921" s="4">
        <v>2</v>
      </c>
    </row>
    <row r="5922" spans="1:12">
      <c r="A5922" t="s">
        <v>264</v>
      </c>
      <c r="B5922" s="10">
        <v>45327</v>
      </c>
      <c r="C5922" s="18">
        <f t="shared" si="92"/>
        <v>2</v>
      </c>
      <c r="D5922" t="s">
        <v>196</v>
      </c>
      <c r="E5922">
        <v>4872156</v>
      </c>
      <c r="F5922" t="s">
        <v>8</v>
      </c>
      <c r="G5922" t="s">
        <v>203</v>
      </c>
      <c r="H5922" t="s">
        <v>231</v>
      </c>
      <c r="I5922" s="4">
        <v>125766.4408</v>
      </c>
      <c r="J5922" s="4">
        <v>251532.88159999999</v>
      </c>
      <c r="K5922" s="4">
        <v>-11684.5944</v>
      </c>
      <c r="L5922" s="4">
        <v>2</v>
      </c>
    </row>
    <row r="5923" spans="1:12">
      <c r="A5923" t="s">
        <v>264</v>
      </c>
      <c r="B5923" s="10">
        <v>45327</v>
      </c>
      <c r="C5923" s="18">
        <f t="shared" si="92"/>
        <v>2</v>
      </c>
      <c r="D5923" t="s">
        <v>196</v>
      </c>
      <c r="E5923">
        <v>4872156</v>
      </c>
      <c r="F5923" t="s">
        <v>8</v>
      </c>
      <c r="G5923" t="s">
        <v>203</v>
      </c>
      <c r="H5923" t="s">
        <v>229</v>
      </c>
      <c r="I5923" s="4">
        <v>125766.4408</v>
      </c>
      <c r="J5923" s="4">
        <v>251532.88159999999</v>
      </c>
      <c r="K5923" s="4">
        <v>-11684.5944</v>
      </c>
      <c r="L5923" s="4">
        <v>2</v>
      </c>
    </row>
    <row r="5924" spans="1:12">
      <c r="A5924" t="s">
        <v>264</v>
      </c>
      <c r="B5924" s="10">
        <v>45327</v>
      </c>
      <c r="C5924" s="18">
        <f t="shared" si="92"/>
        <v>2</v>
      </c>
      <c r="D5924" t="s">
        <v>196</v>
      </c>
      <c r="E5924">
        <v>4877269</v>
      </c>
      <c r="F5924" t="s">
        <v>8</v>
      </c>
      <c r="G5924" t="s">
        <v>204</v>
      </c>
      <c r="H5924" t="s">
        <v>218</v>
      </c>
      <c r="I5924" s="4">
        <v>71740.896800000002</v>
      </c>
      <c r="J5924" s="4">
        <v>717408.96799999999</v>
      </c>
      <c r="K5924" s="4">
        <v>-35807.628000000004</v>
      </c>
      <c r="L5924" s="4">
        <v>10</v>
      </c>
    </row>
    <row r="5925" spans="1:12">
      <c r="A5925" t="s">
        <v>264</v>
      </c>
      <c r="B5925" s="10">
        <v>45328</v>
      </c>
      <c r="C5925" s="18">
        <f t="shared" si="92"/>
        <v>2</v>
      </c>
      <c r="D5925" t="s">
        <v>196</v>
      </c>
      <c r="E5925">
        <v>4872571</v>
      </c>
      <c r="F5925" t="s">
        <v>8</v>
      </c>
      <c r="G5925" t="s">
        <v>203</v>
      </c>
      <c r="H5925" t="s">
        <v>244</v>
      </c>
      <c r="I5925" s="4">
        <v>125766.4408</v>
      </c>
      <c r="J5925" s="4">
        <v>628832.20400000003</v>
      </c>
      <c r="K5925" s="4">
        <v>-29211.486000000001</v>
      </c>
      <c r="L5925" s="4">
        <v>5</v>
      </c>
    </row>
    <row r="5926" spans="1:12">
      <c r="A5926" t="s">
        <v>264</v>
      </c>
      <c r="B5926" s="10">
        <v>45328</v>
      </c>
      <c r="C5926" s="18">
        <f t="shared" si="92"/>
        <v>2</v>
      </c>
      <c r="D5926" t="s">
        <v>196</v>
      </c>
      <c r="E5926">
        <v>4872571</v>
      </c>
      <c r="F5926" t="s">
        <v>8</v>
      </c>
      <c r="G5926" t="s">
        <v>203</v>
      </c>
      <c r="H5926" t="s">
        <v>239</v>
      </c>
      <c r="I5926" s="4">
        <v>125766.4408</v>
      </c>
      <c r="J5926" s="4">
        <v>628832.20400000003</v>
      </c>
      <c r="K5926" s="4">
        <v>-29211.486000000001</v>
      </c>
      <c r="L5926" s="4">
        <v>5</v>
      </c>
    </row>
    <row r="5927" spans="1:12">
      <c r="A5927" t="s">
        <v>264</v>
      </c>
      <c r="B5927" s="10">
        <v>45328</v>
      </c>
      <c r="C5927" s="18">
        <f t="shared" si="92"/>
        <v>2</v>
      </c>
      <c r="D5927" t="s">
        <v>196</v>
      </c>
      <c r="E5927">
        <v>4872571</v>
      </c>
      <c r="F5927" t="s">
        <v>8</v>
      </c>
      <c r="G5927" t="s">
        <v>203</v>
      </c>
      <c r="H5927" t="s">
        <v>237</v>
      </c>
      <c r="I5927" s="4">
        <v>125766.4408</v>
      </c>
      <c r="J5927" s="4">
        <v>628832.20400000003</v>
      </c>
      <c r="K5927" s="4">
        <v>-29211.486000000001</v>
      </c>
      <c r="L5927" s="4">
        <v>5</v>
      </c>
    </row>
    <row r="5928" spans="1:12">
      <c r="A5928" t="s">
        <v>264</v>
      </c>
      <c r="B5928" s="10">
        <v>45328</v>
      </c>
      <c r="C5928" s="18">
        <f t="shared" si="92"/>
        <v>2</v>
      </c>
      <c r="D5928" t="s">
        <v>196</v>
      </c>
      <c r="E5928">
        <v>4874586</v>
      </c>
      <c r="F5928" t="s">
        <v>8</v>
      </c>
      <c r="G5928" t="s">
        <v>206</v>
      </c>
      <c r="H5928" t="s">
        <v>248</v>
      </c>
      <c r="I5928" s="4">
        <v>16207.663200000001</v>
      </c>
      <c r="J5928" s="4">
        <v>1620766.32</v>
      </c>
      <c r="K5928" s="4">
        <v>-84807.54</v>
      </c>
      <c r="L5928" s="4">
        <v>100</v>
      </c>
    </row>
    <row r="5929" spans="1:12">
      <c r="A5929" t="s">
        <v>264</v>
      </c>
      <c r="B5929" s="10">
        <v>45328</v>
      </c>
      <c r="C5929" s="18">
        <f t="shared" si="92"/>
        <v>2</v>
      </c>
      <c r="D5929" t="s">
        <v>196</v>
      </c>
      <c r="E5929">
        <v>4874586</v>
      </c>
      <c r="F5929" t="s">
        <v>8</v>
      </c>
      <c r="G5929" t="s">
        <v>206</v>
      </c>
      <c r="H5929" t="s">
        <v>209</v>
      </c>
      <c r="I5929" s="4">
        <v>17715.352800000001</v>
      </c>
      <c r="J5929" s="4">
        <v>1771535.28</v>
      </c>
      <c r="K5929" s="4">
        <v>-87948.56</v>
      </c>
      <c r="L5929" s="4">
        <v>100</v>
      </c>
    </row>
    <row r="5930" spans="1:12">
      <c r="A5930" t="s">
        <v>264</v>
      </c>
      <c r="B5930" s="10">
        <v>45328</v>
      </c>
      <c r="C5930" s="18">
        <f t="shared" si="92"/>
        <v>2</v>
      </c>
      <c r="D5930" t="s">
        <v>196</v>
      </c>
      <c r="E5930">
        <v>4874586</v>
      </c>
      <c r="F5930" t="s">
        <v>8</v>
      </c>
      <c r="G5930" t="s">
        <v>206</v>
      </c>
      <c r="H5930" t="s">
        <v>251</v>
      </c>
      <c r="I5930" s="4">
        <v>19223.042399999998</v>
      </c>
      <c r="J5930" s="4">
        <v>1922304.2399999998</v>
      </c>
      <c r="K5930" s="4">
        <v>-100512.64</v>
      </c>
      <c r="L5930" s="4">
        <v>100</v>
      </c>
    </row>
    <row r="5931" spans="1:12">
      <c r="A5931" t="s">
        <v>264</v>
      </c>
      <c r="B5931" s="10">
        <v>45328</v>
      </c>
      <c r="C5931" s="18">
        <f t="shared" si="92"/>
        <v>2</v>
      </c>
      <c r="D5931" t="s">
        <v>196</v>
      </c>
      <c r="E5931">
        <v>4872162</v>
      </c>
      <c r="F5931" t="s">
        <v>8</v>
      </c>
      <c r="G5931" t="s">
        <v>204</v>
      </c>
      <c r="H5931" t="s">
        <v>219</v>
      </c>
      <c r="I5931" s="4">
        <v>44099.9208</v>
      </c>
      <c r="J5931" s="4">
        <v>440999.20799999998</v>
      </c>
      <c r="K5931" s="4">
        <v>-18846.12</v>
      </c>
      <c r="L5931" s="4">
        <v>10</v>
      </c>
    </row>
    <row r="5932" spans="1:12">
      <c r="A5932" t="s">
        <v>264</v>
      </c>
      <c r="B5932" s="10">
        <v>45328</v>
      </c>
      <c r="C5932" s="18">
        <f t="shared" si="92"/>
        <v>2</v>
      </c>
      <c r="D5932" t="s">
        <v>196</v>
      </c>
      <c r="E5932">
        <v>4872162</v>
      </c>
      <c r="F5932" t="s">
        <v>8</v>
      </c>
      <c r="G5932" t="s">
        <v>204</v>
      </c>
      <c r="H5932" t="s">
        <v>217</v>
      </c>
      <c r="I5932" s="4">
        <v>78022.936799999996</v>
      </c>
      <c r="J5932" s="4">
        <v>780229.36800000002</v>
      </c>
      <c r="K5932" s="4">
        <v>-35807.628000000004</v>
      </c>
      <c r="L5932" s="4">
        <v>10</v>
      </c>
    </row>
    <row r="5933" spans="1:12">
      <c r="A5933" t="s">
        <v>264</v>
      </c>
      <c r="B5933" s="10">
        <v>45328</v>
      </c>
      <c r="C5933" s="18">
        <f t="shared" si="92"/>
        <v>2</v>
      </c>
      <c r="D5933" t="s">
        <v>196</v>
      </c>
      <c r="E5933">
        <v>4872162</v>
      </c>
      <c r="F5933" t="s">
        <v>8</v>
      </c>
      <c r="G5933" t="s">
        <v>204</v>
      </c>
      <c r="H5933" t="s">
        <v>215</v>
      </c>
      <c r="I5933" s="4">
        <v>75510.12079999999</v>
      </c>
      <c r="J5933" s="4">
        <v>755101.20799999987</v>
      </c>
      <c r="K5933" s="4">
        <v>-37692.239999999998</v>
      </c>
      <c r="L5933" s="4">
        <v>10</v>
      </c>
    </row>
    <row r="5934" spans="1:12">
      <c r="A5934" t="s">
        <v>264</v>
      </c>
      <c r="B5934" s="10">
        <v>45328</v>
      </c>
      <c r="C5934" s="18">
        <f t="shared" si="92"/>
        <v>2</v>
      </c>
      <c r="D5934" t="s">
        <v>196</v>
      </c>
      <c r="E5934">
        <v>4872162</v>
      </c>
      <c r="F5934" t="s">
        <v>8</v>
      </c>
      <c r="G5934" t="s">
        <v>204</v>
      </c>
      <c r="H5934" t="s">
        <v>214</v>
      </c>
      <c r="I5934" s="4">
        <v>119484.4008</v>
      </c>
      <c r="J5934" s="4">
        <v>1194844.0079999999</v>
      </c>
      <c r="K5934" s="4">
        <v>-59679.38</v>
      </c>
      <c r="L5934" s="4">
        <v>10</v>
      </c>
    </row>
    <row r="5935" spans="1:12">
      <c r="A5935" t="s">
        <v>264</v>
      </c>
      <c r="B5935" s="10">
        <v>45328</v>
      </c>
      <c r="C5935" s="18">
        <f t="shared" si="92"/>
        <v>2</v>
      </c>
      <c r="D5935" t="s">
        <v>196</v>
      </c>
      <c r="E5935">
        <v>4872162</v>
      </c>
      <c r="F5935" t="s">
        <v>8</v>
      </c>
      <c r="G5935" t="s">
        <v>204</v>
      </c>
      <c r="H5935" t="s">
        <v>221</v>
      </c>
      <c r="I5935" s="4">
        <v>25253.800799999997</v>
      </c>
      <c r="J5935" s="4">
        <v>252538.00799999997</v>
      </c>
      <c r="K5935" s="4">
        <v>-12564.08</v>
      </c>
      <c r="L5935" s="4">
        <v>10</v>
      </c>
    </row>
    <row r="5936" spans="1:12">
      <c r="A5936" t="s">
        <v>264</v>
      </c>
      <c r="B5936" s="10">
        <v>45328</v>
      </c>
      <c r="C5936" s="18">
        <f t="shared" si="92"/>
        <v>2</v>
      </c>
      <c r="D5936" t="s">
        <v>196</v>
      </c>
      <c r="E5936">
        <v>4872162</v>
      </c>
      <c r="F5936" t="s">
        <v>8</v>
      </c>
      <c r="G5936" t="s">
        <v>204</v>
      </c>
      <c r="H5936" t="s">
        <v>220</v>
      </c>
      <c r="I5936" s="4">
        <v>37817.880799999999</v>
      </c>
      <c r="J5936" s="4">
        <v>378178.80799999996</v>
      </c>
      <c r="K5936" s="4">
        <v>-18846.12</v>
      </c>
      <c r="L5936" s="4">
        <v>10</v>
      </c>
    </row>
    <row r="5937" spans="1:12">
      <c r="A5937" t="s">
        <v>264</v>
      </c>
      <c r="B5937" s="10">
        <v>45328</v>
      </c>
      <c r="C5937" s="18">
        <f t="shared" si="92"/>
        <v>2</v>
      </c>
      <c r="D5937" t="s">
        <v>196</v>
      </c>
      <c r="E5937">
        <v>4872162</v>
      </c>
      <c r="F5937" t="s">
        <v>8</v>
      </c>
      <c r="G5937" t="s">
        <v>204</v>
      </c>
      <c r="H5937" t="s">
        <v>212</v>
      </c>
      <c r="I5937" s="4">
        <v>62946.040799999995</v>
      </c>
      <c r="J5937" s="4">
        <v>629460.40799999994</v>
      </c>
      <c r="K5937" s="4">
        <v>-18846.12</v>
      </c>
      <c r="L5937" s="4">
        <v>10</v>
      </c>
    </row>
    <row r="5938" spans="1:12">
      <c r="A5938" t="s">
        <v>264</v>
      </c>
      <c r="B5938" s="10">
        <v>45328</v>
      </c>
      <c r="C5938" s="18">
        <f t="shared" si="92"/>
        <v>2</v>
      </c>
      <c r="D5938" t="s">
        <v>196</v>
      </c>
      <c r="E5938">
        <v>4872162</v>
      </c>
      <c r="F5938" t="s">
        <v>8</v>
      </c>
      <c r="G5938" t="s">
        <v>202</v>
      </c>
      <c r="H5938" t="s">
        <v>261</v>
      </c>
      <c r="I5938" s="4">
        <v>41587.104800000001</v>
      </c>
      <c r="J5938" s="4">
        <v>4158710.48</v>
      </c>
      <c r="K5938" s="4">
        <v>-207307.32</v>
      </c>
      <c r="L5938" s="4">
        <v>100</v>
      </c>
    </row>
    <row r="5939" spans="1:12">
      <c r="A5939" t="s">
        <v>264</v>
      </c>
      <c r="B5939" s="10">
        <v>45328</v>
      </c>
      <c r="C5939" s="18">
        <f t="shared" si="92"/>
        <v>2</v>
      </c>
      <c r="D5939" t="s">
        <v>196</v>
      </c>
      <c r="E5939">
        <v>4872162</v>
      </c>
      <c r="F5939" t="s">
        <v>8</v>
      </c>
      <c r="G5939" t="s">
        <v>202</v>
      </c>
      <c r="H5939" t="s">
        <v>259</v>
      </c>
      <c r="I5939" s="4">
        <v>30279.432800000002</v>
      </c>
      <c r="J5939" s="4">
        <v>3027943.2800000003</v>
      </c>
      <c r="K5939" s="4">
        <v>-150768.95999999999</v>
      </c>
      <c r="L5939" s="4">
        <v>100</v>
      </c>
    </row>
    <row r="5940" spans="1:12">
      <c r="A5940" t="s">
        <v>264</v>
      </c>
      <c r="B5940" s="10">
        <v>45328</v>
      </c>
      <c r="C5940" s="18">
        <f t="shared" si="92"/>
        <v>2</v>
      </c>
      <c r="D5940" t="s">
        <v>196</v>
      </c>
      <c r="E5940">
        <v>4872162</v>
      </c>
      <c r="F5940" t="s">
        <v>8</v>
      </c>
      <c r="G5940" t="s">
        <v>202</v>
      </c>
      <c r="H5940" t="s">
        <v>258</v>
      </c>
      <c r="I5940" s="4">
        <v>37817.880799999999</v>
      </c>
      <c r="J5940" s="4">
        <v>3781788.08</v>
      </c>
      <c r="K5940" s="4">
        <v>-188461.2</v>
      </c>
      <c r="L5940" s="4">
        <v>100</v>
      </c>
    </row>
    <row r="5941" spans="1:12">
      <c r="A5941" t="s">
        <v>264</v>
      </c>
      <c r="B5941" s="10">
        <v>45328</v>
      </c>
      <c r="C5941" s="18">
        <f t="shared" si="92"/>
        <v>2</v>
      </c>
      <c r="D5941" t="s">
        <v>196</v>
      </c>
      <c r="E5941">
        <v>4876759</v>
      </c>
      <c r="F5941" t="s">
        <v>8</v>
      </c>
      <c r="G5941" t="s">
        <v>202</v>
      </c>
      <c r="H5941" t="s">
        <v>261</v>
      </c>
      <c r="I5941" s="4">
        <v>41587.104800000001</v>
      </c>
      <c r="J5941" s="4">
        <v>41587.104800000001</v>
      </c>
      <c r="K5941" s="4">
        <v>-2073.0732000000003</v>
      </c>
      <c r="L5941" s="4">
        <v>1</v>
      </c>
    </row>
    <row r="5942" spans="1:12">
      <c r="A5942" t="s">
        <v>264</v>
      </c>
      <c r="B5942" s="10">
        <v>45328</v>
      </c>
      <c r="C5942" s="18">
        <f t="shared" si="92"/>
        <v>2</v>
      </c>
      <c r="D5942" t="s">
        <v>196</v>
      </c>
      <c r="E5942">
        <v>4876759</v>
      </c>
      <c r="F5942" t="s">
        <v>8</v>
      </c>
      <c r="G5942" t="s">
        <v>202</v>
      </c>
      <c r="H5942" t="s">
        <v>260</v>
      </c>
      <c r="I5942" s="4">
        <v>41587.104800000001</v>
      </c>
      <c r="J5942" s="4">
        <v>41587.104800000001</v>
      </c>
      <c r="K5942" s="4">
        <v>-2073.0732000000003</v>
      </c>
      <c r="L5942" s="4">
        <v>1</v>
      </c>
    </row>
    <row r="5943" spans="1:12">
      <c r="A5943" t="s">
        <v>264</v>
      </c>
      <c r="B5943" s="10">
        <v>45328</v>
      </c>
      <c r="C5943" s="18">
        <f t="shared" si="92"/>
        <v>2</v>
      </c>
      <c r="D5943" t="s">
        <v>196</v>
      </c>
      <c r="E5943">
        <v>4876759</v>
      </c>
      <c r="F5943" t="s">
        <v>8</v>
      </c>
      <c r="G5943" t="s">
        <v>202</v>
      </c>
      <c r="H5943" t="s">
        <v>259</v>
      </c>
      <c r="I5943" s="4">
        <v>30279.432800000002</v>
      </c>
      <c r="J5943" s="4">
        <v>30279.432800000002</v>
      </c>
      <c r="K5943" s="4">
        <v>-1507.6895999999999</v>
      </c>
      <c r="L5943" s="4">
        <v>1</v>
      </c>
    </row>
    <row r="5944" spans="1:12">
      <c r="A5944" t="s">
        <v>264</v>
      </c>
      <c r="B5944" s="10">
        <v>45328</v>
      </c>
      <c r="C5944" s="18">
        <f t="shared" si="92"/>
        <v>2</v>
      </c>
      <c r="D5944" t="s">
        <v>196</v>
      </c>
      <c r="E5944">
        <v>4876759</v>
      </c>
      <c r="F5944" t="s">
        <v>8</v>
      </c>
      <c r="G5944" t="s">
        <v>202</v>
      </c>
      <c r="H5944" t="s">
        <v>258</v>
      </c>
      <c r="I5944" s="4">
        <v>37817.880799999999</v>
      </c>
      <c r="J5944" s="4">
        <v>37817.880799999999</v>
      </c>
      <c r="K5944" s="4">
        <v>-1884.6119999999999</v>
      </c>
      <c r="L5944" s="4">
        <v>1</v>
      </c>
    </row>
    <row r="5945" spans="1:12">
      <c r="A5945" t="s">
        <v>264</v>
      </c>
      <c r="B5945" s="10">
        <v>45328</v>
      </c>
      <c r="C5945" s="18">
        <f t="shared" si="92"/>
        <v>2</v>
      </c>
      <c r="D5945" t="s">
        <v>196</v>
      </c>
      <c r="E5945">
        <v>4876759</v>
      </c>
      <c r="F5945" t="s">
        <v>8</v>
      </c>
      <c r="G5945" t="s">
        <v>202</v>
      </c>
      <c r="H5945" t="s">
        <v>257</v>
      </c>
      <c r="I5945" s="4">
        <v>56664.000799999994</v>
      </c>
      <c r="J5945" s="4">
        <v>56664.000799999994</v>
      </c>
      <c r="K5945" s="4">
        <v>-2826.9180000000001</v>
      </c>
      <c r="L5945" s="4">
        <v>1</v>
      </c>
    </row>
    <row r="5946" spans="1:12">
      <c r="A5946" t="s">
        <v>264</v>
      </c>
      <c r="B5946" s="10">
        <v>45328</v>
      </c>
      <c r="C5946" s="18">
        <f t="shared" si="92"/>
        <v>2</v>
      </c>
      <c r="D5946" t="s">
        <v>196</v>
      </c>
      <c r="E5946">
        <v>4876759</v>
      </c>
      <c r="F5946" t="s">
        <v>8</v>
      </c>
      <c r="G5946" t="s">
        <v>202</v>
      </c>
      <c r="H5946" t="s">
        <v>256</v>
      </c>
      <c r="I5946" s="4">
        <v>64202.448800000006</v>
      </c>
      <c r="J5946" s="4">
        <v>64202.448800000006</v>
      </c>
      <c r="K5946" s="4">
        <v>-3203.8404</v>
      </c>
      <c r="L5946" s="4">
        <v>1</v>
      </c>
    </row>
    <row r="5947" spans="1:12">
      <c r="A5947" t="s">
        <v>264</v>
      </c>
      <c r="B5947" s="10">
        <v>45328</v>
      </c>
      <c r="C5947" s="18">
        <f t="shared" si="92"/>
        <v>2</v>
      </c>
      <c r="D5947" t="s">
        <v>196</v>
      </c>
      <c r="E5947">
        <v>4876759</v>
      </c>
      <c r="F5947" t="s">
        <v>8</v>
      </c>
      <c r="G5947" t="s">
        <v>202</v>
      </c>
      <c r="H5947" t="s">
        <v>255</v>
      </c>
      <c r="I5947" s="4">
        <v>72489.71596799999</v>
      </c>
      <c r="J5947" s="4">
        <v>72489.71596799999</v>
      </c>
      <c r="K5947" s="4">
        <v>-3769.2239999999997</v>
      </c>
      <c r="L5947" s="4">
        <v>1</v>
      </c>
    </row>
    <row r="5948" spans="1:12">
      <c r="A5948" t="s">
        <v>264</v>
      </c>
      <c r="B5948" s="10">
        <v>45328</v>
      </c>
      <c r="C5948" s="18">
        <f t="shared" si="92"/>
        <v>2</v>
      </c>
      <c r="D5948" t="s">
        <v>196</v>
      </c>
      <c r="E5948">
        <v>4876759</v>
      </c>
      <c r="F5948" t="s">
        <v>8</v>
      </c>
      <c r="G5948" t="s">
        <v>202</v>
      </c>
      <c r="H5948" t="s">
        <v>254</v>
      </c>
      <c r="I5948" s="4">
        <v>37817.880799999999</v>
      </c>
      <c r="J5948" s="4">
        <v>37817.880799999999</v>
      </c>
      <c r="K5948" s="4">
        <v>-1884.6119999999999</v>
      </c>
      <c r="L5948" s="4">
        <v>1</v>
      </c>
    </row>
    <row r="5949" spans="1:12">
      <c r="A5949" t="s">
        <v>264</v>
      </c>
      <c r="B5949" s="10">
        <v>45328</v>
      </c>
      <c r="C5949" s="18">
        <f t="shared" si="92"/>
        <v>2</v>
      </c>
      <c r="D5949" t="s">
        <v>196</v>
      </c>
      <c r="E5949">
        <v>4876759</v>
      </c>
      <c r="F5949" t="s">
        <v>8</v>
      </c>
      <c r="G5949" t="s">
        <v>202</v>
      </c>
      <c r="H5949" t="s">
        <v>253</v>
      </c>
      <c r="I5949" s="4">
        <v>46669.275160000005</v>
      </c>
      <c r="J5949" s="4">
        <v>46669.275160000005</v>
      </c>
      <c r="K5949" s="4">
        <v>-2449.9956000000002</v>
      </c>
      <c r="L5949" s="4">
        <v>1</v>
      </c>
    </row>
    <row r="5950" spans="1:12">
      <c r="A5950" t="s">
        <v>264</v>
      </c>
      <c r="B5950" s="10">
        <v>45328</v>
      </c>
      <c r="C5950" s="18">
        <f t="shared" si="92"/>
        <v>2</v>
      </c>
      <c r="D5950" t="s">
        <v>196</v>
      </c>
      <c r="E5950">
        <v>4876759</v>
      </c>
      <c r="F5950" t="s">
        <v>8</v>
      </c>
      <c r="G5950" t="s">
        <v>206</v>
      </c>
      <c r="H5950" t="s">
        <v>248</v>
      </c>
      <c r="I5950" s="4">
        <v>16207.663200000001</v>
      </c>
      <c r="J5950" s="4">
        <v>1620766.32</v>
      </c>
      <c r="K5950" s="4">
        <v>-84807.54</v>
      </c>
      <c r="L5950" s="4">
        <v>100</v>
      </c>
    </row>
    <row r="5951" spans="1:12">
      <c r="A5951" t="s">
        <v>264</v>
      </c>
      <c r="B5951" s="10">
        <v>45328</v>
      </c>
      <c r="C5951" s="18">
        <f t="shared" si="92"/>
        <v>2</v>
      </c>
      <c r="D5951" t="s">
        <v>196</v>
      </c>
      <c r="E5951">
        <v>4876759</v>
      </c>
      <c r="F5951" t="s">
        <v>8</v>
      </c>
      <c r="G5951" t="s">
        <v>206</v>
      </c>
      <c r="H5951" t="s">
        <v>250</v>
      </c>
      <c r="I5951" s="4">
        <v>17715.352800000001</v>
      </c>
      <c r="J5951" s="4">
        <v>1771535.28</v>
      </c>
      <c r="K5951" s="4">
        <v>-87948.56</v>
      </c>
      <c r="L5951" s="4">
        <v>100</v>
      </c>
    </row>
    <row r="5952" spans="1:12">
      <c r="A5952" t="s">
        <v>264</v>
      </c>
      <c r="B5952" s="10">
        <v>45328</v>
      </c>
      <c r="C5952" s="18">
        <f t="shared" si="92"/>
        <v>2</v>
      </c>
      <c r="D5952" t="s">
        <v>196</v>
      </c>
      <c r="E5952">
        <v>4876759</v>
      </c>
      <c r="F5952" t="s">
        <v>8</v>
      </c>
      <c r="G5952" t="s">
        <v>206</v>
      </c>
      <c r="H5952" t="s">
        <v>209</v>
      </c>
      <c r="I5952" s="4">
        <v>17715.352800000001</v>
      </c>
      <c r="J5952" s="4">
        <v>1771535.28</v>
      </c>
      <c r="K5952" s="4">
        <v>-87948.56</v>
      </c>
      <c r="L5952" s="4">
        <v>100</v>
      </c>
    </row>
    <row r="5953" spans="1:12">
      <c r="A5953" t="s">
        <v>264</v>
      </c>
      <c r="B5953" s="10">
        <v>45328</v>
      </c>
      <c r="C5953" s="18">
        <f t="shared" si="92"/>
        <v>2</v>
      </c>
      <c r="D5953" t="s">
        <v>196</v>
      </c>
      <c r="E5953">
        <v>4876759</v>
      </c>
      <c r="F5953" t="s">
        <v>8</v>
      </c>
      <c r="G5953" t="s">
        <v>206</v>
      </c>
      <c r="H5953" t="s">
        <v>252</v>
      </c>
      <c r="I5953" s="4">
        <v>20102.528000000002</v>
      </c>
      <c r="J5953" s="4">
        <v>2010252.8000000003</v>
      </c>
      <c r="K5953" s="4">
        <v>-100512.64</v>
      </c>
      <c r="L5953" s="4">
        <v>100</v>
      </c>
    </row>
    <row r="5954" spans="1:12">
      <c r="A5954" t="s">
        <v>264</v>
      </c>
      <c r="B5954" s="10">
        <v>45328</v>
      </c>
      <c r="C5954" s="18">
        <f t="shared" ref="C5954:C6017" si="93">MONTH(B5954)</f>
        <v>2</v>
      </c>
      <c r="D5954" t="s">
        <v>196</v>
      </c>
      <c r="E5954">
        <v>4872141</v>
      </c>
      <c r="F5954" t="s">
        <v>8</v>
      </c>
      <c r="G5954" t="s">
        <v>203</v>
      </c>
      <c r="H5954" t="s">
        <v>243</v>
      </c>
      <c r="I5954" s="4">
        <v>100638.28079999999</v>
      </c>
      <c r="J5954" s="4">
        <v>2012765.6159999999</v>
      </c>
      <c r="K5954" s="4">
        <v>-90461.376000000004</v>
      </c>
      <c r="L5954" s="4">
        <v>20</v>
      </c>
    </row>
    <row r="5955" spans="1:12">
      <c r="A5955" t="s">
        <v>264</v>
      </c>
      <c r="B5955" s="10">
        <v>45328</v>
      </c>
      <c r="C5955" s="18">
        <f t="shared" si="93"/>
        <v>2</v>
      </c>
      <c r="D5955" t="s">
        <v>196</v>
      </c>
      <c r="E5955">
        <v>4872141</v>
      </c>
      <c r="F5955" t="s">
        <v>8</v>
      </c>
      <c r="G5955" t="s">
        <v>203</v>
      </c>
      <c r="H5955" t="s">
        <v>240</v>
      </c>
      <c r="I5955" s="4">
        <v>100638.28079999999</v>
      </c>
      <c r="J5955" s="4">
        <v>2012765.6159999999</v>
      </c>
      <c r="K5955" s="4">
        <v>-90461.376000000004</v>
      </c>
      <c r="L5955" s="4">
        <v>20</v>
      </c>
    </row>
    <row r="5956" spans="1:12">
      <c r="A5956" t="s">
        <v>264</v>
      </c>
      <c r="B5956" s="10">
        <v>45328</v>
      </c>
      <c r="C5956" s="18">
        <f t="shared" si="93"/>
        <v>2</v>
      </c>
      <c r="D5956" t="s">
        <v>196</v>
      </c>
      <c r="E5956">
        <v>4872141</v>
      </c>
      <c r="F5956" t="s">
        <v>8</v>
      </c>
      <c r="G5956" t="s">
        <v>203</v>
      </c>
      <c r="H5956" t="s">
        <v>232</v>
      </c>
      <c r="I5956" s="4">
        <v>100638.28079999999</v>
      </c>
      <c r="J5956" s="4">
        <v>2012765.6159999999</v>
      </c>
      <c r="K5956" s="4">
        <v>-90461.376000000004</v>
      </c>
      <c r="L5956" s="4">
        <v>20</v>
      </c>
    </row>
    <row r="5957" spans="1:12">
      <c r="A5957" t="s">
        <v>264</v>
      </c>
      <c r="B5957" s="10">
        <v>45328</v>
      </c>
      <c r="C5957" s="18">
        <f t="shared" si="93"/>
        <v>2</v>
      </c>
      <c r="D5957" t="s">
        <v>196</v>
      </c>
      <c r="E5957">
        <v>4872141</v>
      </c>
      <c r="F5957" t="s">
        <v>8</v>
      </c>
      <c r="G5957" t="s">
        <v>203</v>
      </c>
      <c r="H5957" t="s">
        <v>230</v>
      </c>
      <c r="I5957" s="4">
        <v>100638.28079999999</v>
      </c>
      <c r="J5957" s="4">
        <v>2012765.6159999999</v>
      </c>
      <c r="K5957" s="4">
        <v>-90461.376000000004</v>
      </c>
      <c r="L5957" s="4">
        <v>20</v>
      </c>
    </row>
    <row r="5958" spans="1:12">
      <c r="A5958" t="s">
        <v>264</v>
      </c>
      <c r="B5958" s="10">
        <v>45328</v>
      </c>
      <c r="C5958" s="18">
        <f t="shared" si="93"/>
        <v>2</v>
      </c>
      <c r="D5958" t="s">
        <v>196</v>
      </c>
      <c r="E5958">
        <v>4872141</v>
      </c>
      <c r="F5958" t="s">
        <v>8</v>
      </c>
      <c r="G5958" t="s">
        <v>203</v>
      </c>
      <c r="H5958" t="s">
        <v>228</v>
      </c>
      <c r="I5958" s="4">
        <v>100638.28079999999</v>
      </c>
      <c r="J5958" s="4">
        <v>2012765.6159999999</v>
      </c>
      <c r="K5958" s="4">
        <v>-90461.376000000004</v>
      </c>
      <c r="L5958" s="4">
        <v>20</v>
      </c>
    </row>
    <row r="5959" spans="1:12">
      <c r="A5959" t="s">
        <v>264</v>
      </c>
      <c r="B5959" s="10">
        <v>45328</v>
      </c>
      <c r="C5959" s="18">
        <f t="shared" si="93"/>
        <v>2</v>
      </c>
      <c r="D5959" t="s">
        <v>196</v>
      </c>
      <c r="E5959">
        <v>4872141</v>
      </c>
      <c r="F5959" t="s">
        <v>8</v>
      </c>
      <c r="G5959" t="s">
        <v>203</v>
      </c>
      <c r="H5959" t="s">
        <v>226</v>
      </c>
      <c r="I5959" s="4">
        <v>100638.28079999999</v>
      </c>
      <c r="J5959" s="4">
        <v>2012765.6159999999</v>
      </c>
      <c r="K5959" s="4">
        <v>-90461.376000000004</v>
      </c>
      <c r="L5959" s="4">
        <v>20</v>
      </c>
    </row>
    <row r="5960" spans="1:12">
      <c r="A5960" t="s">
        <v>264</v>
      </c>
      <c r="B5960" s="10">
        <v>45328</v>
      </c>
      <c r="C5960" s="18">
        <f t="shared" si="93"/>
        <v>2</v>
      </c>
      <c r="D5960" t="s">
        <v>196</v>
      </c>
      <c r="E5960">
        <v>4872141</v>
      </c>
      <c r="F5960" t="s">
        <v>8</v>
      </c>
      <c r="G5960" t="s">
        <v>203</v>
      </c>
      <c r="H5960" t="s">
        <v>225</v>
      </c>
      <c r="I5960" s="4">
        <v>100638.28079999999</v>
      </c>
      <c r="J5960" s="4">
        <v>2012765.6159999999</v>
      </c>
      <c r="K5960" s="4">
        <v>-90461.376000000004</v>
      </c>
      <c r="L5960" s="4">
        <v>20</v>
      </c>
    </row>
    <row r="5961" spans="1:12">
      <c r="A5961" t="s">
        <v>264</v>
      </c>
      <c r="B5961" s="10">
        <v>45328</v>
      </c>
      <c r="C5961" s="18">
        <f t="shared" si="93"/>
        <v>2</v>
      </c>
      <c r="D5961" t="s">
        <v>196</v>
      </c>
      <c r="E5961">
        <v>4872141</v>
      </c>
      <c r="F5961" t="s">
        <v>8</v>
      </c>
      <c r="G5961" t="s">
        <v>203</v>
      </c>
      <c r="H5961" t="s">
        <v>224</v>
      </c>
      <c r="I5961" s="4">
        <v>100638.28079999999</v>
      </c>
      <c r="J5961" s="4">
        <v>2012765.6159999999</v>
      </c>
      <c r="K5961" s="4">
        <v>-90461.376000000004</v>
      </c>
      <c r="L5961" s="4">
        <v>20</v>
      </c>
    </row>
    <row r="5962" spans="1:12">
      <c r="A5962" t="s">
        <v>264</v>
      </c>
      <c r="B5962" s="10">
        <v>45328</v>
      </c>
      <c r="C5962" s="18">
        <f t="shared" si="93"/>
        <v>2</v>
      </c>
      <c r="D5962" t="s">
        <v>196</v>
      </c>
      <c r="E5962">
        <v>4872141</v>
      </c>
      <c r="F5962" t="s">
        <v>8</v>
      </c>
      <c r="G5962" t="s">
        <v>203</v>
      </c>
      <c r="H5962" t="s">
        <v>235</v>
      </c>
      <c r="I5962" s="4">
        <v>125766.4408</v>
      </c>
      <c r="J5962" s="4">
        <v>3144161.02</v>
      </c>
      <c r="K5962" s="4">
        <v>-146057.43</v>
      </c>
      <c r="L5962" s="4">
        <v>25</v>
      </c>
    </row>
    <row r="5963" spans="1:12">
      <c r="A5963" t="s">
        <v>264</v>
      </c>
      <c r="B5963" s="10">
        <v>45328</v>
      </c>
      <c r="C5963" s="18">
        <f t="shared" si="93"/>
        <v>2</v>
      </c>
      <c r="D5963" t="s">
        <v>196</v>
      </c>
      <c r="E5963">
        <v>4872141</v>
      </c>
      <c r="F5963" t="s">
        <v>8</v>
      </c>
      <c r="G5963" t="s">
        <v>203</v>
      </c>
      <c r="H5963" t="s">
        <v>231</v>
      </c>
      <c r="I5963" s="4">
        <v>125766.4408</v>
      </c>
      <c r="J5963" s="4">
        <v>3144161.02</v>
      </c>
      <c r="K5963" s="4">
        <v>-146057.43</v>
      </c>
      <c r="L5963" s="4">
        <v>25</v>
      </c>
    </row>
    <row r="5964" spans="1:12">
      <c r="A5964" t="s">
        <v>264</v>
      </c>
      <c r="B5964" s="10">
        <v>45328</v>
      </c>
      <c r="C5964" s="18">
        <f t="shared" si="93"/>
        <v>2</v>
      </c>
      <c r="D5964" t="s">
        <v>196</v>
      </c>
      <c r="E5964">
        <v>4872141</v>
      </c>
      <c r="F5964" t="s">
        <v>8</v>
      </c>
      <c r="G5964" t="s">
        <v>203</v>
      </c>
      <c r="H5964" t="s">
        <v>229</v>
      </c>
      <c r="I5964" s="4">
        <v>125766.4408</v>
      </c>
      <c r="J5964" s="4">
        <v>3144161.02</v>
      </c>
      <c r="K5964" s="4">
        <v>-146057.43</v>
      </c>
      <c r="L5964" s="4">
        <v>25</v>
      </c>
    </row>
    <row r="5965" spans="1:12">
      <c r="A5965" t="s">
        <v>264</v>
      </c>
      <c r="B5965" s="10">
        <v>45329</v>
      </c>
      <c r="C5965" s="18">
        <f t="shared" si="93"/>
        <v>2</v>
      </c>
      <c r="D5965" t="s">
        <v>196</v>
      </c>
      <c r="E5965">
        <v>4878748</v>
      </c>
      <c r="F5965" t="s">
        <v>8</v>
      </c>
      <c r="G5965" t="s">
        <v>202</v>
      </c>
      <c r="H5965" t="s">
        <v>261</v>
      </c>
      <c r="I5965" s="4">
        <v>41587.104800000001</v>
      </c>
      <c r="J5965" s="4">
        <v>41587.104800000001</v>
      </c>
      <c r="K5965" s="4">
        <v>-2073.0732000000003</v>
      </c>
      <c r="L5965" s="4">
        <v>1</v>
      </c>
    </row>
    <row r="5966" spans="1:12">
      <c r="A5966" t="s">
        <v>264</v>
      </c>
      <c r="B5966" s="10">
        <v>45329</v>
      </c>
      <c r="C5966" s="18">
        <f t="shared" si="93"/>
        <v>2</v>
      </c>
      <c r="D5966" t="s">
        <v>196</v>
      </c>
      <c r="E5966">
        <v>4872193</v>
      </c>
      <c r="F5966" t="s">
        <v>8</v>
      </c>
      <c r="G5966" t="s">
        <v>203</v>
      </c>
      <c r="H5966" t="s">
        <v>232</v>
      </c>
      <c r="I5966" s="4">
        <v>100638.28079999999</v>
      </c>
      <c r="J5966" s="4">
        <v>1006382.808</v>
      </c>
      <c r="K5966" s="4">
        <v>-45230.688000000002</v>
      </c>
      <c r="L5966" s="4">
        <v>10</v>
      </c>
    </row>
    <row r="5967" spans="1:12">
      <c r="A5967" t="s">
        <v>264</v>
      </c>
      <c r="B5967" s="10">
        <v>45329</v>
      </c>
      <c r="C5967" s="18">
        <f t="shared" si="93"/>
        <v>2</v>
      </c>
      <c r="D5967" t="s">
        <v>196</v>
      </c>
      <c r="E5967">
        <v>4872193</v>
      </c>
      <c r="F5967" t="s">
        <v>8</v>
      </c>
      <c r="G5967" t="s">
        <v>203</v>
      </c>
      <c r="H5967" t="s">
        <v>230</v>
      </c>
      <c r="I5967" s="4">
        <v>100638.28079999999</v>
      </c>
      <c r="J5967" s="4">
        <v>3019148.4239999996</v>
      </c>
      <c r="K5967" s="4">
        <v>-135692.06400000001</v>
      </c>
      <c r="L5967" s="4">
        <v>30</v>
      </c>
    </row>
    <row r="5968" spans="1:12">
      <c r="A5968" t="s">
        <v>264</v>
      </c>
      <c r="B5968" s="10">
        <v>45329</v>
      </c>
      <c r="C5968" s="18">
        <f t="shared" si="93"/>
        <v>2</v>
      </c>
      <c r="D5968" t="s">
        <v>196</v>
      </c>
      <c r="E5968">
        <v>4872193</v>
      </c>
      <c r="F5968" t="s">
        <v>8</v>
      </c>
      <c r="G5968" t="s">
        <v>203</v>
      </c>
      <c r="H5968" t="s">
        <v>228</v>
      </c>
      <c r="I5968" s="4">
        <v>100638.28079999999</v>
      </c>
      <c r="J5968" s="4">
        <v>1006382.808</v>
      </c>
      <c r="K5968" s="4">
        <v>-45230.688000000002</v>
      </c>
      <c r="L5968" s="4">
        <v>10</v>
      </c>
    </row>
    <row r="5969" spans="1:12">
      <c r="A5969" t="s">
        <v>264</v>
      </c>
      <c r="B5969" s="10">
        <v>45329</v>
      </c>
      <c r="C5969" s="18">
        <f t="shared" si="93"/>
        <v>2</v>
      </c>
      <c r="D5969" t="s">
        <v>196</v>
      </c>
      <c r="E5969">
        <v>4872193</v>
      </c>
      <c r="F5969" t="s">
        <v>8</v>
      </c>
      <c r="G5969" t="s">
        <v>203</v>
      </c>
      <c r="H5969" t="s">
        <v>227</v>
      </c>
      <c r="I5969" s="4">
        <v>100638.28079999999</v>
      </c>
      <c r="J5969" s="4">
        <v>1006382.808</v>
      </c>
      <c r="K5969" s="4">
        <v>-45230.688000000002</v>
      </c>
      <c r="L5969" s="4">
        <v>10</v>
      </c>
    </row>
    <row r="5970" spans="1:12">
      <c r="A5970" t="s">
        <v>264</v>
      </c>
      <c r="B5970" s="10">
        <v>45329</v>
      </c>
      <c r="C5970" s="18">
        <f t="shared" si="93"/>
        <v>2</v>
      </c>
      <c r="D5970" t="s">
        <v>196</v>
      </c>
      <c r="E5970">
        <v>4872193</v>
      </c>
      <c r="F5970" t="s">
        <v>8</v>
      </c>
      <c r="G5970" t="s">
        <v>203</v>
      </c>
      <c r="H5970" t="s">
        <v>226</v>
      </c>
      <c r="I5970" s="4">
        <v>100638.28079999999</v>
      </c>
      <c r="J5970" s="4">
        <v>1006382.808</v>
      </c>
      <c r="K5970" s="4">
        <v>-45230.688000000002</v>
      </c>
      <c r="L5970" s="4">
        <v>10</v>
      </c>
    </row>
    <row r="5971" spans="1:12">
      <c r="A5971" t="s">
        <v>264</v>
      </c>
      <c r="B5971" s="10">
        <v>45329</v>
      </c>
      <c r="C5971" s="18">
        <f t="shared" si="93"/>
        <v>2</v>
      </c>
      <c r="D5971" t="s">
        <v>196</v>
      </c>
      <c r="E5971">
        <v>4872193</v>
      </c>
      <c r="F5971" t="s">
        <v>8</v>
      </c>
      <c r="G5971" t="s">
        <v>203</v>
      </c>
      <c r="H5971" t="s">
        <v>244</v>
      </c>
      <c r="I5971" s="4">
        <v>125766.4408</v>
      </c>
      <c r="J5971" s="4">
        <v>1257664.4080000001</v>
      </c>
      <c r="K5971" s="4">
        <v>-58422.972000000002</v>
      </c>
      <c r="L5971" s="4">
        <v>10</v>
      </c>
    </row>
    <row r="5972" spans="1:12">
      <c r="A5972" t="s">
        <v>264</v>
      </c>
      <c r="B5972" s="10">
        <v>45329</v>
      </c>
      <c r="C5972" s="18">
        <f t="shared" si="93"/>
        <v>2</v>
      </c>
      <c r="D5972" t="s">
        <v>196</v>
      </c>
      <c r="E5972">
        <v>4872193</v>
      </c>
      <c r="F5972" t="s">
        <v>8</v>
      </c>
      <c r="G5972" t="s">
        <v>203</v>
      </c>
      <c r="H5972" t="s">
        <v>237</v>
      </c>
      <c r="I5972" s="4">
        <v>125766.4408</v>
      </c>
      <c r="J5972" s="4">
        <v>1257664.4080000001</v>
      </c>
      <c r="K5972" s="4">
        <v>-58422.972000000002</v>
      </c>
      <c r="L5972" s="4">
        <v>10</v>
      </c>
    </row>
    <row r="5973" spans="1:12">
      <c r="A5973" t="s">
        <v>264</v>
      </c>
      <c r="B5973" s="10">
        <v>45329</v>
      </c>
      <c r="C5973" s="18">
        <f t="shared" si="93"/>
        <v>2</v>
      </c>
      <c r="D5973" t="s">
        <v>196</v>
      </c>
      <c r="E5973">
        <v>4872193</v>
      </c>
      <c r="F5973" t="s">
        <v>8</v>
      </c>
      <c r="G5973" t="s">
        <v>203</v>
      </c>
      <c r="H5973" t="s">
        <v>229</v>
      </c>
      <c r="I5973" s="4">
        <v>125766.4408</v>
      </c>
      <c r="J5973" s="4">
        <v>1257664.4080000001</v>
      </c>
      <c r="K5973" s="4">
        <v>-58422.972000000002</v>
      </c>
      <c r="L5973" s="4">
        <v>10</v>
      </c>
    </row>
    <row r="5974" spans="1:12">
      <c r="A5974" t="s">
        <v>264</v>
      </c>
      <c r="B5974" s="10">
        <v>45329</v>
      </c>
      <c r="C5974" s="18">
        <f t="shared" si="93"/>
        <v>2</v>
      </c>
      <c r="D5974" t="s">
        <v>196</v>
      </c>
      <c r="E5974">
        <v>4872210</v>
      </c>
      <c r="F5974" t="s">
        <v>8</v>
      </c>
      <c r="G5974" t="s">
        <v>203</v>
      </c>
      <c r="H5974" t="s">
        <v>232</v>
      </c>
      <c r="I5974" s="4">
        <v>100638.28079999999</v>
      </c>
      <c r="J5974" s="4">
        <v>1006382.808</v>
      </c>
      <c r="K5974" s="4">
        <v>-45230.688000000002</v>
      </c>
      <c r="L5974" s="4">
        <v>10</v>
      </c>
    </row>
    <row r="5975" spans="1:12">
      <c r="A5975" t="s">
        <v>264</v>
      </c>
      <c r="B5975" s="10">
        <v>45329</v>
      </c>
      <c r="C5975" s="18">
        <f t="shared" si="93"/>
        <v>2</v>
      </c>
      <c r="D5975" t="s">
        <v>196</v>
      </c>
      <c r="E5975">
        <v>4872210</v>
      </c>
      <c r="F5975" t="s">
        <v>8</v>
      </c>
      <c r="G5975" t="s">
        <v>203</v>
      </c>
      <c r="H5975" t="s">
        <v>230</v>
      </c>
      <c r="I5975" s="4">
        <v>100638.28079999999</v>
      </c>
      <c r="J5975" s="4">
        <v>2012765.6159999999</v>
      </c>
      <c r="K5975" s="4">
        <v>-90461.376000000004</v>
      </c>
      <c r="L5975" s="4">
        <v>20</v>
      </c>
    </row>
    <row r="5976" spans="1:12">
      <c r="A5976" t="s">
        <v>264</v>
      </c>
      <c r="B5976" s="10">
        <v>45329</v>
      </c>
      <c r="C5976" s="18">
        <f t="shared" si="93"/>
        <v>2</v>
      </c>
      <c r="D5976" t="s">
        <v>196</v>
      </c>
      <c r="E5976">
        <v>4872210</v>
      </c>
      <c r="F5976" t="s">
        <v>8</v>
      </c>
      <c r="G5976" t="s">
        <v>203</v>
      </c>
      <c r="H5976" t="s">
        <v>225</v>
      </c>
      <c r="I5976" s="4">
        <v>100638.28079999999</v>
      </c>
      <c r="J5976" s="4">
        <v>1006382.808</v>
      </c>
      <c r="K5976" s="4">
        <v>-45230.688000000002</v>
      </c>
      <c r="L5976" s="4">
        <v>10</v>
      </c>
    </row>
    <row r="5977" spans="1:12">
      <c r="A5977" t="s">
        <v>264</v>
      </c>
      <c r="B5977" s="10">
        <v>45329</v>
      </c>
      <c r="C5977" s="18">
        <f t="shared" si="93"/>
        <v>2</v>
      </c>
      <c r="D5977" t="s">
        <v>196</v>
      </c>
      <c r="E5977">
        <v>4872210</v>
      </c>
      <c r="F5977" t="s">
        <v>8</v>
      </c>
      <c r="G5977" t="s">
        <v>203</v>
      </c>
      <c r="H5977" t="s">
        <v>222</v>
      </c>
      <c r="I5977" s="4">
        <v>100638.28079999999</v>
      </c>
      <c r="J5977" s="4">
        <v>2012765.6159999999</v>
      </c>
      <c r="K5977" s="4">
        <v>-90461.376000000004</v>
      </c>
      <c r="L5977" s="4">
        <v>20</v>
      </c>
    </row>
    <row r="5978" spans="1:12">
      <c r="A5978" t="s">
        <v>264</v>
      </c>
      <c r="B5978" s="10">
        <v>45329</v>
      </c>
      <c r="C5978" s="18">
        <f t="shared" si="93"/>
        <v>2</v>
      </c>
      <c r="D5978" t="s">
        <v>196</v>
      </c>
      <c r="E5978">
        <v>4872210</v>
      </c>
      <c r="F5978" t="s">
        <v>8</v>
      </c>
      <c r="G5978" t="s">
        <v>205</v>
      </c>
      <c r="H5978" t="s">
        <v>210</v>
      </c>
      <c r="I5978" s="4">
        <v>7538.4479999999994</v>
      </c>
      <c r="J5978" s="4">
        <v>753844.79999999993</v>
      </c>
      <c r="K5978" s="4">
        <v>-37692.239999999998</v>
      </c>
      <c r="L5978" s="4">
        <v>100</v>
      </c>
    </row>
    <row r="5979" spans="1:12">
      <c r="A5979" t="s">
        <v>264</v>
      </c>
      <c r="B5979" s="10">
        <v>45329</v>
      </c>
      <c r="C5979" s="18">
        <f t="shared" si="93"/>
        <v>2</v>
      </c>
      <c r="D5979" t="s">
        <v>196</v>
      </c>
      <c r="E5979">
        <v>4872210</v>
      </c>
      <c r="F5979" t="s">
        <v>8</v>
      </c>
      <c r="G5979" t="s">
        <v>205</v>
      </c>
      <c r="H5979" t="s">
        <v>211</v>
      </c>
      <c r="I5979" s="4">
        <v>5151.2727999999997</v>
      </c>
      <c r="J5979" s="4">
        <v>1030254.5599999999</v>
      </c>
      <c r="K5979" s="4">
        <v>-50256.32</v>
      </c>
      <c r="L5979" s="4">
        <v>200</v>
      </c>
    </row>
    <row r="5980" spans="1:12">
      <c r="A5980" t="s">
        <v>264</v>
      </c>
      <c r="B5980" s="10">
        <v>45329</v>
      </c>
      <c r="C5980" s="18">
        <f t="shared" si="93"/>
        <v>2</v>
      </c>
      <c r="D5980" t="s">
        <v>196</v>
      </c>
      <c r="E5980">
        <v>4872205</v>
      </c>
      <c r="F5980" t="s">
        <v>8</v>
      </c>
      <c r="G5980" t="s">
        <v>203</v>
      </c>
      <c r="H5980" t="s">
        <v>242</v>
      </c>
      <c r="I5980" s="4">
        <v>100638.28079999999</v>
      </c>
      <c r="J5980" s="4">
        <v>2012765.6159999999</v>
      </c>
      <c r="K5980" s="4">
        <v>-90461.376000000004</v>
      </c>
      <c r="L5980" s="4">
        <v>20</v>
      </c>
    </row>
    <row r="5981" spans="1:12">
      <c r="A5981" t="s">
        <v>264</v>
      </c>
      <c r="B5981" s="10">
        <v>45329</v>
      </c>
      <c r="C5981" s="18">
        <f t="shared" si="93"/>
        <v>2</v>
      </c>
      <c r="D5981" t="s">
        <v>196</v>
      </c>
      <c r="E5981">
        <v>4872205</v>
      </c>
      <c r="F5981" t="s">
        <v>8</v>
      </c>
      <c r="G5981" t="s">
        <v>203</v>
      </c>
      <c r="H5981" t="s">
        <v>234</v>
      </c>
      <c r="I5981" s="4">
        <v>100638.28079999999</v>
      </c>
      <c r="J5981" s="4">
        <v>2012765.6159999999</v>
      </c>
      <c r="K5981" s="4">
        <v>-90461.376000000004</v>
      </c>
      <c r="L5981" s="4">
        <v>20</v>
      </c>
    </row>
    <row r="5982" spans="1:12">
      <c r="A5982" t="s">
        <v>264</v>
      </c>
      <c r="B5982" s="10">
        <v>45329</v>
      </c>
      <c r="C5982" s="18">
        <f t="shared" si="93"/>
        <v>2</v>
      </c>
      <c r="D5982" t="s">
        <v>196</v>
      </c>
      <c r="E5982">
        <v>4872205</v>
      </c>
      <c r="F5982" t="s">
        <v>8</v>
      </c>
      <c r="G5982" t="s">
        <v>203</v>
      </c>
      <c r="H5982" t="s">
        <v>232</v>
      </c>
      <c r="I5982" s="4">
        <v>100638.28079999999</v>
      </c>
      <c r="J5982" s="4">
        <v>2012765.6159999999</v>
      </c>
      <c r="K5982" s="4">
        <v>-90461.376000000004</v>
      </c>
      <c r="L5982" s="4">
        <v>20</v>
      </c>
    </row>
    <row r="5983" spans="1:12">
      <c r="A5983" t="s">
        <v>264</v>
      </c>
      <c r="B5983" s="10">
        <v>45329</v>
      </c>
      <c r="C5983" s="18">
        <f t="shared" si="93"/>
        <v>2</v>
      </c>
      <c r="D5983" t="s">
        <v>196</v>
      </c>
      <c r="E5983">
        <v>4872205</v>
      </c>
      <c r="F5983" t="s">
        <v>8</v>
      </c>
      <c r="G5983" t="s">
        <v>203</v>
      </c>
      <c r="H5983" t="s">
        <v>224</v>
      </c>
      <c r="I5983" s="4">
        <v>100638.28079999999</v>
      </c>
      <c r="J5983" s="4">
        <v>2012765.6159999999</v>
      </c>
      <c r="K5983" s="4">
        <v>-90461.376000000004</v>
      </c>
      <c r="L5983" s="4">
        <v>20</v>
      </c>
    </row>
    <row r="5984" spans="1:12">
      <c r="A5984" t="s">
        <v>264</v>
      </c>
      <c r="B5984" s="10">
        <v>45329</v>
      </c>
      <c r="C5984" s="18">
        <f t="shared" si="93"/>
        <v>2</v>
      </c>
      <c r="D5984" t="s">
        <v>196</v>
      </c>
      <c r="E5984">
        <v>4872205</v>
      </c>
      <c r="F5984" t="s">
        <v>8</v>
      </c>
      <c r="G5984" t="s">
        <v>203</v>
      </c>
      <c r="H5984" t="s">
        <v>223</v>
      </c>
      <c r="I5984" s="4">
        <v>100638.28079999999</v>
      </c>
      <c r="J5984" s="4">
        <v>2012765.6159999999</v>
      </c>
      <c r="K5984" s="4">
        <v>-90461.376000000004</v>
      </c>
      <c r="L5984" s="4">
        <v>20</v>
      </c>
    </row>
    <row r="5985" spans="1:12">
      <c r="A5985" t="s">
        <v>264</v>
      </c>
      <c r="B5985" s="10">
        <v>45329</v>
      </c>
      <c r="C5985" s="18">
        <f t="shared" si="93"/>
        <v>2</v>
      </c>
      <c r="D5985" t="s">
        <v>196</v>
      </c>
      <c r="E5985">
        <v>4872205</v>
      </c>
      <c r="F5985" t="s">
        <v>8</v>
      </c>
      <c r="G5985" t="s">
        <v>203</v>
      </c>
      <c r="H5985" t="s">
        <v>241</v>
      </c>
      <c r="I5985" s="4">
        <v>125766.4408</v>
      </c>
      <c r="J5985" s="4">
        <v>1257664.4080000001</v>
      </c>
      <c r="K5985" s="4">
        <v>-58422.972000000002</v>
      </c>
      <c r="L5985" s="4">
        <v>10</v>
      </c>
    </row>
    <row r="5986" spans="1:12">
      <c r="A5986" t="s">
        <v>264</v>
      </c>
      <c r="B5986" s="10">
        <v>45329</v>
      </c>
      <c r="C5986" s="18">
        <f t="shared" si="93"/>
        <v>2</v>
      </c>
      <c r="D5986" t="s">
        <v>196</v>
      </c>
      <c r="E5986">
        <v>4872205</v>
      </c>
      <c r="F5986" t="s">
        <v>8</v>
      </c>
      <c r="G5986" t="s">
        <v>203</v>
      </c>
      <c r="H5986" t="s">
        <v>233</v>
      </c>
      <c r="I5986" s="4">
        <v>120735.78316800001</v>
      </c>
      <c r="J5986" s="4">
        <v>1207357.8316800001</v>
      </c>
      <c r="K5986" s="4">
        <v>-58422.972000000002</v>
      </c>
      <c r="L5986" s="4">
        <v>10</v>
      </c>
    </row>
    <row r="5987" spans="1:12">
      <c r="A5987" t="s">
        <v>264</v>
      </c>
      <c r="B5987" s="10">
        <v>45329</v>
      </c>
      <c r="C5987" s="18">
        <f t="shared" si="93"/>
        <v>2</v>
      </c>
      <c r="D5987" t="s">
        <v>196</v>
      </c>
      <c r="E5987">
        <v>4872205</v>
      </c>
      <c r="F5987" t="s">
        <v>8</v>
      </c>
      <c r="G5987" t="s">
        <v>203</v>
      </c>
      <c r="H5987" t="s">
        <v>229</v>
      </c>
      <c r="I5987" s="4">
        <v>125766.4408</v>
      </c>
      <c r="J5987" s="4">
        <v>1257664.4080000001</v>
      </c>
      <c r="K5987" s="4">
        <v>-58422.972000000002</v>
      </c>
      <c r="L5987" s="4">
        <v>10</v>
      </c>
    </row>
    <row r="5988" spans="1:12">
      <c r="A5988" t="s">
        <v>264</v>
      </c>
      <c r="B5988" s="10">
        <v>45330</v>
      </c>
      <c r="C5988" s="18">
        <f t="shared" si="93"/>
        <v>2</v>
      </c>
      <c r="D5988" t="s">
        <v>196</v>
      </c>
      <c r="E5988">
        <v>4871600</v>
      </c>
      <c r="F5988" t="s">
        <v>8</v>
      </c>
      <c r="G5988" t="s">
        <v>203</v>
      </c>
      <c r="H5988" t="s">
        <v>242</v>
      </c>
      <c r="I5988" s="4">
        <v>100638.28079999999</v>
      </c>
      <c r="J5988" s="4">
        <v>603829.68479999993</v>
      </c>
      <c r="K5988" s="4">
        <v>-27138.412800000002</v>
      </c>
      <c r="L5988" s="4">
        <v>6</v>
      </c>
    </row>
    <row r="5989" spans="1:12">
      <c r="A5989" t="s">
        <v>264</v>
      </c>
      <c r="B5989" s="10">
        <v>45330</v>
      </c>
      <c r="C5989" s="18">
        <f t="shared" si="93"/>
        <v>2</v>
      </c>
      <c r="D5989" t="s">
        <v>196</v>
      </c>
      <c r="E5989">
        <v>4871600</v>
      </c>
      <c r="F5989" t="s">
        <v>8</v>
      </c>
      <c r="G5989" t="s">
        <v>203</v>
      </c>
      <c r="H5989" t="s">
        <v>240</v>
      </c>
      <c r="I5989" s="4">
        <v>100638.28079999999</v>
      </c>
      <c r="J5989" s="4">
        <v>603829.68479999993</v>
      </c>
      <c r="K5989" s="4">
        <v>-27138.412800000002</v>
      </c>
      <c r="L5989" s="4">
        <v>6</v>
      </c>
    </row>
    <row r="5990" spans="1:12">
      <c r="A5990" t="s">
        <v>264</v>
      </c>
      <c r="B5990" s="10">
        <v>45330</v>
      </c>
      <c r="C5990" s="18">
        <f t="shared" si="93"/>
        <v>2</v>
      </c>
      <c r="D5990" t="s">
        <v>196</v>
      </c>
      <c r="E5990">
        <v>4871600</v>
      </c>
      <c r="F5990" t="s">
        <v>8</v>
      </c>
      <c r="G5990" t="s">
        <v>203</v>
      </c>
      <c r="H5990" t="s">
        <v>232</v>
      </c>
      <c r="I5990" s="4">
        <v>100638.28079999999</v>
      </c>
      <c r="J5990" s="4">
        <v>603829.68479999993</v>
      </c>
      <c r="K5990" s="4">
        <v>-27138.412800000002</v>
      </c>
      <c r="L5990" s="4">
        <v>6</v>
      </c>
    </row>
    <row r="5991" spans="1:12">
      <c r="A5991" t="s">
        <v>264</v>
      </c>
      <c r="B5991" s="10">
        <v>45330</v>
      </c>
      <c r="C5991" s="18">
        <f t="shared" si="93"/>
        <v>2</v>
      </c>
      <c r="D5991" t="s">
        <v>196</v>
      </c>
      <c r="E5991">
        <v>4871600</v>
      </c>
      <c r="F5991" t="s">
        <v>8</v>
      </c>
      <c r="G5991" t="s">
        <v>203</v>
      </c>
      <c r="H5991" t="s">
        <v>227</v>
      </c>
      <c r="I5991" s="4">
        <v>100638.28079999999</v>
      </c>
      <c r="J5991" s="4">
        <v>603829.68479999993</v>
      </c>
      <c r="K5991" s="4">
        <v>-27138.412800000002</v>
      </c>
      <c r="L5991" s="4">
        <v>6</v>
      </c>
    </row>
    <row r="5992" spans="1:12">
      <c r="A5992" t="s">
        <v>264</v>
      </c>
      <c r="B5992" s="10">
        <v>45330</v>
      </c>
      <c r="C5992" s="18">
        <f t="shared" si="93"/>
        <v>2</v>
      </c>
      <c r="D5992" t="s">
        <v>196</v>
      </c>
      <c r="E5992">
        <v>4871600</v>
      </c>
      <c r="F5992" t="s">
        <v>8</v>
      </c>
      <c r="G5992" t="s">
        <v>203</v>
      </c>
      <c r="H5992" t="s">
        <v>223</v>
      </c>
      <c r="I5992" s="4">
        <v>100638.28079999999</v>
      </c>
      <c r="J5992" s="4">
        <v>603829.68479999993</v>
      </c>
      <c r="K5992" s="4">
        <v>-27138.412800000002</v>
      </c>
      <c r="L5992" s="4">
        <v>6</v>
      </c>
    </row>
    <row r="5993" spans="1:12">
      <c r="A5993" t="s">
        <v>264</v>
      </c>
      <c r="B5993" s="10">
        <v>45330</v>
      </c>
      <c r="C5993" s="18">
        <f t="shared" si="93"/>
        <v>2</v>
      </c>
      <c r="D5993" t="s">
        <v>196</v>
      </c>
      <c r="E5993">
        <v>4874006</v>
      </c>
      <c r="F5993" t="s">
        <v>8</v>
      </c>
      <c r="G5993" t="s">
        <v>203</v>
      </c>
      <c r="H5993" t="s">
        <v>244</v>
      </c>
      <c r="I5993" s="4">
        <v>125766.4408</v>
      </c>
      <c r="J5993" s="4">
        <v>1509197.2896</v>
      </c>
      <c r="K5993" s="4">
        <v>-70107.566399999996</v>
      </c>
      <c r="L5993" s="4">
        <v>12</v>
      </c>
    </row>
    <row r="5994" spans="1:12">
      <c r="A5994" t="s">
        <v>264</v>
      </c>
      <c r="B5994" s="10">
        <v>45330</v>
      </c>
      <c r="C5994" s="18">
        <f t="shared" si="93"/>
        <v>2</v>
      </c>
      <c r="D5994" t="s">
        <v>196</v>
      </c>
      <c r="E5994">
        <v>4874006</v>
      </c>
      <c r="F5994" t="s">
        <v>8</v>
      </c>
      <c r="G5994" t="s">
        <v>203</v>
      </c>
      <c r="H5994" t="s">
        <v>241</v>
      </c>
      <c r="I5994" s="4">
        <v>125766.4408</v>
      </c>
      <c r="J5994" s="4">
        <v>1509197.2896</v>
      </c>
      <c r="K5994" s="4">
        <v>-70107.566399999996</v>
      </c>
      <c r="L5994" s="4">
        <v>12</v>
      </c>
    </row>
    <row r="5995" spans="1:12">
      <c r="A5995" t="s">
        <v>264</v>
      </c>
      <c r="B5995" s="10">
        <v>45330</v>
      </c>
      <c r="C5995" s="18">
        <f t="shared" si="93"/>
        <v>2</v>
      </c>
      <c r="D5995" t="s">
        <v>196</v>
      </c>
      <c r="E5995">
        <v>4872571</v>
      </c>
      <c r="F5995" t="s">
        <v>8</v>
      </c>
      <c r="G5995" t="s">
        <v>202</v>
      </c>
      <c r="H5995" t="s">
        <v>261</v>
      </c>
      <c r="I5995" s="4">
        <v>41587.104800000001</v>
      </c>
      <c r="J5995" s="4">
        <v>2079355.24</v>
      </c>
      <c r="K5995" s="4">
        <v>-103653.66</v>
      </c>
      <c r="L5995" s="4">
        <v>50</v>
      </c>
    </row>
    <row r="5996" spans="1:12">
      <c r="A5996" t="s">
        <v>264</v>
      </c>
      <c r="B5996" s="10">
        <v>45330</v>
      </c>
      <c r="C5996" s="18">
        <f t="shared" si="93"/>
        <v>2</v>
      </c>
      <c r="D5996" t="s">
        <v>196</v>
      </c>
      <c r="E5996">
        <v>4872571</v>
      </c>
      <c r="F5996" t="s">
        <v>8</v>
      </c>
      <c r="G5996" t="s">
        <v>202</v>
      </c>
      <c r="H5996" t="s">
        <v>257</v>
      </c>
      <c r="I5996" s="4">
        <v>56664.000799999994</v>
      </c>
      <c r="J5996" s="4">
        <v>2833200.0399999996</v>
      </c>
      <c r="K5996" s="4">
        <v>-141345.9</v>
      </c>
      <c r="L5996" s="4">
        <v>50</v>
      </c>
    </row>
    <row r="5997" spans="1:12">
      <c r="A5997" t="s">
        <v>264</v>
      </c>
      <c r="B5997" s="10">
        <v>45330</v>
      </c>
      <c r="C5997" s="18">
        <f t="shared" si="93"/>
        <v>2</v>
      </c>
      <c r="D5997" t="s">
        <v>196</v>
      </c>
      <c r="E5997">
        <v>4872571</v>
      </c>
      <c r="F5997" t="s">
        <v>8</v>
      </c>
      <c r="G5997" t="s">
        <v>202</v>
      </c>
      <c r="H5997" t="s">
        <v>254</v>
      </c>
      <c r="I5997" s="4">
        <v>37817.880799999999</v>
      </c>
      <c r="J5997" s="4">
        <v>1890894.04</v>
      </c>
      <c r="K5997" s="4">
        <v>-94230.6</v>
      </c>
      <c r="L5997" s="4">
        <v>50</v>
      </c>
    </row>
    <row r="5998" spans="1:12">
      <c r="A5998" t="s">
        <v>264</v>
      </c>
      <c r="B5998" s="10">
        <v>45330</v>
      </c>
      <c r="C5998" s="18">
        <f t="shared" si="93"/>
        <v>2</v>
      </c>
      <c r="D5998" t="s">
        <v>196</v>
      </c>
      <c r="E5998">
        <v>4876950</v>
      </c>
      <c r="F5998" t="s">
        <v>8</v>
      </c>
      <c r="G5998" t="s">
        <v>202</v>
      </c>
      <c r="H5998" t="s">
        <v>261</v>
      </c>
      <c r="I5998" s="4">
        <v>41587.104800000001</v>
      </c>
      <c r="J5998" s="4">
        <v>166348.4192</v>
      </c>
      <c r="K5998" s="4">
        <v>-8292.2928000000011</v>
      </c>
      <c r="L5998" s="4">
        <v>4</v>
      </c>
    </row>
    <row r="5999" spans="1:12">
      <c r="A5999" t="s">
        <v>264</v>
      </c>
      <c r="B5999" s="10">
        <v>45330</v>
      </c>
      <c r="C5999" s="18">
        <f t="shared" si="93"/>
        <v>2</v>
      </c>
      <c r="D5999" t="s">
        <v>196</v>
      </c>
      <c r="E5999">
        <v>4876950</v>
      </c>
      <c r="F5999" t="s">
        <v>8</v>
      </c>
      <c r="G5999" t="s">
        <v>202</v>
      </c>
      <c r="H5999" t="s">
        <v>260</v>
      </c>
      <c r="I5999" s="4">
        <v>41587.104800000001</v>
      </c>
      <c r="J5999" s="4">
        <v>415871.04800000001</v>
      </c>
      <c r="K5999" s="4">
        <v>-20730.732</v>
      </c>
      <c r="L5999" s="4">
        <v>10</v>
      </c>
    </row>
    <row r="6000" spans="1:12">
      <c r="A6000" t="s">
        <v>264</v>
      </c>
      <c r="B6000" s="10">
        <v>45330</v>
      </c>
      <c r="C6000" s="18">
        <f t="shared" si="93"/>
        <v>2</v>
      </c>
      <c r="D6000" t="s">
        <v>196</v>
      </c>
      <c r="E6000">
        <v>4878825</v>
      </c>
      <c r="F6000" t="s">
        <v>8</v>
      </c>
      <c r="G6000" t="s">
        <v>202</v>
      </c>
      <c r="H6000" t="s">
        <v>261</v>
      </c>
      <c r="I6000" s="4">
        <v>41587.104800000001</v>
      </c>
      <c r="J6000" s="4">
        <v>41587.104800000001</v>
      </c>
      <c r="K6000" s="4">
        <v>-2073.0732000000003</v>
      </c>
      <c r="L6000" s="4">
        <v>1</v>
      </c>
    </row>
    <row r="6001" spans="1:12">
      <c r="A6001" t="s">
        <v>264</v>
      </c>
      <c r="B6001" s="10">
        <v>45330</v>
      </c>
      <c r="C6001" s="18">
        <f t="shared" si="93"/>
        <v>2</v>
      </c>
      <c r="D6001" t="s">
        <v>196</v>
      </c>
      <c r="E6001">
        <v>4871657</v>
      </c>
      <c r="F6001" t="s">
        <v>8</v>
      </c>
      <c r="G6001" t="s">
        <v>203</v>
      </c>
      <c r="H6001" t="s">
        <v>243</v>
      </c>
      <c r="I6001" s="4">
        <v>100638.28079999999</v>
      </c>
      <c r="J6001" s="4">
        <v>603829.68479999993</v>
      </c>
      <c r="K6001" s="4">
        <v>-27138.412800000002</v>
      </c>
      <c r="L6001" s="4">
        <v>6</v>
      </c>
    </row>
    <row r="6002" spans="1:12">
      <c r="A6002" t="s">
        <v>264</v>
      </c>
      <c r="B6002" s="10">
        <v>45330</v>
      </c>
      <c r="C6002" s="18">
        <f t="shared" si="93"/>
        <v>2</v>
      </c>
      <c r="D6002" t="s">
        <v>196</v>
      </c>
      <c r="E6002">
        <v>4871657</v>
      </c>
      <c r="F6002" t="s">
        <v>8</v>
      </c>
      <c r="G6002" t="s">
        <v>203</v>
      </c>
      <c r="H6002" t="s">
        <v>240</v>
      </c>
      <c r="I6002" s="4">
        <v>100638.28079999999</v>
      </c>
      <c r="J6002" s="4">
        <v>603829.68479999993</v>
      </c>
      <c r="K6002" s="4">
        <v>-27138.412800000002</v>
      </c>
      <c r="L6002" s="4">
        <v>6</v>
      </c>
    </row>
    <row r="6003" spans="1:12">
      <c r="A6003" t="s">
        <v>264</v>
      </c>
      <c r="B6003" s="10">
        <v>45330</v>
      </c>
      <c r="C6003" s="18">
        <f t="shared" si="93"/>
        <v>2</v>
      </c>
      <c r="D6003" t="s">
        <v>196</v>
      </c>
      <c r="E6003">
        <v>4871657</v>
      </c>
      <c r="F6003" t="s">
        <v>8</v>
      </c>
      <c r="G6003" t="s">
        <v>203</v>
      </c>
      <c r="H6003" t="s">
        <v>238</v>
      </c>
      <c r="I6003" s="4">
        <v>95606.36675999999</v>
      </c>
      <c r="J6003" s="4">
        <v>573638.20055999991</v>
      </c>
      <c r="K6003" s="4">
        <v>-27138.412800000002</v>
      </c>
      <c r="L6003" s="4">
        <v>6</v>
      </c>
    </row>
    <row r="6004" spans="1:12">
      <c r="A6004" t="s">
        <v>264</v>
      </c>
      <c r="B6004" s="10">
        <v>45330</v>
      </c>
      <c r="C6004" s="18">
        <f t="shared" si="93"/>
        <v>2</v>
      </c>
      <c r="D6004" t="s">
        <v>196</v>
      </c>
      <c r="E6004">
        <v>4878658</v>
      </c>
      <c r="F6004" t="s">
        <v>8</v>
      </c>
      <c r="G6004" t="s">
        <v>203</v>
      </c>
      <c r="H6004" t="s">
        <v>245</v>
      </c>
      <c r="I6004" s="4">
        <v>100638.28079999999</v>
      </c>
      <c r="J6004" s="4">
        <v>201276.56159999999</v>
      </c>
      <c r="K6004" s="4">
        <v>-9046.1376</v>
      </c>
      <c r="L6004" s="4">
        <v>2</v>
      </c>
    </row>
    <row r="6005" spans="1:12">
      <c r="A6005" t="s">
        <v>264</v>
      </c>
      <c r="B6005" s="10">
        <v>45330</v>
      </c>
      <c r="C6005" s="18">
        <f t="shared" si="93"/>
        <v>2</v>
      </c>
      <c r="D6005" t="s">
        <v>196</v>
      </c>
      <c r="E6005">
        <v>4878658</v>
      </c>
      <c r="F6005" t="s">
        <v>8</v>
      </c>
      <c r="G6005" t="s">
        <v>203</v>
      </c>
      <c r="H6005" t="s">
        <v>243</v>
      </c>
      <c r="I6005" s="4">
        <v>100638.28079999999</v>
      </c>
      <c r="J6005" s="4">
        <v>201276.56159999999</v>
      </c>
      <c r="K6005" s="4">
        <v>-9046.1376</v>
      </c>
      <c r="L6005" s="4">
        <v>2</v>
      </c>
    </row>
    <row r="6006" spans="1:12">
      <c r="A6006" t="s">
        <v>264</v>
      </c>
      <c r="B6006" s="10">
        <v>45330</v>
      </c>
      <c r="C6006" s="18">
        <f t="shared" si="93"/>
        <v>2</v>
      </c>
      <c r="D6006" t="s">
        <v>196</v>
      </c>
      <c r="E6006">
        <v>4878658</v>
      </c>
      <c r="F6006" t="s">
        <v>8</v>
      </c>
      <c r="G6006" t="s">
        <v>203</v>
      </c>
      <c r="H6006" t="s">
        <v>242</v>
      </c>
      <c r="I6006" s="4">
        <v>100638.28079999999</v>
      </c>
      <c r="J6006" s="4">
        <v>201276.56159999999</v>
      </c>
      <c r="K6006" s="4">
        <v>-9046.1376</v>
      </c>
      <c r="L6006" s="4">
        <v>2</v>
      </c>
    </row>
    <row r="6007" spans="1:12">
      <c r="A6007" t="s">
        <v>264</v>
      </c>
      <c r="B6007" s="10">
        <v>45330</v>
      </c>
      <c r="C6007" s="18">
        <f t="shared" si="93"/>
        <v>2</v>
      </c>
      <c r="D6007" t="s">
        <v>196</v>
      </c>
      <c r="E6007">
        <v>4878658</v>
      </c>
      <c r="F6007" t="s">
        <v>8</v>
      </c>
      <c r="G6007" t="s">
        <v>203</v>
      </c>
      <c r="H6007" t="s">
        <v>240</v>
      </c>
      <c r="I6007" s="4">
        <v>100638.28079999999</v>
      </c>
      <c r="J6007" s="4">
        <v>201276.56159999999</v>
      </c>
      <c r="K6007" s="4">
        <v>-9046.1376</v>
      </c>
      <c r="L6007" s="4">
        <v>2</v>
      </c>
    </row>
    <row r="6008" spans="1:12">
      <c r="A6008" t="s">
        <v>264</v>
      </c>
      <c r="B6008" s="10">
        <v>45330</v>
      </c>
      <c r="C6008" s="18">
        <f t="shared" si="93"/>
        <v>2</v>
      </c>
      <c r="D6008" t="s">
        <v>196</v>
      </c>
      <c r="E6008">
        <v>4878658</v>
      </c>
      <c r="F6008" t="s">
        <v>8</v>
      </c>
      <c r="G6008" t="s">
        <v>203</v>
      </c>
      <c r="H6008" t="s">
        <v>238</v>
      </c>
      <c r="I6008" s="4">
        <v>95606.36675999999</v>
      </c>
      <c r="J6008" s="4">
        <v>191212.73351999998</v>
      </c>
      <c r="K6008" s="4">
        <v>-9046.1376</v>
      </c>
      <c r="L6008" s="4">
        <v>2</v>
      </c>
    </row>
    <row r="6009" spans="1:12">
      <c r="A6009" t="s">
        <v>264</v>
      </c>
      <c r="B6009" s="10">
        <v>45330</v>
      </c>
      <c r="C6009" s="18">
        <f t="shared" si="93"/>
        <v>2</v>
      </c>
      <c r="D6009" t="s">
        <v>196</v>
      </c>
      <c r="E6009">
        <v>4878658</v>
      </c>
      <c r="F6009" t="s">
        <v>8</v>
      </c>
      <c r="G6009" t="s">
        <v>203</v>
      </c>
      <c r="H6009" t="s">
        <v>236</v>
      </c>
      <c r="I6009" s="4">
        <v>100638.28079999999</v>
      </c>
      <c r="J6009" s="4">
        <v>201276.56159999999</v>
      </c>
      <c r="K6009" s="4">
        <v>-9046.1376</v>
      </c>
      <c r="L6009" s="4">
        <v>2</v>
      </c>
    </row>
    <row r="6010" spans="1:12">
      <c r="A6010" t="s">
        <v>264</v>
      </c>
      <c r="B6010" s="10">
        <v>45330</v>
      </c>
      <c r="C6010" s="18">
        <f t="shared" si="93"/>
        <v>2</v>
      </c>
      <c r="D6010" t="s">
        <v>196</v>
      </c>
      <c r="E6010">
        <v>4878658</v>
      </c>
      <c r="F6010" t="s">
        <v>8</v>
      </c>
      <c r="G6010" t="s">
        <v>203</v>
      </c>
      <c r="H6010" t="s">
        <v>234</v>
      </c>
      <c r="I6010" s="4">
        <v>100638.28079999999</v>
      </c>
      <c r="J6010" s="4">
        <v>201276.56159999999</v>
      </c>
      <c r="K6010" s="4">
        <v>-9046.1376</v>
      </c>
      <c r="L6010" s="4">
        <v>2</v>
      </c>
    </row>
    <row r="6011" spans="1:12">
      <c r="A6011" t="s">
        <v>264</v>
      </c>
      <c r="B6011" s="10">
        <v>45330</v>
      </c>
      <c r="C6011" s="18">
        <f t="shared" si="93"/>
        <v>2</v>
      </c>
      <c r="D6011" t="s">
        <v>196</v>
      </c>
      <c r="E6011">
        <v>4878658</v>
      </c>
      <c r="F6011" t="s">
        <v>8</v>
      </c>
      <c r="G6011" t="s">
        <v>203</v>
      </c>
      <c r="H6011" t="s">
        <v>232</v>
      </c>
      <c r="I6011" s="4">
        <v>100638.28079999999</v>
      </c>
      <c r="J6011" s="4">
        <v>201276.56159999999</v>
      </c>
      <c r="K6011" s="4">
        <v>-9046.1376</v>
      </c>
      <c r="L6011" s="4">
        <v>2</v>
      </c>
    </row>
    <row r="6012" spans="1:12">
      <c r="A6012" t="s">
        <v>264</v>
      </c>
      <c r="B6012" s="10">
        <v>45330</v>
      </c>
      <c r="C6012" s="18">
        <f t="shared" si="93"/>
        <v>2</v>
      </c>
      <c r="D6012" t="s">
        <v>196</v>
      </c>
      <c r="E6012">
        <v>4878658</v>
      </c>
      <c r="F6012" t="s">
        <v>8</v>
      </c>
      <c r="G6012" t="s">
        <v>203</v>
      </c>
      <c r="H6012" t="s">
        <v>227</v>
      </c>
      <c r="I6012" s="4">
        <v>100638.28079999999</v>
      </c>
      <c r="J6012" s="4">
        <v>201276.56159999999</v>
      </c>
      <c r="K6012" s="4">
        <v>-9046.1376</v>
      </c>
      <c r="L6012" s="4">
        <v>2</v>
      </c>
    </row>
    <row r="6013" spans="1:12">
      <c r="A6013" t="s">
        <v>264</v>
      </c>
      <c r="B6013" s="10">
        <v>45330</v>
      </c>
      <c r="C6013" s="18">
        <f t="shared" si="93"/>
        <v>2</v>
      </c>
      <c r="D6013" t="s">
        <v>196</v>
      </c>
      <c r="E6013">
        <v>4878658</v>
      </c>
      <c r="F6013" t="s">
        <v>8</v>
      </c>
      <c r="G6013" t="s">
        <v>203</v>
      </c>
      <c r="H6013" t="s">
        <v>224</v>
      </c>
      <c r="I6013" s="4">
        <v>100638.28079999999</v>
      </c>
      <c r="J6013" s="4">
        <v>201276.56159999999</v>
      </c>
      <c r="K6013" s="4">
        <v>-9046.1376</v>
      </c>
      <c r="L6013" s="4">
        <v>2</v>
      </c>
    </row>
    <row r="6014" spans="1:12">
      <c r="A6014" t="s">
        <v>264</v>
      </c>
      <c r="B6014" s="10">
        <v>45330</v>
      </c>
      <c r="C6014" s="18">
        <f t="shared" si="93"/>
        <v>2</v>
      </c>
      <c r="D6014" t="s">
        <v>196</v>
      </c>
      <c r="E6014">
        <v>4878658</v>
      </c>
      <c r="F6014" t="s">
        <v>8</v>
      </c>
      <c r="G6014" t="s">
        <v>203</v>
      </c>
      <c r="H6014" t="s">
        <v>244</v>
      </c>
      <c r="I6014" s="4">
        <v>125766.4408</v>
      </c>
      <c r="J6014" s="4">
        <v>503065.76319999999</v>
      </c>
      <c r="K6014" s="4">
        <v>-23369.1888</v>
      </c>
      <c r="L6014" s="4">
        <v>4</v>
      </c>
    </row>
    <row r="6015" spans="1:12">
      <c r="A6015" t="s">
        <v>264</v>
      </c>
      <c r="B6015" s="10">
        <v>45330</v>
      </c>
      <c r="C6015" s="18">
        <f t="shared" si="93"/>
        <v>2</v>
      </c>
      <c r="D6015" t="s">
        <v>196</v>
      </c>
      <c r="E6015">
        <v>4878658</v>
      </c>
      <c r="F6015" t="s">
        <v>8</v>
      </c>
      <c r="G6015" t="s">
        <v>203</v>
      </c>
      <c r="H6015" t="s">
        <v>241</v>
      </c>
      <c r="I6015" s="4">
        <v>125766.4408</v>
      </c>
      <c r="J6015" s="4">
        <v>503065.76319999999</v>
      </c>
      <c r="K6015" s="4">
        <v>-23369.1888</v>
      </c>
      <c r="L6015" s="4">
        <v>4</v>
      </c>
    </row>
    <row r="6016" spans="1:12">
      <c r="A6016" t="s">
        <v>264</v>
      </c>
      <c r="B6016" s="10">
        <v>45330</v>
      </c>
      <c r="C6016" s="18">
        <f t="shared" si="93"/>
        <v>2</v>
      </c>
      <c r="D6016" t="s">
        <v>196</v>
      </c>
      <c r="E6016">
        <v>4878658</v>
      </c>
      <c r="F6016" t="s">
        <v>8</v>
      </c>
      <c r="G6016" t="s">
        <v>203</v>
      </c>
      <c r="H6016" t="s">
        <v>239</v>
      </c>
      <c r="I6016" s="4">
        <v>125766.4408</v>
      </c>
      <c r="J6016" s="4">
        <v>503065.76319999999</v>
      </c>
      <c r="K6016" s="4">
        <v>-23369.1888</v>
      </c>
      <c r="L6016" s="4">
        <v>4</v>
      </c>
    </row>
    <row r="6017" spans="1:12">
      <c r="A6017" t="s">
        <v>264</v>
      </c>
      <c r="B6017" s="10">
        <v>45330</v>
      </c>
      <c r="C6017" s="18">
        <f t="shared" si="93"/>
        <v>2</v>
      </c>
      <c r="D6017" t="s">
        <v>196</v>
      </c>
      <c r="E6017">
        <v>4878658</v>
      </c>
      <c r="F6017" t="s">
        <v>8</v>
      </c>
      <c r="G6017" t="s">
        <v>203</v>
      </c>
      <c r="H6017" t="s">
        <v>237</v>
      </c>
      <c r="I6017" s="4">
        <v>125766.4408</v>
      </c>
      <c r="J6017" s="4">
        <v>503065.76319999999</v>
      </c>
      <c r="K6017" s="4">
        <v>-23369.1888</v>
      </c>
      <c r="L6017" s="4">
        <v>4</v>
      </c>
    </row>
    <row r="6018" spans="1:12">
      <c r="A6018" t="s">
        <v>264</v>
      </c>
      <c r="B6018" s="10">
        <v>45330</v>
      </c>
      <c r="C6018" s="18">
        <f t="shared" ref="C6018:C6081" si="94">MONTH(B6018)</f>
        <v>2</v>
      </c>
      <c r="D6018" t="s">
        <v>196</v>
      </c>
      <c r="E6018">
        <v>4875440</v>
      </c>
      <c r="F6018" t="s">
        <v>8</v>
      </c>
      <c r="G6018" t="s">
        <v>203</v>
      </c>
      <c r="H6018" t="s">
        <v>235</v>
      </c>
      <c r="I6018" s="4">
        <v>125766.4408</v>
      </c>
      <c r="J6018" s="4">
        <v>125766.4408</v>
      </c>
      <c r="K6018" s="4">
        <v>-5842.2972</v>
      </c>
      <c r="L6018" s="4">
        <v>1</v>
      </c>
    </row>
    <row r="6019" spans="1:12">
      <c r="A6019" t="s">
        <v>264</v>
      </c>
      <c r="B6019" s="10">
        <v>45330</v>
      </c>
      <c r="C6019" s="18">
        <f t="shared" si="94"/>
        <v>2</v>
      </c>
      <c r="D6019" t="s">
        <v>196</v>
      </c>
      <c r="E6019">
        <v>4875440</v>
      </c>
      <c r="F6019" t="s">
        <v>8</v>
      </c>
      <c r="G6019" t="s">
        <v>203</v>
      </c>
      <c r="H6019" t="s">
        <v>233</v>
      </c>
      <c r="I6019" s="4">
        <v>120735.78316800001</v>
      </c>
      <c r="J6019" s="4">
        <v>120735.78316800001</v>
      </c>
      <c r="K6019" s="4">
        <v>-5842.2972</v>
      </c>
      <c r="L6019" s="4">
        <v>1</v>
      </c>
    </row>
    <row r="6020" spans="1:12">
      <c r="A6020" t="s">
        <v>264</v>
      </c>
      <c r="B6020" s="10">
        <v>45330</v>
      </c>
      <c r="C6020" s="18">
        <f t="shared" si="94"/>
        <v>2</v>
      </c>
      <c r="D6020" t="s">
        <v>196</v>
      </c>
      <c r="E6020">
        <v>4875440</v>
      </c>
      <c r="F6020" t="s">
        <v>8</v>
      </c>
      <c r="G6020" t="s">
        <v>203</v>
      </c>
      <c r="H6020" t="s">
        <v>231</v>
      </c>
      <c r="I6020" s="4">
        <v>125766.4408</v>
      </c>
      <c r="J6020" s="4">
        <v>125766.4408</v>
      </c>
      <c r="K6020" s="4">
        <v>-5842.2972</v>
      </c>
      <c r="L6020" s="4">
        <v>1</v>
      </c>
    </row>
    <row r="6021" spans="1:12">
      <c r="A6021" t="s">
        <v>264</v>
      </c>
      <c r="B6021" s="10">
        <v>45330</v>
      </c>
      <c r="C6021" s="18">
        <f t="shared" si="94"/>
        <v>2</v>
      </c>
      <c r="D6021" t="s">
        <v>196</v>
      </c>
      <c r="E6021">
        <v>4875440</v>
      </c>
      <c r="F6021" t="s">
        <v>8</v>
      </c>
      <c r="G6021" t="s">
        <v>203</v>
      </c>
      <c r="H6021" t="s">
        <v>229</v>
      </c>
      <c r="I6021" s="4">
        <v>125766.4408</v>
      </c>
      <c r="J6021" s="4">
        <v>125766.4408</v>
      </c>
      <c r="K6021" s="4">
        <v>-5842.2972</v>
      </c>
      <c r="L6021" s="4">
        <v>1</v>
      </c>
    </row>
    <row r="6022" spans="1:12">
      <c r="A6022" t="s">
        <v>264</v>
      </c>
      <c r="B6022" s="10">
        <v>45330</v>
      </c>
      <c r="C6022" s="18">
        <f t="shared" si="94"/>
        <v>2</v>
      </c>
      <c r="D6022" t="s">
        <v>196</v>
      </c>
      <c r="E6022">
        <v>4875440</v>
      </c>
      <c r="F6022" t="s">
        <v>8</v>
      </c>
      <c r="G6022" t="s">
        <v>204</v>
      </c>
      <c r="H6022" t="s">
        <v>218</v>
      </c>
      <c r="I6022" s="4">
        <v>71740.896800000002</v>
      </c>
      <c r="J6022" s="4">
        <v>3587044.8400000003</v>
      </c>
      <c r="K6022" s="4">
        <v>-179038.13999999998</v>
      </c>
      <c r="L6022" s="4">
        <v>50</v>
      </c>
    </row>
    <row r="6023" spans="1:12">
      <c r="A6023" t="s">
        <v>264</v>
      </c>
      <c r="B6023" s="10">
        <v>45331</v>
      </c>
      <c r="C6023" s="18">
        <f t="shared" si="94"/>
        <v>2</v>
      </c>
      <c r="D6023" t="s">
        <v>196</v>
      </c>
      <c r="E6023">
        <v>4872080</v>
      </c>
      <c r="F6023" t="s">
        <v>8</v>
      </c>
      <c r="G6023" t="s">
        <v>203</v>
      </c>
      <c r="H6023" t="s">
        <v>233</v>
      </c>
      <c r="I6023" s="4">
        <v>120735.78316800001</v>
      </c>
      <c r="J6023" s="4">
        <v>1207357.8316800001</v>
      </c>
      <c r="K6023" s="4">
        <v>-58422.972000000002</v>
      </c>
      <c r="L6023" s="4">
        <v>10</v>
      </c>
    </row>
    <row r="6024" spans="1:12">
      <c r="A6024" t="s">
        <v>264</v>
      </c>
      <c r="B6024" s="10">
        <v>45331</v>
      </c>
      <c r="C6024" s="18">
        <f t="shared" si="94"/>
        <v>2</v>
      </c>
      <c r="D6024" t="s">
        <v>196</v>
      </c>
      <c r="E6024">
        <v>4872080</v>
      </c>
      <c r="F6024" t="s">
        <v>8</v>
      </c>
      <c r="G6024" t="s">
        <v>203</v>
      </c>
      <c r="H6024" t="s">
        <v>229</v>
      </c>
      <c r="I6024" s="4">
        <v>125766.4408</v>
      </c>
      <c r="J6024" s="4">
        <v>1257664.4080000001</v>
      </c>
      <c r="K6024" s="4">
        <v>-58422.972000000002</v>
      </c>
      <c r="L6024" s="4">
        <v>10</v>
      </c>
    </row>
    <row r="6025" spans="1:12">
      <c r="A6025" t="s">
        <v>264</v>
      </c>
      <c r="B6025" s="10">
        <v>45331</v>
      </c>
      <c r="C6025" s="18">
        <f t="shared" si="94"/>
        <v>2</v>
      </c>
      <c r="D6025" t="s">
        <v>196</v>
      </c>
      <c r="E6025">
        <v>4872571</v>
      </c>
      <c r="F6025" t="s">
        <v>8</v>
      </c>
      <c r="G6025" t="s">
        <v>203</v>
      </c>
      <c r="H6025" t="s">
        <v>245</v>
      </c>
      <c r="I6025" s="4">
        <v>100638.28079999999</v>
      </c>
      <c r="J6025" s="4">
        <v>603829.68479999993</v>
      </c>
      <c r="K6025" s="4">
        <v>-27138.412800000002</v>
      </c>
      <c r="L6025" s="4">
        <v>6</v>
      </c>
    </row>
    <row r="6026" spans="1:12">
      <c r="A6026" t="s">
        <v>264</v>
      </c>
      <c r="B6026" s="10">
        <v>45331</v>
      </c>
      <c r="C6026" s="18">
        <f t="shared" si="94"/>
        <v>2</v>
      </c>
      <c r="D6026" t="s">
        <v>196</v>
      </c>
      <c r="E6026">
        <v>4872571</v>
      </c>
      <c r="F6026" t="s">
        <v>8</v>
      </c>
      <c r="G6026" t="s">
        <v>203</v>
      </c>
      <c r="H6026" t="s">
        <v>243</v>
      </c>
      <c r="I6026" s="4">
        <v>100638.28079999999</v>
      </c>
      <c r="J6026" s="4">
        <v>603829.68479999993</v>
      </c>
      <c r="K6026" s="4">
        <v>-27138.412800000002</v>
      </c>
      <c r="L6026" s="4">
        <v>6</v>
      </c>
    </row>
    <row r="6027" spans="1:12">
      <c r="A6027" t="s">
        <v>264</v>
      </c>
      <c r="B6027" s="10">
        <v>45331</v>
      </c>
      <c r="C6027" s="18">
        <f t="shared" si="94"/>
        <v>2</v>
      </c>
      <c r="D6027" t="s">
        <v>196</v>
      </c>
      <c r="E6027">
        <v>4872571</v>
      </c>
      <c r="F6027" t="s">
        <v>8</v>
      </c>
      <c r="G6027" t="s">
        <v>203</v>
      </c>
      <c r="H6027" t="s">
        <v>240</v>
      </c>
      <c r="I6027" s="4">
        <v>100638.28079999999</v>
      </c>
      <c r="J6027" s="4">
        <v>603829.68479999993</v>
      </c>
      <c r="K6027" s="4">
        <v>-27138.412800000002</v>
      </c>
      <c r="L6027" s="4">
        <v>6</v>
      </c>
    </row>
    <row r="6028" spans="1:12">
      <c r="A6028" t="s">
        <v>264</v>
      </c>
      <c r="B6028" s="10">
        <v>45331</v>
      </c>
      <c r="C6028" s="18">
        <f t="shared" si="94"/>
        <v>2</v>
      </c>
      <c r="D6028" t="s">
        <v>196</v>
      </c>
      <c r="E6028">
        <v>4872571</v>
      </c>
      <c r="F6028" t="s">
        <v>8</v>
      </c>
      <c r="G6028" t="s">
        <v>203</v>
      </c>
      <c r="H6028" t="s">
        <v>238</v>
      </c>
      <c r="I6028" s="4">
        <v>95606.36675999999</v>
      </c>
      <c r="J6028" s="4">
        <v>573638.20055999991</v>
      </c>
      <c r="K6028" s="4">
        <v>-27138.412800000002</v>
      </c>
      <c r="L6028" s="4">
        <v>6</v>
      </c>
    </row>
    <row r="6029" spans="1:12">
      <c r="A6029" t="s">
        <v>264</v>
      </c>
      <c r="B6029" s="10">
        <v>45331</v>
      </c>
      <c r="C6029" s="18">
        <f t="shared" si="94"/>
        <v>2</v>
      </c>
      <c r="D6029" t="s">
        <v>196</v>
      </c>
      <c r="E6029">
        <v>4872571</v>
      </c>
      <c r="F6029" t="s">
        <v>8</v>
      </c>
      <c r="G6029" t="s">
        <v>203</v>
      </c>
      <c r="H6029" t="s">
        <v>230</v>
      </c>
      <c r="I6029" s="4">
        <v>100638.28079999999</v>
      </c>
      <c r="J6029" s="4">
        <v>603829.68479999993</v>
      </c>
      <c r="K6029" s="4">
        <v>-27138.412800000002</v>
      </c>
      <c r="L6029" s="4">
        <v>6</v>
      </c>
    </row>
    <row r="6030" spans="1:12">
      <c r="A6030" t="s">
        <v>264</v>
      </c>
      <c r="B6030" s="10">
        <v>45331</v>
      </c>
      <c r="C6030" s="18">
        <f t="shared" si="94"/>
        <v>2</v>
      </c>
      <c r="D6030" t="s">
        <v>196</v>
      </c>
      <c r="E6030">
        <v>4876950</v>
      </c>
      <c r="F6030" t="s">
        <v>8</v>
      </c>
      <c r="G6030" t="s">
        <v>204</v>
      </c>
      <c r="H6030" t="s">
        <v>218</v>
      </c>
      <c r="I6030" s="4">
        <v>71740.896800000002</v>
      </c>
      <c r="J6030" s="4">
        <v>215222.69040000002</v>
      </c>
      <c r="K6030" s="4">
        <v>-10742.288399999999</v>
      </c>
      <c r="L6030" s="4">
        <v>3</v>
      </c>
    </row>
    <row r="6031" spans="1:12">
      <c r="A6031" t="s">
        <v>264</v>
      </c>
      <c r="B6031" s="10">
        <v>45331</v>
      </c>
      <c r="C6031" s="18">
        <f t="shared" si="94"/>
        <v>2</v>
      </c>
      <c r="D6031" t="s">
        <v>196</v>
      </c>
      <c r="E6031">
        <v>4873868</v>
      </c>
      <c r="F6031" t="s">
        <v>8</v>
      </c>
      <c r="G6031" t="s">
        <v>203</v>
      </c>
      <c r="H6031" t="s">
        <v>232</v>
      </c>
      <c r="I6031" s="4">
        <v>100638.28079999999</v>
      </c>
      <c r="J6031" s="4">
        <v>201276.56159999999</v>
      </c>
      <c r="K6031" s="4">
        <v>-9046.1376</v>
      </c>
      <c r="L6031" s="4">
        <v>2</v>
      </c>
    </row>
    <row r="6032" spans="1:12">
      <c r="A6032" t="s">
        <v>264</v>
      </c>
      <c r="B6032" s="10">
        <v>45331</v>
      </c>
      <c r="C6032" s="18">
        <f t="shared" si="94"/>
        <v>2</v>
      </c>
      <c r="D6032" t="s">
        <v>196</v>
      </c>
      <c r="E6032">
        <v>4873868</v>
      </c>
      <c r="F6032" t="s">
        <v>8</v>
      </c>
      <c r="G6032" t="s">
        <v>203</v>
      </c>
      <c r="H6032" t="s">
        <v>225</v>
      </c>
      <c r="I6032" s="4">
        <v>100638.28079999999</v>
      </c>
      <c r="J6032" s="4">
        <v>201276.56159999999</v>
      </c>
      <c r="K6032" s="4">
        <v>-9046.1376</v>
      </c>
      <c r="L6032" s="4">
        <v>2</v>
      </c>
    </row>
    <row r="6033" spans="1:12">
      <c r="A6033" t="s">
        <v>264</v>
      </c>
      <c r="B6033" s="10">
        <v>45331</v>
      </c>
      <c r="C6033" s="18">
        <f t="shared" si="94"/>
        <v>2</v>
      </c>
      <c r="D6033" t="s">
        <v>196</v>
      </c>
      <c r="E6033">
        <v>4873868</v>
      </c>
      <c r="F6033" t="s">
        <v>8</v>
      </c>
      <c r="G6033" t="s">
        <v>203</v>
      </c>
      <c r="H6033" t="s">
        <v>224</v>
      </c>
      <c r="I6033" s="4">
        <v>100638.28079999999</v>
      </c>
      <c r="J6033" s="4">
        <v>201276.56159999999</v>
      </c>
      <c r="K6033" s="4">
        <v>-9046.1376</v>
      </c>
      <c r="L6033" s="4">
        <v>2</v>
      </c>
    </row>
    <row r="6034" spans="1:12">
      <c r="A6034" t="s">
        <v>264</v>
      </c>
      <c r="B6034" s="10">
        <v>45331</v>
      </c>
      <c r="C6034" s="18">
        <f t="shared" si="94"/>
        <v>2</v>
      </c>
      <c r="D6034" t="s">
        <v>196</v>
      </c>
      <c r="E6034">
        <v>4873868</v>
      </c>
      <c r="F6034" t="s">
        <v>8</v>
      </c>
      <c r="G6034" t="s">
        <v>203</v>
      </c>
      <c r="H6034" t="s">
        <v>223</v>
      </c>
      <c r="I6034" s="4">
        <v>100638.28079999999</v>
      </c>
      <c r="J6034" s="4">
        <v>201276.56159999999</v>
      </c>
      <c r="K6034" s="4">
        <v>-9046.1376</v>
      </c>
      <c r="L6034" s="4">
        <v>2</v>
      </c>
    </row>
    <row r="6035" spans="1:12">
      <c r="A6035" t="s">
        <v>264</v>
      </c>
      <c r="B6035" s="10">
        <v>45331</v>
      </c>
      <c r="C6035" s="18">
        <f t="shared" si="94"/>
        <v>2</v>
      </c>
      <c r="D6035" t="s">
        <v>196</v>
      </c>
      <c r="E6035">
        <v>4873868</v>
      </c>
      <c r="F6035" t="s">
        <v>8</v>
      </c>
      <c r="G6035" t="s">
        <v>203</v>
      </c>
      <c r="H6035" t="s">
        <v>235</v>
      </c>
      <c r="I6035" s="4">
        <v>125766.4408</v>
      </c>
      <c r="J6035" s="4">
        <v>125766.4408</v>
      </c>
      <c r="K6035" s="4">
        <v>-5842.2972</v>
      </c>
      <c r="L6035" s="4">
        <v>1</v>
      </c>
    </row>
    <row r="6036" spans="1:12">
      <c r="A6036" t="s">
        <v>264</v>
      </c>
      <c r="B6036" s="10">
        <v>45331</v>
      </c>
      <c r="C6036" s="18">
        <f t="shared" si="94"/>
        <v>2</v>
      </c>
      <c r="D6036" t="s">
        <v>196</v>
      </c>
      <c r="E6036">
        <v>4873868</v>
      </c>
      <c r="F6036" t="s">
        <v>8</v>
      </c>
      <c r="G6036" t="s">
        <v>203</v>
      </c>
      <c r="H6036" t="s">
        <v>233</v>
      </c>
      <c r="I6036" s="4">
        <v>120735.78316800001</v>
      </c>
      <c r="J6036" s="4">
        <v>120735.78316800001</v>
      </c>
      <c r="K6036" s="4">
        <v>-5842.2972</v>
      </c>
      <c r="L6036" s="4">
        <v>1</v>
      </c>
    </row>
    <row r="6037" spans="1:12">
      <c r="A6037" t="s">
        <v>264</v>
      </c>
      <c r="B6037" s="10">
        <v>45331</v>
      </c>
      <c r="C6037" s="18">
        <f t="shared" si="94"/>
        <v>2</v>
      </c>
      <c r="D6037" t="s">
        <v>196</v>
      </c>
      <c r="E6037">
        <v>4873868</v>
      </c>
      <c r="F6037" t="s">
        <v>8</v>
      </c>
      <c r="G6037" t="s">
        <v>202</v>
      </c>
      <c r="H6037" t="s">
        <v>261</v>
      </c>
      <c r="I6037" s="4">
        <v>41587.104800000001</v>
      </c>
      <c r="J6037" s="4">
        <v>831742.09600000002</v>
      </c>
      <c r="K6037" s="4">
        <v>-41461.464</v>
      </c>
      <c r="L6037" s="4">
        <v>20</v>
      </c>
    </row>
    <row r="6038" spans="1:12">
      <c r="A6038" t="s">
        <v>264</v>
      </c>
      <c r="B6038" s="10">
        <v>45332</v>
      </c>
      <c r="C6038" s="18">
        <f t="shared" si="94"/>
        <v>2</v>
      </c>
      <c r="D6038" t="s">
        <v>196</v>
      </c>
      <c r="E6038">
        <v>4872068</v>
      </c>
      <c r="F6038" t="s">
        <v>8</v>
      </c>
      <c r="G6038" t="s">
        <v>203</v>
      </c>
      <c r="H6038" t="s">
        <v>234</v>
      </c>
      <c r="I6038" s="4">
        <v>100638.28079999999</v>
      </c>
      <c r="J6038" s="4">
        <v>201276.56159999999</v>
      </c>
      <c r="K6038" s="4">
        <v>-9046.1376</v>
      </c>
      <c r="L6038" s="4">
        <v>2</v>
      </c>
    </row>
    <row r="6039" spans="1:12">
      <c r="A6039" t="s">
        <v>264</v>
      </c>
      <c r="B6039" s="10">
        <v>45332</v>
      </c>
      <c r="C6039" s="18">
        <f t="shared" si="94"/>
        <v>2</v>
      </c>
      <c r="D6039" t="s">
        <v>196</v>
      </c>
      <c r="E6039">
        <v>4872068</v>
      </c>
      <c r="F6039" t="s">
        <v>8</v>
      </c>
      <c r="G6039" t="s">
        <v>203</v>
      </c>
      <c r="H6039" t="s">
        <v>230</v>
      </c>
      <c r="I6039" s="4">
        <v>100638.28079999999</v>
      </c>
      <c r="J6039" s="4">
        <v>201276.56159999999</v>
      </c>
      <c r="K6039" s="4">
        <v>-9046.1376</v>
      </c>
      <c r="L6039" s="4">
        <v>2</v>
      </c>
    </row>
    <row r="6040" spans="1:12">
      <c r="A6040" t="s">
        <v>264</v>
      </c>
      <c r="B6040" s="10">
        <v>45332</v>
      </c>
      <c r="C6040" s="18">
        <f t="shared" si="94"/>
        <v>2</v>
      </c>
      <c r="D6040" t="s">
        <v>196</v>
      </c>
      <c r="E6040">
        <v>4872068</v>
      </c>
      <c r="F6040" t="s">
        <v>8</v>
      </c>
      <c r="G6040" t="s">
        <v>203</v>
      </c>
      <c r="H6040" t="s">
        <v>229</v>
      </c>
      <c r="I6040" s="4">
        <v>125766.4408</v>
      </c>
      <c r="J6040" s="4">
        <v>125766.4408</v>
      </c>
      <c r="K6040" s="4">
        <v>-5842.2972</v>
      </c>
      <c r="L6040" s="4">
        <v>1</v>
      </c>
    </row>
    <row r="6041" spans="1:12">
      <c r="A6041" t="s">
        <v>264</v>
      </c>
      <c r="B6041" s="10">
        <v>45332</v>
      </c>
      <c r="C6041" s="18">
        <f t="shared" si="94"/>
        <v>2</v>
      </c>
      <c r="D6041" t="s">
        <v>196</v>
      </c>
      <c r="E6041">
        <v>4876950</v>
      </c>
      <c r="F6041" t="s">
        <v>8</v>
      </c>
      <c r="G6041" t="s">
        <v>202</v>
      </c>
      <c r="H6041" t="s">
        <v>255</v>
      </c>
      <c r="I6041" s="4">
        <v>72489.71596799999</v>
      </c>
      <c r="J6041" s="4">
        <v>579917.72774399992</v>
      </c>
      <c r="K6041" s="4">
        <v>-30153.791999999998</v>
      </c>
      <c r="L6041" s="4">
        <v>8</v>
      </c>
    </row>
    <row r="6042" spans="1:12">
      <c r="A6042" t="s">
        <v>264</v>
      </c>
      <c r="B6042" s="10">
        <v>45332</v>
      </c>
      <c r="C6042" s="18">
        <f t="shared" si="94"/>
        <v>2</v>
      </c>
      <c r="D6042" t="s">
        <v>196</v>
      </c>
      <c r="E6042">
        <v>4878825</v>
      </c>
      <c r="F6042" t="s">
        <v>8</v>
      </c>
      <c r="G6042" t="s">
        <v>204</v>
      </c>
      <c r="H6042" t="s">
        <v>214</v>
      </c>
      <c r="I6042" s="4">
        <v>119484.4008</v>
      </c>
      <c r="J6042" s="4">
        <v>477937.60320000001</v>
      </c>
      <c r="K6042" s="4">
        <v>-23871.752</v>
      </c>
      <c r="L6042" s="4">
        <v>4</v>
      </c>
    </row>
    <row r="6043" spans="1:12">
      <c r="A6043" t="s">
        <v>264</v>
      </c>
      <c r="B6043" s="10">
        <v>45333</v>
      </c>
      <c r="C6043" s="18">
        <f t="shared" si="94"/>
        <v>2</v>
      </c>
      <c r="D6043" t="s">
        <v>196</v>
      </c>
      <c r="E6043">
        <v>4873921</v>
      </c>
      <c r="F6043" t="s">
        <v>8</v>
      </c>
      <c r="G6043" t="s">
        <v>204</v>
      </c>
      <c r="H6043" t="s">
        <v>217</v>
      </c>
      <c r="I6043" s="4">
        <v>78022.936799999996</v>
      </c>
      <c r="J6043" s="4">
        <v>780229.36800000002</v>
      </c>
      <c r="K6043" s="4">
        <v>-35807.628000000004</v>
      </c>
      <c r="L6043" s="4">
        <v>10</v>
      </c>
    </row>
    <row r="6044" spans="1:12">
      <c r="A6044" t="s">
        <v>264</v>
      </c>
      <c r="B6044" s="10">
        <v>45333</v>
      </c>
      <c r="C6044" s="18">
        <f t="shared" si="94"/>
        <v>2</v>
      </c>
      <c r="D6044" t="s">
        <v>196</v>
      </c>
      <c r="E6044">
        <v>4873921</v>
      </c>
      <c r="F6044" t="s">
        <v>8</v>
      </c>
      <c r="G6044" t="s">
        <v>204</v>
      </c>
      <c r="H6044" t="s">
        <v>213</v>
      </c>
      <c r="I6044" s="4">
        <v>119484.4008</v>
      </c>
      <c r="J6044" s="4">
        <v>955875.20640000002</v>
      </c>
      <c r="K6044" s="4">
        <v>-47743.504000000001</v>
      </c>
      <c r="L6044" s="4">
        <v>8</v>
      </c>
    </row>
    <row r="6045" spans="1:12">
      <c r="A6045" t="s">
        <v>264</v>
      </c>
      <c r="B6045" s="10">
        <v>45333</v>
      </c>
      <c r="C6045" s="18">
        <f t="shared" si="94"/>
        <v>2</v>
      </c>
      <c r="D6045" t="s">
        <v>196</v>
      </c>
      <c r="E6045">
        <v>4876422</v>
      </c>
      <c r="F6045" t="s">
        <v>8</v>
      </c>
      <c r="G6045" t="s">
        <v>203</v>
      </c>
      <c r="H6045" t="s">
        <v>245</v>
      </c>
      <c r="I6045" s="4">
        <v>100638.28079999999</v>
      </c>
      <c r="J6045" s="4">
        <v>603829.68479999993</v>
      </c>
      <c r="K6045" s="4">
        <v>-27138.412800000002</v>
      </c>
      <c r="L6045" s="4">
        <v>6</v>
      </c>
    </row>
    <row r="6046" spans="1:12">
      <c r="A6046" t="s">
        <v>264</v>
      </c>
      <c r="B6046" s="10">
        <v>45333</v>
      </c>
      <c r="C6046" s="18">
        <f t="shared" si="94"/>
        <v>2</v>
      </c>
      <c r="D6046" t="s">
        <v>196</v>
      </c>
      <c r="E6046">
        <v>4876422</v>
      </c>
      <c r="F6046" t="s">
        <v>8</v>
      </c>
      <c r="G6046" t="s">
        <v>203</v>
      </c>
      <c r="H6046" t="s">
        <v>240</v>
      </c>
      <c r="I6046" s="4">
        <v>100638.28079999999</v>
      </c>
      <c r="J6046" s="4">
        <v>603829.68479999993</v>
      </c>
      <c r="K6046" s="4">
        <v>-27138.412800000002</v>
      </c>
      <c r="L6046" s="4">
        <v>6</v>
      </c>
    </row>
    <row r="6047" spans="1:12">
      <c r="A6047" t="s">
        <v>264</v>
      </c>
      <c r="B6047" s="10">
        <v>45333</v>
      </c>
      <c r="C6047" s="18">
        <f t="shared" si="94"/>
        <v>2</v>
      </c>
      <c r="D6047" t="s">
        <v>196</v>
      </c>
      <c r="E6047">
        <v>4876422</v>
      </c>
      <c r="F6047" t="s">
        <v>8</v>
      </c>
      <c r="G6047" t="s">
        <v>203</v>
      </c>
      <c r="H6047" t="s">
        <v>238</v>
      </c>
      <c r="I6047" s="4">
        <v>95606.36675999999</v>
      </c>
      <c r="J6047" s="4">
        <v>573638.20055999991</v>
      </c>
      <c r="K6047" s="4">
        <v>-27138.412800000002</v>
      </c>
      <c r="L6047" s="4">
        <v>6</v>
      </c>
    </row>
    <row r="6048" spans="1:12">
      <c r="A6048" t="s">
        <v>264</v>
      </c>
      <c r="B6048" s="10">
        <v>45333</v>
      </c>
      <c r="C6048" s="18">
        <f t="shared" si="94"/>
        <v>2</v>
      </c>
      <c r="D6048" t="s">
        <v>196</v>
      </c>
      <c r="E6048">
        <v>4876422</v>
      </c>
      <c r="F6048" t="s">
        <v>8</v>
      </c>
      <c r="G6048" t="s">
        <v>203</v>
      </c>
      <c r="H6048" t="s">
        <v>230</v>
      </c>
      <c r="I6048" s="4">
        <v>100638.28079999999</v>
      </c>
      <c r="J6048" s="4">
        <v>603829.68479999993</v>
      </c>
      <c r="K6048" s="4">
        <v>-27138.412800000002</v>
      </c>
      <c r="L6048" s="4">
        <v>6</v>
      </c>
    </row>
    <row r="6049" spans="1:12">
      <c r="A6049" t="s">
        <v>264</v>
      </c>
      <c r="B6049" s="10">
        <v>45333</v>
      </c>
      <c r="C6049" s="18">
        <f t="shared" si="94"/>
        <v>2</v>
      </c>
      <c r="D6049" t="s">
        <v>196</v>
      </c>
      <c r="E6049">
        <v>4876422</v>
      </c>
      <c r="F6049" t="s">
        <v>8</v>
      </c>
      <c r="G6049" t="s">
        <v>203</v>
      </c>
      <c r="H6049" t="s">
        <v>237</v>
      </c>
      <c r="I6049" s="4">
        <v>125766.4408</v>
      </c>
      <c r="J6049" s="4">
        <v>628832.20400000003</v>
      </c>
      <c r="K6049" s="4">
        <v>-29211.486000000001</v>
      </c>
      <c r="L6049" s="4">
        <v>5</v>
      </c>
    </row>
    <row r="6050" spans="1:12">
      <c r="A6050" t="s">
        <v>264</v>
      </c>
      <c r="B6050" s="10">
        <v>45333</v>
      </c>
      <c r="C6050" s="18">
        <f t="shared" si="94"/>
        <v>2</v>
      </c>
      <c r="D6050" t="s">
        <v>196</v>
      </c>
      <c r="E6050">
        <v>4876422</v>
      </c>
      <c r="F6050" t="s">
        <v>8</v>
      </c>
      <c r="G6050" t="s">
        <v>203</v>
      </c>
      <c r="H6050" t="s">
        <v>229</v>
      </c>
      <c r="I6050" s="4">
        <v>125766.4408</v>
      </c>
      <c r="J6050" s="4">
        <v>628832.20400000003</v>
      </c>
      <c r="K6050" s="4">
        <v>-29211.486000000001</v>
      </c>
      <c r="L6050" s="4">
        <v>5</v>
      </c>
    </row>
    <row r="6051" spans="1:12">
      <c r="A6051" t="s">
        <v>264</v>
      </c>
      <c r="B6051" s="10">
        <v>45333</v>
      </c>
      <c r="C6051" s="18">
        <f t="shared" si="94"/>
        <v>2</v>
      </c>
      <c r="D6051" t="s">
        <v>196</v>
      </c>
      <c r="E6051">
        <v>4878748</v>
      </c>
      <c r="F6051" t="s">
        <v>8</v>
      </c>
      <c r="G6051" t="s">
        <v>205</v>
      </c>
      <c r="H6051" t="s">
        <v>210</v>
      </c>
      <c r="I6051" s="4">
        <v>7538.4479999999994</v>
      </c>
      <c r="J6051" s="4">
        <v>113076.71999999999</v>
      </c>
      <c r="K6051" s="4">
        <v>-5653.8360000000002</v>
      </c>
      <c r="L6051" s="4">
        <v>15</v>
      </c>
    </row>
    <row r="6052" spans="1:12">
      <c r="A6052" t="s">
        <v>264</v>
      </c>
      <c r="B6052" s="10">
        <v>45333</v>
      </c>
      <c r="C6052" s="18">
        <f t="shared" si="94"/>
        <v>2</v>
      </c>
      <c r="D6052" t="s">
        <v>196</v>
      </c>
      <c r="E6052">
        <v>4878748</v>
      </c>
      <c r="F6052" t="s">
        <v>8</v>
      </c>
      <c r="G6052" t="s">
        <v>205</v>
      </c>
      <c r="H6052" t="s">
        <v>211</v>
      </c>
      <c r="I6052" s="4">
        <v>5151.2727999999997</v>
      </c>
      <c r="J6052" s="4">
        <v>77269.09199999999</v>
      </c>
      <c r="K6052" s="4">
        <v>-3769.2239999999997</v>
      </c>
      <c r="L6052" s="4">
        <v>15</v>
      </c>
    </row>
    <row r="6053" spans="1:12">
      <c r="A6053" t="s">
        <v>264</v>
      </c>
      <c r="B6053" s="10">
        <v>45334</v>
      </c>
      <c r="C6053" s="18">
        <f t="shared" si="94"/>
        <v>2</v>
      </c>
      <c r="D6053" t="s">
        <v>196</v>
      </c>
      <c r="E6053">
        <v>4872510</v>
      </c>
      <c r="F6053" t="s">
        <v>8</v>
      </c>
      <c r="G6053" t="s">
        <v>202</v>
      </c>
      <c r="H6053" t="s">
        <v>258</v>
      </c>
      <c r="I6053" s="4">
        <v>37817.880799999999</v>
      </c>
      <c r="J6053" s="4">
        <v>1134536.4239999999</v>
      </c>
      <c r="K6053" s="4">
        <v>-56538.36</v>
      </c>
      <c r="L6053" s="4">
        <v>30</v>
      </c>
    </row>
    <row r="6054" spans="1:12">
      <c r="A6054" t="s">
        <v>264</v>
      </c>
      <c r="B6054" s="10">
        <v>45334</v>
      </c>
      <c r="C6054" s="18">
        <f t="shared" si="94"/>
        <v>2</v>
      </c>
      <c r="D6054" t="s">
        <v>196</v>
      </c>
      <c r="E6054">
        <v>4872156</v>
      </c>
      <c r="F6054" t="s">
        <v>8</v>
      </c>
      <c r="G6054" t="s">
        <v>204</v>
      </c>
      <c r="H6054" t="s">
        <v>217</v>
      </c>
      <c r="I6054" s="4">
        <v>78022.936799999996</v>
      </c>
      <c r="J6054" s="4">
        <v>780229.36800000002</v>
      </c>
      <c r="K6054" s="4">
        <v>-35807.628000000004</v>
      </c>
      <c r="L6054" s="4">
        <v>10</v>
      </c>
    </row>
    <row r="6055" spans="1:12">
      <c r="A6055" t="s">
        <v>264</v>
      </c>
      <c r="B6055" s="10">
        <v>45334</v>
      </c>
      <c r="C6055" s="18">
        <f t="shared" si="94"/>
        <v>2</v>
      </c>
      <c r="D6055" t="s">
        <v>196</v>
      </c>
      <c r="E6055">
        <v>4877269</v>
      </c>
      <c r="F6055" t="s">
        <v>8</v>
      </c>
      <c r="G6055" t="s">
        <v>202</v>
      </c>
      <c r="H6055" t="s">
        <v>258</v>
      </c>
      <c r="I6055" s="4">
        <v>37817.880799999999</v>
      </c>
      <c r="J6055" s="4">
        <v>75635.761599999998</v>
      </c>
      <c r="K6055" s="4">
        <v>-3769.2239999999997</v>
      </c>
      <c r="L6055" s="4">
        <v>2</v>
      </c>
    </row>
    <row r="6056" spans="1:12">
      <c r="A6056" t="s">
        <v>264</v>
      </c>
      <c r="B6056" s="10">
        <v>45334</v>
      </c>
      <c r="C6056" s="18">
        <f t="shared" si="94"/>
        <v>2</v>
      </c>
      <c r="D6056" t="s">
        <v>196</v>
      </c>
      <c r="E6056">
        <v>4875440</v>
      </c>
      <c r="F6056" t="s">
        <v>8</v>
      </c>
      <c r="G6056" t="s">
        <v>202</v>
      </c>
      <c r="H6056" t="s">
        <v>258</v>
      </c>
      <c r="I6056" s="4">
        <v>37817.880799999999</v>
      </c>
      <c r="J6056" s="4">
        <v>1890894.04</v>
      </c>
      <c r="K6056" s="4">
        <v>-94230.6</v>
      </c>
      <c r="L6056" s="4">
        <v>50</v>
      </c>
    </row>
    <row r="6057" spans="1:12">
      <c r="A6057" t="s">
        <v>264</v>
      </c>
      <c r="B6057" s="10">
        <v>45335</v>
      </c>
      <c r="C6057" s="18">
        <f t="shared" si="94"/>
        <v>2</v>
      </c>
      <c r="D6057" t="s">
        <v>196</v>
      </c>
      <c r="E6057">
        <v>4871600</v>
      </c>
      <c r="F6057" t="s">
        <v>8</v>
      </c>
      <c r="G6057" t="s">
        <v>204</v>
      </c>
      <c r="H6057" t="s">
        <v>216</v>
      </c>
      <c r="I6057" s="4">
        <v>113202.36079999999</v>
      </c>
      <c r="J6057" s="4">
        <v>1358428.3295999998</v>
      </c>
      <c r="K6057" s="4">
        <v>-67846.032000000007</v>
      </c>
      <c r="L6057" s="4">
        <v>12</v>
      </c>
    </row>
    <row r="6058" spans="1:12">
      <c r="A6058" t="s">
        <v>264</v>
      </c>
      <c r="B6058" s="10">
        <v>45335</v>
      </c>
      <c r="C6058" s="18">
        <f t="shared" si="94"/>
        <v>2</v>
      </c>
      <c r="D6058" t="s">
        <v>196</v>
      </c>
      <c r="E6058">
        <v>4871600</v>
      </c>
      <c r="F6058" t="s">
        <v>8</v>
      </c>
      <c r="G6058" t="s">
        <v>204</v>
      </c>
      <c r="H6058" t="s">
        <v>213</v>
      </c>
      <c r="I6058" s="4">
        <v>119484.4008</v>
      </c>
      <c r="J6058" s="4">
        <v>1911750.4128</v>
      </c>
      <c r="K6058" s="4">
        <v>-95487.008000000002</v>
      </c>
      <c r="L6058" s="4">
        <v>16</v>
      </c>
    </row>
    <row r="6059" spans="1:12">
      <c r="A6059" t="s">
        <v>264</v>
      </c>
      <c r="B6059" s="10">
        <v>45335</v>
      </c>
      <c r="C6059" s="18">
        <f t="shared" si="94"/>
        <v>2</v>
      </c>
      <c r="D6059" t="s">
        <v>196</v>
      </c>
      <c r="E6059">
        <v>4871600</v>
      </c>
      <c r="F6059" t="s">
        <v>8</v>
      </c>
      <c r="G6059" t="s">
        <v>204</v>
      </c>
      <c r="H6059" t="s">
        <v>221</v>
      </c>
      <c r="I6059" s="4">
        <v>25253.800799999997</v>
      </c>
      <c r="J6059" s="4">
        <v>50507.601599999995</v>
      </c>
      <c r="K6059" s="4">
        <v>-2512.8160000000003</v>
      </c>
      <c r="L6059" s="4">
        <v>2</v>
      </c>
    </row>
    <row r="6060" spans="1:12">
      <c r="A6060" t="s">
        <v>264</v>
      </c>
      <c r="B6060" s="10">
        <v>45335</v>
      </c>
      <c r="C6060" s="18">
        <f t="shared" si="94"/>
        <v>2</v>
      </c>
      <c r="D6060" t="s">
        <v>196</v>
      </c>
      <c r="E6060">
        <v>4873921</v>
      </c>
      <c r="F6060" t="s">
        <v>8</v>
      </c>
      <c r="G6060" t="s">
        <v>204</v>
      </c>
      <c r="H6060" t="s">
        <v>213</v>
      </c>
      <c r="I6060" s="4">
        <v>119484.4008</v>
      </c>
      <c r="J6060" s="4">
        <v>955875.20640000002</v>
      </c>
      <c r="K6060" s="4">
        <v>-47743.504000000001</v>
      </c>
      <c r="L6060" s="4">
        <v>8</v>
      </c>
    </row>
    <row r="6061" spans="1:12">
      <c r="A6061" t="s">
        <v>264</v>
      </c>
      <c r="B6061" s="10">
        <v>45335</v>
      </c>
      <c r="C6061" s="18">
        <f t="shared" si="94"/>
        <v>2</v>
      </c>
      <c r="D6061" t="s">
        <v>196</v>
      </c>
      <c r="E6061">
        <v>4876950</v>
      </c>
      <c r="F6061" t="s">
        <v>8</v>
      </c>
      <c r="G6061" t="s">
        <v>204</v>
      </c>
      <c r="H6061" t="s">
        <v>217</v>
      </c>
      <c r="I6061" s="4">
        <v>78022.936799999996</v>
      </c>
      <c r="J6061" s="4">
        <v>1404412.8624</v>
      </c>
      <c r="K6061" s="4">
        <v>-64453.7304</v>
      </c>
      <c r="L6061" s="4">
        <v>18</v>
      </c>
    </row>
    <row r="6062" spans="1:12">
      <c r="A6062" t="s">
        <v>264</v>
      </c>
      <c r="B6062" s="10">
        <v>45335</v>
      </c>
      <c r="C6062" s="18">
        <f t="shared" si="94"/>
        <v>2</v>
      </c>
      <c r="D6062" t="s">
        <v>196</v>
      </c>
      <c r="E6062">
        <v>4871657</v>
      </c>
      <c r="F6062" t="s">
        <v>8</v>
      </c>
      <c r="G6062" t="s">
        <v>203</v>
      </c>
      <c r="H6062" t="s">
        <v>227</v>
      </c>
      <c r="I6062" s="4">
        <v>100638.28079999999</v>
      </c>
      <c r="J6062" s="4">
        <v>603829.68479999993</v>
      </c>
      <c r="K6062" s="4">
        <v>-27138.412800000002</v>
      </c>
      <c r="L6062" s="4">
        <v>6</v>
      </c>
    </row>
    <row r="6063" spans="1:12">
      <c r="A6063" t="s">
        <v>264</v>
      </c>
      <c r="B6063" s="10">
        <v>45335</v>
      </c>
      <c r="C6063" s="18">
        <f t="shared" si="94"/>
        <v>2</v>
      </c>
      <c r="D6063" t="s">
        <v>196</v>
      </c>
      <c r="E6063">
        <v>4871657</v>
      </c>
      <c r="F6063" t="s">
        <v>8</v>
      </c>
      <c r="G6063" t="s">
        <v>203</v>
      </c>
      <c r="H6063" t="s">
        <v>226</v>
      </c>
      <c r="I6063" s="4">
        <v>100638.28079999999</v>
      </c>
      <c r="J6063" s="4">
        <v>603829.68479999993</v>
      </c>
      <c r="K6063" s="4">
        <v>-27138.412800000002</v>
      </c>
      <c r="L6063" s="4">
        <v>6</v>
      </c>
    </row>
    <row r="6064" spans="1:12">
      <c r="A6064" t="s">
        <v>264</v>
      </c>
      <c r="B6064" s="10">
        <v>45335</v>
      </c>
      <c r="C6064" s="18">
        <f t="shared" si="94"/>
        <v>2</v>
      </c>
      <c r="D6064" t="s">
        <v>196</v>
      </c>
      <c r="E6064">
        <v>4873723</v>
      </c>
      <c r="F6064" t="s">
        <v>8</v>
      </c>
      <c r="G6064" t="s">
        <v>203</v>
      </c>
      <c r="H6064" t="s">
        <v>245</v>
      </c>
      <c r="I6064" s="4">
        <v>100638.28079999999</v>
      </c>
      <c r="J6064" s="4">
        <v>2012765.6159999999</v>
      </c>
      <c r="K6064" s="4">
        <v>-90461.376000000004</v>
      </c>
      <c r="L6064" s="4">
        <v>20</v>
      </c>
    </row>
    <row r="6065" spans="1:12">
      <c r="A6065" t="s">
        <v>264</v>
      </c>
      <c r="B6065" s="10">
        <v>45335</v>
      </c>
      <c r="C6065" s="18">
        <f t="shared" si="94"/>
        <v>2</v>
      </c>
      <c r="D6065" t="s">
        <v>196</v>
      </c>
      <c r="E6065">
        <v>4873723</v>
      </c>
      <c r="F6065" t="s">
        <v>8</v>
      </c>
      <c r="G6065" t="s">
        <v>203</v>
      </c>
      <c r="H6065" t="s">
        <v>234</v>
      </c>
      <c r="I6065" s="4">
        <v>100638.28079999999</v>
      </c>
      <c r="J6065" s="4">
        <v>2012765.6159999999</v>
      </c>
      <c r="K6065" s="4">
        <v>-90461.376000000004</v>
      </c>
      <c r="L6065" s="4">
        <v>20</v>
      </c>
    </row>
    <row r="6066" spans="1:12">
      <c r="A6066" t="s">
        <v>264</v>
      </c>
      <c r="B6066" s="10">
        <v>45335</v>
      </c>
      <c r="C6066" s="18">
        <f t="shared" si="94"/>
        <v>2</v>
      </c>
      <c r="D6066" t="s">
        <v>196</v>
      </c>
      <c r="E6066">
        <v>4873723</v>
      </c>
      <c r="F6066" t="s">
        <v>8</v>
      </c>
      <c r="G6066" t="s">
        <v>203</v>
      </c>
      <c r="H6066" t="s">
        <v>226</v>
      </c>
      <c r="I6066" s="4">
        <v>100638.28079999999</v>
      </c>
      <c r="J6066" s="4">
        <v>603829.68479999993</v>
      </c>
      <c r="K6066" s="4">
        <v>-27138.412800000002</v>
      </c>
      <c r="L6066" s="4">
        <v>6</v>
      </c>
    </row>
    <row r="6067" spans="1:12">
      <c r="A6067" t="s">
        <v>264</v>
      </c>
      <c r="B6067" s="10">
        <v>45335</v>
      </c>
      <c r="C6067" s="18">
        <f t="shared" si="94"/>
        <v>2</v>
      </c>
      <c r="D6067" t="s">
        <v>196</v>
      </c>
      <c r="E6067">
        <v>4873723</v>
      </c>
      <c r="F6067" t="s">
        <v>8</v>
      </c>
      <c r="G6067" t="s">
        <v>203</v>
      </c>
      <c r="H6067" t="s">
        <v>224</v>
      </c>
      <c r="I6067" s="4">
        <v>100638.28079999999</v>
      </c>
      <c r="J6067" s="4">
        <v>402553.12319999997</v>
      </c>
      <c r="K6067" s="4">
        <v>-18092.2752</v>
      </c>
      <c r="L6067" s="4">
        <v>4</v>
      </c>
    </row>
    <row r="6068" spans="1:12">
      <c r="A6068" t="s">
        <v>264</v>
      </c>
      <c r="B6068" s="10">
        <v>45335</v>
      </c>
      <c r="C6068" s="18">
        <f t="shared" si="94"/>
        <v>2</v>
      </c>
      <c r="D6068" t="s">
        <v>196</v>
      </c>
      <c r="E6068">
        <v>4873723</v>
      </c>
      <c r="F6068" t="s">
        <v>8</v>
      </c>
      <c r="G6068" t="s">
        <v>203</v>
      </c>
      <c r="H6068" t="s">
        <v>235</v>
      </c>
      <c r="I6068" s="4">
        <v>125766.4408</v>
      </c>
      <c r="J6068" s="4">
        <v>754598.64480000001</v>
      </c>
      <c r="K6068" s="4">
        <v>-35053.783199999998</v>
      </c>
      <c r="L6068" s="4">
        <v>6</v>
      </c>
    </row>
    <row r="6069" spans="1:12">
      <c r="A6069" t="s">
        <v>264</v>
      </c>
      <c r="B6069" s="10">
        <v>45335</v>
      </c>
      <c r="C6069" s="18">
        <f t="shared" si="94"/>
        <v>2</v>
      </c>
      <c r="D6069" t="s">
        <v>196</v>
      </c>
      <c r="E6069">
        <v>4872208</v>
      </c>
      <c r="F6069" t="s">
        <v>8</v>
      </c>
      <c r="G6069" t="s">
        <v>203</v>
      </c>
      <c r="H6069" t="s">
        <v>245</v>
      </c>
      <c r="I6069" s="4">
        <v>100638.28079999999</v>
      </c>
      <c r="J6069" s="4">
        <v>2012765.6159999999</v>
      </c>
      <c r="K6069" s="4">
        <v>-90461.376000000004</v>
      </c>
      <c r="L6069" s="4">
        <v>20</v>
      </c>
    </row>
    <row r="6070" spans="1:12">
      <c r="A6070" t="s">
        <v>264</v>
      </c>
      <c r="B6070" s="10">
        <v>45335</v>
      </c>
      <c r="C6070" s="18">
        <f t="shared" si="94"/>
        <v>2</v>
      </c>
      <c r="D6070" t="s">
        <v>196</v>
      </c>
      <c r="E6070">
        <v>4872208</v>
      </c>
      <c r="F6070" t="s">
        <v>8</v>
      </c>
      <c r="G6070" t="s">
        <v>203</v>
      </c>
      <c r="H6070" t="s">
        <v>243</v>
      </c>
      <c r="I6070" s="4">
        <v>100638.28079999999</v>
      </c>
      <c r="J6070" s="4">
        <v>2012765.6159999999</v>
      </c>
      <c r="K6070" s="4">
        <v>-90461.376000000004</v>
      </c>
      <c r="L6070" s="4">
        <v>20</v>
      </c>
    </row>
    <row r="6071" spans="1:12">
      <c r="A6071" t="s">
        <v>264</v>
      </c>
      <c r="B6071" s="10">
        <v>45335</v>
      </c>
      <c r="C6071" s="18">
        <f t="shared" si="94"/>
        <v>2</v>
      </c>
      <c r="D6071" t="s">
        <v>196</v>
      </c>
      <c r="E6071">
        <v>4872208</v>
      </c>
      <c r="F6071" t="s">
        <v>8</v>
      </c>
      <c r="G6071" t="s">
        <v>203</v>
      </c>
      <c r="H6071" t="s">
        <v>242</v>
      </c>
      <c r="I6071" s="4">
        <v>100638.28079999999</v>
      </c>
      <c r="J6071" s="4">
        <v>2012765.6159999999</v>
      </c>
      <c r="K6071" s="4">
        <v>-90461.376000000004</v>
      </c>
      <c r="L6071" s="4">
        <v>20</v>
      </c>
    </row>
    <row r="6072" spans="1:12">
      <c r="A6072" t="s">
        <v>264</v>
      </c>
      <c r="B6072" s="10">
        <v>45335</v>
      </c>
      <c r="C6072" s="18">
        <f t="shared" si="94"/>
        <v>2</v>
      </c>
      <c r="D6072" t="s">
        <v>196</v>
      </c>
      <c r="E6072">
        <v>4872208</v>
      </c>
      <c r="F6072" t="s">
        <v>8</v>
      </c>
      <c r="G6072" t="s">
        <v>203</v>
      </c>
      <c r="H6072" t="s">
        <v>240</v>
      </c>
      <c r="I6072" s="4">
        <v>100638.28079999999</v>
      </c>
      <c r="J6072" s="4">
        <v>2012765.6159999999</v>
      </c>
      <c r="K6072" s="4">
        <v>-90461.376000000004</v>
      </c>
      <c r="L6072" s="4">
        <v>20</v>
      </c>
    </row>
    <row r="6073" spans="1:12">
      <c r="A6073" t="s">
        <v>264</v>
      </c>
      <c r="B6073" s="10">
        <v>45335</v>
      </c>
      <c r="C6073" s="18">
        <f t="shared" si="94"/>
        <v>2</v>
      </c>
      <c r="D6073" t="s">
        <v>196</v>
      </c>
      <c r="E6073">
        <v>4872208</v>
      </c>
      <c r="F6073" t="s">
        <v>8</v>
      </c>
      <c r="G6073" t="s">
        <v>203</v>
      </c>
      <c r="H6073" t="s">
        <v>238</v>
      </c>
      <c r="I6073" s="4">
        <v>95606.36675999999</v>
      </c>
      <c r="J6073" s="4">
        <v>1912127.3351999999</v>
      </c>
      <c r="K6073" s="4">
        <v>-90461.376000000004</v>
      </c>
      <c r="L6073" s="4">
        <v>20</v>
      </c>
    </row>
    <row r="6074" spans="1:12">
      <c r="A6074" t="s">
        <v>264</v>
      </c>
      <c r="B6074" s="10">
        <v>45335</v>
      </c>
      <c r="C6074" s="18">
        <f t="shared" si="94"/>
        <v>2</v>
      </c>
      <c r="D6074" t="s">
        <v>196</v>
      </c>
      <c r="E6074">
        <v>4872208</v>
      </c>
      <c r="F6074" t="s">
        <v>8</v>
      </c>
      <c r="G6074" t="s">
        <v>203</v>
      </c>
      <c r="H6074" t="s">
        <v>244</v>
      </c>
      <c r="I6074" s="4">
        <v>125766.4408</v>
      </c>
      <c r="J6074" s="4">
        <v>2515328.8160000001</v>
      </c>
      <c r="K6074" s="4">
        <v>-116845.944</v>
      </c>
      <c r="L6074" s="4">
        <v>20</v>
      </c>
    </row>
    <row r="6075" spans="1:12">
      <c r="A6075" t="s">
        <v>264</v>
      </c>
      <c r="B6075" s="10">
        <v>45335</v>
      </c>
      <c r="C6075" s="18">
        <f t="shared" si="94"/>
        <v>2</v>
      </c>
      <c r="D6075" t="s">
        <v>196</v>
      </c>
      <c r="E6075">
        <v>4872208</v>
      </c>
      <c r="F6075" t="s">
        <v>8</v>
      </c>
      <c r="G6075" t="s">
        <v>203</v>
      </c>
      <c r="H6075" t="s">
        <v>241</v>
      </c>
      <c r="I6075" s="4">
        <v>125766.4408</v>
      </c>
      <c r="J6075" s="4">
        <v>2515328.8160000001</v>
      </c>
      <c r="K6075" s="4">
        <v>-116845.944</v>
      </c>
      <c r="L6075" s="4">
        <v>20</v>
      </c>
    </row>
    <row r="6076" spans="1:12">
      <c r="A6076" t="s">
        <v>264</v>
      </c>
      <c r="B6076" s="10">
        <v>45335</v>
      </c>
      <c r="C6076" s="18">
        <f t="shared" si="94"/>
        <v>2</v>
      </c>
      <c r="D6076" t="s">
        <v>196</v>
      </c>
      <c r="E6076">
        <v>4872208</v>
      </c>
      <c r="F6076" t="s">
        <v>8</v>
      </c>
      <c r="G6076" t="s">
        <v>203</v>
      </c>
      <c r="H6076" t="s">
        <v>235</v>
      </c>
      <c r="I6076" s="4">
        <v>125766.4408</v>
      </c>
      <c r="J6076" s="4">
        <v>2515328.8160000001</v>
      </c>
      <c r="K6076" s="4">
        <v>-116845.944</v>
      </c>
      <c r="L6076" s="4">
        <v>20</v>
      </c>
    </row>
    <row r="6077" spans="1:12">
      <c r="A6077" t="s">
        <v>264</v>
      </c>
      <c r="B6077" s="10">
        <v>45335</v>
      </c>
      <c r="C6077" s="18">
        <f t="shared" si="94"/>
        <v>2</v>
      </c>
      <c r="D6077" t="s">
        <v>196</v>
      </c>
      <c r="E6077">
        <v>4872163</v>
      </c>
      <c r="F6077" t="s">
        <v>8</v>
      </c>
      <c r="G6077" t="s">
        <v>204</v>
      </c>
      <c r="H6077" t="s">
        <v>219</v>
      </c>
      <c r="I6077" s="4">
        <v>44099.9208</v>
      </c>
      <c r="J6077" s="4">
        <v>264599.52480000001</v>
      </c>
      <c r="K6077" s="4">
        <v>-11307.672</v>
      </c>
      <c r="L6077" s="4">
        <v>6</v>
      </c>
    </row>
    <row r="6078" spans="1:12">
      <c r="A6078" t="s">
        <v>264</v>
      </c>
      <c r="B6078" s="10">
        <v>45335</v>
      </c>
      <c r="C6078" s="18">
        <f t="shared" si="94"/>
        <v>2</v>
      </c>
      <c r="D6078" t="s">
        <v>196</v>
      </c>
      <c r="E6078">
        <v>4872163</v>
      </c>
      <c r="F6078" t="s">
        <v>8</v>
      </c>
      <c r="G6078" t="s">
        <v>204</v>
      </c>
      <c r="H6078" t="s">
        <v>217</v>
      </c>
      <c r="I6078" s="4">
        <v>78022.936799999996</v>
      </c>
      <c r="J6078" s="4">
        <v>78022.936799999996</v>
      </c>
      <c r="K6078" s="4">
        <v>-3580.7627999999995</v>
      </c>
      <c r="L6078" s="4">
        <v>1</v>
      </c>
    </row>
    <row r="6079" spans="1:12">
      <c r="A6079" t="s">
        <v>264</v>
      </c>
      <c r="B6079" s="10">
        <v>45335</v>
      </c>
      <c r="C6079" s="18">
        <f t="shared" si="94"/>
        <v>2</v>
      </c>
      <c r="D6079" t="s">
        <v>196</v>
      </c>
      <c r="E6079">
        <v>4872163</v>
      </c>
      <c r="F6079" t="s">
        <v>8</v>
      </c>
      <c r="G6079" t="s">
        <v>204</v>
      </c>
      <c r="H6079" t="s">
        <v>216</v>
      </c>
      <c r="I6079" s="4">
        <v>113202.36079999999</v>
      </c>
      <c r="J6079" s="4">
        <v>113202.36079999999</v>
      </c>
      <c r="K6079" s="4">
        <v>-5653.8360000000002</v>
      </c>
      <c r="L6079" s="4">
        <v>1</v>
      </c>
    </row>
    <row r="6080" spans="1:12">
      <c r="A6080" t="s">
        <v>264</v>
      </c>
      <c r="B6080" s="10">
        <v>45336</v>
      </c>
      <c r="C6080" s="18">
        <f t="shared" si="94"/>
        <v>2</v>
      </c>
      <c r="D6080" t="s">
        <v>196</v>
      </c>
      <c r="E6080">
        <v>4871600</v>
      </c>
      <c r="F6080" t="s">
        <v>8</v>
      </c>
      <c r="G6080" t="s">
        <v>204</v>
      </c>
      <c r="H6080" t="s">
        <v>217</v>
      </c>
      <c r="I6080" s="4">
        <v>78022.936799999996</v>
      </c>
      <c r="J6080" s="4">
        <v>78022.936799999996</v>
      </c>
      <c r="K6080" s="4">
        <v>-3580.7627999999995</v>
      </c>
      <c r="L6080" s="4">
        <v>1</v>
      </c>
    </row>
    <row r="6081" spans="1:12">
      <c r="A6081" t="s">
        <v>264</v>
      </c>
      <c r="B6081" s="10">
        <v>45336</v>
      </c>
      <c r="C6081" s="18">
        <f t="shared" si="94"/>
        <v>2</v>
      </c>
      <c r="D6081" t="s">
        <v>196</v>
      </c>
      <c r="E6081">
        <v>4877269</v>
      </c>
      <c r="F6081" t="s">
        <v>8</v>
      </c>
      <c r="G6081" t="s">
        <v>204</v>
      </c>
      <c r="H6081" t="s">
        <v>217</v>
      </c>
      <c r="I6081" s="4">
        <v>78022.936799999996</v>
      </c>
      <c r="J6081" s="4">
        <v>1560458.736</v>
      </c>
      <c r="K6081" s="4">
        <v>-71615.256000000008</v>
      </c>
      <c r="L6081" s="4">
        <v>20</v>
      </c>
    </row>
    <row r="6082" spans="1:12">
      <c r="A6082" t="s">
        <v>264</v>
      </c>
      <c r="B6082" s="10">
        <v>45336</v>
      </c>
      <c r="C6082" s="18">
        <f t="shared" ref="C6082:C6145" si="95">MONTH(B6082)</f>
        <v>2</v>
      </c>
      <c r="D6082" t="s">
        <v>196</v>
      </c>
      <c r="E6082">
        <v>4878748</v>
      </c>
      <c r="F6082" t="s">
        <v>8</v>
      </c>
      <c r="G6082" t="s">
        <v>204</v>
      </c>
      <c r="H6082" t="s">
        <v>220</v>
      </c>
      <c r="I6082" s="4">
        <v>37817.880799999999</v>
      </c>
      <c r="J6082" s="4">
        <v>151271.5232</v>
      </c>
      <c r="K6082" s="4">
        <v>-7538.4479999999994</v>
      </c>
      <c r="L6082" s="4">
        <v>4</v>
      </c>
    </row>
    <row r="6083" spans="1:12">
      <c r="A6083" t="s">
        <v>264</v>
      </c>
      <c r="B6083" s="10">
        <v>45336</v>
      </c>
      <c r="C6083" s="18">
        <f t="shared" si="95"/>
        <v>2</v>
      </c>
      <c r="D6083" t="s">
        <v>196</v>
      </c>
      <c r="E6083">
        <v>4878748</v>
      </c>
      <c r="F6083" t="s">
        <v>8</v>
      </c>
      <c r="G6083" t="s">
        <v>204</v>
      </c>
      <c r="H6083" t="s">
        <v>212</v>
      </c>
      <c r="I6083" s="4">
        <v>62946.040799999995</v>
      </c>
      <c r="J6083" s="4">
        <v>251784.16319999998</v>
      </c>
      <c r="K6083" s="4">
        <v>-7538.4479999999994</v>
      </c>
      <c r="L6083" s="4">
        <v>4</v>
      </c>
    </row>
    <row r="6084" spans="1:12">
      <c r="A6084" t="s">
        <v>264</v>
      </c>
      <c r="B6084" s="10">
        <v>45336</v>
      </c>
      <c r="C6084" s="18">
        <f t="shared" si="95"/>
        <v>2</v>
      </c>
      <c r="D6084" t="s">
        <v>196</v>
      </c>
      <c r="E6084">
        <v>4873723</v>
      </c>
      <c r="F6084" t="s">
        <v>8</v>
      </c>
      <c r="G6084" t="s">
        <v>204</v>
      </c>
      <c r="H6084" t="s">
        <v>218</v>
      </c>
      <c r="I6084" s="4">
        <v>71740.896800000002</v>
      </c>
      <c r="J6084" s="4">
        <v>71740.896800000002</v>
      </c>
      <c r="K6084" s="4">
        <v>-3580.7627999999995</v>
      </c>
      <c r="L6084" s="4">
        <v>1</v>
      </c>
    </row>
    <row r="6085" spans="1:12">
      <c r="A6085" t="s">
        <v>264</v>
      </c>
      <c r="B6085" s="10">
        <v>45337</v>
      </c>
      <c r="C6085" s="18">
        <f t="shared" si="95"/>
        <v>2</v>
      </c>
      <c r="D6085" t="s">
        <v>196</v>
      </c>
      <c r="E6085">
        <v>4871600</v>
      </c>
      <c r="F6085" t="s">
        <v>8</v>
      </c>
      <c r="G6085" t="s">
        <v>204</v>
      </c>
      <c r="H6085" t="s">
        <v>214</v>
      </c>
      <c r="I6085" s="4">
        <v>119484.4008</v>
      </c>
      <c r="J6085" s="4">
        <v>477937.60320000001</v>
      </c>
      <c r="K6085" s="4">
        <v>-23871.752</v>
      </c>
      <c r="L6085" s="4">
        <v>4</v>
      </c>
    </row>
    <row r="6086" spans="1:12">
      <c r="A6086" t="s">
        <v>264</v>
      </c>
      <c r="B6086" s="10">
        <v>45337</v>
      </c>
      <c r="C6086" s="18">
        <f t="shared" si="95"/>
        <v>2</v>
      </c>
      <c r="D6086" t="s">
        <v>196</v>
      </c>
      <c r="E6086">
        <v>4871600</v>
      </c>
      <c r="F6086" t="s">
        <v>8</v>
      </c>
      <c r="G6086" t="s">
        <v>204</v>
      </c>
      <c r="H6086" t="s">
        <v>221</v>
      </c>
      <c r="I6086" s="4">
        <v>25253.800799999997</v>
      </c>
      <c r="J6086" s="4">
        <v>151522.80479999998</v>
      </c>
      <c r="K6086" s="4">
        <v>-7538.4479999999994</v>
      </c>
      <c r="L6086" s="4">
        <v>6</v>
      </c>
    </row>
    <row r="6087" spans="1:12">
      <c r="A6087" t="s">
        <v>264</v>
      </c>
      <c r="B6087" s="10">
        <v>45337</v>
      </c>
      <c r="C6087" s="18">
        <f t="shared" si="95"/>
        <v>2</v>
      </c>
      <c r="D6087" t="s">
        <v>196</v>
      </c>
      <c r="E6087">
        <v>4871600</v>
      </c>
      <c r="F6087" t="s">
        <v>8</v>
      </c>
      <c r="G6087" t="s">
        <v>202</v>
      </c>
      <c r="H6087" t="s">
        <v>261</v>
      </c>
      <c r="I6087" s="4">
        <v>41587.104800000001</v>
      </c>
      <c r="J6087" s="4">
        <v>831742.09600000002</v>
      </c>
      <c r="K6087" s="4">
        <v>-41461.464</v>
      </c>
      <c r="L6087" s="4">
        <v>20</v>
      </c>
    </row>
    <row r="6088" spans="1:12">
      <c r="A6088" t="s">
        <v>264</v>
      </c>
      <c r="B6088" s="10">
        <v>45337</v>
      </c>
      <c r="C6088" s="18">
        <f t="shared" si="95"/>
        <v>2</v>
      </c>
      <c r="D6088" t="s">
        <v>196</v>
      </c>
      <c r="E6088">
        <v>4871600</v>
      </c>
      <c r="F6088" t="s">
        <v>8</v>
      </c>
      <c r="G6088" t="s">
        <v>202</v>
      </c>
      <c r="H6088" t="s">
        <v>258</v>
      </c>
      <c r="I6088" s="4">
        <v>37817.880799999999</v>
      </c>
      <c r="J6088" s="4">
        <v>756357.61599999992</v>
      </c>
      <c r="K6088" s="4">
        <v>-37692.239999999998</v>
      </c>
      <c r="L6088" s="4">
        <v>20</v>
      </c>
    </row>
    <row r="6089" spans="1:12">
      <c r="A6089" t="s">
        <v>264</v>
      </c>
      <c r="B6089" s="10">
        <v>45337</v>
      </c>
      <c r="C6089" s="18">
        <f t="shared" si="95"/>
        <v>2</v>
      </c>
      <c r="D6089" t="s">
        <v>196</v>
      </c>
      <c r="E6089">
        <v>4872156</v>
      </c>
      <c r="F6089" t="s">
        <v>8</v>
      </c>
      <c r="G6089" t="s">
        <v>204</v>
      </c>
      <c r="H6089" t="s">
        <v>219</v>
      </c>
      <c r="I6089" s="4">
        <v>44099.9208</v>
      </c>
      <c r="J6089" s="4">
        <v>440999.20799999998</v>
      </c>
      <c r="K6089" s="4">
        <v>-18846.12</v>
      </c>
      <c r="L6089" s="4">
        <v>10</v>
      </c>
    </row>
    <row r="6090" spans="1:12">
      <c r="A6090" t="s">
        <v>264</v>
      </c>
      <c r="B6090" s="10">
        <v>45337</v>
      </c>
      <c r="C6090" s="18">
        <f t="shared" si="95"/>
        <v>2</v>
      </c>
      <c r="D6090" t="s">
        <v>196</v>
      </c>
      <c r="E6090">
        <v>4872156</v>
      </c>
      <c r="F6090" t="s">
        <v>8</v>
      </c>
      <c r="G6090" t="s">
        <v>204</v>
      </c>
      <c r="H6090" t="s">
        <v>217</v>
      </c>
      <c r="I6090" s="4">
        <v>78022.936799999996</v>
      </c>
      <c r="J6090" s="4">
        <v>1560458.736</v>
      </c>
      <c r="K6090" s="4">
        <v>-71615.256000000008</v>
      </c>
      <c r="L6090" s="4">
        <v>20</v>
      </c>
    </row>
    <row r="6091" spans="1:12">
      <c r="A6091" t="s">
        <v>264</v>
      </c>
      <c r="B6091" s="10">
        <v>45337</v>
      </c>
      <c r="C6091" s="18">
        <f t="shared" si="95"/>
        <v>2</v>
      </c>
      <c r="D6091" t="s">
        <v>196</v>
      </c>
      <c r="E6091">
        <v>4872156</v>
      </c>
      <c r="F6091" t="s">
        <v>8</v>
      </c>
      <c r="G6091" t="s">
        <v>204</v>
      </c>
      <c r="H6091" t="s">
        <v>213</v>
      </c>
      <c r="I6091" s="4">
        <v>119484.4008</v>
      </c>
      <c r="J6091" s="4">
        <v>2389688.0159999998</v>
      </c>
      <c r="K6091" s="4">
        <v>-119358.76</v>
      </c>
      <c r="L6091" s="4">
        <v>20</v>
      </c>
    </row>
    <row r="6092" spans="1:12">
      <c r="A6092" t="s">
        <v>264</v>
      </c>
      <c r="B6092" s="10">
        <v>45337</v>
      </c>
      <c r="C6092" s="18">
        <f t="shared" si="95"/>
        <v>2</v>
      </c>
      <c r="D6092" t="s">
        <v>196</v>
      </c>
      <c r="E6092">
        <v>4876950</v>
      </c>
      <c r="F6092" t="s">
        <v>8</v>
      </c>
      <c r="G6092" t="s">
        <v>202</v>
      </c>
      <c r="H6092" t="s">
        <v>258</v>
      </c>
      <c r="I6092" s="4">
        <v>37817.880799999999</v>
      </c>
      <c r="J6092" s="4">
        <v>264725.16560000001</v>
      </c>
      <c r="K6092" s="4">
        <v>-13192.284</v>
      </c>
      <c r="L6092" s="4">
        <v>7</v>
      </c>
    </row>
    <row r="6093" spans="1:12">
      <c r="A6093" t="s">
        <v>264</v>
      </c>
      <c r="B6093" s="10">
        <v>45337</v>
      </c>
      <c r="C6093" s="18">
        <f t="shared" si="95"/>
        <v>2</v>
      </c>
      <c r="D6093" t="s">
        <v>196</v>
      </c>
      <c r="E6093">
        <v>4872135</v>
      </c>
      <c r="F6093" t="s">
        <v>8</v>
      </c>
      <c r="G6093" t="s">
        <v>203</v>
      </c>
      <c r="H6093" t="s">
        <v>245</v>
      </c>
      <c r="I6093" s="4">
        <v>100638.28079999999</v>
      </c>
      <c r="J6093" s="4">
        <v>1006382.808</v>
      </c>
      <c r="K6093" s="4">
        <v>-45230.688000000002</v>
      </c>
      <c r="L6093" s="4">
        <v>10</v>
      </c>
    </row>
    <row r="6094" spans="1:12">
      <c r="A6094" t="s">
        <v>264</v>
      </c>
      <c r="B6094" s="10">
        <v>45337</v>
      </c>
      <c r="C6094" s="18">
        <f t="shared" si="95"/>
        <v>2</v>
      </c>
      <c r="D6094" t="s">
        <v>196</v>
      </c>
      <c r="E6094">
        <v>4872135</v>
      </c>
      <c r="F6094" t="s">
        <v>8</v>
      </c>
      <c r="G6094" t="s">
        <v>203</v>
      </c>
      <c r="H6094" t="s">
        <v>243</v>
      </c>
      <c r="I6094" s="4">
        <v>100638.28079999999</v>
      </c>
      <c r="J6094" s="4">
        <v>1006382.808</v>
      </c>
      <c r="K6094" s="4">
        <v>-45230.688000000002</v>
      </c>
      <c r="L6094" s="4">
        <v>10</v>
      </c>
    </row>
    <row r="6095" spans="1:12">
      <c r="A6095" t="s">
        <v>264</v>
      </c>
      <c r="B6095" s="10">
        <v>45337</v>
      </c>
      <c r="C6095" s="18">
        <f t="shared" si="95"/>
        <v>2</v>
      </c>
      <c r="D6095" t="s">
        <v>196</v>
      </c>
      <c r="E6095">
        <v>4872135</v>
      </c>
      <c r="F6095" t="s">
        <v>8</v>
      </c>
      <c r="G6095" t="s">
        <v>203</v>
      </c>
      <c r="H6095" t="s">
        <v>240</v>
      </c>
      <c r="I6095" s="4">
        <v>100638.28079999999</v>
      </c>
      <c r="J6095" s="4">
        <v>1006382.808</v>
      </c>
      <c r="K6095" s="4">
        <v>-45230.688000000002</v>
      </c>
      <c r="L6095" s="4">
        <v>10</v>
      </c>
    </row>
    <row r="6096" spans="1:12">
      <c r="A6096" t="s">
        <v>264</v>
      </c>
      <c r="B6096" s="10">
        <v>45337</v>
      </c>
      <c r="C6096" s="18">
        <f t="shared" si="95"/>
        <v>2</v>
      </c>
      <c r="D6096" t="s">
        <v>196</v>
      </c>
      <c r="E6096">
        <v>4872135</v>
      </c>
      <c r="F6096" t="s">
        <v>8</v>
      </c>
      <c r="G6096" t="s">
        <v>203</v>
      </c>
      <c r="H6096" t="s">
        <v>238</v>
      </c>
      <c r="I6096" s="4">
        <v>95606.36675999999</v>
      </c>
      <c r="J6096" s="4">
        <v>956063.66759999993</v>
      </c>
      <c r="K6096" s="4">
        <v>-45230.688000000002</v>
      </c>
      <c r="L6096" s="4">
        <v>10</v>
      </c>
    </row>
    <row r="6097" spans="1:12">
      <c r="A6097" t="s">
        <v>264</v>
      </c>
      <c r="B6097" s="10">
        <v>45337</v>
      </c>
      <c r="C6097" s="18">
        <f t="shared" si="95"/>
        <v>2</v>
      </c>
      <c r="D6097" t="s">
        <v>196</v>
      </c>
      <c r="E6097">
        <v>4872135</v>
      </c>
      <c r="F6097" t="s">
        <v>8</v>
      </c>
      <c r="G6097" t="s">
        <v>203</v>
      </c>
      <c r="H6097" t="s">
        <v>236</v>
      </c>
      <c r="I6097" s="4">
        <v>100638.28079999999</v>
      </c>
      <c r="J6097" s="4">
        <v>1006382.808</v>
      </c>
      <c r="K6097" s="4">
        <v>-45230.688000000002</v>
      </c>
      <c r="L6097" s="4">
        <v>10</v>
      </c>
    </row>
    <row r="6098" spans="1:12">
      <c r="A6098" t="s">
        <v>264</v>
      </c>
      <c r="B6098" s="10">
        <v>45337</v>
      </c>
      <c r="C6098" s="18">
        <f t="shared" si="95"/>
        <v>2</v>
      </c>
      <c r="D6098" t="s">
        <v>196</v>
      </c>
      <c r="E6098">
        <v>4872135</v>
      </c>
      <c r="F6098" t="s">
        <v>8</v>
      </c>
      <c r="G6098" t="s">
        <v>203</v>
      </c>
      <c r="H6098" t="s">
        <v>230</v>
      </c>
      <c r="I6098" s="4">
        <v>100638.28079999999</v>
      </c>
      <c r="J6098" s="4">
        <v>1006382.808</v>
      </c>
      <c r="K6098" s="4">
        <v>-45230.688000000002</v>
      </c>
      <c r="L6098" s="4">
        <v>10</v>
      </c>
    </row>
    <row r="6099" spans="1:12">
      <c r="A6099" t="s">
        <v>264</v>
      </c>
      <c r="B6099" s="10">
        <v>45337</v>
      </c>
      <c r="C6099" s="18">
        <f t="shared" si="95"/>
        <v>2</v>
      </c>
      <c r="D6099" t="s">
        <v>196</v>
      </c>
      <c r="E6099">
        <v>4872135</v>
      </c>
      <c r="F6099" t="s">
        <v>8</v>
      </c>
      <c r="G6099" t="s">
        <v>203</v>
      </c>
      <c r="H6099" t="s">
        <v>227</v>
      </c>
      <c r="I6099" s="4">
        <v>100638.28079999999</v>
      </c>
      <c r="J6099" s="4">
        <v>1006382.808</v>
      </c>
      <c r="K6099" s="4">
        <v>-45230.688000000002</v>
      </c>
      <c r="L6099" s="4">
        <v>10</v>
      </c>
    </row>
    <row r="6100" spans="1:12">
      <c r="A6100" t="s">
        <v>264</v>
      </c>
      <c r="B6100" s="10">
        <v>45337</v>
      </c>
      <c r="C6100" s="18">
        <f t="shared" si="95"/>
        <v>2</v>
      </c>
      <c r="D6100" t="s">
        <v>196</v>
      </c>
      <c r="E6100">
        <v>4872135</v>
      </c>
      <c r="F6100" t="s">
        <v>8</v>
      </c>
      <c r="G6100" t="s">
        <v>203</v>
      </c>
      <c r="H6100" t="s">
        <v>226</v>
      </c>
      <c r="I6100" s="4">
        <v>100638.28079999999</v>
      </c>
      <c r="J6100" s="4">
        <v>1006382.808</v>
      </c>
      <c r="K6100" s="4">
        <v>-45230.688000000002</v>
      </c>
      <c r="L6100" s="4">
        <v>10</v>
      </c>
    </row>
    <row r="6101" spans="1:12">
      <c r="A6101" t="s">
        <v>264</v>
      </c>
      <c r="B6101" s="10">
        <v>45337</v>
      </c>
      <c r="C6101" s="18">
        <f t="shared" si="95"/>
        <v>2</v>
      </c>
      <c r="D6101" t="s">
        <v>196</v>
      </c>
      <c r="E6101">
        <v>4872135</v>
      </c>
      <c r="F6101" t="s">
        <v>8</v>
      </c>
      <c r="G6101" t="s">
        <v>203</v>
      </c>
      <c r="H6101" t="s">
        <v>224</v>
      </c>
      <c r="I6101" s="4">
        <v>100638.28079999999</v>
      </c>
      <c r="J6101" s="4">
        <v>1006382.808</v>
      </c>
      <c r="K6101" s="4">
        <v>-45230.688000000002</v>
      </c>
      <c r="L6101" s="4">
        <v>10</v>
      </c>
    </row>
    <row r="6102" spans="1:12">
      <c r="A6102" t="s">
        <v>264</v>
      </c>
      <c r="B6102" s="10">
        <v>45337</v>
      </c>
      <c r="C6102" s="18">
        <f t="shared" si="95"/>
        <v>2</v>
      </c>
      <c r="D6102" t="s">
        <v>196</v>
      </c>
      <c r="E6102">
        <v>4872135</v>
      </c>
      <c r="F6102" t="s">
        <v>8</v>
      </c>
      <c r="G6102" t="s">
        <v>203</v>
      </c>
      <c r="H6102" t="s">
        <v>223</v>
      </c>
      <c r="I6102" s="4">
        <v>100638.28079999999</v>
      </c>
      <c r="J6102" s="4">
        <v>1006382.808</v>
      </c>
      <c r="K6102" s="4">
        <v>-45230.688000000002</v>
      </c>
      <c r="L6102" s="4">
        <v>10</v>
      </c>
    </row>
    <row r="6103" spans="1:12">
      <c r="A6103" t="s">
        <v>264</v>
      </c>
      <c r="B6103" s="10">
        <v>45337</v>
      </c>
      <c r="C6103" s="18">
        <f t="shared" si="95"/>
        <v>2</v>
      </c>
      <c r="D6103" t="s">
        <v>196</v>
      </c>
      <c r="E6103">
        <v>4872135</v>
      </c>
      <c r="F6103" t="s">
        <v>8</v>
      </c>
      <c r="G6103" t="s">
        <v>203</v>
      </c>
      <c r="H6103" t="s">
        <v>244</v>
      </c>
      <c r="I6103" s="4">
        <v>125766.4408</v>
      </c>
      <c r="J6103" s="4">
        <v>1257664.4080000001</v>
      </c>
      <c r="K6103" s="4">
        <v>-58422.972000000002</v>
      </c>
      <c r="L6103" s="4">
        <v>10</v>
      </c>
    </row>
    <row r="6104" spans="1:12">
      <c r="A6104" t="s">
        <v>264</v>
      </c>
      <c r="B6104" s="10">
        <v>45337</v>
      </c>
      <c r="C6104" s="18">
        <f t="shared" si="95"/>
        <v>2</v>
      </c>
      <c r="D6104" t="s">
        <v>196</v>
      </c>
      <c r="E6104">
        <v>4872135</v>
      </c>
      <c r="F6104" t="s">
        <v>8</v>
      </c>
      <c r="G6104" t="s">
        <v>203</v>
      </c>
      <c r="H6104" t="s">
        <v>241</v>
      </c>
      <c r="I6104" s="4">
        <v>125766.4408</v>
      </c>
      <c r="J6104" s="4">
        <v>1257664.4080000001</v>
      </c>
      <c r="K6104" s="4">
        <v>-58422.972000000002</v>
      </c>
      <c r="L6104" s="4">
        <v>10</v>
      </c>
    </row>
    <row r="6105" spans="1:12">
      <c r="A6105" t="s">
        <v>264</v>
      </c>
      <c r="B6105" s="10">
        <v>45337</v>
      </c>
      <c r="C6105" s="18">
        <f t="shared" si="95"/>
        <v>2</v>
      </c>
      <c r="D6105" t="s">
        <v>196</v>
      </c>
      <c r="E6105">
        <v>4872135</v>
      </c>
      <c r="F6105" t="s">
        <v>8</v>
      </c>
      <c r="G6105" t="s">
        <v>203</v>
      </c>
      <c r="H6105" t="s">
        <v>237</v>
      </c>
      <c r="I6105" s="4">
        <v>125766.4408</v>
      </c>
      <c r="J6105" s="4">
        <v>1257664.4080000001</v>
      </c>
      <c r="K6105" s="4">
        <v>-58422.972000000002</v>
      </c>
      <c r="L6105" s="4">
        <v>10</v>
      </c>
    </row>
    <row r="6106" spans="1:12">
      <c r="A6106" t="s">
        <v>264</v>
      </c>
      <c r="B6106" s="10">
        <v>45337</v>
      </c>
      <c r="C6106" s="18">
        <f t="shared" si="95"/>
        <v>2</v>
      </c>
      <c r="D6106" t="s">
        <v>196</v>
      </c>
      <c r="E6106">
        <v>4872135</v>
      </c>
      <c r="F6106" t="s">
        <v>8</v>
      </c>
      <c r="G6106" t="s">
        <v>203</v>
      </c>
      <c r="H6106" t="s">
        <v>235</v>
      </c>
      <c r="I6106" s="4">
        <v>125766.4408</v>
      </c>
      <c r="J6106" s="4">
        <v>1257664.4080000001</v>
      </c>
      <c r="K6106" s="4">
        <v>-58422.972000000002</v>
      </c>
      <c r="L6106" s="4">
        <v>10</v>
      </c>
    </row>
    <row r="6107" spans="1:12">
      <c r="A6107" t="s">
        <v>264</v>
      </c>
      <c r="B6107" s="10">
        <v>45337</v>
      </c>
      <c r="C6107" s="18">
        <f t="shared" si="95"/>
        <v>2</v>
      </c>
      <c r="D6107" t="s">
        <v>196</v>
      </c>
      <c r="E6107">
        <v>4872135</v>
      </c>
      <c r="F6107" t="s">
        <v>8</v>
      </c>
      <c r="G6107" t="s">
        <v>203</v>
      </c>
      <c r="H6107" t="s">
        <v>231</v>
      </c>
      <c r="I6107" s="4">
        <v>125766.4408</v>
      </c>
      <c r="J6107" s="4">
        <v>1257664.4080000001</v>
      </c>
      <c r="K6107" s="4">
        <v>-58422.972000000002</v>
      </c>
      <c r="L6107" s="4">
        <v>10</v>
      </c>
    </row>
    <row r="6108" spans="1:12">
      <c r="A6108" t="s">
        <v>264</v>
      </c>
      <c r="B6108" s="10">
        <v>45337</v>
      </c>
      <c r="C6108" s="18">
        <f t="shared" si="95"/>
        <v>2</v>
      </c>
      <c r="D6108" t="s">
        <v>196</v>
      </c>
      <c r="E6108">
        <v>4872208</v>
      </c>
      <c r="F6108" t="s">
        <v>8</v>
      </c>
      <c r="G6108" t="s">
        <v>203</v>
      </c>
      <c r="H6108" t="s">
        <v>245</v>
      </c>
      <c r="I6108" s="4">
        <v>100638.28079999999</v>
      </c>
      <c r="J6108" s="4">
        <v>3019148.4239999996</v>
      </c>
      <c r="K6108" s="4">
        <v>-135692.06400000001</v>
      </c>
      <c r="L6108" s="4">
        <v>30</v>
      </c>
    </row>
    <row r="6109" spans="1:12">
      <c r="A6109" t="s">
        <v>264</v>
      </c>
      <c r="B6109" s="10">
        <v>45337</v>
      </c>
      <c r="C6109" s="18">
        <f t="shared" si="95"/>
        <v>2</v>
      </c>
      <c r="D6109" t="s">
        <v>196</v>
      </c>
      <c r="E6109">
        <v>4872208</v>
      </c>
      <c r="F6109" t="s">
        <v>8</v>
      </c>
      <c r="G6109" t="s">
        <v>203</v>
      </c>
      <c r="H6109" t="s">
        <v>243</v>
      </c>
      <c r="I6109" s="4">
        <v>100638.28079999999</v>
      </c>
      <c r="J6109" s="4">
        <v>5031914.04</v>
      </c>
      <c r="K6109" s="4">
        <v>-226153.44</v>
      </c>
      <c r="L6109" s="4">
        <v>50</v>
      </c>
    </row>
    <row r="6110" spans="1:12">
      <c r="A6110" t="s">
        <v>264</v>
      </c>
      <c r="B6110" s="10">
        <v>45337</v>
      </c>
      <c r="C6110" s="18">
        <f t="shared" si="95"/>
        <v>2</v>
      </c>
      <c r="D6110" t="s">
        <v>196</v>
      </c>
      <c r="E6110">
        <v>4872208</v>
      </c>
      <c r="F6110" t="s">
        <v>8</v>
      </c>
      <c r="G6110" t="s">
        <v>203</v>
      </c>
      <c r="H6110" t="s">
        <v>242</v>
      </c>
      <c r="I6110" s="4">
        <v>100638.28079999999</v>
      </c>
      <c r="J6110" s="4">
        <v>3019148.4239999996</v>
      </c>
      <c r="K6110" s="4">
        <v>-135692.06400000001</v>
      </c>
      <c r="L6110" s="4">
        <v>30</v>
      </c>
    </row>
    <row r="6111" spans="1:12">
      <c r="A6111" t="s">
        <v>264</v>
      </c>
      <c r="B6111" s="10">
        <v>45337</v>
      </c>
      <c r="C6111" s="18">
        <f t="shared" si="95"/>
        <v>2</v>
      </c>
      <c r="D6111" t="s">
        <v>196</v>
      </c>
      <c r="E6111">
        <v>4872208</v>
      </c>
      <c r="F6111" t="s">
        <v>8</v>
      </c>
      <c r="G6111" t="s">
        <v>203</v>
      </c>
      <c r="H6111" t="s">
        <v>240</v>
      </c>
      <c r="I6111" s="4">
        <v>100638.28079999999</v>
      </c>
      <c r="J6111" s="4">
        <v>3019148.4239999996</v>
      </c>
      <c r="K6111" s="4">
        <v>-135692.06400000001</v>
      </c>
      <c r="L6111" s="4">
        <v>30</v>
      </c>
    </row>
    <row r="6112" spans="1:12">
      <c r="A6112" t="s">
        <v>264</v>
      </c>
      <c r="B6112" s="10">
        <v>45337</v>
      </c>
      <c r="C6112" s="18">
        <f t="shared" si="95"/>
        <v>2</v>
      </c>
      <c r="D6112" t="s">
        <v>196</v>
      </c>
      <c r="E6112">
        <v>4872208</v>
      </c>
      <c r="F6112" t="s">
        <v>8</v>
      </c>
      <c r="G6112" t="s">
        <v>203</v>
      </c>
      <c r="H6112" t="s">
        <v>238</v>
      </c>
      <c r="I6112" s="4">
        <v>95606.36675999999</v>
      </c>
      <c r="J6112" s="4">
        <v>4780318.3379999995</v>
      </c>
      <c r="K6112" s="4">
        <v>-226153.44</v>
      </c>
      <c r="L6112" s="4">
        <v>50</v>
      </c>
    </row>
    <row r="6113" spans="1:12">
      <c r="A6113" t="s">
        <v>264</v>
      </c>
      <c r="B6113" s="10">
        <v>45337</v>
      </c>
      <c r="C6113" s="18">
        <f t="shared" si="95"/>
        <v>2</v>
      </c>
      <c r="D6113" t="s">
        <v>196</v>
      </c>
      <c r="E6113">
        <v>4872208</v>
      </c>
      <c r="F6113" t="s">
        <v>8</v>
      </c>
      <c r="G6113" t="s">
        <v>203</v>
      </c>
      <c r="H6113" t="s">
        <v>236</v>
      </c>
      <c r="I6113" s="4">
        <v>100638.28079999999</v>
      </c>
      <c r="J6113" s="4">
        <v>5031914.04</v>
      </c>
      <c r="K6113" s="4">
        <v>-226153.44</v>
      </c>
      <c r="L6113" s="4">
        <v>50</v>
      </c>
    </row>
    <row r="6114" spans="1:12">
      <c r="A6114" t="s">
        <v>264</v>
      </c>
      <c r="B6114" s="10">
        <v>45337</v>
      </c>
      <c r="C6114" s="18">
        <f t="shared" si="95"/>
        <v>2</v>
      </c>
      <c r="D6114" t="s">
        <v>196</v>
      </c>
      <c r="E6114">
        <v>4872208</v>
      </c>
      <c r="F6114" t="s">
        <v>8</v>
      </c>
      <c r="G6114" t="s">
        <v>203</v>
      </c>
      <c r="H6114" t="s">
        <v>234</v>
      </c>
      <c r="I6114" s="4">
        <v>100638.28079999999</v>
      </c>
      <c r="J6114" s="4">
        <v>3220424.9855999998</v>
      </c>
      <c r="K6114" s="4">
        <v>-144738.2016</v>
      </c>
      <c r="L6114" s="4">
        <v>32</v>
      </c>
    </row>
    <row r="6115" spans="1:12">
      <c r="A6115" t="s">
        <v>264</v>
      </c>
      <c r="B6115" s="10">
        <v>45337</v>
      </c>
      <c r="C6115" s="18">
        <f t="shared" si="95"/>
        <v>2</v>
      </c>
      <c r="D6115" t="s">
        <v>196</v>
      </c>
      <c r="E6115">
        <v>4872208</v>
      </c>
      <c r="F6115" t="s">
        <v>8</v>
      </c>
      <c r="G6115" t="s">
        <v>203</v>
      </c>
      <c r="H6115" t="s">
        <v>232</v>
      </c>
      <c r="I6115" s="4">
        <v>100638.28079999999</v>
      </c>
      <c r="J6115" s="4">
        <v>3019148.4239999996</v>
      </c>
      <c r="K6115" s="4">
        <v>-135692.06400000001</v>
      </c>
      <c r="L6115" s="4">
        <v>30</v>
      </c>
    </row>
    <row r="6116" spans="1:12">
      <c r="A6116" t="s">
        <v>264</v>
      </c>
      <c r="B6116" s="10">
        <v>45337</v>
      </c>
      <c r="C6116" s="18">
        <f t="shared" si="95"/>
        <v>2</v>
      </c>
      <c r="D6116" t="s">
        <v>196</v>
      </c>
      <c r="E6116">
        <v>4872208</v>
      </c>
      <c r="F6116" t="s">
        <v>8</v>
      </c>
      <c r="G6116" t="s">
        <v>203</v>
      </c>
      <c r="H6116" t="s">
        <v>230</v>
      </c>
      <c r="I6116" s="4">
        <v>100638.28079999999</v>
      </c>
      <c r="J6116" s="4">
        <v>1006382.808</v>
      </c>
      <c r="K6116" s="4">
        <v>-45230.688000000002</v>
      </c>
      <c r="L6116" s="4">
        <v>10</v>
      </c>
    </row>
    <row r="6117" spans="1:12">
      <c r="A6117" t="s">
        <v>264</v>
      </c>
      <c r="B6117" s="10">
        <v>45337</v>
      </c>
      <c r="C6117" s="18">
        <f t="shared" si="95"/>
        <v>2</v>
      </c>
      <c r="D6117" t="s">
        <v>196</v>
      </c>
      <c r="E6117">
        <v>4872208</v>
      </c>
      <c r="F6117" t="s">
        <v>8</v>
      </c>
      <c r="G6117" t="s">
        <v>203</v>
      </c>
      <c r="H6117" t="s">
        <v>228</v>
      </c>
      <c r="I6117" s="4">
        <v>100638.28079999999</v>
      </c>
      <c r="J6117" s="4">
        <v>3019148.4239999996</v>
      </c>
      <c r="K6117" s="4">
        <v>-135692.06400000001</v>
      </c>
      <c r="L6117" s="4">
        <v>30</v>
      </c>
    </row>
    <row r="6118" spans="1:12">
      <c r="A6118" t="s">
        <v>264</v>
      </c>
      <c r="B6118" s="10">
        <v>45337</v>
      </c>
      <c r="C6118" s="18">
        <f t="shared" si="95"/>
        <v>2</v>
      </c>
      <c r="D6118" t="s">
        <v>196</v>
      </c>
      <c r="E6118">
        <v>4872208</v>
      </c>
      <c r="F6118" t="s">
        <v>8</v>
      </c>
      <c r="G6118" t="s">
        <v>203</v>
      </c>
      <c r="H6118" t="s">
        <v>227</v>
      </c>
      <c r="I6118" s="4">
        <v>100638.28079999999</v>
      </c>
      <c r="J6118" s="4">
        <v>5031914.04</v>
      </c>
      <c r="K6118" s="4">
        <v>-226153.44</v>
      </c>
      <c r="L6118" s="4">
        <v>50</v>
      </c>
    </row>
    <row r="6119" spans="1:12">
      <c r="A6119" t="s">
        <v>264</v>
      </c>
      <c r="B6119" s="10">
        <v>45337</v>
      </c>
      <c r="C6119" s="18">
        <f t="shared" si="95"/>
        <v>2</v>
      </c>
      <c r="D6119" t="s">
        <v>196</v>
      </c>
      <c r="E6119">
        <v>4872208</v>
      </c>
      <c r="F6119" t="s">
        <v>8</v>
      </c>
      <c r="G6119" t="s">
        <v>203</v>
      </c>
      <c r="H6119" t="s">
        <v>226</v>
      </c>
      <c r="I6119" s="4">
        <v>100638.28079999999</v>
      </c>
      <c r="J6119" s="4">
        <v>2012765.6159999999</v>
      </c>
      <c r="K6119" s="4">
        <v>-90461.376000000004</v>
      </c>
      <c r="L6119" s="4">
        <v>20</v>
      </c>
    </row>
    <row r="6120" spans="1:12">
      <c r="A6120" t="s">
        <v>264</v>
      </c>
      <c r="B6120" s="10">
        <v>45337</v>
      </c>
      <c r="C6120" s="18">
        <f t="shared" si="95"/>
        <v>2</v>
      </c>
      <c r="D6120" t="s">
        <v>196</v>
      </c>
      <c r="E6120">
        <v>4872208</v>
      </c>
      <c r="F6120" t="s">
        <v>8</v>
      </c>
      <c r="G6120" t="s">
        <v>203</v>
      </c>
      <c r="H6120" t="s">
        <v>225</v>
      </c>
      <c r="I6120" s="4">
        <v>100638.28079999999</v>
      </c>
      <c r="J6120" s="4">
        <v>3019148.4239999996</v>
      </c>
      <c r="K6120" s="4">
        <v>-135692.06400000001</v>
      </c>
      <c r="L6120" s="4">
        <v>30</v>
      </c>
    </row>
    <row r="6121" spans="1:12">
      <c r="A6121" t="s">
        <v>264</v>
      </c>
      <c r="B6121" s="10">
        <v>45337</v>
      </c>
      <c r="C6121" s="18">
        <f t="shared" si="95"/>
        <v>2</v>
      </c>
      <c r="D6121" t="s">
        <v>196</v>
      </c>
      <c r="E6121">
        <v>4872208</v>
      </c>
      <c r="F6121" t="s">
        <v>8</v>
      </c>
      <c r="G6121" t="s">
        <v>203</v>
      </c>
      <c r="H6121" t="s">
        <v>224</v>
      </c>
      <c r="I6121" s="4">
        <v>100638.28079999999</v>
      </c>
      <c r="J6121" s="4">
        <v>2012765.6159999999</v>
      </c>
      <c r="K6121" s="4">
        <v>-90461.376000000004</v>
      </c>
      <c r="L6121" s="4">
        <v>20</v>
      </c>
    </row>
    <row r="6122" spans="1:12">
      <c r="A6122" t="s">
        <v>264</v>
      </c>
      <c r="B6122" s="10">
        <v>45337</v>
      </c>
      <c r="C6122" s="18">
        <f t="shared" si="95"/>
        <v>2</v>
      </c>
      <c r="D6122" t="s">
        <v>196</v>
      </c>
      <c r="E6122">
        <v>4872208</v>
      </c>
      <c r="F6122" t="s">
        <v>8</v>
      </c>
      <c r="G6122" t="s">
        <v>203</v>
      </c>
      <c r="H6122" t="s">
        <v>222</v>
      </c>
      <c r="I6122" s="4">
        <v>100638.28079999999</v>
      </c>
      <c r="J6122" s="4">
        <v>5434467.1631999994</v>
      </c>
      <c r="K6122" s="4">
        <v>-244245.71520000001</v>
      </c>
      <c r="L6122" s="4">
        <v>54</v>
      </c>
    </row>
    <row r="6123" spans="1:12">
      <c r="A6123" t="s">
        <v>264</v>
      </c>
      <c r="B6123" s="10">
        <v>45338</v>
      </c>
      <c r="C6123" s="18">
        <f t="shared" si="95"/>
        <v>2</v>
      </c>
      <c r="D6123" t="s">
        <v>196</v>
      </c>
      <c r="E6123">
        <v>4877269</v>
      </c>
      <c r="F6123" t="s">
        <v>8</v>
      </c>
      <c r="G6123" t="s">
        <v>204</v>
      </c>
      <c r="H6123" t="s">
        <v>217</v>
      </c>
      <c r="I6123" s="4">
        <v>78022.936799999996</v>
      </c>
      <c r="J6123" s="4">
        <v>780229.36800000002</v>
      </c>
      <c r="K6123" s="4">
        <v>-35807.628000000004</v>
      </c>
      <c r="L6123" s="4">
        <v>10</v>
      </c>
    </row>
    <row r="6124" spans="1:12">
      <c r="A6124" t="s">
        <v>264</v>
      </c>
      <c r="B6124" s="10">
        <v>45338</v>
      </c>
      <c r="C6124" s="18">
        <f t="shared" si="95"/>
        <v>2</v>
      </c>
      <c r="D6124" t="s">
        <v>196</v>
      </c>
      <c r="E6124">
        <v>4878748</v>
      </c>
      <c r="F6124" t="s">
        <v>8</v>
      </c>
      <c r="G6124" t="s">
        <v>202</v>
      </c>
      <c r="H6124" t="s">
        <v>259</v>
      </c>
      <c r="I6124" s="4">
        <v>30279.432800000002</v>
      </c>
      <c r="J6124" s="4">
        <v>30279.432800000002</v>
      </c>
      <c r="K6124" s="4">
        <v>-1507.6895999999999</v>
      </c>
      <c r="L6124" s="4">
        <v>1</v>
      </c>
    </row>
    <row r="6125" spans="1:12">
      <c r="A6125" t="s">
        <v>264</v>
      </c>
      <c r="B6125" s="10">
        <v>45338</v>
      </c>
      <c r="C6125" s="18">
        <f t="shared" si="95"/>
        <v>2</v>
      </c>
      <c r="D6125" t="s">
        <v>196</v>
      </c>
      <c r="E6125">
        <v>4873806</v>
      </c>
      <c r="F6125" t="s">
        <v>8</v>
      </c>
      <c r="G6125" t="s">
        <v>202</v>
      </c>
      <c r="H6125" t="s">
        <v>259</v>
      </c>
      <c r="I6125" s="4">
        <v>30279.432800000002</v>
      </c>
      <c r="J6125" s="4">
        <v>5056665.2776000006</v>
      </c>
      <c r="K6125" s="4">
        <v>-251784.16319999998</v>
      </c>
      <c r="L6125" s="4">
        <v>167</v>
      </c>
    </row>
    <row r="6126" spans="1:12">
      <c r="A6126" t="s">
        <v>264</v>
      </c>
      <c r="B6126" s="10">
        <v>45339</v>
      </c>
      <c r="C6126" s="18">
        <f t="shared" si="95"/>
        <v>2</v>
      </c>
      <c r="D6126" t="s">
        <v>196</v>
      </c>
      <c r="E6126">
        <v>4874586</v>
      </c>
      <c r="F6126" t="s">
        <v>8</v>
      </c>
      <c r="G6126" t="s">
        <v>204</v>
      </c>
      <c r="H6126" t="s">
        <v>218</v>
      </c>
      <c r="I6126" s="4">
        <v>71740.896800000002</v>
      </c>
      <c r="J6126" s="4">
        <v>1291336.1424</v>
      </c>
      <c r="K6126" s="4">
        <v>-64453.7304</v>
      </c>
      <c r="L6126" s="4">
        <v>18</v>
      </c>
    </row>
    <row r="6127" spans="1:12">
      <c r="A6127" t="s">
        <v>264</v>
      </c>
      <c r="B6127" s="10">
        <v>45339</v>
      </c>
      <c r="C6127" s="18">
        <f t="shared" si="95"/>
        <v>2</v>
      </c>
      <c r="D6127" t="s">
        <v>196</v>
      </c>
      <c r="E6127">
        <v>4874586</v>
      </c>
      <c r="F6127" t="s">
        <v>8</v>
      </c>
      <c r="G6127" t="s">
        <v>204</v>
      </c>
      <c r="H6127" t="s">
        <v>214</v>
      </c>
      <c r="I6127" s="4">
        <v>119484.4008</v>
      </c>
      <c r="J6127" s="4">
        <v>1672781.6112000002</v>
      </c>
      <c r="K6127" s="4">
        <v>-83551.131999999998</v>
      </c>
      <c r="L6127" s="4">
        <v>14</v>
      </c>
    </row>
    <row r="6128" spans="1:12">
      <c r="A6128" t="s">
        <v>264</v>
      </c>
      <c r="B6128" s="10">
        <v>45339</v>
      </c>
      <c r="C6128" s="18">
        <f t="shared" si="95"/>
        <v>2</v>
      </c>
      <c r="D6128" t="s">
        <v>196</v>
      </c>
      <c r="E6128">
        <v>4875440</v>
      </c>
      <c r="F6128" t="s">
        <v>8</v>
      </c>
      <c r="G6128" t="s">
        <v>203</v>
      </c>
      <c r="H6128" t="s">
        <v>245</v>
      </c>
      <c r="I6128" s="4">
        <v>100638.28079999999</v>
      </c>
      <c r="J6128" s="4">
        <v>201276.56159999999</v>
      </c>
      <c r="K6128" s="4">
        <v>-9046.1376</v>
      </c>
      <c r="L6128" s="4">
        <v>2</v>
      </c>
    </row>
    <row r="6129" spans="1:12">
      <c r="A6129" t="s">
        <v>264</v>
      </c>
      <c r="B6129" s="10">
        <v>45339</v>
      </c>
      <c r="C6129" s="18">
        <f t="shared" si="95"/>
        <v>2</v>
      </c>
      <c r="D6129" t="s">
        <v>196</v>
      </c>
      <c r="E6129">
        <v>4875440</v>
      </c>
      <c r="F6129" t="s">
        <v>8</v>
      </c>
      <c r="G6129" t="s">
        <v>203</v>
      </c>
      <c r="H6129" t="s">
        <v>243</v>
      </c>
      <c r="I6129" s="4">
        <v>100638.28079999999</v>
      </c>
      <c r="J6129" s="4">
        <v>201276.56159999999</v>
      </c>
      <c r="K6129" s="4">
        <v>-9046.1376</v>
      </c>
      <c r="L6129" s="4">
        <v>2</v>
      </c>
    </row>
    <row r="6130" spans="1:12">
      <c r="A6130" t="s">
        <v>264</v>
      </c>
      <c r="B6130" s="10">
        <v>45339</v>
      </c>
      <c r="C6130" s="18">
        <f t="shared" si="95"/>
        <v>2</v>
      </c>
      <c r="D6130" t="s">
        <v>196</v>
      </c>
      <c r="E6130">
        <v>4875440</v>
      </c>
      <c r="F6130" t="s">
        <v>8</v>
      </c>
      <c r="G6130" t="s">
        <v>203</v>
      </c>
      <c r="H6130" t="s">
        <v>240</v>
      </c>
      <c r="I6130" s="4">
        <v>100638.28079999999</v>
      </c>
      <c r="J6130" s="4">
        <v>201276.56159999999</v>
      </c>
      <c r="K6130" s="4">
        <v>-9046.1376</v>
      </c>
      <c r="L6130" s="4">
        <v>2</v>
      </c>
    </row>
    <row r="6131" spans="1:12">
      <c r="A6131" t="s">
        <v>264</v>
      </c>
      <c r="B6131" s="10">
        <v>45339</v>
      </c>
      <c r="C6131" s="18">
        <f t="shared" si="95"/>
        <v>2</v>
      </c>
      <c r="D6131" t="s">
        <v>196</v>
      </c>
      <c r="E6131">
        <v>4875440</v>
      </c>
      <c r="F6131" t="s">
        <v>8</v>
      </c>
      <c r="G6131" t="s">
        <v>203</v>
      </c>
      <c r="H6131" t="s">
        <v>238</v>
      </c>
      <c r="I6131" s="4">
        <v>95606.36675999999</v>
      </c>
      <c r="J6131" s="4">
        <v>191212.73351999998</v>
      </c>
      <c r="K6131" s="4">
        <v>-9046.1376</v>
      </c>
      <c r="L6131" s="4">
        <v>2</v>
      </c>
    </row>
    <row r="6132" spans="1:12">
      <c r="A6132" t="s">
        <v>264</v>
      </c>
      <c r="B6132" s="10">
        <v>45339</v>
      </c>
      <c r="C6132" s="18">
        <f t="shared" si="95"/>
        <v>2</v>
      </c>
      <c r="D6132" t="s">
        <v>196</v>
      </c>
      <c r="E6132">
        <v>4875440</v>
      </c>
      <c r="F6132" t="s">
        <v>8</v>
      </c>
      <c r="G6132" t="s">
        <v>203</v>
      </c>
      <c r="H6132" t="s">
        <v>234</v>
      </c>
      <c r="I6132" s="4">
        <v>100638.28079999999</v>
      </c>
      <c r="J6132" s="4">
        <v>201276.56159999999</v>
      </c>
      <c r="K6132" s="4">
        <v>-9046.1376</v>
      </c>
      <c r="L6132" s="4">
        <v>2</v>
      </c>
    </row>
    <row r="6133" spans="1:12">
      <c r="A6133" t="s">
        <v>264</v>
      </c>
      <c r="B6133" s="10">
        <v>45339</v>
      </c>
      <c r="C6133" s="18">
        <f t="shared" si="95"/>
        <v>2</v>
      </c>
      <c r="D6133" t="s">
        <v>196</v>
      </c>
      <c r="E6133">
        <v>4875779</v>
      </c>
      <c r="F6133" t="s">
        <v>8</v>
      </c>
      <c r="G6133" t="s">
        <v>204</v>
      </c>
      <c r="H6133" t="s">
        <v>214</v>
      </c>
      <c r="I6133" s="4">
        <v>119484.4008</v>
      </c>
      <c r="J6133" s="4">
        <v>716906.40480000002</v>
      </c>
      <c r="K6133" s="4">
        <v>-35807.628000000004</v>
      </c>
      <c r="L6133" s="4">
        <v>6</v>
      </c>
    </row>
    <row r="6134" spans="1:12">
      <c r="A6134" t="s">
        <v>264</v>
      </c>
      <c r="B6134" s="10">
        <v>45340</v>
      </c>
      <c r="C6134" s="18">
        <f t="shared" si="95"/>
        <v>2</v>
      </c>
      <c r="D6134" t="s">
        <v>196</v>
      </c>
      <c r="E6134">
        <v>4871600</v>
      </c>
      <c r="F6134" t="s">
        <v>8</v>
      </c>
      <c r="G6134" t="s">
        <v>202</v>
      </c>
      <c r="H6134" t="s">
        <v>256</v>
      </c>
      <c r="I6134" s="4">
        <v>64202.448800000006</v>
      </c>
      <c r="J6134" s="4">
        <v>256809.79520000002</v>
      </c>
      <c r="K6134" s="4">
        <v>-12815.3616</v>
      </c>
      <c r="L6134" s="4">
        <v>4</v>
      </c>
    </row>
    <row r="6135" spans="1:12">
      <c r="A6135" t="s">
        <v>264</v>
      </c>
      <c r="B6135" s="10">
        <v>45340</v>
      </c>
      <c r="C6135" s="18">
        <f t="shared" si="95"/>
        <v>2</v>
      </c>
      <c r="D6135" t="s">
        <v>196</v>
      </c>
      <c r="E6135">
        <v>4872706</v>
      </c>
      <c r="F6135" t="s">
        <v>8</v>
      </c>
      <c r="G6135" t="s">
        <v>202</v>
      </c>
      <c r="H6135" t="s">
        <v>257</v>
      </c>
      <c r="I6135" s="4">
        <v>56664.000799999994</v>
      </c>
      <c r="J6135" s="4">
        <v>1133280.0159999998</v>
      </c>
      <c r="K6135" s="4">
        <v>-56538.36</v>
      </c>
      <c r="L6135" s="4">
        <v>20</v>
      </c>
    </row>
    <row r="6136" spans="1:12">
      <c r="A6136" t="s">
        <v>264</v>
      </c>
      <c r="B6136" s="10">
        <v>45340</v>
      </c>
      <c r="C6136" s="18">
        <f t="shared" si="95"/>
        <v>2</v>
      </c>
      <c r="D6136" t="s">
        <v>196</v>
      </c>
      <c r="E6136">
        <v>4878825</v>
      </c>
      <c r="F6136" t="s">
        <v>8</v>
      </c>
      <c r="G6136" t="s">
        <v>204</v>
      </c>
      <c r="H6136" t="s">
        <v>219</v>
      </c>
      <c r="I6136" s="4">
        <v>44099.9208</v>
      </c>
      <c r="J6136" s="4">
        <v>220499.60399999999</v>
      </c>
      <c r="K6136" s="4">
        <v>-9423.06</v>
      </c>
      <c r="L6136" s="4">
        <v>5</v>
      </c>
    </row>
    <row r="6137" spans="1:12">
      <c r="A6137" t="s">
        <v>264</v>
      </c>
      <c r="B6137" s="10">
        <v>45340</v>
      </c>
      <c r="C6137" s="18">
        <f t="shared" si="95"/>
        <v>2</v>
      </c>
      <c r="D6137" t="s">
        <v>196</v>
      </c>
      <c r="E6137">
        <v>4878825</v>
      </c>
      <c r="F6137" t="s">
        <v>8</v>
      </c>
      <c r="G6137" t="s">
        <v>204</v>
      </c>
      <c r="H6137" t="s">
        <v>218</v>
      </c>
      <c r="I6137" s="4">
        <v>71740.896800000002</v>
      </c>
      <c r="J6137" s="4">
        <v>358704.484</v>
      </c>
      <c r="K6137" s="4">
        <v>-17903.814000000002</v>
      </c>
      <c r="L6137" s="4">
        <v>5</v>
      </c>
    </row>
    <row r="6138" spans="1:12">
      <c r="A6138" t="s">
        <v>264</v>
      </c>
      <c r="B6138" s="10">
        <v>45340</v>
      </c>
      <c r="C6138" s="18">
        <f t="shared" si="95"/>
        <v>2</v>
      </c>
      <c r="D6138" t="s">
        <v>196</v>
      </c>
      <c r="E6138">
        <v>4878825</v>
      </c>
      <c r="F6138" t="s">
        <v>8</v>
      </c>
      <c r="G6138" t="s">
        <v>204</v>
      </c>
      <c r="H6138" t="s">
        <v>217</v>
      </c>
      <c r="I6138" s="4">
        <v>78022.936799999996</v>
      </c>
      <c r="J6138" s="4">
        <v>546160.55759999994</v>
      </c>
      <c r="K6138" s="4">
        <v>-25065.339600000003</v>
      </c>
      <c r="L6138" s="4">
        <v>7</v>
      </c>
    </row>
    <row r="6139" spans="1:12">
      <c r="A6139" t="s">
        <v>264</v>
      </c>
      <c r="B6139" s="10">
        <v>45340</v>
      </c>
      <c r="C6139" s="18">
        <f t="shared" si="95"/>
        <v>2</v>
      </c>
      <c r="D6139" t="s">
        <v>196</v>
      </c>
      <c r="E6139">
        <v>4878825</v>
      </c>
      <c r="F6139" t="s">
        <v>8</v>
      </c>
      <c r="G6139" t="s">
        <v>204</v>
      </c>
      <c r="H6139" t="s">
        <v>216</v>
      </c>
      <c r="I6139" s="4">
        <v>113202.36079999999</v>
      </c>
      <c r="J6139" s="4">
        <v>566011.804</v>
      </c>
      <c r="K6139" s="4">
        <v>-28269.18</v>
      </c>
      <c r="L6139" s="4">
        <v>5</v>
      </c>
    </row>
    <row r="6140" spans="1:12">
      <c r="A6140" t="s">
        <v>264</v>
      </c>
      <c r="B6140" s="10">
        <v>45340</v>
      </c>
      <c r="C6140" s="18">
        <f t="shared" si="95"/>
        <v>2</v>
      </c>
      <c r="D6140" t="s">
        <v>196</v>
      </c>
      <c r="E6140">
        <v>4878825</v>
      </c>
      <c r="F6140" t="s">
        <v>8</v>
      </c>
      <c r="G6140" t="s">
        <v>204</v>
      </c>
      <c r="H6140" t="s">
        <v>212</v>
      </c>
      <c r="I6140" s="4">
        <v>62946.040799999995</v>
      </c>
      <c r="J6140" s="4">
        <v>377676.24479999999</v>
      </c>
      <c r="K6140" s="4">
        <v>-11307.672</v>
      </c>
      <c r="L6140" s="4">
        <v>6</v>
      </c>
    </row>
    <row r="6141" spans="1:12">
      <c r="A6141" t="s">
        <v>264</v>
      </c>
      <c r="B6141" s="10">
        <v>45340</v>
      </c>
      <c r="C6141" s="18">
        <f t="shared" si="95"/>
        <v>2</v>
      </c>
      <c r="D6141" t="s">
        <v>196</v>
      </c>
      <c r="E6141">
        <v>4873723</v>
      </c>
      <c r="F6141" t="s">
        <v>8</v>
      </c>
      <c r="G6141" t="s">
        <v>204</v>
      </c>
      <c r="H6141" t="s">
        <v>218</v>
      </c>
      <c r="I6141" s="4">
        <v>71740.896800000002</v>
      </c>
      <c r="J6141" s="4">
        <v>2008745.1104000001</v>
      </c>
      <c r="K6141" s="4">
        <v>-100261.35840000001</v>
      </c>
      <c r="L6141" s="4">
        <v>28</v>
      </c>
    </row>
    <row r="6142" spans="1:12">
      <c r="A6142" t="s">
        <v>264</v>
      </c>
      <c r="B6142" s="10">
        <v>45340</v>
      </c>
      <c r="C6142" s="18">
        <f t="shared" si="95"/>
        <v>2</v>
      </c>
      <c r="D6142" t="s">
        <v>196</v>
      </c>
      <c r="E6142">
        <v>4873723</v>
      </c>
      <c r="F6142" t="s">
        <v>8</v>
      </c>
      <c r="G6142" t="s">
        <v>204</v>
      </c>
      <c r="H6142" t="s">
        <v>214</v>
      </c>
      <c r="I6142" s="4">
        <v>119484.4008</v>
      </c>
      <c r="J6142" s="4">
        <v>477937.60320000001</v>
      </c>
      <c r="K6142" s="4">
        <v>-23871.752</v>
      </c>
      <c r="L6142" s="4">
        <v>4</v>
      </c>
    </row>
    <row r="6143" spans="1:12">
      <c r="A6143" t="s">
        <v>264</v>
      </c>
      <c r="B6143" s="10">
        <v>45340</v>
      </c>
      <c r="C6143" s="18">
        <f t="shared" si="95"/>
        <v>2</v>
      </c>
      <c r="D6143" t="s">
        <v>196</v>
      </c>
      <c r="E6143">
        <v>4873723</v>
      </c>
      <c r="F6143" t="s">
        <v>8</v>
      </c>
      <c r="G6143" t="s">
        <v>204</v>
      </c>
      <c r="H6143" t="s">
        <v>221</v>
      </c>
      <c r="I6143" s="4">
        <v>25253.800799999997</v>
      </c>
      <c r="J6143" s="4">
        <v>505076.01599999995</v>
      </c>
      <c r="K6143" s="4">
        <v>-25128.16</v>
      </c>
      <c r="L6143" s="4">
        <v>20</v>
      </c>
    </row>
    <row r="6144" spans="1:12">
      <c r="A6144" t="s">
        <v>264</v>
      </c>
      <c r="B6144" s="10">
        <v>45340</v>
      </c>
      <c r="C6144" s="18">
        <f t="shared" si="95"/>
        <v>2</v>
      </c>
      <c r="D6144" t="s">
        <v>196</v>
      </c>
      <c r="E6144">
        <v>4873723</v>
      </c>
      <c r="F6144" t="s">
        <v>8</v>
      </c>
      <c r="G6144" t="s">
        <v>204</v>
      </c>
      <c r="H6144" t="s">
        <v>220</v>
      </c>
      <c r="I6144" s="4">
        <v>37817.880799999999</v>
      </c>
      <c r="J6144" s="4">
        <v>415996.6888</v>
      </c>
      <c r="K6144" s="4">
        <v>-20730.732</v>
      </c>
      <c r="L6144" s="4">
        <v>11</v>
      </c>
    </row>
    <row r="6145" spans="1:12">
      <c r="A6145" t="s">
        <v>264</v>
      </c>
      <c r="B6145" s="10">
        <v>45340</v>
      </c>
      <c r="C6145" s="18">
        <f t="shared" si="95"/>
        <v>2</v>
      </c>
      <c r="D6145" t="s">
        <v>196</v>
      </c>
      <c r="E6145">
        <v>4877306</v>
      </c>
      <c r="F6145" t="s">
        <v>8</v>
      </c>
      <c r="G6145" t="s">
        <v>203</v>
      </c>
      <c r="H6145" t="s">
        <v>245</v>
      </c>
      <c r="I6145" s="4">
        <v>100638.28079999999</v>
      </c>
      <c r="J6145" s="4">
        <v>603829.68479999993</v>
      </c>
      <c r="K6145" s="4">
        <v>-27138.412800000002</v>
      </c>
      <c r="L6145" s="4">
        <v>6</v>
      </c>
    </row>
    <row r="6146" spans="1:12">
      <c r="A6146" t="s">
        <v>264</v>
      </c>
      <c r="B6146" s="10">
        <v>45340</v>
      </c>
      <c r="C6146" s="18">
        <f t="shared" ref="C6146:C6209" si="96">MONTH(B6146)</f>
        <v>2</v>
      </c>
      <c r="D6146" t="s">
        <v>196</v>
      </c>
      <c r="E6146">
        <v>4877306</v>
      </c>
      <c r="F6146" t="s">
        <v>8</v>
      </c>
      <c r="G6146" t="s">
        <v>203</v>
      </c>
      <c r="H6146" t="s">
        <v>240</v>
      </c>
      <c r="I6146" s="4">
        <v>100638.28079999999</v>
      </c>
      <c r="J6146" s="4">
        <v>603829.68479999993</v>
      </c>
      <c r="K6146" s="4">
        <v>-27138.412800000002</v>
      </c>
      <c r="L6146" s="4">
        <v>6</v>
      </c>
    </row>
    <row r="6147" spans="1:12">
      <c r="A6147" t="s">
        <v>264</v>
      </c>
      <c r="B6147" s="10">
        <v>45340</v>
      </c>
      <c r="C6147" s="18">
        <f t="shared" si="96"/>
        <v>2</v>
      </c>
      <c r="D6147" t="s">
        <v>196</v>
      </c>
      <c r="E6147">
        <v>4877306</v>
      </c>
      <c r="F6147" t="s">
        <v>8</v>
      </c>
      <c r="G6147" t="s">
        <v>203</v>
      </c>
      <c r="H6147" t="s">
        <v>238</v>
      </c>
      <c r="I6147" s="4">
        <v>95606.36675999999</v>
      </c>
      <c r="J6147" s="4">
        <v>573638.20055999991</v>
      </c>
      <c r="K6147" s="4">
        <v>-27138.412800000002</v>
      </c>
      <c r="L6147" s="4">
        <v>6</v>
      </c>
    </row>
    <row r="6148" spans="1:12">
      <c r="A6148" t="s">
        <v>264</v>
      </c>
      <c r="B6148" s="10">
        <v>45340</v>
      </c>
      <c r="C6148" s="18">
        <f t="shared" si="96"/>
        <v>2</v>
      </c>
      <c r="D6148" t="s">
        <v>196</v>
      </c>
      <c r="E6148">
        <v>4877306</v>
      </c>
      <c r="F6148" t="s">
        <v>8</v>
      </c>
      <c r="G6148" t="s">
        <v>203</v>
      </c>
      <c r="H6148" t="s">
        <v>226</v>
      </c>
      <c r="I6148" s="4">
        <v>100638.28079999999</v>
      </c>
      <c r="J6148" s="4">
        <v>402553.12319999997</v>
      </c>
      <c r="K6148" s="4">
        <v>-18092.2752</v>
      </c>
      <c r="L6148" s="4">
        <v>4</v>
      </c>
    </row>
    <row r="6149" spans="1:12">
      <c r="A6149" t="s">
        <v>264</v>
      </c>
      <c r="B6149" s="10">
        <v>45341</v>
      </c>
      <c r="C6149" s="18">
        <f t="shared" si="96"/>
        <v>2</v>
      </c>
      <c r="D6149" t="s">
        <v>196</v>
      </c>
      <c r="E6149">
        <v>4871600</v>
      </c>
      <c r="F6149" t="s">
        <v>8</v>
      </c>
      <c r="G6149" t="s">
        <v>204</v>
      </c>
      <c r="H6149" t="s">
        <v>216</v>
      </c>
      <c r="I6149" s="4">
        <v>113202.36079999999</v>
      </c>
      <c r="J6149" s="4">
        <v>1132023.608</v>
      </c>
      <c r="K6149" s="4">
        <v>-56538.36</v>
      </c>
      <c r="L6149" s="4">
        <v>10</v>
      </c>
    </row>
    <row r="6150" spans="1:12">
      <c r="A6150" t="s">
        <v>264</v>
      </c>
      <c r="B6150" s="10">
        <v>45341</v>
      </c>
      <c r="C6150" s="18">
        <f t="shared" si="96"/>
        <v>2</v>
      </c>
      <c r="D6150" t="s">
        <v>196</v>
      </c>
      <c r="E6150">
        <v>4871600</v>
      </c>
      <c r="F6150" t="s">
        <v>8</v>
      </c>
      <c r="G6150" t="s">
        <v>204</v>
      </c>
      <c r="H6150" t="s">
        <v>213</v>
      </c>
      <c r="I6150" s="4">
        <v>119484.4008</v>
      </c>
      <c r="J6150" s="4">
        <v>1433812.8096</v>
      </c>
      <c r="K6150" s="4">
        <v>-71615.256000000008</v>
      </c>
      <c r="L6150" s="4">
        <v>12</v>
      </c>
    </row>
    <row r="6151" spans="1:12">
      <c r="A6151" t="s">
        <v>264</v>
      </c>
      <c r="B6151" s="10">
        <v>45341</v>
      </c>
      <c r="C6151" s="18">
        <f t="shared" si="96"/>
        <v>2</v>
      </c>
      <c r="D6151" t="s">
        <v>196</v>
      </c>
      <c r="E6151">
        <v>4876950</v>
      </c>
      <c r="F6151" t="s">
        <v>8</v>
      </c>
      <c r="G6151" t="s">
        <v>202</v>
      </c>
      <c r="H6151" t="s">
        <v>259</v>
      </c>
      <c r="I6151" s="4">
        <v>30279.432800000002</v>
      </c>
      <c r="J6151" s="4">
        <v>1211177.3120000002</v>
      </c>
      <c r="K6151" s="4">
        <v>-60307.583999999995</v>
      </c>
      <c r="L6151" s="4">
        <v>40</v>
      </c>
    </row>
    <row r="6152" spans="1:12">
      <c r="A6152" t="s">
        <v>264</v>
      </c>
      <c r="B6152" s="10">
        <v>45341</v>
      </c>
      <c r="C6152" s="18">
        <f t="shared" si="96"/>
        <v>2</v>
      </c>
      <c r="D6152" t="s">
        <v>196</v>
      </c>
      <c r="E6152">
        <v>4873723</v>
      </c>
      <c r="F6152" t="s">
        <v>8</v>
      </c>
      <c r="G6152" t="s">
        <v>204</v>
      </c>
      <c r="H6152" t="s">
        <v>212</v>
      </c>
      <c r="I6152" s="4">
        <v>62946.040799999995</v>
      </c>
      <c r="J6152" s="4">
        <v>755352.48959999997</v>
      </c>
      <c r="K6152" s="4">
        <v>-22615.344000000001</v>
      </c>
      <c r="L6152" s="4">
        <v>12</v>
      </c>
    </row>
    <row r="6153" spans="1:12">
      <c r="A6153" t="s">
        <v>264</v>
      </c>
      <c r="B6153" s="10">
        <v>45341</v>
      </c>
      <c r="C6153" s="18">
        <f t="shared" si="96"/>
        <v>2</v>
      </c>
      <c r="D6153" t="s">
        <v>196</v>
      </c>
      <c r="E6153">
        <v>4875779</v>
      </c>
      <c r="F6153" t="s">
        <v>8</v>
      </c>
      <c r="G6153" t="s">
        <v>205</v>
      </c>
      <c r="H6153" t="s">
        <v>246</v>
      </c>
      <c r="I6153" s="4">
        <v>5967.9380000000001</v>
      </c>
      <c r="J6153" s="4">
        <v>298396.90000000002</v>
      </c>
      <c r="K6153" s="4">
        <v>-15705.1</v>
      </c>
      <c r="L6153" s="4">
        <v>50</v>
      </c>
    </row>
    <row r="6154" spans="1:12">
      <c r="A6154" t="s">
        <v>264</v>
      </c>
      <c r="B6154" s="10">
        <v>45341</v>
      </c>
      <c r="C6154" s="18">
        <f t="shared" si="96"/>
        <v>2</v>
      </c>
      <c r="D6154" t="s">
        <v>196</v>
      </c>
      <c r="E6154">
        <v>4875779</v>
      </c>
      <c r="F6154" t="s">
        <v>8</v>
      </c>
      <c r="G6154" t="s">
        <v>205</v>
      </c>
      <c r="H6154" t="s">
        <v>247</v>
      </c>
      <c r="I6154" s="4">
        <v>8355.1131999999998</v>
      </c>
      <c r="J6154" s="4">
        <v>417755.66</v>
      </c>
      <c r="K6154" s="4">
        <v>-21987.14</v>
      </c>
      <c r="L6154" s="4">
        <v>50</v>
      </c>
    </row>
    <row r="6155" spans="1:12">
      <c r="A6155" t="s">
        <v>264</v>
      </c>
      <c r="B6155" s="10">
        <v>45342</v>
      </c>
      <c r="C6155" s="18">
        <f t="shared" si="96"/>
        <v>2</v>
      </c>
      <c r="D6155" t="s">
        <v>196</v>
      </c>
      <c r="E6155">
        <v>4873570</v>
      </c>
      <c r="F6155" t="s">
        <v>8</v>
      </c>
      <c r="G6155" t="s">
        <v>203</v>
      </c>
      <c r="H6155" t="s">
        <v>243</v>
      </c>
      <c r="I6155" s="4">
        <v>100638.28079999999</v>
      </c>
      <c r="J6155" s="4">
        <v>1006382.808</v>
      </c>
      <c r="K6155" s="4">
        <v>-45230.688000000002</v>
      </c>
      <c r="L6155" s="4">
        <v>10</v>
      </c>
    </row>
    <row r="6156" spans="1:12">
      <c r="A6156" t="s">
        <v>264</v>
      </c>
      <c r="B6156" s="10">
        <v>45342</v>
      </c>
      <c r="C6156" s="18">
        <f t="shared" si="96"/>
        <v>2</v>
      </c>
      <c r="D6156" t="s">
        <v>196</v>
      </c>
      <c r="E6156">
        <v>4873570</v>
      </c>
      <c r="F6156" t="s">
        <v>8</v>
      </c>
      <c r="G6156" t="s">
        <v>203</v>
      </c>
      <c r="H6156" t="s">
        <v>236</v>
      </c>
      <c r="I6156" s="4">
        <v>100638.28079999999</v>
      </c>
      <c r="J6156" s="4">
        <v>1006382.808</v>
      </c>
      <c r="K6156" s="4">
        <v>-45230.688000000002</v>
      </c>
      <c r="L6156" s="4">
        <v>10</v>
      </c>
    </row>
    <row r="6157" spans="1:12">
      <c r="A6157" t="s">
        <v>264</v>
      </c>
      <c r="B6157" s="10">
        <v>45342</v>
      </c>
      <c r="C6157" s="18">
        <f t="shared" si="96"/>
        <v>2</v>
      </c>
      <c r="D6157" t="s">
        <v>196</v>
      </c>
      <c r="E6157">
        <v>4873570</v>
      </c>
      <c r="F6157" t="s">
        <v>8</v>
      </c>
      <c r="G6157" t="s">
        <v>203</v>
      </c>
      <c r="H6157" t="s">
        <v>230</v>
      </c>
      <c r="I6157" s="4">
        <v>100638.28079999999</v>
      </c>
      <c r="J6157" s="4">
        <v>1006382.808</v>
      </c>
      <c r="K6157" s="4">
        <v>-45230.688000000002</v>
      </c>
      <c r="L6157" s="4">
        <v>10</v>
      </c>
    </row>
    <row r="6158" spans="1:12">
      <c r="A6158" t="s">
        <v>264</v>
      </c>
      <c r="B6158" s="10">
        <v>45342</v>
      </c>
      <c r="C6158" s="18">
        <f t="shared" si="96"/>
        <v>2</v>
      </c>
      <c r="D6158" t="s">
        <v>196</v>
      </c>
      <c r="E6158">
        <v>4873570</v>
      </c>
      <c r="F6158" t="s">
        <v>8</v>
      </c>
      <c r="G6158" t="s">
        <v>203</v>
      </c>
      <c r="H6158" t="s">
        <v>228</v>
      </c>
      <c r="I6158" s="4">
        <v>100638.28079999999</v>
      </c>
      <c r="J6158" s="4">
        <v>1006382.808</v>
      </c>
      <c r="K6158" s="4">
        <v>-45230.688000000002</v>
      </c>
      <c r="L6158" s="4">
        <v>10</v>
      </c>
    </row>
    <row r="6159" spans="1:12">
      <c r="A6159" t="s">
        <v>264</v>
      </c>
      <c r="B6159" s="10">
        <v>45342</v>
      </c>
      <c r="C6159" s="18">
        <f t="shared" si="96"/>
        <v>2</v>
      </c>
      <c r="D6159" t="s">
        <v>196</v>
      </c>
      <c r="E6159">
        <v>4873570</v>
      </c>
      <c r="F6159" t="s">
        <v>8</v>
      </c>
      <c r="G6159" t="s">
        <v>203</v>
      </c>
      <c r="H6159" t="s">
        <v>235</v>
      </c>
      <c r="I6159" s="4">
        <v>125766.4408</v>
      </c>
      <c r="J6159" s="4">
        <v>1886496.612</v>
      </c>
      <c r="K6159" s="4">
        <v>-87634.457999999999</v>
      </c>
      <c r="L6159" s="4">
        <v>15</v>
      </c>
    </row>
    <row r="6160" spans="1:12">
      <c r="A6160" t="s">
        <v>264</v>
      </c>
      <c r="B6160" s="10">
        <v>45342</v>
      </c>
      <c r="C6160" s="18">
        <f t="shared" si="96"/>
        <v>2</v>
      </c>
      <c r="D6160" t="s">
        <v>196</v>
      </c>
      <c r="E6160">
        <v>4873570</v>
      </c>
      <c r="F6160" t="s">
        <v>8</v>
      </c>
      <c r="G6160" t="s">
        <v>203</v>
      </c>
      <c r="H6160" t="s">
        <v>229</v>
      </c>
      <c r="I6160" s="4">
        <v>125766.4408</v>
      </c>
      <c r="J6160" s="4">
        <v>2515328.8160000001</v>
      </c>
      <c r="K6160" s="4">
        <v>-116845.944</v>
      </c>
      <c r="L6160" s="4">
        <v>20</v>
      </c>
    </row>
    <row r="6161" spans="1:12">
      <c r="A6161" t="s">
        <v>264</v>
      </c>
      <c r="B6161" s="10">
        <v>45342</v>
      </c>
      <c r="C6161" s="18">
        <f t="shared" si="96"/>
        <v>2</v>
      </c>
      <c r="D6161" t="s">
        <v>196</v>
      </c>
      <c r="E6161">
        <v>4878825</v>
      </c>
      <c r="F6161" t="s">
        <v>8</v>
      </c>
      <c r="G6161" t="s">
        <v>204</v>
      </c>
      <c r="H6161" t="s">
        <v>215</v>
      </c>
      <c r="I6161" s="4">
        <v>75510.12079999999</v>
      </c>
      <c r="J6161" s="4">
        <v>377550.60399999993</v>
      </c>
      <c r="K6161" s="4">
        <v>-18846.12</v>
      </c>
      <c r="L6161" s="4">
        <v>5</v>
      </c>
    </row>
    <row r="6162" spans="1:12">
      <c r="A6162" t="s">
        <v>264</v>
      </c>
      <c r="B6162" s="10">
        <v>45342</v>
      </c>
      <c r="C6162" s="18">
        <f t="shared" si="96"/>
        <v>2</v>
      </c>
      <c r="D6162" t="s">
        <v>196</v>
      </c>
      <c r="E6162">
        <v>4878825</v>
      </c>
      <c r="F6162" t="s">
        <v>8</v>
      </c>
      <c r="G6162" t="s">
        <v>204</v>
      </c>
      <c r="H6162" t="s">
        <v>214</v>
      </c>
      <c r="I6162" s="4">
        <v>119484.4008</v>
      </c>
      <c r="J6162" s="4">
        <v>597422.00399999996</v>
      </c>
      <c r="K6162" s="4">
        <v>-29839.69</v>
      </c>
      <c r="L6162" s="4">
        <v>5</v>
      </c>
    </row>
    <row r="6163" spans="1:12">
      <c r="A6163" t="s">
        <v>264</v>
      </c>
      <c r="B6163" s="10">
        <v>45342</v>
      </c>
      <c r="C6163" s="18">
        <f t="shared" si="96"/>
        <v>2</v>
      </c>
      <c r="D6163" t="s">
        <v>196</v>
      </c>
      <c r="E6163">
        <v>4878825</v>
      </c>
      <c r="F6163" t="s">
        <v>8</v>
      </c>
      <c r="G6163" t="s">
        <v>204</v>
      </c>
      <c r="H6163" t="s">
        <v>213</v>
      </c>
      <c r="I6163" s="4">
        <v>119484.4008</v>
      </c>
      <c r="J6163" s="4">
        <v>597422.00399999996</v>
      </c>
      <c r="K6163" s="4">
        <v>-29839.69</v>
      </c>
      <c r="L6163" s="4">
        <v>5</v>
      </c>
    </row>
    <row r="6164" spans="1:12">
      <c r="A6164" t="s">
        <v>264</v>
      </c>
      <c r="B6164" s="10">
        <v>45342</v>
      </c>
      <c r="C6164" s="18">
        <f t="shared" si="96"/>
        <v>2</v>
      </c>
      <c r="D6164" t="s">
        <v>196</v>
      </c>
      <c r="E6164">
        <v>4878748</v>
      </c>
      <c r="F6164" t="s">
        <v>8</v>
      </c>
      <c r="G6164" t="s">
        <v>204</v>
      </c>
      <c r="H6164" t="s">
        <v>214</v>
      </c>
      <c r="I6164" s="4">
        <v>119484.4008</v>
      </c>
      <c r="J6164" s="4">
        <v>477937.60320000001</v>
      </c>
      <c r="K6164" s="4">
        <v>-23871.752</v>
      </c>
      <c r="L6164" s="4">
        <v>4</v>
      </c>
    </row>
    <row r="6165" spans="1:12">
      <c r="A6165" t="s">
        <v>264</v>
      </c>
      <c r="B6165" s="10">
        <v>45343</v>
      </c>
      <c r="C6165" s="18">
        <f t="shared" si="96"/>
        <v>2</v>
      </c>
      <c r="D6165" t="s">
        <v>196</v>
      </c>
      <c r="E6165">
        <v>4876950</v>
      </c>
      <c r="F6165" t="s">
        <v>8</v>
      </c>
      <c r="G6165" t="s">
        <v>204</v>
      </c>
      <c r="H6165" t="s">
        <v>213</v>
      </c>
      <c r="I6165" s="4">
        <v>119484.4008</v>
      </c>
      <c r="J6165" s="4">
        <v>955875.20640000002</v>
      </c>
      <c r="K6165" s="4">
        <v>-47743.504000000001</v>
      </c>
      <c r="L6165" s="4">
        <v>8</v>
      </c>
    </row>
    <row r="6166" spans="1:12">
      <c r="A6166" t="s">
        <v>264</v>
      </c>
      <c r="B6166" s="10">
        <v>45343</v>
      </c>
      <c r="C6166" s="18">
        <f t="shared" si="96"/>
        <v>2</v>
      </c>
      <c r="D6166" t="s">
        <v>196</v>
      </c>
      <c r="E6166">
        <v>4876950</v>
      </c>
      <c r="F6166" t="s">
        <v>8</v>
      </c>
      <c r="G6166" t="s">
        <v>202</v>
      </c>
      <c r="H6166" t="s">
        <v>258</v>
      </c>
      <c r="I6166" s="4">
        <v>37817.880799999999</v>
      </c>
      <c r="J6166" s="4">
        <v>113453.6424</v>
      </c>
      <c r="K6166" s="4">
        <v>-5653.8360000000002</v>
      </c>
      <c r="L6166" s="4">
        <v>3</v>
      </c>
    </row>
    <row r="6167" spans="1:12">
      <c r="A6167" t="s">
        <v>264</v>
      </c>
      <c r="B6167" s="10">
        <v>45343</v>
      </c>
      <c r="C6167" s="18">
        <f t="shared" si="96"/>
        <v>2</v>
      </c>
      <c r="D6167" t="s">
        <v>196</v>
      </c>
      <c r="E6167">
        <v>4877269</v>
      </c>
      <c r="F6167" t="s">
        <v>8</v>
      </c>
      <c r="G6167" t="s">
        <v>204</v>
      </c>
      <c r="H6167" t="s">
        <v>218</v>
      </c>
      <c r="I6167" s="4">
        <v>71740.896800000002</v>
      </c>
      <c r="J6167" s="4">
        <v>358704.484</v>
      </c>
      <c r="K6167" s="4">
        <v>-17903.814000000002</v>
      </c>
      <c r="L6167" s="4">
        <v>5</v>
      </c>
    </row>
    <row r="6168" spans="1:12">
      <c r="A6168" t="s">
        <v>264</v>
      </c>
      <c r="B6168" s="10">
        <v>45343</v>
      </c>
      <c r="C6168" s="18">
        <f t="shared" si="96"/>
        <v>2</v>
      </c>
      <c r="D6168" t="s">
        <v>196</v>
      </c>
      <c r="E6168">
        <v>4877269</v>
      </c>
      <c r="F6168" t="s">
        <v>8</v>
      </c>
      <c r="G6168" t="s">
        <v>204</v>
      </c>
      <c r="H6168" t="s">
        <v>213</v>
      </c>
      <c r="I6168" s="4">
        <v>119484.4008</v>
      </c>
      <c r="J6168" s="4">
        <v>1194844.0079999999</v>
      </c>
      <c r="K6168" s="4">
        <v>-59679.38</v>
      </c>
      <c r="L6168" s="4">
        <v>10</v>
      </c>
    </row>
    <row r="6169" spans="1:12">
      <c r="A6169" t="s">
        <v>264</v>
      </c>
      <c r="B6169" s="10">
        <v>45343</v>
      </c>
      <c r="C6169" s="18">
        <f t="shared" si="96"/>
        <v>2</v>
      </c>
      <c r="D6169" t="s">
        <v>196</v>
      </c>
      <c r="E6169">
        <v>4872163</v>
      </c>
      <c r="F6169" t="s">
        <v>8</v>
      </c>
      <c r="G6169" t="s">
        <v>204</v>
      </c>
      <c r="H6169" t="s">
        <v>219</v>
      </c>
      <c r="I6169" s="4">
        <v>44099.9208</v>
      </c>
      <c r="J6169" s="4">
        <v>1719896.9112</v>
      </c>
      <c r="K6169" s="4">
        <v>-73499.868000000002</v>
      </c>
      <c r="L6169" s="4">
        <v>39</v>
      </c>
    </row>
    <row r="6170" spans="1:12">
      <c r="A6170" t="s">
        <v>264</v>
      </c>
      <c r="B6170" s="10">
        <v>45344</v>
      </c>
      <c r="C6170" s="18">
        <f t="shared" si="96"/>
        <v>2</v>
      </c>
      <c r="D6170" t="s">
        <v>196</v>
      </c>
      <c r="E6170">
        <v>4878952</v>
      </c>
      <c r="F6170" t="s">
        <v>8</v>
      </c>
      <c r="G6170" t="s">
        <v>202</v>
      </c>
      <c r="H6170" t="s">
        <v>258</v>
      </c>
      <c r="I6170" s="4">
        <v>37817.880799999999</v>
      </c>
      <c r="J6170" s="4">
        <v>491632.45039999997</v>
      </c>
      <c r="K6170" s="4">
        <v>-24499.955999999998</v>
      </c>
      <c r="L6170" s="4">
        <v>13</v>
      </c>
    </row>
    <row r="6171" spans="1:12">
      <c r="A6171" t="s">
        <v>264</v>
      </c>
      <c r="B6171" s="10">
        <v>45344</v>
      </c>
      <c r="C6171" s="18">
        <f t="shared" si="96"/>
        <v>2</v>
      </c>
      <c r="D6171" t="s">
        <v>196</v>
      </c>
      <c r="E6171">
        <v>4871600</v>
      </c>
      <c r="F6171" t="s">
        <v>8</v>
      </c>
      <c r="G6171" t="s">
        <v>202</v>
      </c>
      <c r="H6171" t="s">
        <v>256</v>
      </c>
      <c r="I6171" s="4">
        <v>64202.448800000006</v>
      </c>
      <c r="J6171" s="4">
        <v>321012.24400000001</v>
      </c>
      <c r="K6171" s="4">
        <v>-16019.201999999999</v>
      </c>
      <c r="L6171" s="4">
        <v>5</v>
      </c>
    </row>
    <row r="6172" spans="1:12">
      <c r="A6172" t="s">
        <v>264</v>
      </c>
      <c r="B6172" s="10">
        <v>45344</v>
      </c>
      <c r="C6172" s="18">
        <f t="shared" si="96"/>
        <v>2</v>
      </c>
      <c r="D6172" t="s">
        <v>196</v>
      </c>
      <c r="E6172">
        <v>4872158</v>
      </c>
      <c r="F6172" t="s">
        <v>8</v>
      </c>
      <c r="G6172" t="s">
        <v>204</v>
      </c>
      <c r="H6172" t="s">
        <v>216</v>
      </c>
      <c r="I6172" s="4">
        <v>113202.36079999999</v>
      </c>
      <c r="J6172" s="4">
        <v>3396070.824</v>
      </c>
      <c r="K6172" s="4">
        <v>-169615.08</v>
      </c>
      <c r="L6172" s="4">
        <v>30</v>
      </c>
    </row>
    <row r="6173" spans="1:12">
      <c r="A6173" t="s">
        <v>264</v>
      </c>
      <c r="B6173" s="10">
        <v>45345</v>
      </c>
      <c r="C6173" s="18">
        <f t="shared" si="96"/>
        <v>2</v>
      </c>
      <c r="D6173" t="s">
        <v>196</v>
      </c>
      <c r="E6173">
        <v>4878952</v>
      </c>
      <c r="F6173" t="s">
        <v>8</v>
      </c>
      <c r="G6173" t="s">
        <v>202</v>
      </c>
      <c r="H6173" t="s">
        <v>255</v>
      </c>
      <c r="I6173" s="4">
        <v>72489.71596799999</v>
      </c>
      <c r="J6173" s="4">
        <v>652407.44371199992</v>
      </c>
      <c r="K6173" s="4">
        <v>-33923.016000000003</v>
      </c>
      <c r="L6173" s="4">
        <v>9</v>
      </c>
    </row>
    <row r="6174" spans="1:12">
      <c r="A6174" t="s">
        <v>264</v>
      </c>
      <c r="B6174" s="10">
        <v>45345</v>
      </c>
      <c r="C6174" s="18">
        <f t="shared" si="96"/>
        <v>2</v>
      </c>
      <c r="D6174" t="s">
        <v>196</v>
      </c>
      <c r="E6174">
        <v>4871600</v>
      </c>
      <c r="F6174" t="s">
        <v>8</v>
      </c>
      <c r="G6174" t="s">
        <v>205</v>
      </c>
      <c r="H6174" t="s">
        <v>246</v>
      </c>
      <c r="I6174" s="4">
        <v>5967.9380000000001</v>
      </c>
      <c r="J6174" s="4">
        <v>393883.908</v>
      </c>
      <c r="K6174" s="4">
        <v>-20730.732</v>
      </c>
      <c r="L6174" s="4">
        <v>66</v>
      </c>
    </row>
    <row r="6175" spans="1:12">
      <c r="A6175" t="s">
        <v>264</v>
      </c>
      <c r="B6175" s="10">
        <v>45345</v>
      </c>
      <c r="C6175" s="18">
        <f t="shared" si="96"/>
        <v>2</v>
      </c>
      <c r="D6175" t="s">
        <v>196</v>
      </c>
      <c r="E6175">
        <v>4871600</v>
      </c>
      <c r="F6175" t="s">
        <v>8</v>
      </c>
      <c r="G6175" t="s">
        <v>205</v>
      </c>
      <c r="H6175" t="s">
        <v>247</v>
      </c>
      <c r="I6175" s="4">
        <v>8355.1131999999998</v>
      </c>
      <c r="J6175" s="4">
        <v>417755.66</v>
      </c>
      <c r="K6175" s="4">
        <v>-21987.14</v>
      </c>
      <c r="L6175" s="4">
        <v>50</v>
      </c>
    </row>
    <row r="6176" spans="1:12">
      <c r="A6176" t="s">
        <v>264</v>
      </c>
      <c r="B6176" s="10">
        <v>45345</v>
      </c>
      <c r="C6176" s="18">
        <f t="shared" si="96"/>
        <v>2</v>
      </c>
      <c r="D6176" t="s">
        <v>196</v>
      </c>
      <c r="E6176">
        <v>4872246</v>
      </c>
      <c r="F6176" t="s">
        <v>8</v>
      </c>
      <c r="G6176" t="s">
        <v>203</v>
      </c>
      <c r="H6176" t="s">
        <v>227</v>
      </c>
      <c r="I6176" s="4">
        <v>100638.28079999999</v>
      </c>
      <c r="J6176" s="4">
        <v>603829.68479999993</v>
      </c>
      <c r="K6176" s="4">
        <v>-27138.412800000002</v>
      </c>
      <c r="L6176" s="4">
        <v>6</v>
      </c>
    </row>
    <row r="6177" spans="1:12">
      <c r="A6177" t="s">
        <v>264</v>
      </c>
      <c r="B6177" s="10">
        <v>45345</v>
      </c>
      <c r="C6177" s="18">
        <f t="shared" si="96"/>
        <v>2</v>
      </c>
      <c r="D6177" t="s">
        <v>196</v>
      </c>
      <c r="E6177">
        <v>4872246</v>
      </c>
      <c r="F6177" t="s">
        <v>8</v>
      </c>
      <c r="G6177" t="s">
        <v>203</v>
      </c>
      <c r="H6177" t="s">
        <v>241</v>
      </c>
      <c r="I6177" s="4">
        <v>125766.4408</v>
      </c>
      <c r="J6177" s="4">
        <v>754598.64480000001</v>
      </c>
      <c r="K6177" s="4">
        <v>-35053.783199999998</v>
      </c>
      <c r="L6177" s="4">
        <v>6</v>
      </c>
    </row>
    <row r="6178" spans="1:12">
      <c r="A6178" t="s">
        <v>264</v>
      </c>
      <c r="B6178" s="10">
        <v>45345</v>
      </c>
      <c r="C6178" s="18">
        <f t="shared" si="96"/>
        <v>2</v>
      </c>
      <c r="D6178" t="s">
        <v>196</v>
      </c>
      <c r="E6178">
        <v>4872246</v>
      </c>
      <c r="F6178" t="s">
        <v>8</v>
      </c>
      <c r="G6178" t="s">
        <v>203</v>
      </c>
      <c r="H6178" t="s">
        <v>233</v>
      </c>
      <c r="I6178" s="4">
        <v>120735.78316800001</v>
      </c>
      <c r="J6178" s="4">
        <v>724414.69900800008</v>
      </c>
      <c r="K6178" s="4">
        <v>-35053.783199999998</v>
      </c>
      <c r="L6178" s="4">
        <v>6</v>
      </c>
    </row>
    <row r="6179" spans="1:12">
      <c r="A6179" t="s">
        <v>264</v>
      </c>
      <c r="B6179" s="10">
        <v>45345</v>
      </c>
      <c r="C6179" s="18">
        <f t="shared" si="96"/>
        <v>2</v>
      </c>
      <c r="D6179" t="s">
        <v>196</v>
      </c>
      <c r="E6179">
        <v>4874006</v>
      </c>
      <c r="F6179" t="s">
        <v>8</v>
      </c>
      <c r="G6179" t="s">
        <v>203</v>
      </c>
      <c r="H6179" t="s">
        <v>240</v>
      </c>
      <c r="I6179" s="4">
        <v>100638.28079999999</v>
      </c>
      <c r="J6179" s="4">
        <v>402553.12319999997</v>
      </c>
      <c r="K6179" s="4">
        <v>-18092.2752</v>
      </c>
      <c r="L6179" s="4">
        <v>4</v>
      </c>
    </row>
    <row r="6180" spans="1:12">
      <c r="A6180" t="s">
        <v>264</v>
      </c>
      <c r="B6180" s="10">
        <v>45345</v>
      </c>
      <c r="C6180" s="18">
        <f t="shared" si="96"/>
        <v>2</v>
      </c>
      <c r="D6180" t="s">
        <v>196</v>
      </c>
      <c r="E6180">
        <v>4878748</v>
      </c>
      <c r="F6180" t="s">
        <v>8</v>
      </c>
      <c r="G6180" t="s">
        <v>202</v>
      </c>
      <c r="H6180" t="s">
        <v>258</v>
      </c>
      <c r="I6180" s="4">
        <v>37817.880799999999</v>
      </c>
      <c r="J6180" s="4">
        <v>75635.761599999998</v>
      </c>
      <c r="K6180" s="4">
        <v>-3769.2239999999997</v>
      </c>
      <c r="L6180" s="4">
        <v>2</v>
      </c>
    </row>
    <row r="6181" spans="1:12">
      <c r="A6181" t="s">
        <v>264</v>
      </c>
      <c r="B6181" s="10">
        <v>45345</v>
      </c>
      <c r="C6181" s="18">
        <f t="shared" si="96"/>
        <v>2</v>
      </c>
      <c r="D6181" t="s">
        <v>196</v>
      </c>
      <c r="E6181">
        <v>4872203</v>
      </c>
      <c r="F6181" t="s">
        <v>8</v>
      </c>
      <c r="G6181" t="s">
        <v>203</v>
      </c>
      <c r="H6181" t="s">
        <v>224</v>
      </c>
      <c r="I6181" s="4">
        <v>100638.28079999999</v>
      </c>
      <c r="J6181" s="4">
        <v>3019148.4239999996</v>
      </c>
      <c r="K6181" s="4">
        <v>-135692.06400000001</v>
      </c>
      <c r="L6181" s="4">
        <v>30</v>
      </c>
    </row>
    <row r="6182" spans="1:12">
      <c r="A6182" t="s">
        <v>264</v>
      </c>
      <c r="B6182" s="10">
        <v>45345</v>
      </c>
      <c r="C6182" s="18">
        <f t="shared" si="96"/>
        <v>2</v>
      </c>
      <c r="D6182" t="s">
        <v>196</v>
      </c>
      <c r="E6182">
        <v>4872203</v>
      </c>
      <c r="F6182" t="s">
        <v>8</v>
      </c>
      <c r="G6182" t="s">
        <v>203</v>
      </c>
      <c r="H6182" t="s">
        <v>223</v>
      </c>
      <c r="I6182" s="4">
        <v>100638.28079999999</v>
      </c>
      <c r="J6182" s="4">
        <v>3019148.4239999996</v>
      </c>
      <c r="K6182" s="4">
        <v>-135692.06400000001</v>
      </c>
      <c r="L6182" s="4">
        <v>30</v>
      </c>
    </row>
    <row r="6183" spans="1:12">
      <c r="A6183" t="s">
        <v>264</v>
      </c>
      <c r="B6183" s="10">
        <v>45345</v>
      </c>
      <c r="C6183" s="18">
        <f t="shared" si="96"/>
        <v>2</v>
      </c>
      <c r="D6183" t="s">
        <v>196</v>
      </c>
      <c r="E6183">
        <v>4872203</v>
      </c>
      <c r="F6183" t="s">
        <v>8</v>
      </c>
      <c r="G6183" t="s">
        <v>203</v>
      </c>
      <c r="H6183" t="s">
        <v>222</v>
      </c>
      <c r="I6183" s="4">
        <v>100638.28079999999</v>
      </c>
      <c r="J6183" s="4">
        <v>3019148.4239999996</v>
      </c>
      <c r="K6183" s="4">
        <v>-135692.06400000001</v>
      </c>
      <c r="L6183" s="4">
        <v>30</v>
      </c>
    </row>
    <row r="6184" spans="1:12">
      <c r="A6184" t="s">
        <v>264</v>
      </c>
      <c r="B6184" s="10">
        <v>45345</v>
      </c>
      <c r="C6184" s="18">
        <f t="shared" si="96"/>
        <v>2</v>
      </c>
      <c r="D6184" t="s">
        <v>196</v>
      </c>
      <c r="E6184">
        <v>4872203</v>
      </c>
      <c r="F6184" t="s">
        <v>8</v>
      </c>
      <c r="G6184" t="s">
        <v>203</v>
      </c>
      <c r="H6184" t="s">
        <v>235</v>
      </c>
      <c r="I6184" s="4">
        <v>125766.4408</v>
      </c>
      <c r="J6184" s="4">
        <v>3772993.2239999999</v>
      </c>
      <c r="K6184" s="4">
        <v>-175268.916</v>
      </c>
      <c r="L6184" s="4">
        <v>30</v>
      </c>
    </row>
    <row r="6185" spans="1:12">
      <c r="A6185" t="s">
        <v>264</v>
      </c>
      <c r="B6185" s="10">
        <v>45345</v>
      </c>
      <c r="C6185" s="18">
        <f t="shared" si="96"/>
        <v>2</v>
      </c>
      <c r="D6185" t="s">
        <v>196</v>
      </c>
      <c r="E6185">
        <v>4877306</v>
      </c>
      <c r="F6185" t="s">
        <v>8</v>
      </c>
      <c r="G6185" t="s">
        <v>203</v>
      </c>
      <c r="H6185" t="s">
        <v>234</v>
      </c>
      <c r="I6185" s="4">
        <v>100638.28079999999</v>
      </c>
      <c r="J6185" s="4">
        <v>201276.56159999999</v>
      </c>
      <c r="K6185" s="4">
        <v>-9046.1376</v>
      </c>
      <c r="L6185" s="4">
        <v>2</v>
      </c>
    </row>
    <row r="6186" spans="1:12">
      <c r="A6186" t="s">
        <v>264</v>
      </c>
      <c r="B6186" s="10">
        <v>45345</v>
      </c>
      <c r="C6186" s="18">
        <f t="shared" si="96"/>
        <v>2</v>
      </c>
      <c r="D6186" t="s">
        <v>196</v>
      </c>
      <c r="E6186">
        <v>4877306</v>
      </c>
      <c r="F6186" t="s">
        <v>8</v>
      </c>
      <c r="G6186" t="s">
        <v>203</v>
      </c>
      <c r="H6186" t="s">
        <v>230</v>
      </c>
      <c r="I6186" s="4">
        <v>100638.28079999999</v>
      </c>
      <c r="J6186" s="4">
        <v>201276.56159999999</v>
      </c>
      <c r="K6186" s="4">
        <v>-9046.1376</v>
      </c>
      <c r="L6186" s="4">
        <v>2</v>
      </c>
    </row>
    <row r="6187" spans="1:12">
      <c r="A6187" t="s">
        <v>264</v>
      </c>
      <c r="B6187" s="10">
        <v>45346</v>
      </c>
      <c r="C6187" s="18">
        <f t="shared" si="96"/>
        <v>2</v>
      </c>
      <c r="D6187" t="s">
        <v>196</v>
      </c>
      <c r="E6187">
        <v>4873128</v>
      </c>
      <c r="F6187" t="s">
        <v>8</v>
      </c>
      <c r="G6187" t="s">
        <v>204</v>
      </c>
      <c r="H6187" t="s">
        <v>219</v>
      </c>
      <c r="I6187" s="4">
        <v>44099.9208</v>
      </c>
      <c r="J6187" s="4">
        <v>2204996.04</v>
      </c>
      <c r="K6187" s="4">
        <v>-94230.6</v>
      </c>
      <c r="L6187" s="4">
        <v>50</v>
      </c>
    </row>
    <row r="6188" spans="1:12">
      <c r="A6188" t="s">
        <v>264</v>
      </c>
      <c r="B6188" s="10">
        <v>45346</v>
      </c>
      <c r="C6188" s="18">
        <f t="shared" si="96"/>
        <v>2</v>
      </c>
      <c r="D6188" t="s">
        <v>196</v>
      </c>
      <c r="E6188">
        <v>4873128</v>
      </c>
      <c r="F6188" t="s">
        <v>8</v>
      </c>
      <c r="G6188" t="s">
        <v>204</v>
      </c>
      <c r="H6188" t="s">
        <v>218</v>
      </c>
      <c r="I6188" s="4">
        <v>71740.896800000002</v>
      </c>
      <c r="J6188" s="4">
        <v>2152226.9040000001</v>
      </c>
      <c r="K6188" s="4">
        <v>-107422.88400000001</v>
      </c>
      <c r="L6188" s="4">
        <v>30</v>
      </c>
    </row>
    <row r="6189" spans="1:12">
      <c r="A6189" t="s">
        <v>264</v>
      </c>
      <c r="B6189" s="10">
        <v>45346</v>
      </c>
      <c r="C6189" s="18">
        <f t="shared" si="96"/>
        <v>2</v>
      </c>
      <c r="D6189" t="s">
        <v>196</v>
      </c>
      <c r="E6189">
        <v>4873128</v>
      </c>
      <c r="F6189" t="s">
        <v>8</v>
      </c>
      <c r="G6189" t="s">
        <v>204</v>
      </c>
      <c r="H6189" t="s">
        <v>216</v>
      </c>
      <c r="I6189" s="4">
        <v>113202.36079999999</v>
      </c>
      <c r="J6189" s="4">
        <v>5660118.04</v>
      </c>
      <c r="K6189" s="4">
        <v>-282691.8</v>
      </c>
      <c r="L6189" s="4">
        <v>50</v>
      </c>
    </row>
    <row r="6190" spans="1:12">
      <c r="A6190" t="s">
        <v>264</v>
      </c>
      <c r="B6190" s="10">
        <v>45346</v>
      </c>
      <c r="C6190" s="18">
        <f t="shared" si="96"/>
        <v>2</v>
      </c>
      <c r="D6190" t="s">
        <v>196</v>
      </c>
      <c r="E6190">
        <v>4873128</v>
      </c>
      <c r="F6190" t="s">
        <v>8</v>
      </c>
      <c r="G6190" t="s">
        <v>204</v>
      </c>
      <c r="H6190" t="s">
        <v>215</v>
      </c>
      <c r="I6190" s="4">
        <v>75510.12079999999</v>
      </c>
      <c r="J6190" s="4">
        <v>2265303.6239999998</v>
      </c>
      <c r="K6190" s="4">
        <v>-113076.72</v>
      </c>
      <c r="L6190" s="4">
        <v>30</v>
      </c>
    </row>
    <row r="6191" spans="1:12">
      <c r="A6191" t="s">
        <v>264</v>
      </c>
      <c r="B6191" s="10">
        <v>45346</v>
      </c>
      <c r="C6191" s="18">
        <f t="shared" si="96"/>
        <v>2</v>
      </c>
      <c r="D6191" t="s">
        <v>196</v>
      </c>
      <c r="E6191">
        <v>4873128</v>
      </c>
      <c r="F6191" t="s">
        <v>8</v>
      </c>
      <c r="G6191" t="s">
        <v>204</v>
      </c>
      <c r="H6191" t="s">
        <v>214</v>
      </c>
      <c r="I6191" s="4">
        <v>119484.4008</v>
      </c>
      <c r="J6191" s="4">
        <v>3584532.0240000002</v>
      </c>
      <c r="K6191" s="4">
        <v>-179038.13999999998</v>
      </c>
      <c r="L6191" s="4">
        <v>30</v>
      </c>
    </row>
    <row r="6192" spans="1:12">
      <c r="A6192" t="s">
        <v>264</v>
      </c>
      <c r="B6192" s="10">
        <v>45346</v>
      </c>
      <c r="C6192" s="18">
        <f t="shared" si="96"/>
        <v>2</v>
      </c>
      <c r="D6192" t="s">
        <v>196</v>
      </c>
      <c r="E6192">
        <v>4873128</v>
      </c>
      <c r="F6192" t="s">
        <v>8</v>
      </c>
      <c r="G6192" t="s">
        <v>204</v>
      </c>
      <c r="H6192" t="s">
        <v>213</v>
      </c>
      <c r="I6192" s="4">
        <v>119484.4008</v>
      </c>
      <c r="J6192" s="4">
        <v>3584532.0240000002</v>
      </c>
      <c r="K6192" s="4">
        <v>-179038.13999999998</v>
      </c>
      <c r="L6192" s="4">
        <v>30</v>
      </c>
    </row>
    <row r="6193" spans="1:12">
      <c r="A6193" t="s">
        <v>264</v>
      </c>
      <c r="B6193" s="10">
        <v>45346</v>
      </c>
      <c r="C6193" s="18">
        <f t="shared" si="96"/>
        <v>2</v>
      </c>
      <c r="D6193" t="s">
        <v>196</v>
      </c>
      <c r="E6193">
        <v>4873128</v>
      </c>
      <c r="F6193" t="s">
        <v>8</v>
      </c>
      <c r="G6193" t="s">
        <v>204</v>
      </c>
      <c r="H6193" t="s">
        <v>212</v>
      </c>
      <c r="I6193" s="4">
        <v>62946.040799999995</v>
      </c>
      <c r="J6193" s="4">
        <v>6294604.0799999991</v>
      </c>
      <c r="K6193" s="4">
        <v>-188461.2</v>
      </c>
      <c r="L6193" s="4">
        <v>100</v>
      </c>
    </row>
    <row r="6194" spans="1:12">
      <c r="A6194" t="s">
        <v>264</v>
      </c>
      <c r="B6194" s="10">
        <v>45346</v>
      </c>
      <c r="C6194" s="18">
        <f t="shared" si="96"/>
        <v>2</v>
      </c>
      <c r="D6194" t="s">
        <v>196</v>
      </c>
      <c r="E6194">
        <v>4875779</v>
      </c>
      <c r="F6194" t="s">
        <v>8</v>
      </c>
      <c r="G6194" t="s">
        <v>204</v>
      </c>
      <c r="H6194" t="s">
        <v>213</v>
      </c>
      <c r="I6194" s="4">
        <v>119484.4008</v>
      </c>
      <c r="J6194" s="4">
        <v>1433812.8096</v>
      </c>
      <c r="K6194" s="4">
        <v>-71615.256000000008</v>
      </c>
      <c r="L6194" s="4">
        <v>12</v>
      </c>
    </row>
    <row r="6195" spans="1:12">
      <c r="A6195" t="s">
        <v>264</v>
      </c>
      <c r="B6195" s="10">
        <v>45346</v>
      </c>
      <c r="C6195" s="18">
        <f t="shared" si="96"/>
        <v>2</v>
      </c>
      <c r="D6195" t="s">
        <v>196</v>
      </c>
      <c r="E6195">
        <v>4877306</v>
      </c>
      <c r="F6195" t="s">
        <v>8</v>
      </c>
      <c r="G6195" t="s">
        <v>203</v>
      </c>
      <c r="H6195" t="s">
        <v>243</v>
      </c>
      <c r="I6195" s="4">
        <v>100638.28079999999</v>
      </c>
      <c r="J6195" s="4">
        <v>201276.56159999999</v>
      </c>
      <c r="K6195" s="4">
        <v>-9046.1376</v>
      </c>
      <c r="L6195" s="4">
        <v>2</v>
      </c>
    </row>
    <row r="6196" spans="1:12">
      <c r="A6196" t="s">
        <v>264</v>
      </c>
      <c r="B6196" s="10">
        <v>45346</v>
      </c>
      <c r="C6196" s="18">
        <f t="shared" si="96"/>
        <v>2</v>
      </c>
      <c r="D6196" t="s">
        <v>196</v>
      </c>
      <c r="E6196">
        <v>4877306</v>
      </c>
      <c r="F6196" t="s">
        <v>8</v>
      </c>
      <c r="G6196" t="s">
        <v>203</v>
      </c>
      <c r="H6196" t="s">
        <v>236</v>
      </c>
      <c r="I6196" s="4">
        <v>100638.28079999999</v>
      </c>
      <c r="J6196" s="4">
        <v>201276.56159999999</v>
      </c>
      <c r="K6196" s="4">
        <v>-9046.1376</v>
      </c>
      <c r="L6196" s="4">
        <v>2</v>
      </c>
    </row>
    <row r="6197" spans="1:12">
      <c r="A6197" t="s">
        <v>264</v>
      </c>
      <c r="B6197" s="10">
        <v>45346</v>
      </c>
      <c r="C6197" s="18">
        <f t="shared" si="96"/>
        <v>2</v>
      </c>
      <c r="D6197" t="s">
        <v>196</v>
      </c>
      <c r="E6197">
        <v>4877306</v>
      </c>
      <c r="F6197" t="s">
        <v>8</v>
      </c>
      <c r="G6197" t="s">
        <v>203</v>
      </c>
      <c r="H6197" t="s">
        <v>230</v>
      </c>
      <c r="I6197" s="4">
        <v>100638.28079999999</v>
      </c>
      <c r="J6197" s="4">
        <v>201276.56159999999</v>
      </c>
      <c r="K6197" s="4">
        <v>-9046.1376</v>
      </c>
      <c r="L6197" s="4">
        <v>2</v>
      </c>
    </row>
    <row r="6198" spans="1:12">
      <c r="A6198" t="s">
        <v>264</v>
      </c>
      <c r="B6198" s="10">
        <v>45347</v>
      </c>
      <c r="C6198" s="18">
        <f t="shared" si="96"/>
        <v>2</v>
      </c>
      <c r="D6198" t="s">
        <v>196</v>
      </c>
      <c r="E6198">
        <v>4878952</v>
      </c>
      <c r="F6198" t="s">
        <v>8</v>
      </c>
      <c r="G6198" t="s">
        <v>202</v>
      </c>
      <c r="H6198" t="s">
        <v>259</v>
      </c>
      <c r="I6198" s="4">
        <v>30279.432800000002</v>
      </c>
      <c r="J6198" s="4">
        <v>121117.73120000001</v>
      </c>
      <c r="K6198" s="4">
        <v>-6030.7583999999997</v>
      </c>
      <c r="L6198" s="4">
        <v>4</v>
      </c>
    </row>
    <row r="6199" spans="1:12">
      <c r="A6199" t="s">
        <v>264</v>
      </c>
      <c r="B6199" s="10">
        <v>45347</v>
      </c>
      <c r="C6199" s="18">
        <f t="shared" si="96"/>
        <v>2</v>
      </c>
      <c r="D6199" t="s">
        <v>196</v>
      </c>
      <c r="E6199">
        <v>4878952</v>
      </c>
      <c r="F6199" t="s">
        <v>8</v>
      </c>
      <c r="G6199" t="s">
        <v>202</v>
      </c>
      <c r="H6199" t="s">
        <v>256</v>
      </c>
      <c r="I6199" s="4">
        <v>64202.448800000006</v>
      </c>
      <c r="J6199" s="4">
        <v>385214.69280000002</v>
      </c>
      <c r="K6199" s="4">
        <v>-19223.042399999998</v>
      </c>
      <c r="L6199" s="4">
        <v>6</v>
      </c>
    </row>
    <row r="6200" spans="1:12">
      <c r="A6200" t="s">
        <v>264</v>
      </c>
      <c r="B6200" s="10">
        <v>45347</v>
      </c>
      <c r="C6200" s="18">
        <f t="shared" si="96"/>
        <v>2</v>
      </c>
      <c r="D6200" t="s">
        <v>196</v>
      </c>
      <c r="E6200">
        <v>4878874</v>
      </c>
      <c r="F6200" t="s">
        <v>8</v>
      </c>
      <c r="G6200" t="s">
        <v>206</v>
      </c>
      <c r="H6200" t="s">
        <v>249</v>
      </c>
      <c r="I6200" s="4">
        <v>17715.352800000001</v>
      </c>
      <c r="J6200" s="4">
        <v>3543070.56</v>
      </c>
      <c r="K6200" s="4">
        <v>-175897.12</v>
      </c>
      <c r="L6200" s="4">
        <v>200</v>
      </c>
    </row>
    <row r="6201" spans="1:12">
      <c r="A6201" t="s">
        <v>264</v>
      </c>
      <c r="B6201" s="10">
        <v>45347</v>
      </c>
      <c r="C6201" s="18">
        <f t="shared" si="96"/>
        <v>2</v>
      </c>
      <c r="D6201" t="s">
        <v>196</v>
      </c>
      <c r="E6201">
        <v>4872571</v>
      </c>
      <c r="F6201" t="s">
        <v>8</v>
      </c>
      <c r="G6201" t="s">
        <v>205</v>
      </c>
      <c r="H6201" t="s">
        <v>210</v>
      </c>
      <c r="I6201" s="4">
        <v>7538.4479999999994</v>
      </c>
      <c r="J6201" s="4">
        <v>150768.95999999999</v>
      </c>
      <c r="K6201" s="4">
        <v>-7538.4479999999994</v>
      </c>
      <c r="L6201" s="4">
        <v>20</v>
      </c>
    </row>
    <row r="6202" spans="1:12">
      <c r="A6202" t="s">
        <v>264</v>
      </c>
      <c r="B6202" s="10">
        <v>45347</v>
      </c>
      <c r="C6202" s="18">
        <f t="shared" si="96"/>
        <v>2</v>
      </c>
      <c r="D6202" t="s">
        <v>196</v>
      </c>
      <c r="E6202">
        <v>4872571</v>
      </c>
      <c r="F6202" t="s">
        <v>8</v>
      </c>
      <c r="G6202" t="s">
        <v>205</v>
      </c>
      <c r="H6202" t="s">
        <v>211</v>
      </c>
      <c r="I6202" s="4">
        <v>5151.2727999999997</v>
      </c>
      <c r="J6202" s="4">
        <v>103025.45599999999</v>
      </c>
      <c r="K6202" s="4">
        <v>-5025.6320000000005</v>
      </c>
      <c r="L6202" s="4">
        <v>20</v>
      </c>
    </row>
    <row r="6203" spans="1:12">
      <c r="A6203" t="s">
        <v>264</v>
      </c>
      <c r="B6203" s="10">
        <v>45348</v>
      </c>
      <c r="C6203" s="18">
        <f t="shared" si="96"/>
        <v>2</v>
      </c>
      <c r="D6203" t="s">
        <v>196</v>
      </c>
      <c r="E6203">
        <v>4872510</v>
      </c>
      <c r="F6203" t="s">
        <v>8</v>
      </c>
      <c r="G6203" t="s">
        <v>202</v>
      </c>
      <c r="H6203" t="s">
        <v>261</v>
      </c>
      <c r="I6203" s="4">
        <v>41587.104800000001</v>
      </c>
      <c r="J6203" s="4">
        <v>2079355.24</v>
      </c>
      <c r="K6203" s="4">
        <v>-103653.66</v>
      </c>
      <c r="L6203" s="4">
        <v>50</v>
      </c>
    </row>
    <row r="6204" spans="1:12">
      <c r="A6204" t="s">
        <v>264</v>
      </c>
      <c r="B6204" s="10">
        <v>45348</v>
      </c>
      <c r="C6204" s="18">
        <f t="shared" si="96"/>
        <v>2</v>
      </c>
      <c r="D6204" t="s">
        <v>196</v>
      </c>
      <c r="E6204">
        <v>4873921</v>
      </c>
      <c r="F6204" t="s">
        <v>8</v>
      </c>
      <c r="G6204" t="s">
        <v>204</v>
      </c>
      <c r="H6204" t="s">
        <v>218</v>
      </c>
      <c r="I6204" s="4">
        <v>71740.896800000002</v>
      </c>
      <c r="J6204" s="4">
        <v>2008745.1104000001</v>
      </c>
      <c r="K6204" s="4">
        <v>-100261.35840000001</v>
      </c>
      <c r="L6204" s="4">
        <v>28</v>
      </c>
    </row>
    <row r="6205" spans="1:12">
      <c r="A6205" t="s">
        <v>264</v>
      </c>
      <c r="B6205" s="10">
        <v>45348</v>
      </c>
      <c r="C6205" s="18">
        <f t="shared" si="96"/>
        <v>2</v>
      </c>
      <c r="D6205" t="s">
        <v>196</v>
      </c>
      <c r="E6205">
        <v>4872070</v>
      </c>
      <c r="F6205" t="s">
        <v>8</v>
      </c>
      <c r="G6205" t="s">
        <v>203</v>
      </c>
      <c r="H6205" t="s">
        <v>235</v>
      </c>
      <c r="I6205" s="4">
        <v>125766.4408</v>
      </c>
      <c r="J6205" s="4">
        <v>503065.76319999999</v>
      </c>
      <c r="K6205" s="4">
        <v>-23369.1888</v>
      </c>
      <c r="L6205" s="4">
        <v>4</v>
      </c>
    </row>
    <row r="6206" spans="1:12">
      <c r="A6206" t="s">
        <v>264</v>
      </c>
      <c r="B6206" s="10">
        <v>45348</v>
      </c>
      <c r="C6206" s="18">
        <f t="shared" si="96"/>
        <v>2</v>
      </c>
      <c r="D6206" t="s">
        <v>196</v>
      </c>
      <c r="E6206">
        <v>4879007</v>
      </c>
      <c r="F6206" t="s">
        <v>8</v>
      </c>
      <c r="G6206" t="s">
        <v>204</v>
      </c>
      <c r="H6206" t="s">
        <v>219</v>
      </c>
      <c r="I6206" s="4">
        <v>44099.9208</v>
      </c>
      <c r="J6206" s="4">
        <v>88199.8416</v>
      </c>
      <c r="K6206" s="4">
        <v>-3769.2239999999997</v>
      </c>
      <c r="L6206" s="4">
        <v>2</v>
      </c>
    </row>
    <row r="6207" spans="1:12">
      <c r="A6207" t="s">
        <v>264</v>
      </c>
      <c r="B6207" s="10">
        <v>45348</v>
      </c>
      <c r="C6207" s="18">
        <f t="shared" si="96"/>
        <v>2</v>
      </c>
      <c r="D6207" t="s">
        <v>196</v>
      </c>
      <c r="E6207">
        <v>4879007</v>
      </c>
      <c r="F6207" t="s">
        <v>8</v>
      </c>
      <c r="G6207" t="s">
        <v>204</v>
      </c>
      <c r="H6207" t="s">
        <v>218</v>
      </c>
      <c r="I6207" s="4">
        <v>71740.896800000002</v>
      </c>
      <c r="J6207" s="4">
        <v>143481.7936</v>
      </c>
      <c r="K6207" s="4">
        <v>-7161.525599999999</v>
      </c>
      <c r="L6207" s="4">
        <v>2</v>
      </c>
    </row>
    <row r="6208" spans="1:12">
      <c r="A6208" t="s">
        <v>264</v>
      </c>
      <c r="B6208" s="10">
        <v>45348</v>
      </c>
      <c r="C6208" s="18">
        <f t="shared" si="96"/>
        <v>2</v>
      </c>
      <c r="D6208" t="s">
        <v>196</v>
      </c>
      <c r="E6208">
        <v>4879007</v>
      </c>
      <c r="F6208" t="s">
        <v>8</v>
      </c>
      <c r="G6208" t="s">
        <v>204</v>
      </c>
      <c r="H6208" t="s">
        <v>213</v>
      </c>
      <c r="I6208" s="4">
        <v>119484.4008</v>
      </c>
      <c r="J6208" s="4">
        <v>238968.80160000001</v>
      </c>
      <c r="K6208" s="4">
        <v>-11935.876</v>
      </c>
      <c r="L6208" s="4">
        <v>2</v>
      </c>
    </row>
    <row r="6209" spans="1:12">
      <c r="A6209" t="s">
        <v>264</v>
      </c>
      <c r="B6209" s="10">
        <v>45348</v>
      </c>
      <c r="C6209" s="18">
        <f t="shared" si="96"/>
        <v>2</v>
      </c>
      <c r="D6209" t="s">
        <v>196</v>
      </c>
      <c r="E6209">
        <v>4879007</v>
      </c>
      <c r="F6209" t="s">
        <v>8</v>
      </c>
      <c r="G6209" t="s">
        <v>204</v>
      </c>
      <c r="H6209" t="s">
        <v>220</v>
      </c>
      <c r="I6209" s="4">
        <v>37817.880799999999</v>
      </c>
      <c r="J6209" s="4">
        <v>113453.6424</v>
      </c>
      <c r="K6209" s="4">
        <v>-5653.8360000000002</v>
      </c>
      <c r="L6209" s="4">
        <v>3</v>
      </c>
    </row>
    <row r="6210" spans="1:12">
      <c r="A6210" t="s">
        <v>264</v>
      </c>
      <c r="B6210" s="10">
        <v>45348</v>
      </c>
      <c r="C6210" s="18">
        <f t="shared" ref="C6210:C6273" si="97">MONTH(B6210)</f>
        <v>2</v>
      </c>
      <c r="D6210" t="s">
        <v>196</v>
      </c>
      <c r="E6210">
        <v>4879007</v>
      </c>
      <c r="F6210" t="s">
        <v>8</v>
      </c>
      <c r="G6210" t="s">
        <v>204</v>
      </c>
      <c r="H6210" t="s">
        <v>212</v>
      </c>
      <c r="I6210" s="4">
        <v>62946.040799999995</v>
      </c>
      <c r="J6210" s="4">
        <v>251784.16319999998</v>
      </c>
      <c r="K6210" s="4">
        <v>-7538.4479999999994</v>
      </c>
      <c r="L6210" s="4">
        <v>4</v>
      </c>
    </row>
    <row r="6211" spans="1:12">
      <c r="A6211" t="s">
        <v>264</v>
      </c>
      <c r="B6211" s="10">
        <v>45349</v>
      </c>
      <c r="C6211" s="18">
        <f t="shared" si="97"/>
        <v>2</v>
      </c>
      <c r="D6211" t="s">
        <v>196</v>
      </c>
      <c r="E6211">
        <v>4871600</v>
      </c>
      <c r="F6211" t="s">
        <v>8</v>
      </c>
      <c r="G6211" t="s">
        <v>204</v>
      </c>
      <c r="H6211" t="s">
        <v>219</v>
      </c>
      <c r="I6211" s="4">
        <v>44099.9208</v>
      </c>
      <c r="J6211" s="4">
        <v>2293195.8816</v>
      </c>
      <c r="K6211" s="4">
        <v>-97999.823999999993</v>
      </c>
      <c r="L6211" s="4">
        <v>52</v>
      </c>
    </row>
    <row r="6212" spans="1:12">
      <c r="A6212" t="s">
        <v>264</v>
      </c>
      <c r="B6212" s="10">
        <v>45349</v>
      </c>
      <c r="C6212" s="18">
        <f t="shared" si="97"/>
        <v>2</v>
      </c>
      <c r="D6212" t="s">
        <v>196</v>
      </c>
      <c r="E6212">
        <v>4871600</v>
      </c>
      <c r="F6212" t="s">
        <v>8</v>
      </c>
      <c r="G6212" t="s">
        <v>204</v>
      </c>
      <c r="H6212" t="s">
        <v>218</v>
      </c>
      <c r="I6212" s="4">
        <v>71740.896800000002</v>
      </c>
      <c r="J6212" s="4">
        <v>573927.17440000002</v>
      </c>
      <c r="K6212" s="4">
        <v>-28646.102399999996</v>
      </c>
      <c r="L6212" s="4">
        <v>8</v>
      </c>
    </row>
    <row r="6213" spans="1:12">
      <c r="A6213" t="s">
        <v>264</v>
      </c>
      <c r="B6213" s="10">
        <v>45349</v>
      </c>
      <c r="C6213" s="18">
        <f t="shared" si="97"/>
        <v>2</v>
      </c>
      <c r="D6213" t="s">
        <v>196</v>
      </c>
      <c r="E6213">
        <v>4871600</v>
      </c>
      <c r="F6213" t="s">
        <v>8</v>
      </c>
      <c r="G6213" t="s">
        <v>204</v>
      </c>
      <c r="H6213" t="s">
        <v>214</v>
      </c>
      <c r="I6213" s="4">
        <v>119484.4008</v>
      </c>
      <c r="J6213" s="4">
        <v>955875.20640000002</v>
      </c>
      <c r="K6213" s="4">
        <v>-47743.504000000001</v>
      </c>
      <c r="L6213" s="4">
        <v>8</v>
      </c>
    </row>
    <row r="6214" spans="1:12">
      <c r="A6214" t="s">
        <v>264</v>
      </c>
      <c r="B6214" s="10">
        <v>45349</v>
      </c>
      <c r="C6214" s="18">
        <f t="shared" si="97"/>
        <v>2</v>
      </c>
      <c r="D6214" t="s">
        <v>196</v>
      </c>
      <c r="E6214">
        <v>4871600</v>
      </c>
      <c r="F6214" t="s">
        <v>8</v>
      </c>
      <c r="G6214" t="s">
        <v>204</v>
      </c>
      <c r="H6214" t="s">
        <v>213</v>
      </c>
      <c r="I6214" s="4">
        <v>119484.4008</v>
      </c>
      <c r="J6214" s="4">
        <v>477937.60320000001</v>
      </c>
      <c r="K6214" s="4">
        <v>-23871.752</v>
      </c>
      <c r="L6214" s="4">
        <v>4</v>
      </c>
    </row>
    <row r="6215" spans="1:12">
      <c r="A6215" t="s">
        <v>264</v>
      </c>
      <c r="B6215" s="10">
        <v>45349</v>
      </c>
      <c r="C6215" s="18">
        <f t="shared" si="97"/>
        <v>2</v>
      </c>
      <c r="D6215" t="s">
        <v>196</v>
      </c>
      <c r="E6215">
        <v>4878874</v>
      </c>
      <c r="F6215" t="s">
        <v>8</v>
      </c>
      <c r="G6215" t="s">
        <v>206</v>
      </c>
      <c r="H6215" t="s">
        <v>249</v>
      </c>
      <c r="I6215" s="4">
        <v>17715.352800000001</v>
      </c>
      <c r="J6215" s="4">
        <v>1771535.28</v>
      </c>
      <c r="K6215" s="4">
        <v>-87948.56</v>
      </c>
      <c r="L6215" s="4">
        <v>100</v>
      </c>
    </row>
    <row r="6216" spans="1:12">
      <c r="A6216" t="s">
        <v>264</v>
      </c>
      <c r="B6216" s="10">
        <v>45349</v>
      </c>
      <c r="C6216" s="18">
        <f t="shared" si="97"/>
        <v>2</v>
      </c>
      <c r="D6216" t="s">
        <v>196</v>
      </c>
      <c r="E6216">
        <v>4878825</v>
      </c>
      <c r="F6216" t="s">
        <v>8</v>
      </c>
      <c r="G6216" t="s">
        <v>204</v>
      </c>
      <c r="H6216" t="s">
        <v>218</v>
      </c>
      <c r="I6216" s="4">
        <v>71740.896800000002</v>
      </c>
      <c r="J6216" s="4">
        <v>1506558.8328</v>
      </c>
      <c r="K6216" s="4">
        <v>-75196.018800000005</v>
      </c>
      <c r="L6216" s="4">
        <v>21</v>
      </c>
    </row>
    <row r="6217" spans="1:12">
      <c r="A6217" t="s">
        <v>264</v>
      </c>
      <c r="B6217" s="10">
        <v>45349</v>
      </c>
      <c r="C6217" s="18">
        <f t="shared" si="97"/>
        <v>2</v>
      </c>
      <c r="D6217" t="s">
        <v>196</v>
      </c>
      <c r="E6217">
        <v>4878825</v>
      </c>
      <c r="F6217" t="s">
        <v>8</v>
      </c>
      <c r="G6217" t="s">
        <v>204</v>
      </c>
      <c r="H6217" t="s">
        <v>214</v>
      </c>
      <c r="I6217" s="4">
        <v>119484.4008</v>
      </c>
      <c r="J6217" s="4">
        <v>1194844.0079999999</v>
      </c>
      <c r="K6217" s="4">
        <v>-59679.38</v>
      </c>
      <c r="L6217" s="4">
        <v>10</v>
      </c>
    </row>
    <row r="6218" spans="1:12">
      <c r="A6218" t="s">
        <v>264</v>
      </c>
      <c r="B6218" s="10">
        <v>45349</v>
      </c>
      <c r="C6218" s="18">
        <f t="shared" si="97"/>
        <v>2</v>
      </c>
      <c r="D6218" t="s">
        <v>196</v>
      </c>
      <c r="E6218">
        <v>4877269</v>
      </c>
      <c r="F6218" t="s">
        <v>8</v>
      </c>
      <c r="G6218" t="s">
        <v>204</v>
      </c>
      <c r="H6218" t="s">
        <v>215</v>
      </c>
      <c r="I6218" s="4">
        <v>75510.12079999999</v>
      </c>
      <c r="J6218" s="4">
        <v>377550.60399999993</v>
      </c>
      <c r="K6218" s="4">
        <v>-18846.12</v>
      </c>
      <c r="L6218" s="4">
        <v>5</v>
      </c>
    </row>
    <row r="6219" spans="1:12">
      <c r="A6219" t="s">
        <v>264</v>
      </c>
      <c r="B6219" s="10">
        <v>45349</v>
      </c>
      <c r="C6219" s="18">
        <f t="shared" si="97"/>
        <v>2</v>
      </c>
      <c r="D6219" t="s">
        <v>196</v>
      </c>
      <c r="E6219">
        <v>4872193</v>
      </c>
      <c r="F6219" t="s">
        <v>8</v>
      </c>
      <c r="G6219" t="s">
        <v>204</v>
      </c>
      <c r="H6219" t="s">
        <v>219</v>
      </c>
      <c r="I6219" s="4">
        <v>44099.9208</v>
      </c>
      <c r="J6219" s="4">
        <v>1719896.9112</v>
      </c>
      <c r="K6219" s="4">
        <v>-73499.868000000002</v>
      </c>
      <c r="L6219" s="4">
        <v>39</v>
      </c>
    </row>
    <row r="6220" spans="1:12">
      <c r="A6220" t="s">
        <v>264</v>
      </c>
      <c r="B6220" s="10">
        <v>45350</v>
      </c>
      <c r="C6220" s="18">
        <f t="shared" si="97"/>
        <v>2</v>
      </c>
      <c r="D6220" t="s">
        <v>196</v>
      </c>
      <c r="E6220">
        <v>4878748</v>
      </c>
      <c r="F6220" t="s">
        <v>8</v>
      </c>
      <c r="G6220" t="s">
        <v>202</v>
      </c>
      <c r="H6220" t="s">
        <v>261</v>
      </c>
      <c r="I6220" s="4">
        <v>41587.104800000001</v>
      </c>
      <c r="J6220" s="4">
        <v>499045.25760000001</v>
      </c>
      <c r="K6220" s="4">
        <v>-24876.878400000001</v>
      </c>
      <c r="L6220" s="4">
        <v>12</v>
      </c>
    </row>
    <row r="6221" spans="1:12">
      <c r="A6221" t="s">
        <v>264</v>
      </c>
      <c r="B6221" s="10">
        <v>45351</v>
      </c>
      <c r="C6221" s="18">
        <f t="shared" si="97"/>
        <v>2</v>
      </c>
      <c r="D6221" t="s">
        <v>196</v>
      </c>
      <c r="E6221">
        <v>4871600</v>
      </c>
      <c r="F6221" t="s">
        <v>8</v>
      </c>
      <c r="G6221" t="s">
        <v>204</v>
      </c>
      <c r="H6221" t="s">
        <v>216</v>
      </c>
      <c r="I6221" s="4">
        <v>113202.36079999999</v>
      </c>
      <c r="J6221" s="4">
        <v>226404.72159999999</v>
      </c>
      <c r="L6221" s="4">
        <v>2</v>
      </c>
    </row>
    <row r="6222" spans="1:12">
      <c r="A6222" t="s">
        <v>264</v>
      </c>
      <c r="B6222" s="10">
        <v>45351</v>
      </c>
      <c r="C6222" s="18">
        <f t="shared" si="97"/>
        <v>2</v>
      </c>
      <c r="D6222" t="s">
        <v>196</v>
      </c>
      <c r="E6222">
        <v>4871600</v>
      </c>
      <c r="F6222" t="s">
        <v>8</v>
      </c>
      <c r="G6222" t="s">
        <v>204</v>
      </c>
      <c r="H6222" t="s">
        <v>215</v>
      </c>
      <c r="I6222" s="4">
        <v>75510.12079999999</v>
      </c>
      <c r="J6222" s="4">
        <v>226530.36239999998</v>
      </c>
      <c r="L6222" s="4">
        <v>3</v>
      </c>
    </row>
    <row r="6223" spans="1:12">
      <c r="A6223" t="s">
        <v>264</v>
      </c>
      <c r="B6223" s="10">
        <v>45351</v>
      </c>
      <c r="C6223" s="18">
        <f t="shared" si="97"/>
        <v>2</v>
      </c>
      <c r="D6223" t="s">
        <v>196</v>
      </c>
      <c r="E6223">
        <v>4871600</v>
      </c>
      <c r="F6223" t="s">
        <v>8</v>
      </c>
      <c r="G6223" t="s">
        <v>202</v>
      </c>
      <c r="H6223" t="s">
        <v>261</v>
      </c>
      <c r="I6223" s="4">
        <v>41587.104800000001</v>
      </c>
      <c r="J6223" s="4">
        <v>623806.57200000004</v>
      </c>
      <c r="K6223" s="4">
        <v>-31096.098000000002</v>
      </c>
      <c r="L6223" s="4">
        <v>15</v>
      </c>
    </row>
    <row r="6224" spans="1:12">
      <c r="A6224" t="s">
        <v>264</v>
      </c>
      <c r="B6224" s="10">
        <v>45351</v>
      </c>
      <c r="C6224" s="18">
        <f t="shared" si="97"/>
        <v>2</v>
      </c>
      <c r="D6224" t="s">
        <v>196</v>
      </c>
      <c r="E6224">
        <v>4873921</v>
      </c>
      <c r="F6224" t="s">
        <v>8</v>
      </c>
      <c r="G6224" t="s">
        <v>204</v>
      </c>
      <c r="H6224" t="s">
        <v>212</v>
      </c>
      <c r="I6224" s="4">
        <v>62946.040799999995</v>
      </c>
      <c r="J6224" s="4">
        <v>314730.20399999997</v>
      </c>
      <c r="K6224" s="4">
        <v>-9423.06</v>
      </c>
      <c r="L6224" s="4">
        <v>5</v>
      </c>
    </row>
    <row r="6225" spans="1:12">
      <c r="A6225" t="s">
        <v>105</v>
      </c>
      <c r="B6225" s="10">
        <v>45300</v>
      </c>
      <c r="C6225" s="18">
        <f t="shared" si="97"/>
        <v>1</v>
      </c>
      <c r="D6225" t="s">
        <v>133</v>
      </c>
      <c r="E6225">
        <v>4875794</v>
      </c>
      <c r="F6225" t="s">
        <v>8</v>
      </c>
      <c r="G6225" t="s">
        <v>202</v>
      </c>
      <c r="H6225" t="s">
        <v>261</v>
      </c>
      <c r="I6225" s="4">
        <v>41587.104800000001</v>
      </c>
      <c r="J6225" s="4">
        <v>2079355.24</v>
      </c>
      <c r="L6225" s="4">
        <v>50</v>
      </c>
    </row>
    <row r="6226" spans="1:12">
      <c r="A6226" t="s">
        <v>105</v>
      </c>
      <c r="B6226" s="10">
        <v>45300</v>
      </c>
      <c r="C6226" s="18">
        <f t="shared" si="97"/>
        <v>1</v>
      </c>
      <c r="D6226" t="s">
        <v>133</v>
      </c>
      <c r="E6226">
        <v>4875794</v>
      </c>
      <c r="F6226" t="s">
        <v>8</v>
      </c>
      <c r="G6226" t="s">
        <v>202</v>
      </c>
      <c r="H6226" t="s">
        <v>259</v>
      </c>
      <c r="I6226" s="4">
        <v>30279.432800000002</v>
      </c>
      <c r="J6226" s="4">
        <v>1513971.6400000001</v>
      </c>
      <c r="L6226" s="4">
        <v>50</v>
      </c>
    </row>
    <row r="6227" spans="1:12">
      <c r="A6227" t="s">
        <v>105</v>
      </c>
      <c r="B6227" s="10">
        <v>45300</v>
      </c>
      <c r="C6227" s="18">
        <f t="shared" si="97"/>
        <v>1</v>
      </c>
      <c r="D6227" t="s">
        <v>133</v>
      </c>
      <c r="E6227">
        <v>4875794</v>
      </c>
      <c r="F6227" t="s">
        <v>8</v>
      </c>
      <c r="G6227" t="s">
        <v>202</v>
      </c>
      <c r="H6227" t="s">
        <v>258</v>
      </c>
      <c r="I6227" s="4">
        <v>37817.880799999999</v>
      </c>
      <c r="J6227" s="4">
        <v>1890894.04</v>
      </c>
      <c r="L6227" s="4">
        <v>50</v>
      </c>
    </row>
    <row r="6228" spans="1:12">
      <c r="A6228" t="s">
        <v>105</v>
      </c>
      <c r="B6228" s="10">
        <v>45300</v>
      </c>
      <c r="C6228" s="18">
        <f t="shared" si="97"/>
        <v>1</v>
      </c>
      <c r="D6228" t="s">
        <v>133</v>
      </c>
      <c r="E6228">
        <v>4875794</v>
      </c>
      <c r="F6228" t="s">
        <v>8</v>
      </c>
      <c r="G6228" t="s">
        <v>202</v>
      </c>
      <c r="H6228" t="s">
        <v>257</v>
      </c>
      <c r="I6228" s="4">
        <v>56664.000799999994</v>
      </c>
      <c r="J6228" s="4">
        <v>566640.00799999991</v>
      </c>
      <c r="L6228" s="4">
        <v>10</v>
      </c>
    </row>
    <row r="6229" spans="1:12">
      <c r="A6229" t="s">
        <v>105</v>
      </c>
      <c r="B6229" s="10">
        <v>45300</v>
      </c>
      <c r="C6229" s="18">
        <f t="shared" si="97"/>
        <v>1</v>
      </c>
      <c r="D6229" t="s">
        <v>133</v>
      </c>
      <c r="E6229">
        <v>4875794</v>
      </c>
      <c r="F6229" t="s">
        <v>8</v>
      </c>
      <c r="G6229" t="s">
        <v>202</v>
      </c>
      <c r="H6229" t="s">
        <v>256</v>
      </c>
      <c r="I6229" s="4">
        <v>64202.448800000006</v>
      </c>
      <c r="J6229" s="4">
        <v>642024.48800000001</v>
      </c>
      <c r="L6229" s="4">
        <v>10</v>
      </c>
    </row>
    <row r="6230" spans="1:12">
      <c r="A6230" t="s">
        <v>105</v>
      </c>
      <c r="B6230" s="10">
        <v>45303</v>
      </c>
      <c r="C6230" s="18">
        <f t="shared" si="97"/>
        <v>1</v>
      </c>
      <c r="D6230" t="s">
        <v>134</v>
      </c>
      <c r="E6230">
        <v>4874394</v>
      </c>
      <c r="F6230" t="s">
        <v>8</v>
      </c>
      <c r="G6230" t="s">
        <v>203</v>
      </c>
      <c r="H6230" t="s">
        <v>242</v>
      </c>
      <c r="I6230" s="4">
        <v>100638.28079999999</v>
      </c>
      <c r="J6230" s="4">
        <v>201276.56159999999</v>
      </c>
      <c r="L6230" s="4">
        <v>2</v>
      </c>
    </row>
    <row r="6231" spans="1:12">
      <c r="A6231" t="s">
        <v>105</v>
      </c>
      <c r="B6231" s="10">
        <v>45303</v>
      </c>
      <c r="C6231" s="18">
        <f t="shared" si="97"/>
        <v>1</v>
      </c>
      <c r="D6231" t="s">
        <v>134</v>
      </c>
      <c r="E6231">
        <v>4874394</v>
      </c>
      <c r="F6231" t="s">
        <v>8</v>
      </c>
      <c r="G6231" t="s">
        <v>203</v>
      </c>
      <c r="H6231" t="s">
        <v>240</v>
      </c>
      <c r="I6231" s="4">
        <v>100638.28079999999</v>
      </c>
      <c r="J6231" s="4">
        <v>201276.56159999999</v>
      </c>
      <c r="L6231" s="4">
        <v>2</v>
      </c>
    </row>
    <row r="6232" spans="1:12">
      <c r="A6232" t="s">
        <v>105</v>
      </c>
      <c r="B6232" s="10">
        <v>45306</v>
      </c>
      <c r="C6232" s="18">
        <f t="shared" si="97"/>
        <v>1</v>
      </c>
      <c r="D6232" t="s">
        <v>129</v>
      </c>
      <c r="E6232">
        <v>4875084</v>
      </c>
      <c r="F6232" t="s">
        <v>8</v>
      </c>
      <c r="G6232" t="s">
        <v>203</v>
      </c>
      <c r="H6232" t="s">
        <v>242</v>
      </c>
      <c r="I6232" s="4">
        <v>100638.28079999999</v>
      </c>
      <c r="J6232" s="4">
        <v>201276.56159999999</v>
      </c>
      <c r="L6232" s="4">
        <v>2</v>
      </c>
    </row>
    <row r="6233" spans="1:12">
      <c r="A6233" t="s">
        <v>105</v>
      </c>
      <c r="B6233" s="10">
        <v>45306</v>
      </c>
      <c r="C6233" s="18">
        <f t="shared" si="97"/>
        <v>1</v>
      </c>
      <c r="D6233" t="s">
        <v>134</v>
      </c>
      <c r="E6233">
        <v>4878190</v>
      </c>
      <c r="F6233" t="s">
        <v>8</v>
      </c>
      <c r="G6233" t="s">
        <v>203</v>
      </c>
      <c r="H6233" t="s">
        <v>240</v>
      </c>
      <c r="I6233" s="4">
        <v>100638.28079999999</v>
      </c>
      <c r="J6233" s="4">
        <v>201276.56159999999</v>
      </c>
      <c r="L6233" s="4">
        <v>2</v>
      </c>
    </row>
    <row r="6234" spans="1:12">
      <c r="A6234" t="s">
        <v>105</v>
      </c>
      <c r="B6234" s="10">
        <v>45314</v>
      </c>
      <c r="C6234" s="18">
        <f t="shared" si="97"/>
        <v>1</v>
      </c>
      <c r="D6234" t="s">
        <v>129</v>
      </c>
      <c r="E6234">
        <v>4875294</v>
      </c>
      <c r="F6234" t="s">
        <v>8</v>
      </c>
      <c r="G6234" t="s">
        <v>203</v>
      </c>
      <c r="H6234" t="s">
        <v>236</v>
      </c>
      <c r="I6234" s="4">
        <v>100638.28079999999</v>
      </c>
      <c r="J6234" s="4">
        <v>603829.68479999993</v>
      </c>
      <c r="L6234" s="4">
        <v>6</v>
      </c>
    </row>
    <row r="6235" spans="1:12">
      <c r="A6235" t="s">
        <v>105</v>
      </c>
      <c r="B6235" s="10">
        <v>45314</v>
      </c>
      <c r="C6235" s="18">
        <f t="shared" si="97"/>
        <v>1</v>
      </c>
      <c r="D6235" t="s">
        <v>129</v>
      </c>
      <c r="E6235">
        <v>4875294</v>
      </c>
      <c r="F6235" t="s">
        <v>8</v>
      </c>
      <c r="G6235" t="s">
        <v>203</v>
      </c>
      <c r="H6235" t="s">
        <v>234</v>
      </c>
      <c r="I6235" s="4">
        <v>100638.28079999999</v>
      </c>
      <c r="J6235" s="4">
        <v>603829.68479999993</v>
      </c>
      <c r="L6235" s="4">
        <v>6</v>
      </c>
    </row>
    <row r="6236" spans="1:12">
      <c r="A6236" t="s">
        <v>105</v>
      </c>
      <c r="B6236" s="10">
        <v>45314</v>
      </c>
      <c r="C6236" s="18">
        <f t="shared" si="97"/>
        <v>1</v>
      </c>
      <c r="D6236" t="s">
        <v>129</v>
      </c>
      <c r="E6236">
        <v>4875294</v>
      </c>
      <c r="F6236" t="s">
        <v>8</v>
      </c>
      <c r="G6236" t="s">
        <v>203</v>
      </c>
      <c r="H6236" t="s">
        <v>232</v>
      </c>
      <c r="I6236" s="4">
        <v>100638.28079999999</v>
      </c>
      <c r="J6236" s="4">
        <v>603829.68479999993</v>
      </c>
      <c r="L6236" s="4">
        <v>6</v>
      </c>
    </row>
    <row r="6237" spans="1:12">
      <c r="A6237" t="s">
        <v>105</v>
      </c>
      <c r="B6237" s="10">
        <v>45314</v>
      </c>
      <c r="C6237" s="18">
        <f t="shared" si="97"/>
        <v>1</v>
      </c>
      <c r="D6237" t="s">
        <v>129</v>
      </c>
      <c r="E6237">
        <v>4875294</v>
      </c>
      <c r="F6237" t="s">
        <v>8</v>
      </c>
      <c r="G6237" t="s">
        <v>203</v>
      </c>
      <c r="H6237" t="s">
        <v>230</v>
      </c>
      <c r="I6237" s="4">
        <v>100638.28079999999</v>
      </c>
      <c r="J6237" s="4">
        <v>603829.68479999993</v>
      </c>
      <c r="L6237" s="4">
        <v>6</v>
      </c>
    </row>
    <row r="6238" spans="1:12">
      <c r="A6238" t="s">
        <v>105</v>
      </c>
      <c r="B6238" s="10">
        <v>45314</v>
      </c>
      <c r="C6238" s="18">
        <f t="shared" si="97"/>
        <v>1</v>
      </c>
      <c r="D6238" t="s">
        <v>129</v>
      </c>
      <c r="E6238">
        <v>4875294</v>
      </c>
      <c r="F6238" t="s">
        <v>8</v>
      </c>
      <c r="G6238" t="s">
        <v>203</v>
      </c>
      <c r="H6238" t="s">
        <v>228</v>
      </c>
      <c r="I6238" s="4">
        <v>100638.28079999999</v>
      </c>
      <c r="J6238" s="4">
        <v>603829.68479999993</v>
      </c>
      <c r="L6238" s="4">
        <v>6</v>
      </c>
    </row>
    <row r="6239" spans="1:12">
      <c r="A6239" t="s">
        <v>105</v>
      </c>
      <c r="B6239" s="10">
        <v>45314</v>
      </c>
      <c r="C6239" s="18">
        <f t="shared" si="97"/>
        <v>1</v>
      </c>
      <c r="D6239" t="s">
        <v>129</v>
      </c>
      <c r="E6239">
        <v>4875294</v>
      </c>
      <c r="F6239" t="s">
        <v>8</v>
      </c>
      <c r="G6239" t="s">
        <v>203</v>
      </c>
      <c r="H6239" t="s">
        <v>244</v>
      </c>
      <c r="I6239" s="4">
        <v>125766.4408</v>
      </c>
      <c r="J6239" s="4">
        <v>628832.20400000003</v>
      </c>
      <c r="L6239" s="4">
        <v>5</v>
      </c>
    </row>
    <row r="6240" spans="1:12">
      <c r="A6240" t="s">
        <v>105</v>
      </c>
      <c r="B6240" s="10">
        <v>45314</v>
      </c>
      <c r="C6240" s="18">
        <f t="shared" si="97"/>
        <v>1</v>
      </c>
      <c r="D6240" t="s">
        <v>129</v>
      </c>
      <c r="E6240">
        <v>4875294</v>
      </c>
      <c r="F6240" t="s">
        <v>8</v>
      </c>
      <c r="G6240" t="s">
        <v>203</v>
      </c>
      <c r="H6240" t="s">
        <v>239</v>
      </c>
      <c r="I6240" s="4">
        <v>125766.4408</v>
      </c>
      <c r="J6240" s="4">
        <v>628832.20400000003</v>
      </c>
      <c r="L6240" s="4">
        <v>5</v>
      </c>
    </row>
    <row r="6241" spans="1:12">
      <c r="A6241" t="s">
        <v>105</v>
      </c>
      <c r="B6241" s="10">
        <v>45314</v>
      </c>
      <c r="C6241" s="18">
        <f t="shared" si="97"/>
        <v>1</v>
      </c>
      <c r="D6241" t="s">
        <v>129</v>
      </c>
      <c r="E6241">
        <v>4873800</v>
      </c>
      <c r="F6241" t="s">
        <v>8</v>
      </c>
      <c r="G6241" t="s">
        <v>203</v>
      </c>
      <c r="H6241" t="s">
        <v>230</v>
      </c>
      <c r="I6241" s="4">
        <v>100638.28079999999</v>
      </c>
      <c r="J6241" s="4">
        <v>402553.12319999997</v>
      </c>
      <c r="L6241" s="4">
        <v>4</v>
      </c>
    </row>
    <row r="6242" spans="1:12">
      <c r="A6242" t="s">
        <v>105</v>
      </c>
      <c r="B6242" s="10">
        <v>45314</v>
      </c>
      <c r="C6242" s="18">
        <f t="shared" si="97"/>
        <v>1</v>
      </c>
      <c r="D6242" t="s">
        <v>129</v>
      </c>
      <c r="E6242">
        <v>4873800</v>
      </c>
      <c r="F6242" t="s">
        <v>8</v>
      </c>
      <c r="G6242" t="s">
        <v>203</v>
      </c>
      <c r="H6242" t="s">
        <v>228</v>
      </c>
      <c r="I6242" s="4">
        <v>100638.28079999999</v>
      </c>
      <c r="J6242" s="4">
        <v>402553.12319999997</v>
      </c>
      <c r="L6242" s="4">
        <v>4</v>
      </c>
    </row>
    <row r="6243" spans="1:12">
      <c r="A6243" t="s">
        <v>105</v>
      </c>
      <c r="B6243" s="10">
        <v>45314</v>
      </c>
      <c r="C6243" s="18">
        <f t="shared" si="97"/>
        <v>1</v>
      </c>
      <c r="D6243" t="s">
        <v>129</v>
      </c>
      <c r="E6243">
        <v>4873800</v>
      </c>
      <c r="F6243" t="s">
        <v>8</v>
      </c>
      <c r="G6243" t="s">
        <v>203</v>
      </c>
      <c r="H6243" t="s">
        <v>227</v>
      </c>
      <c r="I6243" s="4">
        <v>100638.28079999999</v>
      </c>
      <c r="J6243" s="4">
        <v>402553.12319999997</v>
      </c>
      <c r="L6243" s="4">
        <v>4</v>
      </c>
    </row>
    <row r="6244" spans="1:12">
      <c r="A6244" t="s">
        <v>105</v>
      </c>
      <c r="B6244" s="10">
        <v>45314</v>
      </c>
      <c r="C6244" s="18">
        <f t="shared" si="97"/>
        <v>1</v>
      </c>
      <c r="D6244" t="s">
        <v>134</v>
      </c>
      <c r="E6244">
        <v>4873069</v>
      </c>
      <c r="F6244" t="s">
        <v>8</v>
      </c>
      <c r="G6244" t="s">
        <v>203</v>
      </c>
      <c r="H6244" t="s">
        <v>245</v>
      </c>
      <c r="I6244" s="4">
        <v>100638.28079999999</v>
      </c>
      <c r="J6244" s="4">
        <v>201276.56159999999</v>
      </c>
      <c r="L6244" s="4">
        <v>2</v>
      </c>
    </row>
    <row r="6245" spans="1:12">
      <c r="A6245" t="s">
        <v>105</v>
      </c>
      <c r="B6245" s="10">
        <v>45314</v>
      </c>
      <c r="C6245" s="18">
        <f t="shared" si="97"/>
        <v>1</v>
      </c>
      <c r="D6245" t="s">
        <v>134</v>
      </c>
      <c r="E6245">
        <v>4873069</v>
      </c>
      <c r="F6245" t="s">
        <v>8</v>
      </c>
      <c r="G6245" t="s">
        <v>203</v>
      </c>
      <c r="H6245" t="s">
        <v>243</v>
      </c>
      <c r="I6245" s="4">
        <v>100638.28079999999</v>
      </c>
      <c r="J6245" s="4">
        <v>201276.56159999999</v>
      </c>
      <c r="L6245" s="4">
        <v>2</v>
      </c>
    </row>
    <row r="6246" spans="1:12">
      <c r="A6246" t="s">
        <v>105</v>
      </c>
      <c r="B6246" s="10">
        <v>45314</v>
      </c>
      <c r="C6246" s="18">
        <f t="shared" si="97"/>
        <v>1</v>
      </c>
      <c r="D6246" t="s">
        <v>134</v>
      </c>
      <c r="E6246">
        <v>4873069</v>
      </c>
      <c r="F6246" t="s">
        <v>8</v>
      </c>
      <c r="G6246" t="s">
        <v>203</v>
      </c>
      <c r="H6246" t="s">
        <v>240</v>
      </c>
      <c r="I6246" s="4">
        <v>100638.28079999999</v>
      </c>
      <c r="J6246" s="4">
        <v>201276.56159999999</v>
      </c>
      <c r="L6246" s="4">
        <v>2</v>
      </c>
    </row>
    <row r="6247" spans="1:12">
      <c r="A6247" t="s">
        <v>105</v>
      </c>
      <c r="B6247" s="10">
        <v>45314</v>
      </c>
      <c r="C6247" s="18">
        <f t="shared" si="97"/>
        <v>1</v>
      </c>
      <c r="D6247" t="s">
        <v>134</v>
      </c>
      <c r="E6247">
        <v>4873069</v>
      </c>
      <c r="F6247" t="s">
        <v>8</v>
      </c>
      <c r="G6247" t="s">
        <v>203</v>
      </c>
      <c r="H6247" t="s">
        <v>234</v>
      </c>
      <c r="I6247" s="4">
        <v>100638.28079999999</v>
      </c>
      <c r="J6247" s="4">
        <v>201276.56159999999</v>
      </c>
      <c r="L6247" s="4">
        <v>2</v>
      </c>
    </row>
    <row r="6248" spans="1:12">
      <c r="A6248" t="s">
        <v>105</v>
      </c>
      <c r="B6248" s="10">
        <v>45314</v>
      </c>
      <c r="C6248" s="18">
        <f t="shared" si="97"/>
        <v>1</v>
      </c>
      <c r="D6248" t="s">
        <v>134</v>
      </c>
      <c r="E6248">
        <v>4873069</v>
      </c>
      <c r="F6248" t="s">
        <v>8</v>
      </c>
      <c r="G6248" t="s">
        <v>203</v>
      </c>
      <c r="H6248" t="s">
        <v>230</v>
      </c>
      <c r="I6248" s="4">
        <v>100638.28079999999</v>
      </c>
      <c r="J6248" s="4">
        <v>201276.56159999999</v>
      </c>
      <c r="L6248" s="4">
        <v>2</v>
      </c>
    </row>
    <row r="6249" spans="1:12">
      <c r="A6249" t="s">
        <v>105</v>
      </c>
      <c r="B6249" s="10">
        <v>45315</v>
      </c>
      <c r="C6249" s="18">
        <f t="shared" si="97"/>
        <v>1</v>
      </c>
      <c r="D6249" t="s">
        <v>133</v>
      </c>
      <c r="E6249">
        <v>4875794</v>
      </c>
      <c r="F6249" t="s">
        <v>8</v>
      </c>
      <c r="G6249" t="s">
        <v>202</v>
      </c>
      <c r="H6249" t="s">
        <v>256</v>
      </c>
      <c r="I6249" s="4">
        <v>64202.448800000006</v>
      </c>
      <c r="J6249" s="4">
        <v>1540858.7712000001</v>
      </c>
      <c r="L6249" s="4">
        <v>24</v>
      </c>
    </row>
    <row r="6250" spans="1:12">
      <c r="A6250" t="s">
        <v>105</v>
      </c>
      <c r="B6250" s="10">
        <v>45318</v>
      </c>
      <c r="C6250" s="18">
        <f t="shared" si="97"/>
        <v>1</v>
      </c>
      <c r="D6250" t="s">
        <v>124</v>
      </c>
      <c r="E6250">
        <v>4874487</v>
      </c>
      <c r="F6250" t="s">
        <v>8</v>
      </c>
      <c r="G6250" t="s">
        <v>204</v>
      </c>
      <c r="H6250" t="s">
        <v>212</v>
      </c>
      <c r="I6250" s="4">
        <v>62946.040799999995</v>
      </c>
      <c r="J6250" s="4">
        <v>755352.48959999997</v>
      </c>
      <c r="L6250" s="4">
        <v>12</v>
      </c>
    </row>
    <row r="6251" spans="1:12">
      <c r="A6251" t="s">
        <v>105</v>
      </c>
      <c r="B6251" s="10">
        <v>45321</v>
      </c>
      <c r="C6251" s="18">
        <f t="shared" si="97"/>
        <v>1</v>
      </c>
      <c r="D6251" t="s">
        <v>134</v>
      </c>
      <c r="E6251">
        <v>4874563</v>
      </c>
      <c r="F6251" t="s">
        <v>8</v>
      </c>
      <c r="G6251" t="s">
        <v>203</v>
      </c>
      <c r="H6251" t="s">
        <v>245</v>
      </c>
      <c r="I6251" s="4">
        <v>100638.28079999999</v>
      </c>
      <c r="J6251" s="4">
        <v>201276.56159999999</v>
      </c>
      <c r="L6251" s="4">
        <v>2</v>
      </c>
    </row>
    <row r="6252" spans="1:12">
      <c r="A6252" t="s">
        <v>105</v>
      </c>
      <c r="B6252" s="10">
        <v>45321</v>
      </c>
      <c r="C6252" s="18">
        <f t="shared" si="97"/>
        <v>1</v>
      </c>
      <c r="D6252" t="s">
        <v>134</v>
      </c>
      <c r="E6252">
        <v>4874563</v>
      </c>
      <c r="F6252" t="s">
        <v>8</v>
      </c>
      <c r="G6252" t="s">
        <v>203</v>
      </c>
      <c r="H6252" t="s">
        <v>240</v>
      </c>
      <c r="I6252" s="4">
        <v>100638.28079999999</v>
      </c>
      <c r="J6252" s="4">
        <v>201276.56159999999</v>
      </c>
      <c r="L6252" s="4">
        <v>2</v>
      </c>
    </row>
    <row r="6253" spans="1:12">
      <c r="A6253" t="s">
        <v>105</v>
      </c>
      <c r="B6253" s="10">
        <v>45321</v>
      </c>
      <c r="C6253" s="18">
        <f t="shared" si="97"/>
        <v>1</v>
      </c>
      <c r="D6253" t="s">
        <v>134</v>
      </c>
      <c r="E6253">
        <v>4874563</v>
      </c>
      <c r="F6253" t="s">
        <v>8</v>
      </c>
      <c r="G6253" t="s">
        <v>203</v>
      </c>
      <c r="H6253" t="s">
        <v>232</v>
      </c>
      <c r="I6253" s="4">
        <v>100638.28079999999</v>
      </c>
      <c r="J6253" s="4">
        <v>201276.56159999999</v>
      </c>
      <c r="L6253" s="4">
        <v>2</v>
      </c>
    </row>
    <row r="6254" spans="1:12">
      <c r="A6254" t="s">
        <v>105</v>
      </c>
      <c r="B6254" s="10">
        <v>45300</v>
      </c>
      <c r="C6254" s="18">
        <f t="shared" si="97"/>
        <v>1</v>
      </c>
      <c r="D6254" t="s">
        <v>111</v>
      </c>
      <c r="E6254">
        <v>4878259</v>
      </c>
      <c r="F6254" t="s">
        <v>8</v>
      </c>
      <c r="G6254" t="s">
        <v>203</v>
      </c>
      <c r="H6254" t="s">
        <v>245</v>
      </c>
      <c r="I6254" s="4">
        <v>100638.28079999999</v>
      </c>
      <c r="J6254" s="4">
        <v>201276.56159999999</v>
      </c>
      <c r="L6254" s="4">
        <v>2</v>
      </c>
    </row>
    <row r="6255" spans="1:12">
      <c r="A6255" t="s">
        <v>105</v>
      </c>
      <c r="B6255" s="10">
        <v>45300</v>
      </c>
      <c r="C6255" s="18">
        <f t="shared" si="97"/>
        <v>1</v>
      </c>
      <c r="D6255" t="s">
        <v>111</v>
      </c>
      <c r="E6255">
        <v>4878259</v>
      </c>
      <c r="F6255" t="s">
        <v>8</v>
      </c>
      <c r="G6255" t="s">
        <v>203</v>
      </c>
      <c r="H6255" t="s">
        <v>243</v>
      </c>
      <c r="I6255" s="4">
        <v>100638.28079999999</v>
      </c>
      <c r="J6255" s="4">
        <v>201276.56159999999</v>
      </c>
      <c r="L6255" s="4">
        <v>2</v>
      </c>
    </row>
    <row r="6256" spans="1:12">
      <c r="A6256" t="s">
        <v>105</v>
      </c>
      <c r="B6256" s="10">
        <v>45300</v>
      </c>
      <c r="C6256" s="18">
        <f t="shared" si="97"/>
        <v>1</v>
      </c>
      <c r="D6256" t="s">
        <v>111</v>
      </c>
      <c r="E6256">
        <v>4878259</v>
      </c>
      <c r="F6256" t="s">
        <v>8</v>
      </c>
      <c r="G6256" t="s">
        <v>203</v>
      </c>
      <c r="H6256" t="s">
        <v>242</v>
      </c>
      <c r="I6256" s="4">
        <v>100638.28079999999</v>
      </c>
      <c r="J6256" s="4">
        <v>201276.56159999999</v>
      </c>
      <c r="L6256" s="4">
        <v>2</v>
      </c>
    </row>
    <row r="6257" spans="1:12">
      <c r="A6257" t="s">
        <v>105</v>
      </c>
      <c r="B6257" s="10">
        <v>45300</v>
      </c>
      <c r="C6257" s="18">
        <f t="shared" si="97"/>
        <v>1</v>
      </c>
      <c r="D6257" t="s">
        <v>111</v>
      </c>
      <c r="E6257">
        <v>4878259</v>
      </c>
      <c r="F6257" t="s">
        <v>8</v>
      </c>
      <c r="G6257" t="s">
        <v>203</v>
      </c>
      <c r="H6257" t="s">
        <v>240</v>
      </c>
      <c r="I6257" s="4">
        <v>100638.28079999999</v>
      </c>
      <c r="J6257" s="4">
        <v>201276.56159999999</v>
      </c>
      <c r="L6257" s="4">
        <v>2</v>
      </c>
    </row>
    <row r="6258" spans="1:12">
      <c r="A6258" t="s">
        <v>105</v>
      </c>
      <c r="B6258" s="10">
        <v>45300</v>
      </c>
      <c r="C6258" s="18">
        <f t="shared" si="97"/>
        <v>1</v>
      </c>
      <c r="D6258" t="s">
        <v>111</v>
      </c>
      <c r="E6258">
        <v>4878259</v>
      </c>
      <c r="F6258" t="s">
        <v>8</v>
      </c>
      <c r="G6258" t="s">
        <v>203</v>
      </c>
      <c r="H6258" t="s">
        <v>238</v>
      </c>
      <c r="I6258" s="4">
        <v>95606.36675999999</v>
      </c>
      <c r="J6258" s="4">
        <v>191212.73351999998</v>
      </c>
      <c r="L6258" s="4">
        <v>2</v>
      </c>
    </row>
    <row r="6259" spans="1:12">
      <c r="A6259" t="s">
        <v>105</v>
      </c>
      <c r="B6259" s="10">
        <v>45300</v>
      </c>
      <c r="C6259" s="18">
        <f t="shared" si="97"/>
        <v>1</v>
      </c>
      <c r="D6259" t="s">
        <v>111</v>
      </c>
      <c r="E6259">
        <v>4878259</v>
      </c>
      <c r="F6259" t="s">
        <v>8</v>
      </c>
      <c r="G6259" t="s">
        <v>203</v>
      </c>
      <c r="H6259" t="s">
        <v>236</v>
      </c>
      <c r="I6259" s="4">
        <v>100638.28079999999</v>
      </c>
      <c r="J6259" s="4">
        <v>201276.56159999999</v>
      </c>
      <c r="L6259" s="4">
        <v>2</v>
      </c>
    </row>
    <row r="6260" spans="1:12">
      <c r="A6260" t="s">
        <v>105</v>
      </c>
      <c r="B6260" s="10">
        <v>45300</v>
      </c>
      <c r="C6260" s="18">
        <f t="shared" si="97"/>
        <v>1</v>
      </c>
      <c r="D6260" t="s">
        <v>111</v>
      </c>
      <c r="E6260">
        <v>4878259</v>
      </c>
      <c r="F6260" t="s">
        <v>8</v>
      </c>
      <c r="G6260" t="s">
        <v>203</v>
      </c>
      <c r="H6260" t="s">
        <v>234</v>
      </c>
      <c r="I6260" s="4">
        <v>100638.28079999999</v>
      </c>
      <c r="J6260" s="4">
        <v>201276.56159999999</v>
      </c>
      <c r="L6260" s="4">
        <v>2</v>
      </c>
    </row>
    <row r="6261" spans="1:12">
      <c r="A6261" t="s">
        <v>105</v>
      </c>
      <c r="B6261" s="10">
        <v>45300</v>
      </c>
      <c r="C6261" s="18">
        <f t="shared" si="97"/>
        <v>1</v>
      </c>
      <c r="D6261" t="s">
        <v>111</v>
      </c>
      <c r="E6261">
        <v>4878259</v>
      </c>
      <c r="F6261" t="s">
        <v>8</v>
      </c>
      <c r="G6261" t="s">
        <v>203</v>
      </c>
      <c r="H6261" t="s">
        <v>232</v>
      </c>
      <c r="I6261" s="4">
        <v>100638.28079999999</v>
      </c>
      <c r="J6261" s="4">
        <v>201276.56159999999</v>
      </c>
      <c r="L6261" s="4">
        <v>2</v>
      </c>
    </row>
    <row r="6262" spans="1:12">
      <c r="A6262" t="s">
        <v>105</v>
      </c>
      <c r="B6262" s="10">
        <v>45300</v>
      </c>
      <c r="C6262" s="18">
        <f t="shared" si="97"/>
        <v>1</v>
      </c>
      <c r="D6262" t="s">
        <v>111</v>
      </c>
      <c r="E6262">
        <v>4878259</v>
      </c>
      <c r="F6262" t="s">
        <v>8</v>
      </c>
      <c r="G6262" t="s">
        <v>203</v>
      </c>
      <c r="H6262" t="s">
        <v>228</v>
      </c>
      <c r="I6262" s="4">
        <v>100638.28079999999</v>
      </c>
      <c r="J6262" s="4">
        <v>201276.56159999999</v>
      </c>
      <c r="L6262" s="4">
        <v>2</v>
      </c>
    </row>
    <row r="6263" spans="1:12">
      <c r="A6263" t="s">
        <v>105</v>
      </c>
      <c r="B6263" s="10">
        <v>45300</v>
      </c>
      <c r="C6263" s="18">
        <f t="shared" si="97"/>
        <v>1</v>
      </c>
      <c r="D6263" t="s">
        <v>111</v>
      </c>
      <c r="E6263">
        <v>4878259</v>
      </c>
      <c r="F6263" t="s">
        <v>8</v>
      </c>
      <c r="G6263" t="s">
        <v>203</v>
      </c>
      <c r="H6263" t="s">
        <v>227</v>
      </c>
      <c r="I6263" s="4">
        <v>100638.28079999999</v>
      </c>
      <c r="J6263" s="4">
        <v>201276.56159999999</v>
      </c>
      <c r="L6263" s="4">
        <v>2</v>
      </c>
    </row>
    <row r="6264" spans="1:12">
      <c r="A6264" t="s">
        <v>105</v>
      </c>
      <c r="B6264" s="10">
        <v>45300</v>
      </c>
      <c r="C6264" s="18">
        <f t="shared" si="97"/>
        <v>1</v>
      </c>
      <c r="D6264" t="s">
        <v>111</v>
      </c>
      <c r="E6264">
        <v>4878265</v>
      </c>
      <c r="F6264" t="s">
        <v>8</v>
      </c>
      <c r="G6264" t="s">
        <v>203</v>
      </c>
      <c r="H6264" t="s">
        <v>245</v>
      </c>
      <c r="I6264" s="4">
        <v>100638.28079999999</v>
      </c>
      <c r="J6264" s="4">
        <v>201276.56159999999</v>
      </c>
      <c r="L6264" s="4">
        <v>2</v>
      </c>
    </row>
    <row r="6265" spans="1:12">
      <c r="A6265" t="s">
        <v>105</v>
      </c>
      <c r="B6265" s="10">
        <v>45300</v>
      </c>
      <c r="C6265" s="18">
        <f t="shared" si="97"/>
        <v>1</v>
      </c>
      <c r="D6265" t="s">
        <v>111</v>
      </c>
      <c r="E6265">
        <v>4878265</v>
      </c>
      <c r="F6265" t="s">
        <v>8</v>
      </c>
      <c r="G6265" t="s">
        <v>203</v>
      </c>
      <c r="H6265" t="s">
        <v>243</v>
      </c>
      <c r="I6265" s="4">
        <v>100638.28079999999</v>
      </c>
      <c r="J6265" s="4">
        <v>201276.56159999999</v>
      </c>
      <c r="L6265" s="4">
        <v>2</v>
      </c>
    </row>
    <row r="6266" spans="1:12">
      <c r="A6266" t="s">
        <v>105</v>
      </c>
      <c r="B6266" s="10">
        <v>45300</v>
      </c>
      <c r="C6266" s="18">
        <f t="shared" si="97"/>
        <v>1</v>
      </c>
      <c r="D6266" t="s">
        <v>111</v>
      </c>
      <c r="E6266">
        <v>4878265</v>
      </c>
      <c r="F6266" t="s">
        <v>8</v>
      </c>
      <c r="G6266" t="s">
        <v>203</v>
      </c>
      <c r="H6266" t="s">
        <v>242</v>
      </c>
      <c r="I6266" s="4">
        <v>100638.28079999999</v>
      </c>
      <c r="J6266" s="4">
        <v>201276.56159999999</v>
      </c>
      <c r="L6266" s="4">
        <v>2</v>
      </c>
    </row>
    <row r="6267" spans="1:12">
      <c r="A6267" t="s">
        <v>105</v>
      </c>
      <c r="B6267" s="10">
        <v>45300</v>
      </c>
      <c r="C6267" s="18">
        <f t="shared" si="97"/>
        <v>1</v>
      </c>
      <c r="D6267" t="s">
        <v>111</v>
      </c>
      <c r="E6267">
        <v>4878265</v>
      </c>
      <c r="F6267" t="s">
        <v>8</v>
      </c>
      <c r="G6267" t="s">
        <v>203</v>
      </c>
      <c r="H6267" t="s">
        <v>240</v>
      </c>
      <c r="I6267" s="4">
        <v>100638.28079999999</v>
      </c>
      <c r="J6267" s="4">
        <v>201276.56159999999</v>
      </c>
      <c r="L6267" s="4">
        <v>2</v>
      </c>
    </row>
    <row r="6268" spans="1:12">
      <c r="A6268" t="s">
        <v>105</v>
      </c>
      <c r="B6268" s="10">
        <v>45300</v>
      </c>
      <c r="C6268" s="18">
        <f t="shared" si="97"/>
        <v>1</v>
      </c>
      <c r="D6268" t="s">
        <v>111</v>
      </c>
      <c r="E6268">
        <v>4878265</v>
      </c>
      <c r="F6268" t="s">
        <v>8</v>
      </c>
      <c r="G6268" t="s">
        <v>203</v>
      </c>
      <c r="H6268" t="s">
        <v>238</v>
      </c>
      <c r="I6268" s="4">
        <v>95606.36675999999</v>
      </c>
      <c r="J6268" s="4">
        <v>191212.73351999998</v>
      </c>
      <c r="L6268" s="4">
        <v>2</v>
      </c>
    </row>
    <row r="6269" spans="1:12">
      <c r="A6269" t="s">
        <v>105</v>
      </c>
      <c r="B6269" s="10">
        <v>45300</v>
      </c>
      <c r="C6269" s="18">
        <f t="shared" si="97"/>
        <v>1</v>
      </c>
      <c r="D6269" t="s">
        <v>111</v>
      </c>
      <c r="E6269">
        <v>4878265</v>
      </c>
      <c r="F6269" t="s">
        <v>8</v>
      </c>
      <c r="G6269" t="s">
        <v>203</v>
      </c>
      <c r="H6269" t="s">
        <v>236</v>
      </c>
      <c r="I6269" s="4">
        <v>100638.28079999999</v>
      </c>
      <c r="J6269" s="4">
        <v>201276.56159999999</v>
      </c>
      <c r="L6269" s="4">
        <v>2</v>
      </c>
    </row>
    <row r="6270" spans="1:12">
      <c r="A6270" t="s">
        <v>105</v>
      </c>
      <c r="B6270" s="10">
        <v>45300</v>
      </c>
      <c r="C6270" s="18">
        <f t="shared" si="97"/>
        <v>1</v>
      </c>
      <c r="D6270" t="s">
        <v>111</v>
      </c>
      <c r="E6270">
        <v>4878265</v>
      </c>
      <c r="F6270" t="s">
        <v>8</v>
      </c>
      <c r="G6270" t="s">
        <v>203</v>
      </c>
      <c r="H6270" t="s">
        <v>234</v>
      </c>
      <c r="I6270" s="4">
        <v>100638.28079999999</v>
      </c>
      <c r="J6270" s="4">
        <v>201276.56159999999</v>
      </c>
      <c r="L6270" s="4">
        <v>2</v>
      </c>
    </row>
    <row r="6271" spans="1:12">
      <c r="A6271" t="s">
        <v>105</v>
      </c>
      <c r="B6271" s="10">
        <v>45300</v>
      </c>
      <c r="C6271" s="18">
        <f t="shared" si="97"/>
        <v>1</v>
      </c>
      <c r="D6271" t="s">
        <v>111</v>
      </c>
      <c r="E6271">
        <v>4878265</v>
      </c>
      <c r="F6271" t="s">
        <v>8</v>
      </c>
      <c r="G6271" t="s">
        <v>203</v>
      </c>
      <c r="H6271" t="s">
        <v>232</v>
      </c>
      <c r="I6271" s="4">
        <v>100638.28079999999</v>
      </c>
      <c r="J6271" s="4">
        <v>201276.56159999999</v>
      </c>
      <c r="L6271" s="4">
        <v>2</v>
      </c>
    </row>
    <row r="6272" spans="1:12">
      <c r="A6272" t="s">
        <v>105</v>
      </c>
      <c r="B6272" s="10">
        <v>45300</v>
      </c>
      <c r="C6272" s="18">
        <f t="shared" si="97"/>
        <v>1</v>
      </c>
      <c r="D6272" t="s">
        <v>111</v>
      </c>
      <c r="E6272">
        <v>4878265</v>
      </c>
      <c r="F6272" t="s">
        <v>8</v>
      </c>
      <c r="G6272" t="s">
        <v>203</v>
      </c>
      <c r="H6272" t="s">
        <v>228</v>
      </c>
      <c r="I6272" s="4">
        <v>100638.28079999999</v>
      </c>
      <c r="J6272" s="4">
        <v>201276.56159999999</v>
      </c>
      <c r="L6272" s="4">
        <v>2</v>
      </c>
    </row>
    <row r="6273" spans="1:12">
      <c r="A6273" t="s">
        <v>105</v>
      </c>
      <c r="B6273" s="10">
        <v>45300</v>
      </c>
      <c r="C6273" s="18">
        <f t="shared" si="97"/>
        <v>1</v>
      </c>
      <c r="D6273" t="s">
        <v>111</v>
      </c>
      <c r="E6273">
        <v>4878265</v>
      </c>
      <c r="F6273" t="s">
        <v>8</v>
      </c>
      <c r="G6273" t="s">
        <v>203</v>
      </c>
      <c r="H6273" t="s">
        <v>227</v>
      </c>
      <c r="I6273" s="4">
        <v>100638.28079999999</v>
      </c>
      <c r="J6273" s="4">
        <v>201276.56159999999</v>
      </c>
      <c r="L6273" s="4">
        <v>2</v>
      </c>
    </row>
    <row r="6274" spans="1:12">
      <c r="A6274" t="s">
        <v>105</v>
      </c>
      <c r="B6274" s="10">
        <v>45300</v>
      </c>
      <c r="C6274" s="18">
        <f t="shared" ref="C6274:C6337" si="98">MONTH(B6274)</f>
        <v>1</v>
      </c>
      <c r="D6274" t="s">
        <v>111</v>
      </c>
      <c r="E6274">
        <v>4878265</v>
      </c>
      <c r="F6274" t="s">
        <v>8</v>
      </c>
      <c r="G6274" t="s">
        <v>203</v>
      </c>
      <c r="H6274" t="s">
        <v>226</v>
      </c>
      <c r="I6274" s="4">
        <v>100638.28079999999</v>
      </c>
      <c r="J6274" s="4">
        <v>201276.56159999999</v>
      </c>
      <c r="L6274" s="4">
        <v>2</v>
      </c>
    </row>
    <row r="6275" spans="1:12">
      <c r="A6275" t="s">
        <v>105</v>
      </c>
      <c r="B6275" s="10">
        <v>45300</v>
      </c>
      <c r="C6275" s="18">
        <f t="shared" si="98"/>
        <v>1</v>
      </c>
      <c r="D6275" t="s">
        <v>111</v>
      </c>
      <c r="E6275">
        <v>4878265</v>
      </c>
      <c r="F6275" t="s">
        <v>8</v>
      </c>
      <c r="G6275" t="s">
        <v>203</v>
      </c>
      <c r="H6275" t="s">
        <v>225</v>
      </c>
      <c r="I6275" s="4">
        <v>100638.28079999999</v>
      </c>
      <c r="J6275" s="4">
        <v>201276.56159999999</v>
      </c>
      <c r="L6275" s="4">
        <v>2</v>
      </c>
    </row>
    <row r="6276" spans="1:12">
      <c r="A6276" t="s">
        <v>105</v>
      </c>
      <c r="B6276" s="10">
        <v>45300</v>
      </c>
      <c r="C6276" s="18">
        <f t="shared" si="98"/>
        <v>1</v>
      </c>
      <c r="D6276" t="s">
        <v>111</v>
      </c>
      <c r="E6276">
        <v>4878265</v>
      </c>
      <c r="F6276" t="s">
        <v>8</v>
      </c>
      <c r="G6276" t="s">
        <v>203</v>
      </c>
      <c r="H6276" t="s">
        <v>224</v>
      </c>
      <c r="I6276" s="4">
        <v>100638.28079999999</v>
      </c>
      <c r="J6276" s="4">
        <v>201276.56159999999</v>
      </c>
      <c r="L6276" s="4">
        <v>2</v>
      </c>
    </row>
    <row r="6277" spans="1:12">
      <c r="A6277" t="s">
        <v>105</v>
      </c>
      <c r="B6277" s="10">
        <v>45300</v>
      </c>
      <c r="C6277" s="18">
        <f t="shared" si="98"/>
        <v>1</v>
      </c>
      <c r="D6277" t="s">
        <v>111</v>
      </c>
      <c r="E6277">
        <v>4878265</v>
      </c>
      <c r="F6277" t="s">
        <v>8</v>
      </c>
      <c r="G6277" t="s">
        <v>203</v>
      </c>
      <c r="H6277" t="s">
        <v>223</v>
      </c>
      <c r="I6277" s="4">
        <v>100638.28079999999</v>
      </c>
      <c r="J6277" s="4">
        <v>201276.56159999999</v>
      </c>
      <c r="L6277" s="4">
        <v>2</v>
      </c>
    </row>
    <row r="6278" spans="1:12">
      <c r="A6278" t="s">
        <v>105</v>
      </c>
      <c r="B6278" s="10">
        <v>45300</v>
      </c>
      <c r="C6278" s="18">
        <f t="shared" si="98"/>
        <v>1</v>
      </c>
      <c r="D6278" t="s">
        <v>111</v>
      </c>
      <c r="E6278">
        <v>4878265</v>
      </c>
      <c r="F6278" t="s">
        <v>8</v>
      </c>
      <c r="G6278" t="s">
        <v>203</v>
      </c>
      <c r="H6278" t="s">
        <v>222</v>
      </c>
      <c r="I6278" s="4">
        <v>100638.28079999999</v>
      </c>
      <c r="J6278" s="4">
        <v>201276.56159999999</v>
      </c>
      <c r="L6278" s="4">
        <v>2</v>
      </c>
    </row>
    <row r="6279" spans="1:12">
      <c r="A6279" t="s">
        <v>105</v>
      </c>
      <c r="B6279" s="10">
        <v>45300</v>
      </c>
      <c r="C6279" s="18">
        <f t="shared" si="98"/>
        <v>1</v>
      </c>
      <c r="D6279" t="s">
        <v>111</v>
      </c>
      <c r="E6279">
        <v>4878265</v>
      </c>
      <c r="F6279" t="s">
        <v>8</v>
      </c>
      <c r="G6279" t="s">
        <v>203</v>
      </c>
      <c r="H6279" t="s">
        <v>241</v>
      </c>
      <c r="I6279" s="4">
        <v>125766.4408</v>
      </c>
      <c r="J6279" s="4">
        <v>251532.88159999999</v>
      </c>
      <c r="L6279" s="4">
        <v>2</v>
      </c>
    </row>
    <row r="6280" spans="1:12">
      <c r="A6280" t="s">
        <v>105</v>
      </c>
      <c r="B6280" s="10">
        <v>45300</v>
      </c>
      <c r="C6280" s="18">
        <f t="shared" si="98"/>
        <v>1</v>
      </c>
      <c r="D6280" t="s">
        <v>111</v>
      </c>
      <c r="E6280">
        <v>4878265</v>
      </c>
      <c r="F6280" t="s">
        <v>8</v>
      </c>
      <c r="G6280" t="s">
        <v>203</v>
      </c>
      <c r="H6280" t="s">
        <v>239</v>
      </c>
      <c r="I6280" s="4">
        <v>125766.4408</v>
      </c>
      <c r="J6280" s="4">
        <v>251532.88159999999</v>
      </c>
      <c r="L6280" s="4">
        <v>2</v>
      </c>
    </row>
    <row r="6281" spans="1:12">
      <c r="A6281" t="s">
        <v>105</v>
      </c>
      <c r="B6281" s="10">
        <v>45300</v>
      </c>
      <c r="C6281" s="18">
        <f t="shared" si="98"/>
        <v>1</v>
      </c>
      <c r="D6281" t="s">
        <v>111</v>
      </c>
      <c r="E6281">
        <v>4878265</v>
      </c>
      <c r="F6281" t="s">
        <v>8</v>
      </c>
      <c r="G6281" t="s">
        <v>203</v>
      </c>
      <c r="H6281" t="s">
        <v>237</v>
      </c>
      <c r="I6281" s="4">
        <v>125766.4408</v>
      </c>
      <c r="J6281" s="4">
        <v>251532.88159999999</v>
      </c>
      <c r="L6281" s="4">
        <v>2</v>
      </c>
    </row>
    <row r="6282" spans="1:12">
      <c r="A6282" t="s">
        <v>105</v>
      </c>
      <c r="B6282" s="10">
        <v>45300</v>
      </c>
      <c r="C6282" s="18">
        <f t="shared" si="98"/>
        <v>1</v>
      </c>
      <c r="D6282" t="s">
        <v>111</v>
      </c>
      <c r="E6282">
        <v>4878265</v>
      </c>
      <c r="F6282" t="s">
        <v>8</v>
      </c>
      <c r="G6282" t="s">
        <v>203</v>
      </c>
      <c r="H6282" t="s">
        <v>235</v>
      </c>
      <c r="I6282" s="4">
        <v>125766.4408</v>
      </c>
      <c r="J6282" s="4">
        <v>251532.88159999999</v>
      </c>
      <c r="L6282" s="4">
        <v>2</v>
      </c>
    </row>
    <row r="6283" spans="1:12">
      <c r="A6283" t="s">
        <v>105</v>
      </c>
      <c r="B6283" s="10">
        <v>45300</v>
      </c>
      <c r="C6283" s="18">
        <f t="shared" si="98"/>
        <v>1</v>
      </c>
      <c r="D6283" t="s">
        <v>111</v>
      </c>
      <c r="E6283">
        <v>4878265</v>
      </c>
      <c r="F6283" t="s">
        <v>8</v>
      </c>
      <c r="G6283" t="s">
        <v>203</v>
      </c>
      <c r="H6283" t="s">
        <v>233</v>
      </c>
      <c r="I6283" s="4">
        <v>120735.78316800001</v>
      </c>
      <c r="J6283" s="4">
        <v>241471.56633600002</v>
      </c>
      <c r="L6283" s="4">
        <v>2</v>
      </c>
    </row>
    <row r="6284" spans="1:12">
      <c r="A6284" t="s">
        <v>105</v>
      </c>
      <c r="B6284" s="10">
        <v>45300</v>
      </c>
      <c r="C6284" s="18">
        <f t="shared" si="98"/>
        <v>1</v>
      </c>
      <c r="D6284" t="s">
        <v>111</v>
      </c>
      <c r="E6284">
        <v>4878265</v>
      </c>
      <c r="F6284" t="s">
        <v>8</v>
      </c>
      <c r="G6284" t="s">
        <v>203</v>
      </c>
      <c r="H6284" t="s">
        <v>231</v>
      </c>
      <c r="I6284" s="4">
        <v>125766.4408</v>
      </c>
      <c r="J6284" s="4">
        <v>251532.88159999999</v>
      </c>
      <c r="L6284" s="4">
        <v>2</v>
      </c>
    </row>
    <row r="6285" spans="1:12">
      <c r="A6285" t="s">
        <v>105</v>
      </c>
      <c r="B6285" s="10">
        <v>45300</v>
      </c>
      <c r="C6285" s="18">
        <f t="shared" si="98"/>
        <v>1</v>
      </c>
      <c r="D6285" t="s">
        <v>111</v>
      </c>
      <c r="E6285">
        <v>4878265</v>
      </c>
      <c r="F6285" t="s">
        <v>8</v>
      </c>
      <c r="G6285" t="s">
        <v>203</v>
      </c>
      <c r="H6285" t="s">
        <v>229</v>
      </c>
      <c r="I6285" s="4">
        <v>125766.4408</v>
      </c>
      <c r="J6285" s="4">
        <v>251532.88159999999</v>
      </c>
      <c r="L6285" s="4">
        <v>2</v>
      </c>
    </row>
    <row r="6286" spans="1:12">
      <c r="A6286" t="s">
        <v>105</v>
      </c>
      <c r="B6286" s="10">
        <v>45300</v>
      </c>
      <c r="C6286" s="18">
        <f t="shared" si="98"/>
        <v>1</v>
      </c>
      <c r="D6286" t="s">
        <v>116</v>
      </c>
      <c r="E6286">
        <v>4878424</v>
      </c>
      <c r="F6286" t="s">
        <v>8</v>
      </c>
      <c r="G6286" t="s">
        <v>203</v>
      </c>
      <c r="H6286" t="s">
        <v>232</v>
      </c>
      <c r="I6286" s="4">
        <v>100638.28079999999</v>
      </c>
      <c r="J6286" s="4">
        <v>201276.56159999999</v>
      </c>
      <c r="L6286" s="4">
        <v>2</v>
      </c>
    </row>
    <row r="6287" spans="1:12">
      <c r="A6287" t="s">
        <v>105</v>
      </c>
      <c r="B6287" s="10">
        <v>45300</v>
      </c>
      <c r="C6287" s="18">
        <f t="shared" si="98"/>
        <v>1</v>
      </c>
      <c r="D6287" t="s">
        <v>116</v>
      </c>
      <c r="E6287">
        <v>4878424</v>
      </c>
      <c r="F6287" t="s">
        <v>8</v>
      </c>
      <c r="G6287" t="s">
        <v>203</v>
      </c>
      <c r="H6287" t="s">
        <v>228</v>
      </c>
      <c r="I6287" s="4">
        <v>100638.28079999999</v>
      </c>
      <c r="J6287" s="4">
        <v>201276.56159999999</v>
      </c>
      <c r="L6287" s="4">
        <v>2</v>
      </c>
    </row>
    <row r="6288" spans="1:12">
      <c r="A6288" t="s">
        <v>105</v>
      </c>
      <c r="B6288" s="10">
        <v>45300</v>
      </c>
      <c r="C6288" s="18">
        <f t="shared" si="98"/>
        <v>1</v>
      </c>
      <c r="D6288" t="s">
        <v>116</v>
      </c>
      <c r="E6288">
        <v>4878427</v>
      </c>
      <c r="F6288" t="s">
        <v>8</v>
      </c>
      <c r="G6288" t="s">
        <v>203</v>
      </c>
      <c r="H6288" t="s">
        <v>245</v>
      </c>
      <c r="I6288" s="4">
        <v>100638.28079999999</v>
      </c>
      <c r="J6288" s="4">
        <v>1006382.808</v>
      </c>
      <c r="L6288" s="4">
        <v>10</v>
      </c>
    </row>
    <row r="6289" spans="1:12">
      <c r="A6289" t="s">
        <v>105</v>
      </c>
      <c r="B6289" s="10">
        <v>45300</v>
      </c>
      <c r="C6289" s="18">
        <f t="shared" si="98"/>
        <v>1</v>
      </c>
      <c r="D6289" t="s">
        <v>116</v>
      </c>
      <c r="E6289">
        <v>4878427</v>
      </c>
      <c r="F6289" t="s">
        <v>8</v>
      </c>
      <c r="G6289" t="s">
        <v>203</v>
      </c>
      <c r="H6289" t="s">
        <v>243</v>
      </c>
      <c r="I6289" s="4">
        <v>100638.28079999999</v>
      </c>
      <c r="J6289" s="4">
        <v>1006382.808</v>
      </c>
      <c r="L6289" s="4">
        <v>10</v>
      </c>
    </row>
    <row r="6290" spans="1:12">
      <c r="A6290" t="s">
        <v>105</v>
      </c>
      <c r="B6290" s="10">
        <v>45300</v>
      </c>
      <c r="C6290" s="18">
        <f t="shared" si="98"/>
        <v>1</v>
      </c>
      <c r="D6290" t="s">
        <v>116</v>
      </c>
      <c r="E6290">
        <v>4878427</v>
      </c>
      <c r="F6290" t="s">
        <v>8</v>
      </c>
      <c r="G6290" t="s">
        <v>203</v>
      </c>
      <c r="H6290" t="s">
        <v>240</v>
      </c>
      <c r="I6290" s="4">
        <v>100638.28079999999</v>
      </c>
      <c r="J6290" s="4">
        <v>1006382.808</v>
      </c>
      <c r="L6290" s="4">
        <v>10</v>
      </c>
    </row>
    <row r="6291" spans="1:12">
      <c r="A6291" t="s">
        <v>105</v>
      </c>
      <c r="B6291" s="10">
        <v>45300</v>
      </c>
      <c r="C6291" s="18">
        <f t="shared" si="98"/>
        <v>1</v>
      </c>
      <c r="D6291" t="s">
        <v>116</v>
      </c>
      <c r="E6291">
        <v>4878427</v>
      </c>
      <c r="F6291" t="s">
        <v>8</v>
      </c>
      <c r="G6291" t="s">
        <v>203</v>
      </c>
      <c r="H6291" t="s">
        <v>238</v>
      </c>
      <c r="I6291" s="4">
        <v>95606.36675999999</v>
      </c>
      <c r="J6291" s="4">
        <v>956063.66759999993</v>
      </c>
      <c r="L6291" s="4">
        <v>10</v>
      </c>
    </row>
    <row r="6292" spans="1:12">
      <c r="A6292" t="s">
        <v>105</v>
      </c>
      <c r="B6292" s="10">
        <v>45300</v>
      </c>
      <c r="C6292" s="18">
        <f t="shared" si="98"/>
        <v>1</v>
      </c>
      <c r="D6292" t="s">
        <v>116</v>
      </c>
      <c r="E6292">
        <v>4878427</v>
      </c>
      <c r="F6292" t="s">
        <v>8</v>
      </c>
      <c r="G6292" t="s">
        <v>203</v>
      </c>
      <c r="H6292" t="s">
        <v>236</v>
      </c>
      <c r="I6292" s="4">
        <v>100638.28079999999</v>
      </c>
      <c r="J6292" s="4">
        <v>1006382.808</v>
      </c>
      <c r="L6292" s="4">
        <v>10</v>
      </c>
    </row>
    <row r="6293" spans="1:12">
      <c r="A6293" t="s">
        <v>105</v>
      </c>
      <c r="B6293" s="10">
        <v>45300</v>
      </c>
      <c r="C6293" s="18">
        <f t="shared" si="98"/>
        <v>1</v>
      </c>
      <c r="D6293" t="s">
        <v>116</v>
      </c>
      <c r="E6293">
        <v>4878427</v>
      </c>
      <c r="F6293" t="s">
        <v>8</v>
      </c>
      <c r="G6293" t="s">
        <v>203</v>
      </c>
      <c r="H6293" t="s">
        <v>233</v>
      </c>
      <c r="I6293" s="4">
        <v>120735.78316800001</v>
      </c>
      <c r="J6293" s="4">
        <v>1207357.8316800001</v>
      </c>
      <c r="L6293" s="4">
        <v>10</v>
      </c>
    </row>
    <row r="6294" spans="1:12">
      <c r="A6294" t="s">
        <v>105</v>
      </c>
      <c r="B6294" s="10">
        <v>45300</v>
      </c>
      <c r="C6294" s="18">
        <f t="shared" si="98"/>
        <v>1</v>
      </c>
      <c r="D6294" t="s">
        <v>116</v>
      </c>
      <c r="E6294">
        <v>4878427</v>
      </c>
      <c r="F6294" t="s">
        <v>8</v>
      </c>
      <c r="G6294" t="s">
        <v>203</v>
      </c>
      <c r="H6294" t="s">
        <v>231</v>
      </c>
      <c r="I6294" s="4">
        <v>125766.4408</v>
      </c>
      <c r="J6294" s="4">
        <v>1257664.4080000001</v>
      </c>
      <c r="L6294" s="4">
        <v>10</v>
      </c>
    </row>
    <row r="6295" spans="1:12">
      <c r="A6295" t="s">
        <v>105</v>
      </c>
      <c r="B6295" s="10">
        <v>45300</v>
      </c>
      <c r="C6295" s="18">
        <f t="shared" si="98"/>
        <v>1</v>
      </c>
      <c r="D6295" t="s">
        <v>116</v>
      </c>
      <c r="E6295">
        <v>4878458</v>
      </c>
      <c r="F6295" t="s">
        <v>8</v>
      </c>
      <c r="G6295" t="s">
        <v>203</v>
      </c>
      <c r="H6295" t="s">
        <v>231</v>
      </c>
      <c r="I6295" s="4">
        <v>125766.4408</v>
      </c>
      <c r="J6295" s="4">
        <v>251532.88159999999</v>
      </c>
      <c r="L6295" s="4">
        <v>2</v>
      </c>
    </row>
    <row r="6296" spans="1:12">
      <c r="A6296" t="s">
        <v>105</v>
      </c>
      <c r="B6296" s="10">
        <v>45301</v>
      </c>
      <c r="C6296" s="18">
        <f t="shared" si="98"/>
        <v>1</v>
      </c>
      <c r="D6296" t="s">
        <v>111</v>
      </c>
      <c r="E6296">
        <v>4878254</v>
      </c>
      <c r="F6296" t="s">
        <v>8</v>
      </c>
      <c r="G6296" t="s">
        <v>203</v>
      </c>
      <c r="H6296" t="s">
        <v>245</v>
      </c>
      <c r="I6296" s="4">
        <v>100638.28079999999</v>
      </c>
      <c r="J6296" s="4">
        <v>201276.56159999999</v>
      </c>
      <c r="L6296" s="4">
        <v>2</v>
      </c>
    </row>
    <row r="6297" spans="1:12">
      <c r="A6297" t="s">
        <v>105</v>
      </c>
      <c r="B6297" s="10">
        <v>45301</v>
      </c>
      <c r="C6297" s="18">
        <f t="shared" si="98"/>
        <v>1</v>
      </c>
      <c r="D6297" t="s">
        <v>111</v>
      </c>
      <c r="E6297">
        <v>4878254</v>
      </c>
      <c r="F6297" t="s">
        <v>8</v>
      </c>
      <c r="G6297" t="s">
        <v>203</v>
      </c>
      <c r="H6297" t="s">
        <v>240</v>
      </c>
      <c r="I6297" s="4">
        <v>100638.28079999999</v>
      </c>
      <c r="J6297" s="4">
        <v>201276.56159999999</v>
      </c>
      <c r="L6297" s="4">
        <v>2</v>
      </c>
    </row>
    <row r="6298" spans="1:12">
      <c r="A6298" t="s">
        <v>105</v>
      </c>
      <c r="B6298" s="10">
        <v>45301</v>
      </c>
      <c r="C6298" s="18">
        <f t="shared" si="98"/>
        <v>1</v>
      </c>
      <c r="D6298" t="s">
        <v>111</v>
      </c>
      <c r="E6298">
        <v>4878254</v>
      </c>
      <c r="F6298" t="s">
        <v>8</v>
      </c>
      <c r="G6298" t="s">
        <v>203</v>
      </c>
      <c r="H6298" t="s">
        <v>231</v>
      </c>
      <c r="I6298" s="4">
        <v>125766.4408</v>
      </c>
      <c r="J6298" s="4">
        <v>125766.4408</v>
      </c>
      <c r="L6298" s="4">
        <v>1</v>
      </c>
    </row>
    <row r="6299" spans="1:12">
      <c r="A6299" t="s">
        <v>105</v>
      </c>
      <c r="B6299" s="10">
        <v>45301</v>
      </c>
      <c r="C6299" s="18">
        <f t="shared" si="98"/>
        <v>1</v>
      </c>
      <c r="D6299" t="s">
        <v>110</v>
      </c>
      <c r="E6299">
        <v>4878173</v>
      </c>
      <c r="F6299" t="s">
        <v>8</v>
      </c>
      <c r="G6299" t="s">
        <v>203</v>
      </c>
      <c r="H6299" t="s">
        <v>242</v>
      </c>
      <c r="I6299" s="4">
        <v>100638.28079999999</v>
      </c>
      <c r="J6299" s="4">
        <v>201276.56159999999</v>
      </c>
      <c r="L6299" s="4">
        <v>2</v>
      </c>
    </row>
    <row r="6300" spans="1:12">
      <c r="A6300" t="s">
        <v>105</v>
      </c>
      <c r="B6300" s="10">
        <v>45301</v>
      </c>
      <c r="C6300" s="18">
        <f t="shared" si="98"/>
        <v>1</v>
      </c>
      <c r="D6300" t="s">
        <v>110</v>
      </c>
      <c r="E6300">
        <v>4878173</v>
      </c>
      <c r="F6300" t="s">
        <v>8</v>
      </c>
      <c r="G6300" t="s">
        <v>203</v>
      </c>
      <c r="H6300" t="s">
        <v>234</v>
      </c>
      <c r="I6300" s="4">
        <v>100638.28079999999</v>
      </c>
      <c r="J6300" s="4">
        <v>201276.56159999999</v>
      </c>
      <c r="L6300" s="4">
        <v>2</v>
      </c>
    </row>
    <row r="6301" spans="1:12">
      <c r="A6301" t="s">
        <v>105</v>
      </c>
      <c r="B6301" s="10">
        <v>45301</v>
      </c>
      <c r="C6301" s="18">
        <f t="shared" si="98"/>
        <v>1</v>
      </c>
      <c r="D6301" t="s">
        <v>110</v>
      </c>
      <c r="E6301">
        <v>4878173</v>
      </c>
      <c r="F6301" t="s">
        <v>8</v>
      </c>
      <c r="G6301" t="s">
        <v>203</v>
      </c>
      <c r="H6301" t="s">
        <v>232</v>
      </c>
      <c r="I6301" s="4">
        <v>100638.28079999999</v>
      </c>
      <c r="J6301" s="4">
        <v>201276.56159999999</v>
      </c>
      <c r="L6301" s="4">
        <v>2</v>
      </c>
    </row>
    <row r="6302" spans="1:12">
      <c r="A6302" t="s">
        <v>105</v>
      </c>
      <c r="B6302" s="10">
        <v>45301</v>
      </c>
      <c r="C6302" s="18">
        <f t="shared" si="98"/>
        <v>1</v>
      </c>
      <c r="D6302" t="s">
        <v>110</v>
      </c>
      <c r="E6302">
        <v>4878173</v>
      </c>
      <c r="F6302" t="s">
        <v>8</v>
      </c>
      <c r="G6302" t="s">
        <v>203</v>
      </c>
      <c r="H6302" t="s">
        <v>226</v>
      </c>
      <c r="I6302" s="4">
        <v>100638.28079999999</v>
      </c>
      <c r="J6302" s="4">
        <v>201276.56159999999</v>
      </c>
      <c r="L6302" s="4">
        <v>2</v>
      </c>
    </row>
    <row r="6303" spans="1:12">
      <c r="A6303" t="s">
        <v>105</v>
      </c>
      <c r="B6303" s="10">
        <v>45301</v>
      </c>
      <c r="C6303" s="18">
        <f t="shared" si="98"/>
        <v>1</v>
      </c>
      <c r="D6303" t="s">
        <v>110</v>
      </c>
      <c r="E6303">
        <v>4878173</v>
      </c>
      <c r="F6303" t="s">
        <v>8</v>
      </c>
      <c r="G6303" t="s">
        <v>203</v>
      </c>
      <c r="H6303" t="s">
        <v>225</v>
      </c>
      <c r="I6303" s="4">
        <v>100638.28079999999</v>
      </c>
      <c r="J6303" s="4">
        <v>201276.56159999999</v>
      </c>
      <c r="L6303" s="4">
        <v>2</v>
      </c>
    </row>
    <row r="6304" spans="1:12">
      <c r="A6304" t="s">
        <v>105</v>
      </c>
      <c r="B6304" s="10">
        <v>45301</v>
      </c>
      <c r="C6304" s="18">
        <f t="shared" si="98"/>
        <v>1</v>
      </c>
      <c r="D6304" t="s">
        <v>110</v>
      </c>
      <c r="E6304">
        <v>4878173</v>
      </c>
      <c r="F6304" t="s">
        <v>8</v>
      </c>
      <c r="G6304" t="s">
        <v>203</v>
      </c>
      <c r="H6304" t="s">
        <v>241</v>
      </c>
      <c r="I6304" s="4">
        <v>125766.4408</v>
      </c>
      <c r="J6304" s="4">
        <v>125766.4408</v>
      </c>
      <c r="L6304" s="4">
        <v>1</v>
      </c>
    </row>
    <row r="6305" spans="1:12">
      <c r="A6305" t="s">
        <v>105</v>
      </c>
      <c r="B6305" s="10">
        <v>45301</v>
      </c>
      <c r="C6305" s="18">
        <f t="shared" si="98"/>
        <v>1</v>
      </c>
      <c r="D6305" t="s">
        <v>110</v>
      </c>
      <c r="E6305">
        <v>4878173</v>
      </c>
      <c r="F6305" t="s">
        <v>8</v>
      </c>
      <c r="G6305" t="s">
        <v>203</v>
      </c>
      <c r="H6305" t="s">
        <v>239</v>
      </c>
      <c r="I6305" s="4">
        <v>125766.4408</v>
      </c>
      <c r="J6305" s="4">
        <v>125766.4408</v>
      </c>
      <c r="L6305" s="4">
        <v>1</v>
      </c>
    </row>
    <row r="6306" spans="1:12">
      <c r="A6306" t="s">
        <v>105</v>
      </c>
      <c r="B6306" s="10">
        <v>45301</v>
      </c>
      <c r="C6306" s="18">
        <f t="shared" si="98"/>
        <v>1</v>
      </c>
      <c r="D6306" t="s">
        <v>110</v>
      </c>
      <c r="E6306">
        <v>4878173</v>
      </c>
      <c r="F6306" t="s">
        <v>8</v>
      </c>
      <c r="G6306" t="s">
        <v>203</v>
      </c>
      <c r="H6306" t="s">
        <v>237</v>
      </c>
      <c r="I6306" s="4">
        <v>125766.4408</v>
      </c>
      <c r="J6306" s="4">
        <v>125766.4408</v>
      </c>
      <c r="L6306" s="4">
        <v>1</v>
      </c>
    </row>
    <row r="6307" spans="1:12">
      <c r="A6307" t="s">
        <v>105</v>
      </c>
      <c r="B6307" s="10">
        <v>45301</v>
      </c>
      <c r="C6307" s="18">
        <f t="shared" si="98"/>
        <v>1</v>
      </c>
      <c r="D6307" t="s">
        <v>110</v>
      </c>
      <c r="E6307">
        <v>4878173</v>
      </c>
      <c r="F6307" t="s">
        <v>8</v>
      </c>
      <c r="G6307" t="s">
        <v>203</v>
      </c>
      <c r="H6307" t="s">
        <v>235</v>
      </c>
      <c r="I6307" s="4">
        <v>125766.4408</v>
      </c>
      <c r="J6307" s="4">
        <v>125766.4408</v>
      </c>
      <c r="L6307" s="4">
        <v>1</v>
      </c>
    </row>
    <row r="6308" spans="1:12">
      <c r="A6308" t="s">
        <v>105</v>
      </c>
      <c r="B6308" s="10">
        <v>45301</v>
      </c>
      <c r="C6308" s="18">
        <f t="shared" si="98"/>
        <v>1</v>
      </c>
      <c r="D6308" t="s">
        <v>110</v>
      </c>
      <c r="E6308">
        <v>4878173</v>
      </c>
      <c r="F6308" t="s">
        <v>8</v>
      </c>
      <c r="G6308" t="s">
        <v>203</v>
      </c>
      <c r="H6308" t="s">
        <v>233</v>
      </c>
      <c r="I6308" s="4">
        <v>120735.78316800001</v>
      </c>
      <c r="J6308" s="4">
        <v>120735.78316800001</v>
      </c>
      <c r="L6308" s="4">
        <v>1</v>
      </c>
    </row>
    <row r="6309" spans="1:12">
      <c r="A6309" t="s">
        <v>105</v>
      </c>
      <c r="B6309" s="10">
        <v>45302</v>
      </c>
      <c r="C6309" s="18">
        <f t="shared" si="98"/>
        <v>1</v>
      </c>
      <c r="D6309" t="s">
        <v>114</v>
      </c>
      <c r="E6309">
        <v>4878056</v>
      </c>
      <c r="F6309" t="s">
        <v>8</v>
      </c>
      <c r="G6309" t="s">
        <v>203</v>
      </c>
      <c r="H6309" t="s">
        <v>227</v>
      </c>
      <c r="I6309" s="4">
        <v>100638.28079999999</v>
      </c>
      <c r="J6309" s="4">
        <v>1006382.808</v>
      </c>
      <c r="L6309" s="4">
        <v>10</v>
      </c>
    </row>
    <row r="6310" spans="1:12">
      <c r="A6310" t="s">
        <v>105</v>
      </c>
      <c r="B6310" s="10">
        <v>45303</v>
      </c>
      <c r="C6310" s="18">
        <f t="shared" si="98"/>
        <v>1</v>
      </c>
      <c r="D6310" t="s">
        <v>116</v>
      </c>
      <c r="E6310">
        <v>4878432</v>
      </c>
      <c r="F6310" t="s">
        <v>8</v>
      </c>
      <c r="G6310" t="s">
        <v>203</v>
      </c>
      <c r="H6310" t="s">
        <v>243</v>
      </c>
      <c r="I6310" s="4">
        <v>100638.28079999999</v>
      </c>
      <c r="J6310" s="4">
        <v>402553.12319999997</v>
      </c>
      <c r="L6310" s="4">
        <v>4</v>
      </c>
    </row>
    <row r="6311" spans="1:12">
      <c r="A6311" t="s">
        <v>105</v>
      </c>
      <c r="B6311" s="10">
        <v>45303</v>
      </c>
      <c r="C6311" s="18">
        <f t="shared" si="98"/>
        <v>1</v>
      </c>
      <c r="D6311" t="s">
        <v>118</v>
      </c>
      <c r="E6311">
        <v>4877626</v>
      </c>
      <c r="F6311" t="s">
        <v>8</v>
      </c>
      <c r="G6311" t="s">
        <v>203</v>
      </c>
      <c r="H6311" t="s">
        <v>245</v>
      </c>
      <c r="I6311" s="4">
        <v>100638.28079999999</v>
      </c>
      <c r="J6311" s="4">
        <v>402553.12319999997</v>
      </c>
      <c r="L6311" s="4">
        <v>4</v>
      </c>
    </row>
    <row r="6312" spans="1:12">
      <c r="A6312" t="s">
        <v>105</v>
      </c>
      <c r="B6312" s="10">
        <v>45303</v>
      </c>
      <c r="C6312" s="18">
        <f t="shared" si="98"/>
        <v>1</v>
      </c>
      <c r="D6312" t="s">
        <v>118</v>
      </c>
      <c r="E6312">
        <v>4877626</v>
      </c>
      <c r="F6312" t="s">
        <v>8</v>
      </c>
      <c r="G6312" t="s">
        <v>203</v>
      </c>
      <c r="H6312" t="s">
        <v>232</v>
      </c>
      <c r="I6312" s="4">
        <v>100638.28079999999</v>
      </c>
      <c r="J6312" s="4">
        <v>402553.12319999997</v>
      </c>
      <c r="L6312" s="4">
        <v>4</v>
      </c>
    </row>
    <row r="6313" spans="1:12">
      <c r="A6313" t="s">
        <v>105</v>
      </c>
      <c r="B6313" s="10">
        <v>45303</v>
      </c>
      <c r="C6313" s="18">
        <f t="shared" si="98"/>
        <v>1</v>
      </c>
      <c r="D6313" t="s">
        <v>118</v>
      </c>
      <c r="E6313">
        <v>4877628</v>
      </c>
      <c r="F6313" t="s">
        <v>8</v>
      </c>
      <c r="G6313" t="s">
        <v>203</v>
      </c>
      <c r="H6313" t="s">
        <v>242</v>
      </c>
      <c r="I6313" s="4">
        <v>100638.28079999999</v>
      </c>
      <c r="J6313" s="4">
        <v>402553.12319999997</v>
      </c>
      <c r="L6313" s="4">
        <v>4</v>
      </c>
    </row>
    <row r="6314" spans="1:12">
      <c r="A6314" t="s">
        <v>105</v>
      </c>
      <c r="B6314" s="10">
        <v>45303</v>
      </c>
      <c r="C6314" s="18">
        <f t="shared" si="98"/>
        <v>1</v>
      </c>
      <c r="D6314" t="s">
        <v>118</v>
      </c>
      <c r="E6314">
        <v>4877628</v>
      </c>
      <c r="F6314" t="s">
        <v>8</v>
      </c>
      <c r="G6314" t="s">
        <v>203</v>
      </c>
      <c r="H6314" t="s">
        <v>234</v>
      </c>
      <c r="I6314" s="4">
        <v>100638.28079999999</v>
      </c>
      <c r="J6314" s="4">
        <v>402553.12319999997</v>
      </c>
      <c r="L6314" s="4">
        <v>4</v>
      </c>
    </row>
    <row r="6315" spans="1:12">
      <c r="A6315" t="s">
        <v>105</v>
      </c>
      <c r="B6315" s="10">
        <v>45303</v>
      </c>
      <c r="C6315" s="18">
        <f t="shared" si="98"/>
        <v>1</v>
      </c>
      <c r="D6315" t="s">
        <v>118</v>
      </c>
      <c r="E6315">
        <v>4877628</v>
      </c>
      <c r="F6315" t="s">
        <v>8</v>
      </c>
      <c r="G6315" t="s">
        <v>203</v>
      </c>
      <c r="H6315" t="s">
        <v>241</v>
      </c>
      <c r="I6315" s="4">
        <v>125766.4408</v>
      </c>
      <c r="J6315" s="4">
        <v>503065.76319999999</v>
      </c>
      <c r="L6315" s="4">
        <v>4</v>
      </c>
    </row>
    <row r="6316" spans="1:12">
      <c r="A6316" t="s">
        <v>105</v>
      </c>
      <c r="B6316" s="10">
        <v>45303</v>
      </c>
      <c r="C6316" s="18">
        <f t="shared" si="98"/>
        <v>1</v>
      </c>
      <c r="D6316" t="s">
        <v>118</v>
      </c>
      <c r="E6316">
        <v>4877628</v>
      </c>
      <c r="F6316" t="s">
        <v>8</v>
      </c>
      <c r="G6316" t="s">
        <v>203</v>
      </c>
      <c r="H6316" t="s">
        <v>233</v>
      </c>
      <c r="I6316" s="4">
        <v>120735.78316800001</v>
      </c>
      <c r="J6316" s="4">
        <v>482943.13267200004</v>
      </c>
      <c r="L6316" s="4">
        <v>4</v>
      </c>
    </row>
    <row r="6317" spans="1:12">
      <c r="A6317" t="s">
        <v>105</v>
      </c>
      <c r="B6317" s="10">
        <v>45304</v>
      </c>
      <c r="C6317" s="18">
        <f t="shared" si="98"/>
        <v>1</v>
      </c>
      <c r="D6317" t="s">
        <v>111</v>
      </c>
      <c r="E6317">
        <v>4878610</v>
      </c>
      <c r="F6317" t="s">
        <v>8</v>
      </c>
      <c r="G6317" t="s">
        <v>203</v>
      </c>
      <c r="H6317" t="s">
        <v>242</v>
      </c>
      <c r="I6317" s="4">
        <v>100638.28079999999</v>
      </c>
      <c r="J6317" s="4">
        <v>201276.56159999999</v>
      </c>
      <c r="L6317" s="4">
        <v>2</v>
      </c>
    </row>
    <row r="6318" spans="1:12">
      <c r="A6318" t="s">
        <v>105</v>
      </c>
      <c r="B6318" s="10">
        <v>45304</v>
      </c>
      <c r="C6318" s="18">
        <f t="shared" si="98"/>
        <v>1</v>
      </c>
      <c r="D6318" t="s">
        <v>111</v>
      </c>
      <c r="E6318">
        <v>4878610</v>
      </c>
      <c r="F6318" t="s">
        <v>8</v>
      </c>
      <c r="G6318" t="s">
        <v>203</v>
      </c>
      <c r="H6318" t="s">
        <v>240</v>
      </c>
      <c r="I6318" s="4">
        <v>100638.28079999999</v>
      </c>
      <c r="J6318" s="4">
        <v>201276.56159999999</v>
      </c>
      <c r="L6318" s="4">
        <v>2</v>
      </c>
    </row>
    <row r="6319" spans="1:12">
      <c r="A6319" t="s">
        <v>105</v>
      </c>
      <c r="B6319" s="10">
        <v>45304</v>
      </c>
      <c r="C6319" s="18">
        <f t="shared" si="98"/>
        <v>1</v>
      </c>
      <c r="D6319" t="s">
        <v>111</v>
      </c>
      <c r="E6319">
        <v>4878610</v>
      </c>
      <c r="F6319" t="s">
        <v>8</v>
      </c>
      <c r="G6319" t="s">
        <v>203</v>
      </c>
      <c r="H6319" t="s">
        <v>238</v>
      </c>
      <c r="I6319" s="4">
        <v>95606.36675999999</v>
      </c>
      <c r="J6319" s="4">
        <v>191212.73351999998</v>
      </c>
      <c r="L6319" s="4">
        <v>2</v>
      </c>
    </row>
    <row r="6320" spans="1:12">
      <c r="A6320" t="s">
        <v>105</v>
      </c>
      <c r="B6320" s="10">
        <v>45304</v>
      </c>
      <c r="C6320" s="18">
        <f t="shared" si="98"/>
        <v>1</v>
      </c>
      <c r="D6320" t="s">
        <v>111</v>
      </c>
      <c r="E6320">
        <v>4878610</v>
      </c>
      <c r="F6320" t="s">
        <v>8</v>
      </c>
      <c r="G6320" t="s">
        <v>203</v>
      </c>
      <c r="H6320" t="s">
        <v>234</v>
      </c>
      <c r="I6320" s="4">
        <v>100638.28079999999</v>
      </c>
      <c r="J6320" s="4">
        <v>201276.56159999999</v>
      </c>
      <c r="L6320" s="4">
        <v>2</v>
      </c>
    </row>
    <row r="6321" spans="1:12">
      <c r="A6321" t="s">
        <v>105</v>
      </c>
      <c r="B6321" s="10">
        <v>45304</v>
      </c>
      <c r="C6321" s="18">
        <f t="shared" si="98"/>
        <v>1</v>
      </c>
      <c r="D6321" t="s">
        <v>111</v>
      </c>
      <c r="E6321">
        <v>4878610</v>
      </c>
      <c r="F6321" t="s">
        <v>8</v>
      </c>
      <c r="G6321" t="s">
        <v>203</v>
      </c>
      <c r="H6321" t="s">
        <v>232</v>
      </c>
      <c r="I6321" s="4">
        <v>100638.28079999999</v>
      </c>
      <c r="J6321" s="4">
        <v>201276.56159999999</v>
      </c>
      <c r="L6321" s="4">
        <v>2</v>
      </c>
    </row>
    <row r="6322" spans="1:12">
      <c r="A6322" t="s">
        <v>105</v>
      </c>
      <c r="B6322" s="10">
        <v>45304</v>
      </c>
      <c r="C6322" s="18">
        <f t="shared" si="98"/>
        <v>1</v>
      </c>
      <c r="D6322" t="s">
        <v>111</v>
      </c>
      <c r="E6322">
        <v>4878610</v>
      </c>
      <c r="F6322" t="s">
        <v>8</v>
      </c>
      <c r="G6322" t="s">
        <v>203</v>
      </c>
      <c r="H6322" t="s">
        <v>225</v>
      </c>
      <c r="I6322" s="4">
        <v>100638.28079999999</v>
      </c>
      <c r="J6322" s="4">
        <v>201276.56159999999</v>
      </c>
      <c r="L6322" s="4">
        <v>2</v>
      </c>
    </row>
    <row r="6323" spans="1:12">
      <c r="A6323" t="s">
        <v>105</v>
      </c>
      <c r="B6323" s="10">
        <v>45304</v>
      </c>
      <c r="C6323" s="18">
        <f t="shared" si="98"/>
        <v>1</v>
      </c>
      <c r="D6323" t="s">
        <v>110</v>
      </c>
      <c r="E6323">
        <v>4878153</v>
      </c>
      <c r="F6323" t="s">
        <v>8</v>
      </c>
      <c r="G6323" t="s">
        <v>203</v>
      </c>
      <c r="H6323" t="s">
        <v>236</v>
      </c>
      <c r="I6323" s="4">
        <v>100638.28079999999</v>
      </c>
      <c r="J6323" s="4">
        <v>402553.12319999997</v>
      </c>
      <c r="L6323" s="4">
        <v>4</v>
      </c>
    </row>
    <row r="6324" spans="1:12">
      <c r="A6324" t="s">
        <v>105</v>
      </c>
      <c r="B6324" s="10">
        <v>45304</v>
      </c>
      <c r="C6324" s="18">
        <f t="shared" si="98"/>
        <v>1</v>
      </c>
      <c r="D6324" t="s">
        <v>115</v>
      </c>
      <c r="E6324">
        <v>4878412</v>
      </c>
      <c r="F6324" t="s">
        <v>8</v>
      </c>
      <c r="G6324" t="s">
        <v>203</v>
      </c>
      <c r="H6324" t="s">
        <v>232</v>
      </c>
      <c r="I6324" s="4">
        <v>100638.28079999999</v>
      </c>
      <c r="J6324" s="4">
        <v>201276.56159999999</v>
      </c>
      <c r="L6324" s="4">
        <v>2</v>
      </c>
    </row>
    <row r="6325" spans="1:12">
      <c r="A6325" t="s">
        <v>105</v>
      </c>
      <c r="B6325" s="10">
        <v>45304</v>
      </c>
      <c r="C6325" s="18">
        <f t="shared" si="98"/>
        <v>1</v>
      </c>
      <c r="D6325" t="s">
        <v>115</v>
      </c>
      <c r="E6325">
        <v>4878412</v>
      </c>
      <c r="F6325" t="s">
        <v>8</v>
      </c>
      <c r="G6325" t="s">
        <v>203</v>
      </c>
      <c r="H6325" t="s">
        <v>226</v>
      </c>
      <c r="I6325" s="4">
        <v>100638.28079999999</v>
      </c>
      <c r="J6325" s="4">
        <v>201276.56159999999</v>
      </c>
      <c r="L6325" s="4">
        <v>2</v>
      </c>
    </row>
    <row r="6326" spans="1:12">
      <c r="A6326" t="s">
        <v>105</v>
      </c>
      <c r="B6326" s="10">
        <v>45304</v>
      </c>
      <c r="C6326" s="18">
        <f t="shared" si="98"/>
        <v>1</v>
      </c>
      <c r="D6326" t="s">
        <v>116</v>
      </c>
      <c r="E6326">
        <v>4878459</v>
      </c>
      <c r="F6326" t="s">
        <v>8</v>
      </c>
      <c r="G6326" t="s">
        <v>203</v>
      </c>
      <c r="H6326" t="s">
        <v>243</v>
      </c>
      <c r="I6326" s="4">
        <v>100638.28079999999</v>
      </c>
      <c r="J6326" s="4">
        <v>201276.56159999999</v>
      </c>
      <c r="L6326" s="4">
        <v>2</v>
      </c>
    </row>
    <row r="6327" spans="1:12">
      <c r="A6327" t="s">
        <v>105</v>
      </c>
      <c r="B6327" s="10">
        <v>45304</v>
      </c>
      <c r="C6327" s="18">
        <f t="shared" si="98"/>
        <v>1</v>
      </c>
      <c r="D6327" t="s">
        <v>116</v>
      </c>
      <c r="E6327">
        <v>4878459</v>
      </c>
      <c r="F6327" t="s">
        <v>8</v>
      </c>
      <c r="G6327" t="s">
        <v>203</v>
      </c>
      <c r="H6327" t="s">
        <v>242</v>
      </c>
      <c r="I6327" s="4">
        <v>100638.28079999999</v>
      </c>
      <c r="J6327" s="4">
        <v>201276.56159999999</v>
      </c>
      <c r="L6327" s="4">
        <v>2</v>
      </c>
    </row>
    <row r="6328" spans="1:12">
      <c r="A6328" t="s">
        <v>105</v>
      </c>
      <c r="B6328" s="10">
        <v>45304</v>
      </c>
      <c r="C6328" s="18">
        <f t="shared" si="98"/>
        <v>1</v>
      </c>
      <c r="D6328" t="s">
        <v>116</v>
      </c>
      <c r="E6328">
        <v>4878459</v>
      </c>
      <c r="F6328" t="s">
        <v>8</v>
      </c>
      <c r="G6328" t="s">
        <v>203</v>
      </c>
      <c r="H6328" t="s">
        <v>240</v>
      </c>
      <c r="I6328" s="4">
        <v>100638.28079999999</v>
      </c>
      <c r="J6328" s="4">
        <v>201276.56159999999</v>
      </c>
      <c r="L6328" s="4">
        <v>2</v>
      </c>
    </row>
    <row r="6329" spans="1:12">
      <c r="A6329" t="s">
        <v>105</v>
      </c>
      <c r="B6329" s="10">
        <v>45304</v>
      </c>
      <c r="C6329" s="18">
        <f t="shared" si="98"/>
        <v>1</v>
      </c>
      <c r="D6329" t="s">
        <v>116</v>
      </c>
      <c r="E6329">
        <v>4878459</v>
      </c>
      <c r="F6329" t="s">
        <v>8</v>
      </c>
      <c r="G6329" t="s">
        <v>203</v>
      </c>
      <c r="H6329" t="s">
        <v>238</v>
      </c>
      <c r="I6329" s="4">
        <v>95606.36675999999</v>
      </c>
      <c r="J6329" s="4">
        <v>191212.73351999998</v>
      </c>
      <c r="L6329" s="4">
        <v>2</v>
      </c>
    </row>
    <row r="6330" spans="1:12">
      <c r="A6330" t="s">
        <v>105</v>
      </c>
      <c r="B6330" s="10">
        <v>45304</v>
      </c>
      <c r="C6330" s="18">
        <f t="shared" si="98"/>
        <v>1</v>
      </c>
      <c r="D6330" t="s">
        <v>116</v>
      </c>
      <c r="E6330">
        <v>4878459</v>
      </c>
      <c r="F6330" t="s">
        <v>8</v>
      </c>
      <c r="G6330" t="s">
        <v>203</v>
      </c>
      <c r="H6330" t="s">
        <v>236</v>
      </c>
      <c r="I6330" s="4">
        <v>100638.28079999999</v>
      </c>
      <c r="J6330" s="4">
        <v>201276.56159999999</v>
      </c>
      <c r="L6330" s="4">
        <v>2</v>
      </c>
    </row>
    <row r="6331" spans="1:12">
      <c r="A6331" t="s">
        <v>105</v>
      </c>
      <c r="B6331" s="10">
        <v>45304</v>
      </c>
      <c r="C6331" s="18">
        <f t="shared" si="98"/>
        <v>1</v>
      </c>
      <c r="D6331" t="s">
        <v>116</v>
      </c>
      <c r="E6331">
        <v>4878459</v>
      </c>
      <c r="F6331" t="s">
        <v>8</v>
      </c>
      <c r="G6331" t="s">
        <v>203</v>
      </c>
      <c r="H6331" t="s">
        <v>241</v>
      </c>
      <c r="I6331" s="4">
        <v>125766.4408</v>
      </c>
      <c r="J6331" s="4">
        <v>251532.88159999999</v>
      </c>
      <c r="L6331" s="4">
        <v>2</v>
      </c>
    </row>
    <row r="6332" spans="1:12">
      <c r="A6332" t="s">
        <v>105</v>
      </c>
      <c r="B6332" s="10">
        <v>45304</v>
      </c>
      <c r="C6332" s="18">
        <f t="shared" si="98"/>
        <v>1</v>
      </c>
      <c r="D6332" t="s">
        <v>116</v>
      </c>
      <c r="E6332">
        <v>4878459</v>
      </c>
      <c r="F6332" t="s">
        <v>8</v>
      </c>
      <c r="G6332" t="s">
        <v>203</v>
      </c>
      <c r="H6332" t="s">
        <v>237</v>
      </c>
      <c r="I6332" s="4">
        <v>125766.4408</v>
      </c>
      <c r="J6332" s="4">
        <v>251532.88159999999</v>
      </c>
      <c r="L6332" s="4">
        <v>2</v>
      </c>
    </row>
    <row r="6333" spans="1:12">
      <c r="A6333" t="s">
        <v>105</v>
      </c>
      <c r="B6333" s="10">
        <v>45306</v>
      </c>
      <c r="C6333" s="18">
        <f t="shared" si="98"/>
        <v>1</v>
      </c>
      <c r="D6333" t="s">
        <v>111</v>
      </c>
      <c r="E6333">
        <v>4879084</v>
      </c>
      <c r="F6333" t="s">
        <v>8</v>
      </c>
      <c r="G6333" t="s">
        <v>203</v>
      </c>
      <c r="H6333" t="s">
        <v>238</v>
      </c>
      <c r="I6333" s="4">
        <v>95606.36675999999</v>
      </c>
      <c r="J6333" s="4">
        <v>191212.73351999998</v>
      </c>
      <c r="L6333" s="4">
        <v>2</v>
      </c>
    </row>
    <row r="6334" spans="1:12">
      <c r="A6334" t="s">
        <v>105</v>
      </c>
      <c r="B6334" s="10">
        <v>45306</v>
      </c>
      <c r="C6334" s="18">
        <f t="shared" si="98"/>
        <v>1</v>
      </c>
      <c r="D6334" t="s">
        <v>111</v>
      </c>
      <c r="E6334">
        <v>4879084</v>
      </c>
      <c r="F6334" t="s">
        <v>8</v>
      </c>
      <c r="G6334" t="s">
        <v>203</v>
      </c>
      <c r="H6334" t="s">
        <v>232</v>
      </c>
      <c r="I6334" s="4">
        <v>100638.28079999999</v>
      </c>
      <c r="J6334" s="4">
        <v>201276.56159999999</v>
      </c>
      <c r="L6334" s="4">
        <v>2</v>
      </c>
    </row>
    <row r="6335" spans="1:12">
      <c r="A6335" t="s">
        <v>105</v>
      </c>
      <c r="B6335" s="10">
        <v>45306</v>
      </c>
      <c r="C6335" s="18">
        <f t="shared" si="98"/>
        <v>1</v>
      </c>
      <c r="D6335" t="s">
        <v>115</v>
      </c>
      <c r="E6335">
        <v>4878903</v>
      </c>
      <c r="F6335" t="s">
        <v>8</v>
      </c>
      <c r="G6335" t="s">
        <v>203</v>
      </c>
      <c r="H6335" t="s">
        <v>242</v>
      </c>
      <c r="I6335" s="4">
        <v>100638.28079999999</v>
      </c>
      <c r="J6335" s="4">
        <v>201276.56159999999</v>
      </c>
      <c r="L6335" s="4">
        <v>2</v>
      </c>
    </row>
    <row r="6336" spans="1:12">
      <c r="A6336" t="s">
        <v>105</v>
      </c>
      <c r="B6336" s="10">
        <v>45306</v>
      </c>
      <c r="C6336" s="18">
        <f t="shared" si="98"/>
        <v>1</v>
      </c>
      <c r="D6336" t="s">
        <v>115</v>
      </c>
      <c r="E6336">
        <v>4878903</v>
      </c>
      <c r="F6336" t="s">
        <v>8</v>
      </c>
      <c r="G6336" t="s">
        <v>203</v>
      </c>
      <c r="H6336" t="s">
        <v>240</v>
      </c>
      <c r="I6336" s="4">
        <v>100638.28079999999</v>
      </c>
      <c r="J6336" s="4">
        <v>201276.56159999999</v>
      </c>
      <c r="L6336" s="4">
        <v>2</v>
      </c>
    </row>
    <row r="6337" spans="1:12">
      <c r="A6337" t="s">
        <v>105</v>
      </c>
      <c r="B6337" s="10">
        <v>45306</v>
      </c>
      <c r="C6337" s="18">
        <f t="shared" si="98"/>
        <v>1</v>
      </c>
      <c r="D6337" t="s">
        <v>115</v>
      </c>
      <c r="E6337">
        <v>4878903</v>
      </c>
      <c r="F6337" t="s">
        <v>8</v>
      </c>
      <c r="G6337" t="s">
        <v>203</v>
      </c>
      <c r="H6337" t="s">
        <v>232</v>
      </c>
      <c r="I6337" s="4">
        <v>100638.28079999999</v>
      </c>
      <c r="J6337" s="4">
        <v>201276.56159999999</v>
      </c>
      <c r="L6337" s="4">
        <v>2</v>
      </c>
    </row>
    <row r="6338" spans="1:12">
      <c r="A6338" t="s">
        <v>105</v>
      </c>
      <c r="B6338" s="10">
        <v>45309</v>
      </c>
      <c r="C6338" s="18">
        <f t="shared" ref="C6338:C6401" si="99">MONTH(B6338)</f>
        <v>1</v>
      </c>
      <c r="D6338" t="s">
        <v>114</v>
      </c>
      <c r="E6338">
        <v>4878056</v>
      </c>
      <c r="F6338" t="s">
        <v>8</v>
      </c>
      <c r="G6338" t="s">
        <v>203</v>
      </c>
      <c r="H6338" t="s">
        <v>228</v>
      </c>
      <c r="I6338" s="4">
        <v>100638.28079999999</v>
      </c>
      <c r="J6338" s="4">
        <v>1006382.808</v>
      </c>
      <c r="L6338" s="4">
        <v>10</v>
      </c>
    </row>
    <row r="6339" spans="1:12">
      <c r="A6339" t="s">
        <v>105</v>
      </c>
      <c r="B6339" s="10">
        <v>45309</v>
      </c>
      <c r="C6339" s="18">
        <f t="shared" si="99"/>
        <v>1</v>
      </c>
      <c r="D6339" t="s">
        <v>114</v>
      </c>
      <c r="E6339">
        <v>4878056</v>
      </c>
      <c r="F6339" t="s">
        <v>8</v>
      </c>
      <c r="G6339" t="s">
        <v>203</v>
      </c>
      <c r="H6339" t="s">
        <v>226</v>
      </c>
      <c r="I6339" s="4">
        <v>100638.28079999999</v>
      </c>
      <c r="J6339" s="4">
        <v>1006382.808</v>
      </c>
      <c r="L6339" s="4">
        <v>10</v>
      </c>
    </row>
    <row r="6340" spans="1:12">
      <c r="A6340" t="s">
        <v>105</v>
      </c>
      <c r="B6340" s="10">
        <v>45309</v>
      </c>
      <c r="C6340" s="18">
        <f t="shared" si="99"/>
        <v>1</v>
      </c>
      <c r="D6340" t="s">
        <v>114</v>
      </c>
      <c r="E6340">
        <v>4878056</v>
      </c>
      <c r="F6340" t="s">
        <v>8</v>
      </c>
      <c r="G6340" t="s">
        <v>203</v>
      </c>
      <c r="H6340" t="s">
        <v>239</v>
      </c>
      <c r="I6340" s="4">
        <v>125766.4408</v>
      </c>
      <c r="J6340" s="4">
        <v>628832.20400000003</v>
      </c>
      <c r="L6340" s="4">
        <v>5</v>
      </c>
    </row>
    <row r="6341" spans="1:12">
      <c r="A6341" t="s">
        <v>105</v>
      </c>
      <c r="B6341" s="10">
        <v>45309</v>
      </c>
      <c r="C6341" s="18">
        <f t="shared" si="99"/>
        <v>1</v>
      </c>
      <c r="D6341" t="s">
        <v>114</v>
      </c>
      <c r="E6341">
        <v>4878056</v>
      </c>
      <c r="F6341" t="s">
        <v>8</v>
      </c>
      <c r="G6341" t="s">
        <v>203</v>
      </c>
      <c r="H6341" t="s">
        <v>237</v>
      </c>
      <c r="I6341" s="4">
        <v>125766.4408</v>
      </c>
      <c r="J6341" s="4">
        <v>628832.20400000003</v>
      </c>
      <c r="L6341" s="4">
        <v>5</v>
      </c>
    </row>
    <row r="6342" spans="1:12">
      <c r="A6342" t="s">
        <v>105</v>
      </c>
      <c r="B6342" s="10">
        <v>45313</v>
      </c>
      <c r="C6342" s="18">
        <f t="shared" si="99"/>
        <v>1</v>
      </c>
      <c r="D6342" t="s">
        <v>110</v>
      </c>
      <c r="E6342">
        <v>4878172</v>
      </c>
      <c r="F6342" t="s">
        <v>8</v>
      </c>
      <c r="G6342" t="s">
        <v>203</v>
      </c>
      <c r="H6342" t="s">
        <v>226</v>
      </c>
      <c r="I6342" s="4">
        <v>100638.28079999999</v>
      </c>
      <c r="J6342" s="4">
        <v>201276.56159999999</v>
      </c>
      <c r="L6342" s="4">
        <v>2</v>
      </c>
    </row>
    <row r="6343" spans="1:12">
      <c r="A6343" t="s">
        <v>105</v>
      </c>
      <c r="B6343" s="10">
        <v>45313</v>
      </c>
      <c r="C6343" s="18">
        <f t="shared" si="99"/>
        <v>1</v>
      </c>
      <c r="D6343" t="s">
        <v>110</v>
      </c>
      <c r="E6343">
        <v>4878172</v>
      </c>
      <c r="F6343" t="s">
        <v>8</v>
      </c>
      <c r="G6343" t="s">
        <v>203</v>
      </c>
      <c r="H6343" t="s">
        <v>225</v>
      </c>
      <c r="I6343" s="4">
        <v>100638.28079999999</v>
      </c>
      <c r="J6343" s="4">
        <v>201276.56159999999</v>
      </c>
      <c r="L6343" s="4">
        <v>2</v>
      </c>
    </row>
    <row r="6344" spans="1:12">
      <c r="A6344" t="s">
        <v>105</v>
      </c>
      <c r="B6344" s="10">
        <v>45314</v>
      </c>
      <c r="C6344" s="18">
        <f t="shared" si="99"/>
        <v>1</v>
      </c>
      <c r="D6344" t="s">
        <v>114</v>
      </c>
      <c r="E6344">
        <v>4878061</v>
      </c>
      <c r="F6344" t="s">
        <v>8</v>
      </c>
      <c r="G6344" t="s">
        <v>203</v>
      </c>
      <c r="H6344" t="s">
        <v>239</v>
      </c>
      <c r="I6344" s="4">
        <v>125766.4408</v>
      </c>
      <c r="J6344" s="4">
        <v>125766.4408</v>
      </c>
      <c r="L6344" s="4">
        <v>1</v>
      </c>
    </row>
    <row r="6345" spans="1:12">
      <c r="A6345" t="s">
        <v>105</v>
      </c>
      <c r="B6345" s="10">
        <v>45315</v>
      </c>
      <c r="C6345" s="18">
        <f t="shared" si="99"/>
        <v>1</v>
      </c>
      <c r="D6345" t="s">
        <v>118</v>
      </c>
      <c r="E6345">
        <v>4877631</v>
      </c>
      <c r="F6345" t="s">
        <v>8</v>
      </c>
      <c r="G6345" t="s">
        <v>203</v>
      </c>
      <c r="H6345" t="s">
        <v>242</v>
      </c>
      <c r="I6345" s="4">
        <v>100638.28079999999</v>
      </c>
      <c r="J6345" s="4">
        <v>201276.56159999999</v>
      </c>
      <c r="L6345" s="4">
        <v>2</v>
      </c>
    </row>
    <row r="6346" spans="1:12">
      <c r="A6346" t="s">
        <v>105</v>
      </c>
      <c r="B6346" s="10">
        <v>45315</v>
      </c>
      <c r="C6346" s="18">
        <f t="shared" si="99"/>
        <v>1</v>
      </c>
      <c r="D6346" t="s">
        <v>118</v>
      </c>
      <c r="E6346">
        <v>4877631</v>
      </c>
      <c r="F6346" t="s">
        <v>8</v>
      </c>
      <c r="G6346" t="s">
        <v>203</v>
      </c>
      <c r="H6346" t="s">
        <v>240</v>
      </c>
      <c r="I6346" s="4">
        <v>100638.28079999999</v>
      </c>
      <c r="J6346" s="4">
        <v>201276.56159999999</v>
      </c>
      <c r="L6346" s="4">
        <v>2</v>
      </c>
    </row>
    <row r="6347" spans="1:12">
      <c r="A6347" t="s">
        <v>105</v>
      </c>
      <c r="B6347" s="10">
        <v>45315</v>
      </c>
      <c r="C6347" s="18">
        <f t="shared" si="99"/>
        <v>1</v>
      </c>
      <c r="D6347" t="s">
        <v>118</v>
      </c>
      <c r="E6347">
        <v>4877631</v>
      </c>
      <c r="F6347" t="s">
        <v>8</v>
      </c>
      <c r="G6347" t="s">
        <v>203</v>
      </c>
      <c r="H6347" t="s">
        <v>234</v>
      </c>
      <c r="I6347" s="4">
        <v>100638.28079999999</v>
      </c>
      <c r="J6347" s="4">
        <v>201276.56159999999</v>
      </c>
      <c r="L6347" s="4">
        <v>2</v>
      </c>
    </row>
    <row r="6348" spans="1:12">
      <c r="A6348" t="s">
        <v>105</v>
      </c>
      <c r="B6348" s="10">
        <v>45315</v>
      </c>
      <c r="C6348" s="18">
        <f t="shared" si="99"/>
        <v>1</v>
      </c>
      <c r="D6348" t="s">
        <v>118</v>
      </c>
      <c r="E6348">
        <v>4877631</v>
      </c>
      <c r="F6348" t="s">
        <v>8</v>
      </c>
      <c r="G6348" t="s">
        <v>203</v>
      </c>
      <c r="H6348" t="s">
        <v>232</v>
      </c>
      <c r="I6348" s="4">
        <v>100638.28079999999</v>
      </c>
      <c r="J6348" s="4">
        <v>201276.56159999999</v>
      </c>
      <c r="L6348" s="4">
        <v>2</v>
      </c>
    </row>
    <row r="6349" spans="1:12">
      <c r="A6349" t="s">
        <v>105</v>
      </c>
      <c r="B6349" s="10">
        <v>45315</v>
      </c>
      <c r="C6349" s="18">
        <f t="shared" si="99"/>
        <v>1</v>
      </c>
      <c r="D6349" t="s">
        <v>118</v>
      </c>
      <c r="E6349">
        <v>4877631</v>
      </c>
      <c r="F6349" t="s">
        <v>8</v>
      </c>
      <c r="G6349" t="s">
        <v>203</v>
      </c>
      <c r="H6349" t="s">
        <v>226</v>
      </c>
      <c r="I6349" s="4">
        <v>100638.28079999999</v>
      </c>
      <c r="J6349" s="4">
        <v>201276.56159999999</v>
      </c>
      <c r="L6349" s="4">
        <v>2</v>
      </c>
    </row>
    <row r="6350" spans="1:12">
      <c r="A6350" t="s">
        <v>105</v>
      </c>
      <c r="B6350" s="10">
        <v>45315</v>
      </c>
      <c r="C6350" s="18">
        <f t="shared" si="99"/>
        <v>1</v>
      </c>
      <c r="D6350" t="s">
        <v>118</v>
      </c>
      <c r="E6350">
        <v>4877631</v>
      </c>
      <c r="F6350" t="s">
        <v>8</v>
      </c>
      <c r="G6350" t="s">
        <v>203</v>
      </c>
      <c r="H6350" t="s">
        <v>225</v>
      </c>
      <c r="I6350" s="4">
        <v>100638.28079999999</v>
      </c>
      <c r="J6350" s="4">
        <v>201276.56159999999</v>
      </c>
      <c r="L6350" s="4">
        <v>2</v>
      </c>
    </row>
    <row r="6351" spans="1:12">
      <c r="A6351" t="s">
        <v>105</v>
      </c>
      <c r="B6351" s="10">
        <v>45316</v>
      </c>
      <c r="C6351" s="18">
        <f t="shared" si="99"/>
        <v>1</v>
      </c>
      <c r="D6351" t="s">
        <v>109</v>
      </c>
      <c r="E6351">
        <v>4878250</v>
      </c>
      <c r="F6351" t="s">
        <v>8</v>
      </c>
      <c r="G6351" t="s">
        <v>203</v>
      </c>
      <c r="H6351" t="s">
        <v>236</v>
      </c>
      <c r="I6351" s="4">
        <v>100638.28079999999</v>
      </c>
      <c r="J6351" s="4">
        <v>201276.56159999999</v>
      </c>
      <c r="L6351" s="4">
        <v>2</v>
      </c>
    </row>
    <row r="6352" spans="1:12">
      <c r="A6352" t="s">
        <v>105</v>
      </c>
      <c r="B6352" s="10">
        <v>45316</v>
      </c>
      <c r="C6352" s="18">
        <f t="shared" si="99"/>
        <v>1</v>
      </c>
      <c r="D6352" t="s">
        <v>109</v>
      </c>
      <c r="E6352">
        <v>4878250</v>
      </c>
      <c r="F6352" t="s">
        <v>8</v>
      </c>
      <c r="G6352" t="s">
        <v>203</v>
      </c>
      <c r="H6352" t="s">
        <v>227</v>
      </c>
      <c r="I6352" s="4">
        <v>100638.28079999999</v>
      </c>
      <c r="J6352" s="4">
        <v>201276.56159999999</v>
      </c>
      <c r="L6352" s="4">
        <v>2</v>
      </c>
    </row>
    <row r="6353" spans="1:12">
      <c r="A6353" t="s">
        <v>105</v>
      </c>
      <c r="B6353" s="10">
        <v>45316</v>
      </c>
      <c r="C6353" s="18">
        <f t="shared" si="99"/>
        <v>1</v>
      </c>
      <c r="D6353" t="s">
        <v>109</v>
      </c>
      <c r="E6353">
        <v>4878250</v>
      </c>
      <c r="F6353" t="s">
        <v>8</v>
      </c>
      <c r="G6353" t="s">
        <v>203</v>
      </c>
      <c r="H6353" t="s">
        <v>226</v>
      </c>
      <c r="I6353" s="4">
        <v>100638.28079999999</v>
      </c>
      <c r="J6353" s="4">
        <v>201276.56159999999</v>
      </c>
      <c r="L6353" s="4">
        <v>2</v>
      </c>
    </row>
    <row r="6354" spans="1:12">
      <c r="A6354" t="s">
        <v>105</v>
      </c>
      <c r="B6354" s="10">
        <v>45316</v>
      </c>
      <c r="C6354" s="18">
        <f t="shared" si="99"/>
        <v>1</v>
      </c>
      <c r="D6354" t="s">
        <v>109</v>
      </c>
      <c r="E6354">
        <v>4878250</v>
      </c>
      <c r="F6354" t="s">
        <v>8</v>
      </c>
      <c r="G6354" t="s">
        <v>203</v>
      </c>
      <c r="H6354" t="s">
        <v>225</v>
      </c>
      <c r="I6354" s="4">
        <v>100638.28079999999</v>
      </c>
      <c r="J6354" s="4">
        <v>201276.56159999999</v>
      </c>
      <c r="L6354" s="4">
        <v>2</v>
      </c>
    </row>
    <row r="6355" spans="1:12">
      <c r="A6355" t="s">
        <v>105</v>
      </c>
      <c r="B6355" s="10">
        <v>45316</v>
      </c>
      <c r="C6355" s="18">
        <f t="shared" si="99"/>
        <v>1</v>
      </c>
      <c r="D6355" t="s">
        <v>109</v>
      </c>
      <c r="E6355">
        <v>4878250</v>
      </c>
      <c r="F6355" t="s">
        <v>8</v>
      </c>
      <c r="G6355" t="s">
        <v>203</v>
      </c>
      <c r="H6355" t="s">
        <v>224</v>
      </c>
      <c r="I6355" s="4">
        <v>100638.28079999999</v>
      </c>
      <c r="J6355" s="4">
        <v>201276.56159999999</v>
      </c>
      <c r="L6355" s="4">
        <v>2</v>
      </c>
    </row>
    <row r="6356" spans="1:12">
      <c r="A6356" t="s">
        <v>105</v>
      </c>
      <c r="B6356" s="10">
        <v>45316</v>
      </c>
      <c r="C6356" s="18">
        <f t="shared" si="99"/>
        <v>1</v>
      </c>
      <c r="D6356" t="s">
        <v>109</v>
      </c>
      <c r="E6356">
        <v>4878250</v>
      </c>
      <c r="F6356" t="s">
        <v>8</v>
      </c>
      <c r="G6356" t="s">
        <v>203</v>
      </c>
      <c r="H6356" t="s">
        <v>223</v>
      </c>
      <c r="I6356" s="4">
        <v>100638.28079999999</v>
      </c>
      <c r="J6356" s="4">
        <v>201276.56159999999</v>
      </c>
      <c r="L6356" s="4">
        <v>2</v>
      </c>
    </row>
    <row r="6357" spans="1:12">
      <c r="A6357" t="s">
        <v>105</v>
      </c>
      <c r="B6357" s="10">
        <v>45316</v>
      </c>
      <c r="C6357" s="18">
        <f t="shared" si="99"/>
        <v>1</v>
      </c>
      <c r="D6357" t="s">
        <v>118</v>
      </c>
      <c r="E6357">
        <v>4877626</v>
      </c>
      <c r="F6357" t="s">
        <v>8</v>
      </c>
      <c r="G6357" t="s">
        <v>203</v>
      </c>
      <c r="H6357" t="s">
        <v>236</v>
      </c>
      <c r="I6357" s="4">
        <v>100638.28079999999</v>
      </c>
      <c r="J6357" s="4">
        <v>201276.56159999999</v>
      </c>
      <c r="L6357" s="4">
        <v>2</v>
      </c>
    </row>
    <row r="6358" spans="1:12">
      <c r="A6358" t="s">
        <v>105</v>
      </c>
      <c r="B6358" s="10">
        <v>45316</v>
      </c>
      <c r="C6358" s="18">
        <f t="shared" si="99"/>
        <v>1</v>
      </c>
      <c r="D6358" t="s">
        <v>118</v>
      </c>
      <c r="E6358">
        <v>4877626</v>
      </c>
      <c r="F6358" t="s">
        <v>8</v>
      </c>
      <c r="G6358" t="s">
        <v>203</v>
      </c>
      <c r="H6358" t="s">
        <v>223</v>
      </c>
      <c r="I6358" s="4">
        <v>100638.28079999999</v>
      </c>
      <c r="J6358" s="4">
        <v>201276.56159999999</v>
      </c>
      <c r="L6358" s="4">
        <v>2</v>
      </c>
    </row>
    <row r="6359" spans="1:12">
      <c r="A6359" t="s">
        <v>107</v>
      </c>
      <c r="B6359" s="10">
        <v>45296</v>
      </c>
      <c r="C6359" s="18">
        <f t="shared" si="99"/>
        <v>1</v>
      </c>
      <c r="D6359" t="s">
        <v>162</v>
      </c>
      <c r="E6359">
        <v>4876846</v>
      </c>
      <c r="F6359" t="s">
        <v>8</v>
      </c>
      <c r="G6359" t="s">
        <v>203</v>
      </c>
      <c r="H6359" t="s">
        <v>231</v>
      </c>
      <c r="I6359" s="4">
        <v>125766.4408</v>
      </c>
      <c r="J6359" s="4">
        <v>125766.4408</v>
      </c>
      <c r="L6359" s="4">
        <v>1</v>
      </c>
    </row>
    <row r="6360" spans="1:12">
      <c r="A6360" t="s">
        <v>107</v>
      </c>
      <c r="B6360" s="10">
        <v>45297</v>
      </c>
      <c r="C6360" s="18">
        <f t="shared" si="99"/>
        <v>1</v>
      </c>
      <c r="D6360" t="s">
        <v>163</v>
      </c>
      <c r="E6360">
        <v>4874109</v>
      </c>
      <c r="F6360" t="s">
        <v>8</v>
      </c>
      <c r="G6360" t="s">
        <v>203</v>
      </c>
      <c r="H6360" t="s">
        <v>245</v>
      </c>
      <c r="I6360" s="4">
        <v>100638.28079999999</v>
      </c>
      <c r="J6360" s="4">
        <v>201276.56159999999</v>
      </c>
      <c r="L6360" s="4">
        <v>2</v>
      </c>
    </row>
    <row r="6361" spans="1:12">
      <c r="A6361" t="s">
        <v>107</v>
      </c>
      <c r="B6361" s="10">
        <v>45297</v>
      </c>
      <c r="C6361" s="18">
        <f t="shared" si="99"/>
        <v>1</v>
      </c>
      <c r="D6361" t="s">
        <v>163</v>
      </c>
      <c r="E6361">
        <v>4874109</v>
      </c>
      <c r="F6361" t="s">
        <v>8</v>
      </c>
      <c r="G6361" t="s">
        <v>203</v>
      </c>
      <c r="H6361" t="s">
        <v>243</v>
      </c>
      <c r="I6361" s="4">
        <v>100638.28079999999</v>
      </c>
      <c r="J6361" s="4">
        <v>201276.56159999999</v>
      </c>
      <c r="L6361" s="4">
        <v>2</v>
      </c>
    </row>
    <row r="6362" spans="1:12">
      <c r="A6362" t="s">
        <v>107</v>
      </c>
      <c r="B6362" s="10">
        <v>45297</v>
      </c>
      <c r="C6362" s="18">
        <f t="shared" si="99"/>
        <v>1</v>
      </c>
      <c r="D6362" t="s">
        <v>163</v>
      </c>
      <c r="E6362">
        <v>4874109</v>
      </c>
      <c r="F6362" t="s">
        <v>8</v>
      </c>
      <c r="G6362" t="s">
        <v>203</v>
      </c>
      <c r="H6362" t="s">
        <v>240</v>
      </c>
      <c r="I6362" s="4">
        <v>100638.28079999999</v>
      </c>
      <c r="J6362" s="4">
        <v>201276.56159999999</v>
      </c>
      <c r="L6362" s="4">
        <v>2</v>
      </c>
    </row>
    <row r="6363" spans="1:12">
      <c r="A6363" t="s">
        <v>107</v>
      </c>
      <c r="B6363" s="10">
        <v>45297</v>
      </c>
      <c r="C6363" s="18">
        <f t="shared" si="99"/>
        <v>1</v>
      </c>
      <c r="D6363" t="s">
        <v>163</v>
      </c>
      <c r="E6363">
        <v>4874109</v>
      </c>
      <c r="F6363" t="s">
        <v>8</v>
      </c>
      <c r="G6363" t="s">
        <v>203</v>
      </c>
      <c r="H6363" t="s">
        <v>244</v>
      </c>
      <c r="I6363" s="4">
        <v>125766.4408</v>
      </c>
      <c r="J6363" s="4">
        <v>125766.4408</v>
      </c>
      <c r="L6363" s="4">
        <v>1</v>
      </c>
    </row>
    <row r="6364" spans="1:12">
      <c r="A6364" t="s">
        <v>107</v>
      </c>
      <c r="B6364" s="10">
        <v>45297</v>
      </c>
      <c r="C6364" s="18">
        <f t="shared" si="99"/>
        <v>1</v>
      </c>
      <c r="D6364" t="s">
        <v>163</v>
      </c>
      <c r="E6364">
        <v>4874109</v>
      </c>
      <c r="F6364" t="s">
        <v>8</v>
      </c>
      <c r="G6364" t="s">
        <v>203</v>
      </c>
      <c r="H6364" t="s">
        <v>229</v>
      </c>
      <c r="I6364" s="4">
        <v>125766.4408</v>
      </c>
      <c r="J6364" s="4">
        <v>125766.4408</v>
      </c>
      <c r="L6364" s="4">
        <v>1</v>
      </c>
    </row>
    <row r="6365" spans="1:12">
      <c r="A6365" t="s">
        <v>107</v>
      </c>
      <c r="B6365" s="10">
        <v>45297</v>
      </c>
      <c r="C6365" s="18">
        <f t="shared" si="99"/>
        <v>1</v>
      </c>
      <c r="D6365" t="s">
        <v>140</v>
      </c>
      <c r="E6365">
        <v>4874346</v>
      </c>
      <c r="F6365" t="s">
        <v>8</v>
      </c>
      <c r="G6365" t="s">
        <v>203</v>
      </c>
      <c r="H6365" t="s">
        <v>228</v>
      </c>
      <c r="I6365" s="4">
        <v>100638.28079999999</v>
      </c>
      <c r="J6365" s="4">
        <v>603829.68479999993</v>
      </c>
      <c r="L6365" s="4">
        <v>6</v>
      </c>
    </row>
    <row r="6366" spans="1:12">
      <c r="A6366" t="s">
        <v>107</v>
      </c>
      <c r="B6366" s="10">
        <v>45297</v>
      </c>
      <c r="C6366" s="18">
        <f t="shared" si="99"/>
        <v>1</v>
      </c>
      <c r="D6366" t="s">
        <v>140</v>
      </c>
      <c r="E6366">
        <v>4874346</v>
      </c>
      <c r="F6366" t="s">
        <v>8</v>
      </c>
      <c r="G6366" t="s">
        <v>203</v>
      </c>
      <c r="H6366" t="s">
        <v>226</v>
      </c>
      <c r="I6366" s="4">
        <v>100638.28079999999</v>
      </c>
      <c r="J6366" s="4">
        <v>603829.68479999993</v>
      </c>
      <c r="L6366" s="4">
        <v>6</v>
      </c>
    </row>
    <row r="6367" spans="1:12">
      <c r="A6367" t="s">
        <v>107</v>
      </c>
      <c r="B6367" s="10">
        <v>45297</v>
      </c>
      <c r="C6367" s="18">
        <f t="shared" si="99"/>
        <v>1</v>
      </c>
      <c r="D6367" t="s">
        <v>140</v>
      </c>
      <c r="E6367">
        <v>4874346</v>
      </c>
      <c r="F6367" t="s">
        <v>8</v>
      </c>
      <c r="G6367" t="s">
        <v>203</v>
      </c>
      <c r="H6367" t="s">
        <v>239</v>
      </c>
      <c r="I6367" s="4">
        <v>125766.4408</v>
      </c>
      <c r="J6367" s="4">
        <v>628832.20400000003</v>
      </c>
      <c r="L6367" s="4">
        <v>5</v>
      </c>
    </row>
    <row r="6368" spans="1:12">
      <c r="A6368" t="s">
        <v>107</v>
      </c>
      <c r="B6368" s="10">
        <v>45297</v>
      </c>
      <c r="C6368" s="18">
        <f t="shared" si="99"/>
        <v>1</v>
      </c>
      <c r="D6368" t="s">
        <v>167</v>
      </c>
      <c r="E6368">
        <v>4875363</v>
      </c>
      <c r="F6368" t="s">
        <v>8</v>
      </c>
      <c r="G6368" t="s">
        <v>203</v>
      </c>
      <c r="H6368" t="s">
        <v>245</v>
      </c>
      <c r="I6368" s="4">
        <v>100638.28079999999</v>
      </c>
      <c r="J6368" s="4">
        <v>603829.68479999993</v>
      </c>
      <c r="L6368" s="4">
        <v>6</v>
      </c>
    </row>
    <row r="6369" spans="1:12">
      <c r="A6369" t="s">
        <v>107</v>
      </c>
      <c r="B6369" s="10">
        <v>45297</v>
      </c>
      <c r="C6369" s="18">
        <f t="shared" si="99"/>
        <v>1</v>
      </c>
      <c r="D6369" t="s">
        <v>167</v>
      </c>
      <c r="E6369">
        <v>4875363</v>
      </c>
      <c r="F6369" t="s">
        <v>8</v>
      </c>
      <c r="G6369" t="s">
        <v>203</v>
      </c>
      <c r="H6369" t="s">
        <v>243</v>
      </c>
      <c r="I6369" s="4">
        <v>100638.28079999999</v>
      </c>
      <c r="J6369" s="4">
        <v>603829.68479999993</v>
      </c>
      <c r="L6369" s="4">
        <v>6</v>
      </c>
    </row>
    <row r="6370" spans="1:12">
      <c r="A6370" t="s">
        <v>107</v>
      </c>
      <c r="B6370" s="10">
        <v>45297</v>
      </c>
      <c r="C6370" s="18">
        <f t="shared" si="99"/>
        <v>1</v>
      </c>
      <c r="D6370" t="s">
        <v>167</v>
      </c>
      <c r="E6370">
        <v>4875363</v>
      </c>
      <c r="F6370" t="s">
        <v>8</v>
      </c>
      <c r="G6370" t="s">
        <v>203</v>
      </c>
      <c r="H6370" t="s">
        <v>240</v>
      </c>
      <c r="I6370" s="4">
        <v>100638.28079999999</v>
      </c>
      <c r="J6370" s="4">
        <v>603829.68479999993</v>
      </c>
      <c r="L6370" s="4">
        <v>6</v>
      </c>
    </row>
    <row r="6371" spans="1:12">
      <c r="A6371" t="s">
        <v>107</v>
      </c>
      <c r="B6371" s="10">
        <v>45297</v>
      </c>
      <c r="C6371" s="18">
        <f t="shared" si="99"/>
        <v>1</v>
      </c>
      <c r="D6371" t="s">
        <v>167</v>
      </c>
      <c r="E6371">
        <v>4875363</v>
      </c>
      <c r="F6371" t="s">
        <v>8</v>
      </c>
      <c r="G6371" t="s">
        <v>203</v>
      </c>
      <c r="H6371" t="s">
        <v>238</v>
      </c>
      <c r="I6371" s="4">
        <v>95606.36675999999</v>
      </c>
      <c r="J6371" s="4">
        <v>573638.20055999991</v>
      </c>
      <c r="L6371" s="4">
        <v>6</v>
      </c>
    </row>
    <row r="6372" spans="1:12">
      <c r="A6372" t="s">
        <v>107</v>
      </c>
      <c r="B6372" s="10">
        <v>45297</v>
      </c>
      <c r="C6372" s="18">
        <f t="shared" si="99"/>
        <v>1</v>
      </c>
      <c r="D6372" t="s">
        <v>167</v>
      </c>
      <c r="E6372">
        <v>4875363</v>
      </c>
      <c r="F6372" t="s">
        <v>8</v>
      </c>
      <c r="G6372" t="s">
        <v>203</v>
      </c>
      <c r="H6372" t="s">
        <v>234</v>
      </c>
      <c r="I6372" s="4">
        <v>100638.28079999999</v>
      </c>
      <c r="J6372" s="4">
        <v>603829.68479999993</v>
      </c>
      <c r="L6372" s="4">
        <v>6</v>
      </c>
    </row>
    <row r="6373" spans="1:12">
      <c r="A6373" t="s">
        <v>107</v>
      </c>
      <c r="B6373" s="10">
        <v>45297</v>
      </c>
      <c r="C6373" s="18">
        <f t="shared" si="99"/>
        <v>1</v>
      </c>
      <c r="D6373" t="s">
        <v>167</v>
      </c>
      <c r="E6373">
        <v>4875363</v>
      </c>
      <c r="F6373" t="s">
        <v>8</v>
      </c>
      <c r="G6373" t="s">
        <v>203</v>
      </c>
      <c r="H6373" t="s">
        <v>230</v>
      </c>
      <c r="I6373" s="4">
        <v>100638.28079999999</v>
      </c>
      <c r="J6373" s="4">
        <v>805106.24639999995</v>
      </c>
      <c r="L6373" s="4">
        <v>8</v>
      </c>
    </row>
    <row r="6374" spans="1:12">
      <c r="A6374" t="s">
        <v>107</v>
      </c>
      <c r="B6374" s="10">
        <v>45297</v>
      </c>
      <c r="C6374" s="18">
        <f t="shared" si="99"/>
        <v>1</v>
      </c>
      <c r="D6374" t="s">
        <v>167</v>
      </c>
      <c r="E6374">
        <v>4875363</v>
      </c>
      <c r="F6374" t="s">
        <v>8</v>
      </c>
      <c r="G6374" t="s">
        <v>203</v>
      </c>
      <c r="H6374" t="s">
        <v>237</v>
      </c>
      <c r="I6374" s="4">
        <v>125766.4408</v>
      </c>
      <c r="J6374" s="4">
        <v>628832.20400000003</v>
      </c>
      <c r="L6374" s="4">
        <v>5</v>
      </c>
    </row>
    <row r="6375" spans="1:12">
      <c r="A6375" t="s">
        <v>107</v>
      </c>
      <c r="B6375" s="10">
        <v>45297</v>
      </c>
      <c r="C6375" s="18">
        <f t="shared" si="99"/>
        <v>1</v>
      </c>
      <c r="D6375" t="s">
        <v>182</v>
      </c>
      <c r="E6375">
        <v>4876974</v>
      </c>
      <c r="F6375" t="s">
        <v>8</v>
      </c>
      <c r="G6375" t="s">
        <v>203</v>
      </c>
      <c r="H6375" t="s">
        <v>242</v>
      </c>
      <c r="I6375" s="4">
        <v>100638.28079999999</v>
      </c>
      <c r="J6375" s="4">
        <v>201276.56159999999</v>
      </c>
      <c r="L6375" s="4">
        <v>2</v>
      </c>
    </row>
    <row r="6376" spans="1:12">
      <c r="A6376" t="s">
        <v>107</v>
      </c>
      <c r="B6376" s="10">
        <v>45297</v>
      </c>
      <c r="C6376" s="18">
        <f t="shared" si="99"/>
        <v>1</v>
      </c>
      <c r="D6376" t="s">
        <v>182</v>
      </c>
      <c r="E6376">
        <v>4876974</v>
      </c>
      <c r="F6376" t="s">
        <v>8</v>
      </c>
      <c r="G6376" t="s">
        <v>203</v>
      </c>
      <c r="H6376" t="s">
        <v>240</v>
      </c>
      <c r="I6376" s="4">
        <v>100638.28079999999</v>
      </c>
      <c r="J6376" s="4">
        <v>201276.56159999999</v>
      </c>
      <c r="L6376" s="4">
        <v>2</v>
      </c>
    </row>
    <row r="6377" spans="1:12">
      <c r="A6377" t="s">
        <v>107</v>
      </c>
      <c r="B6377" s="10">
        <v>45297</v>
      </c>
      <c r="C6377" s="18">
        <f t="shared" si="99"/>
        <v>1</v>
      </c>
      <c r="D6377" t="s">
        <v>182</v>
      </c>
      <c r="E6377">
        <v>4876974</v>
      </c>
      <c r="F6377" t="s">
        <v>8</v>
      </c>
      <c r="G6377" t="s">
        <v>203</v>
      </c>
      <c r="H6377" t="s">
        <v>234</v>
      </c>
      <c r="I6377" s="4">
        <v>100638.28079999999</v>
      </c>
      <c r="J6377" s="4">
        <v>201276.56159999999</v>
      </c>
      <c r="L6377" s="4">
        <v>2</v>
      </c>
    </row>
    <row r="6378" spans="1:12">
      <c r="A6378" t="s">
        <v>107</v>
      </c>
      <c r="B6378" s="10">
        <v>45297</v>
      </c>
      <c r="C6378" s="18">
        <f t="shared" si="99"/>
        <v>1</v>
      </c>
      <c r="D6378" t="s">
        <v>182</v>
      </c>
      <c r="E6378">
        <v>4876974</v>
      </c>
      <c r="F6378" t="s">
        <v>8</v>
      </c>
      <c r="G6378" t="s">
        <v>203</v>
      </c>
      <c r="H6378" t="s">
        <v>230</v>
      </c>
      <c r="I6378" s="4">
        <v>100638.28079999999</v>
      </c>
      <c r="J6378" s="4">
        <v>201276.56159999999</v>
      </c>
      <c r="L6378" s="4">
        <v>2</v>
      </c>
    </row>
    <row r="6379" spans="1:12">
      <c r="A6379" t="s">
        <v>107</v>
      </c>
      <c r="B6379" s="10">
        <v>45297</v>
      </c>
      <c r="C6379" s="18">
        <f t="shared" si="99"/>
        <v>1</v>
      </c>
      <c r="D6379" t="s">
        <v>182</v>
      </c>
      <c r="E6379">
        <v>4876974</v>
      </c>
      <c r="F6379" t="s">
        <v>8</v>
      </c>
      <c r="G6379" t="s">
        <v>203</v>
      </c>
      <c r="H6379" t="s">
        <v>229</v>
      </c>
      <c r="I6379" s="4">
        <v>125766.4408</v>
      </c>
      <c r="J6379" s="4">
        <v>125766.4408</v>
      </c>
      <c r="L6379" s="4">
        <v>1</v>
      </c>
    </row>
    <row r="6380" spans="1:12">
      <c r="A6380" t="s">
        <v>107</v>
      </c>
      <c r="B6380" s="10">
        <v>45297</v>
      </c>
      <c r="C6380" s="18">
        <f t="shared" si="99"/>
        <v>1</v>
      </c>
      <c r="D6380" t="s">
        <v>182</v>
      </c>
      <c r="E6380">
        <v>4874538</v>
      </c>
      <c r="F6380" t="s">
        <v>8</v>
      </c>
      <c r="G6380" t="s">
        <v>203</v>
      </c>
      <c r="H6380" t="s">
        <v>243</v>
      </c>
      <c r="I6380" s="4">
        <v>100638.28079999999</v>
      </c>
      <c r="J6380" s="4">
        <v>402553.12319999997</v>
      </c>
      <c r="L6380" s="4">
        <v>4</v>
      </c>
    </row>
    <row r="6381" spans="1:12">
      <c r="A6381" t="s">
        <v>107</v>
      </c>
      <c r="B6381" s="10">
        <v>45297</v>
      </c>
      <c r="C6381" s="18">
        <f t="shared" si="99"/>
        <v>1</v>
      </c>
      <c r="D6381" t="s">
        <v>182</v>
      </c>
      <c r="E6381">
        <v>4874538</v>
      </c>
      <c r="F6381" t="s">
        <v>8</v>
      </c>
      <c r="G6381" t="s">
        <v>203</v>
      </c>
      <c r="H6381" t="s">
        <v>232</v>
      </c>
      <c r="I6381" s="4">
        <v>100638.28079999999</v>
      </c>
      <c r="J6381" s="4">
        <v>402553.12319999997</v>
      </c>
      <c r="L6381" s="4">
        <v>4</v>
      </c>
    </row>
    <row r="6382" spans="1:12">
      <c r="A6382" t="s">
        <v>107</v>
      </c>
      <c r="B6382" s="10">
        <v>45297</v>
      </c>
      <c r="C6382" s="18">
        <f t="shared" si="99"/>
        <v>1</v>
      </c>
      <c r="D6382" t="s">
        <v>182</v>
      </c>
      <c r="E6382">
        <v>4874538</v>
      </c>
      <c r="F6382" t="s">
        <v>8</v>
      </c>
      <c r="G6382" t="s">
        <v>203</v>
      </c>
      <c r="H6382" t="s">
        <v>225</v>
      </c>
      <c r="I6382" s="4">
        <v>100638.28079999999</v>
      </c>
      <c r="J6382" s="4">
        <v>603829.68479999993</v>
      </c>
      <c r="L6382" s="4">
        <v>6</v>
      </c>
    </row>
    <row r="6383" spans="1:12">
      <c r="A6383" t="s">
        <v>107</v>
      </c>
      <c r="B6383" s="10">
        <v>45297</v>
      </c>
      <c r="C6383" s="18">
        <f t="shared" si="99"/>
        <v>1</v>
      </c>
      <c r="D6383" t="s">
        <v>182</v>
      </c>
      <c r="E6383">
        <v>4874538</v>
      </c>
      <c r="F6383" t="s">
        <v>8</v>
      </c>
      <c r="G6383" t="s">
        <v>203</v>
      </c>
      <c r="H6383" t="s">
        <v>244</v>
      </c>
      <c r="I6383" s="4">
        <v>125766.4408</v>
      </c>
      <c r="J6383" s="4">
        <v>503065.76319999999</v>
      </c>
      <c r="L6383" s="4">
        <v>4</v>
      </c>
    </row>
    <row r="6384" spans="1:12">
      <c r="A6384" t="s">
        <v>107</v>
      </c>
      <c r="B6384" s="10">
        <v>45297</v>
      </c>
      <c r="C6384" s="18">
        <f t="shared" si="99"/>
        <v>1</v>
      </c>
      <c r="D6384" t="s">
        <v>182</v>
      </c>
      <c r="E6384">
        <v>4874538</v>
      </c>
      <c r="F6384" t="s">
        <v>8</v>
      </c>
      <c r="G6384" t="s">
        <v>203</v>
      </c>
      <c r="H6384" t="s">
        <v>241</v>
      </c>
      <c r="I6384" s="4">
        <v>125766.4408</v>
      </c>
      <c r="J6384" s="4">
        <v>503065.76319999999</v>
      </c>
      <c r="L6384" s="4">
        <v>4</v>
      </c>
    </row>
    <row r="6385" spans="1:12">
      <c r="A6385" t="s">
        <v>107</v>
      </c>
      <c r="B6385" s="10">
        <v>45297</v>
      </c>
      <c r="C6385" s="18">
        <f t="shared" si="99"/>
        <v>1</v>
      </c>
      <c r="D6385" t="s">
        <v>183</v>
      </c>
      <c r="E6385">
        <v>4875944</v>
      </c>
      <c r="F6385" t="s">
        <v>8</v>
      </c>
      <c r="G6385" t="s">
        <v>203</v>
      </c>
      <c r="H6385" t="s">
        <v>236</v>
      </c>
      <c r="I6385" s="4">
        <v>100638.28079999999</v>
      </c>
      <c r="J6385" s="4">
        <v>402553.12319999997</v>
      </c>
      <c r="K6385" s="4">
        <v>-12076.593696</v>
      </c>
      <c r="L6385" s="4">
        <v>4</v>
      </c>
    </row>
    <row r="6386" spans="1:12">
      <c r="A6386" t="s">
        <v>107</v>
      </c>
      <c r="B6386" s="10">
        <v>45297</v>
      </c>
      <c r="C6386" s="18">
        <f t="shared" si="99"/>
        <v>1</v>
      </c>
      <c r="D6386" t="s">
        <v>183</v>
      </c>
      <c r="E6386">
        <v>4875944</v>
      </c>
      <c r="F6386" t="s">
        <v>8</v>
      </c>
      <c r="G6386" t="s">
        <v>203</v>
      </c>
      <c r="H6386" t="s">
        <v>232</v>
      </c>
      <c r="I6386" s="4">
        <v>100638.28079999999</v>
      </c>
      <c r="J6386" s="4">
        <v>402553.12319999997</v>
      </c>
      <c r="K6386" s="4">
        <v>-12076.593696</v>
      </c>
      <c r="L6386" s="4">
        <v>4</v>
      </c>
    </row>
    <row r="6387" spans="1:12">
      <c r="A6387" t="s">
        <v>107</v>
      </c>
      <c r="B6387" s="10">
        <v>45297</v>
      </c>
      <c r="C6387" s="18">
        <f t="shared" si="99"/>
        <v>1</v>
      </c>
      <c r="D6387" t="s">
        <v>183</v>
      </c>
      <c r="E6387">
        <v>4875944</v>
      </c>
      <c r="F6387" t="s">
        <v>8</v>
      </c>
      <c r="G6387" t="s">
        <v>203</v>
      </c>
      <c r="H6387" t="s">
        <v>227</v>
      </c>
      <c r="I6387" s="4">
        <v>100638.28079999999</v>
      </c>
      <c r="J6387" s="4">
        <v>402553.12319999997</v>
      </c>
      <c r="K6387" s="4">
        <v>-12076.593696</v>
      </c>
      <c r="L6387" s="4">
        <v>4</v>
      </c>
    </row>
    <row r="6388" spans="1:12">
      <c r="A6388" t="s">
        <v>107</v>
      </c>
      <c r="B6388" s="10">
        <v>45297</v>
      </c>
      <c r="C6388" s="18">
        <f t="shared" si="99"/>
        <v>1</v>
      </c>
      <c r="D6388" t="s">
        <v>183</v>
      </c>
      <c r="E6388">
        <v>4875944</v>
      </c>
      <c r="F6388" t="s">
        <v>8</v>
      </c>
      <c r="G6388" t="s">
        <v>203</v>
      </c>
      <c r="H6388" t="s">
        <v>225</v>
      </c>
      <c r="I6388" s="4">
        <v>100638.28079999999</v>
      </c>
      <c r="J6388" s="4">
        <v>402553.12319999997</v>
      </c>
      <c r="K6388" s="4">
        <v>-12076.593696</v>
      </c>
      <c r="L6388" s="4">
        <v>4</v>
      </c>
    </row>
    <row r="6389" spans="1:12">
      <c r="A6389" t="s">
        <v>107</v>
      </c>
      <c r="B6389" s="10">
        <v>45297</v>
      </c>
      <c r="C6389" s="18">
        <f t="shared" si="99"/>
        <v>1</v>
      </c>
      <c r="D6389" t="s">
        <v>183</v>
      </c>
      <c r="E6389">
        <v>4875944</v>
      </c>
      <c r="F6389" t="s">
        <v>8</v>
      </c>
      <c r="G6389" t="s">
        <v>203</v>
      </c>
      <c r="H6389" t="s">
        <v>223</v>
      </c>
      <c r="I6389" s="4">
        <v>100638.28079999999</v>
      </c>
      <c r="J6389" s="4">
        <v>402553.12319999997</v>
      </c>
      <c r="K6389" s="4">
        <v>-12076.593696</v>
      </c>
      <c r="L6389" s="4">
        <v>4</v>
      </c>
    </row>
    <row r="6390" spans="1:12">
      <c r="A6390" t="s">
        <v>107</v>
      </c>
      <c r="B6390" s="10">
        <v>45297</v>
      </c>
      <c r="C6390" s="18">
        <f t="shared" si="99"/>
        <v>1</v>
      </c>
      <c r="D6390" t="s">
        <v>183</v>
      </c>
      <c r="E6390">
        <v>4875944</v>
      </c>
      <c r="F6390" t="s">
        <v>8</v>
      </c>
      <c r="G6390" t="s">
        <v>203</v>
      </c>
      <c r="H6390" t="s">
        <v>235</v>
      </c>
      <c r="I6390" s="4">
        <v>125766.4408</v>
      </c>
      <c r="J6390" s="4">
        <v>503065.76319999999</v>
      </c>
      <c r="K6390" s="4">
        <v>-15091.972896000001</v>
      </c>
      <c r="L6390" s="4">
        <v>4</v>
      </c>
    </row>
    <row r="6391" spans="1:12">
      <c r="A6391" t="s">
        <v>107</v>
      </c>
      <c r="B6391" s="10">
        <v>45299</v>
      </c>
      <c r="C6391" s="18">
        <f t="shared" si="99"/>
        <v>1</v>
      </c>
      <c r="D6391" t="s">
        <v>187</v>
      </c>
      <c r="E6391">
        <v>4875358</v>
      </c>
      <c r="F6391" t="s">
        <v>8</v>
      </c>
      <c r="G6391" t="s">
        <v>203</v>
      </c>
      <c r="H6391" t="s">
        <v>226</v>
      </c>
      <c r="I6391" s="4">
        <v>100638.28079999999</v>
      </c>
      <c r="J6391" s="4">
        <v>201276.56159999999</v>
      </c>
      <c r="L6391" s="4">
        <v>2</v>
      </c>
    </row>
    <row r="6392" spans="1:12">
      <c r="A6392" t="s">
        <v>107</v>
      </c>
      <c r="B6392" s="10">
        <v>45299</v>
      </c>
      <c r="C6392" s="18">
        <f t="shared" si="99"/>
        <v>1</v>
      </c>
      <c r="D6392" t="s">
        <v>187</v>
      </c>
      <c r="E6392">
        <v>4875358</v>
      </c>
      <c r="F6392" t="s">
        <v>8</v>
      </c>
      <c r="G6392" t="s">
        <v>203</v>
      </c>
      <c r="H6392" t="s">
        <v>224</v>
      </c>
      <c r="I6392" s="4">
        <v>100638.28079999999</v>
      </c>
      <c r="J6392" s="4">
        <v>201276.56159999999</v>
      </c>
      <c r="L6392" s="4">
        <v>2</v>
      </c>
    </row>
    <row r="6393" spans="1:12">
      <c r="A6393" t="s">
        <v>107</v>
      </c>
      <c r="B6393" s="10">
        <v>45299</v>
      </c>
      <c r="C6393" s="18">
        <f t="shared" si="99"/>
        <v>1</v>
      </c>
      <c r="D6393" t="s">
        <v>187</v>
      </c>
      <c r="E6393">
        <v>4875358</v>
      </c>
      <c r="F6393" t="s">
        <v>8</v>
      </c>
      <c r="G6393" t="s">
        <v>203</v>
      </c>
      <c r="H6393" t="s">
        <v>223</v>
      </c>
      <c r="I6393" s="4">
        <v>100638.28079999999</v>
      </c>
      <c r="J6393" s="4">
        <v>201276.56159999999</v>
      </c>
      <c r="L6393" s="4">
        <v>2</v>
      </c>
    </row>
    <row r="6394" spans="1:12">
      <c r="A6394" t="s">
        <v>107</v>
      </c>
      <c r="B6394" s="10">
        <v>45299</v>
      </c>
      <c r="C6394" s="18">
        <f t="shared" si="99"/>
        <v>1</v>
      </c>
      <c r="D6394" t="s">
        <v>187</v>
      </c>
      <c r="E6394">
        <v>4875358</v>
      </c>
      <c r="F6394" t="s">
        <v>8</v>
      </c>
      <c r="G6394" t="s">
        <v>203</v>
      </c>
      <c r="H6394" t="s">
        <v>231</v>
      </c>
      <c r="I6394" s="4">
        <v>125766.4408</v>
      </c>
      <c r="J6394" s="4">
        <v>251532.88159999999</v>
      </c>
      <c r="L6394" s="4">
        <v>2</v>
      </c>
    </row>
    <row r="6395" spans="1:12">
      <c r="A6395" t="s">
        <v>107</v>
      </c>
      <c r="B6395" s="10">
        <v>45299</v>
      </c>
      <c r="C6395" s="18">
        <f t="shared" si="99"/>
        <v>1</v>
      </c>
      <c r="D6395" t="s">
        <v>161</v>
      </c>
      <c r="E6395">
        <v>4875910</v>
      </c>
      <c r="F6395" t="s">
        <v>8</v>
      </c>
      <c r="G6395" t="s">
        <v>203</v>
      </c>
      <c r="H6395" t="s">
        <v>228</v>
      </c>
      <c r="I6395" s="4">
        <v>100638.28079999999</v>
      </c>
      <c r="J6395" s="4">
        <v>201276.56159999999</v>
      </c>
      <c r="L6395" s="4">
        <v>2</v>
      </c>
    </row>
    <row r="6396" spans="1:12">
      <c r="A6396" t="s">
        <v>107</v>
      </c>
      <c r="B6396" s="10">
        <v>45299</v>
      </c>
      <c r="C6396" s="18">
        <f t="shared" si="99"/>
        <v>1</v>
      </c>
      <c r="D6396" t="s">
        <v>161</v>
      </c>
      <c r="E6396">
        <v>4875910</v>
      </c>
      <c r="F6396" t="s">
        <v>8</v>
      </c>
      <c r="G6396" t="s">
        <v>203</v>
      </c>
      <c r="H6396" t="s">
        <v>226</v>
      </c>
      <c r="I6396" s="4">
        <v>100638.28079999999</v>
      </c>
      <c r="J6396" s="4">
        <v>201276.56159999999</v>
      </c>
      <c r="L6396" s="4">
        <v>2</v>
      </c>
    </row>
    <row r="6397" spans="1:12">
      <c r="A6397" t="s">
        <v>107</v>
      </c>
      <c r="B6397" s="10">
        <v>45299</v>
      </c>
      <c r="C6397" s="18">
        <f t="shared" si="99"/>
        <v>1</v>
      </c>
      <c r="D6397" t="s">
        <v>161</v>
      </c>
      <c r="E6397">
        <v>4875910</v>
      </c>
      <c r="F6397" t="s">
        <v>8</v>
      </c>
      <c r="G6397" t="s">
        <v>203</v>
      </c>
      <c r="H6397" t="s">
        <v>224</v>
      </c>
      <c r="I6397" s="4">
        <v>100638.28079999999</v>
      </c>
      <c r="J6397" s="4">
        <v>201276.56159999999</v>
      </c>
      <c r="L6397" s="4">
        <v>2</v>
      </c>
    </row>
    <row r="6398" spans="1:12">
      <c r="A6398" t="s">
        <v>107</v>
      </c>
      <c r="B6398" s="10">
        <v>45299</v>
      </c>
      <c r="C6398" s="18">
        <f t="shared" si="99"/>
        <v>1</v>
      </c>
      <c r="D6398" t="s">
        <v>161</v>
      </c>
      <c r="E6398">
        <v>4875910</v>
      </c>
      <c r="F6398" t="s">
        <v>8</v>
      </c>
      <c r="G6398" t="s">
        <v>203</v>
      </c>
      <c r="H6398" t="s">
        <v>235</v>
      </c>
      <c r="I6398" s="4">
        <v>125766.4408</v>
      </c>
      <c r="J6398" s="4">
        <v>125766.4408</v>
      </c>
      <c r="L6398" s="4">
        <v>1</v>
      </c>
    </row>
    <row r="6399" spans="1:12">
      <c r="A6399" t="s">
        <v>107</v>
      </c>
      <c r="B6399" s="10">
        <v>45299</v>
      </c>
      <c r="C6399" s="18">
        <f t="shared" si="99"/>
        <v>1</v>
      </c>
      <c r="D6399" t="s">
        <v>161</v>
      </c>
      <c r="E6399">
        <v>4875910</v>
      </c>
      <c r="F6399" t="s">
        <v>8</v>
      </c>
      <c r="G6399" t="s">
        <v>203</v>
      </c>
      <c r="H6399" t="s">
        <v>233</v>
      </c>
      <c r="I6399" s="4">
        <v>120735.78316800001</v>
      </c>
      <c r="J6399" s="4">
        <v>120735.78316800001</v>
      </c>
      <c r="L6399" s="4">
        <v>1</v>
      </c>
    </row>
    <row r="6400" spans="1:12">
      <c r="A6400" t="s">
        <v>107</v>
      </c>
      <c r="B6400" s="10">
        <v>45299</v>
      </c>
      <c r="C6400" s="18">
        <f t="shared" si="99"/>
        <v>1</v>
      </c>
      <c r="D6400" t="s">
        <v>161</v>
      </c>
      <c r="E6400">
        <v>4875910</v>
      </c>
      <c r="F6400" t="s">
        <v>8</v>
      </c>
      <c r="G6400" t="s">
        <v>203</v>
      </c>
      <c r="H6400" t="s">
        <v>231</v>
      </c>
      <c r="I6400" s="4">
        <v>125766.4408</v>
      </c>
      <c r="J6400" s="4">
        <v>251532.88159999999</v>
      </c>
      <c r="L6400" s="4">
        <v>2</v>
      </c>
    </row>
    <row r="6401" spans="1:12">
      <c r="A6401" t="s">
        <v>107</v>
      </c>
      <c r="B6401" s="10">
        <v>45299</v>
      </c>
      <c r="C6401" s="18">
        <f t="shared" si="99"/>
        <v>1</v>
      </c>
      <c r="D6401" t="s">
        <v>182</v>
      </c>
      <c r="E6401">
        <v>4875672</v>
      </c>
      <c r="F6401" t="s">
        <v>8</v>
      </c>
      <c r="G6401" t="s">
        <v>203</v>
      </c>
      <c r="H6401" t="s">
        <v>227</v>
      </c>
      <c r="I6401" s="4">
        <v>100638.28079999999</v>
      </c>
      <c r="J6401" s="4">
        <v>603829.68479999993</v>
      </c>
      <c r="K6401" s="4">
        <v>-30191.484240000002</v>
      </c>
      <c r="L6401" s="4">
        <v>6</v>
      </c>
    </row>
    <row r="6402" spans="1:12">
      <c r="A6402" t="s">
        <v>107</v>
      </c>
      <c r="B6402" s="10">
        <v>45299</v>
      </c>
      <c r="C6402" s="18">
        <f t="shared" ref="C6402:C6465" si="100">MONTH(B6402)</f>
        <v>1</v>
      </c>
      <c r="D6402" t="s">
        <v>182</v>
      </c>
      <c r="E6402">
        <v>4875672</v>
      </c>
      <c r="F6402" t="s">
        <v>8</v>
      </c>
      <c r="G6402" t="s">
        <v>203</v>
      </c>
      <c r="H6402" t="s">
        <v>223</v>
      </c>
      <c r="I6402" s="4">
        <v>100638.28079999999</v>
      </c>
      <c r="J6402" s="4">
        <v>603829.68479999993</v>
      </c>
      <c r="K6402" s="4">
        <v>-30191.484240000002</v>
      </c>
      <c r="L6402" s="4">
        <v>6</v>
      </c>
    </row>
    <row r="6403" spans="1:12">
      <c r="A6403" t="s">
        <v>107</v>
      </c>
      <c r="B6403" s="10">
        <v>45299</v>
      </c>
      <c r="C6403" s="18">
        <f t="shared" si="100"/>
        <v>1</v>
      </c>
      <c r="D6403" t="s">
        <v>182</v>
      </c>
      <c r="E6403">
        <v>4875672</v>
      </c>
      <c r="F6403" t="s">
        <v>8</v>
      </c>
      <c r="G6403" t="s">
        <v>203</v>
      </c>
      <c r="H6403" t="s">
        <v>229</v>
      </c>
      <c r="I6403" s="4">
        <v>125766.4408</v>
      </c>
      <c r="J6403" s="4">
        <v>377299.3224</v>
      </c>
      <c r="K6403" s="4">
        <v>-18864.966120000001</v>
      </c>
      <c r="L6403" s="4">
        <v>3</v>
      </c>
    </row>
    <row r="6404" spans="1:12">
      <c r="A6404" t="s">
        <v>107</v>
      </c>
      <c r="B6404" s="10">
        <v>45300</v>
      </c>
      <c r="C6404" s="18">
        <f t="shared" si="100"/>
        <v>1</v>
      </c>
      <c r="D6404" t="s">
        <v>190</v>
      </c>
      <c r="E6404">
        <v>4876760</v>
      </c>
      <c r="F6404" t="s">
        <v>8</v>
      </c>
      <c r="G6404" t="s">
        <v>203</v>
      </c>
      <c r="H6404" t="s">
        <v>236</v>
      </c>
      <c r="I6404" s="4">
        <v>100638.28079999999</v>
      </c>
      <c r="J6404" s="4">
        <v>402553.12319999997</v>
      </c>
      <c r="L6404" s="4">
        <v>4</v>
      </c>
    </row>
    <row r="6405" spans="1:12">
      <c r="A6405" t="s">
        <v>107</v>
      </c>
      <c r="B6405" s="10">
        <v>45300</v>
      </c>
      <c r="C6405" s="18">
        <f t="shared" si="100"/>
        <v>1</v>
      </c>
      <c r="D6405" t="s">
        <v>190</v>
      </c>
      <c r="E6405">
        <v>4876760</v>
      </c>
      <c r="F6405" t="s">
        <v>8</v>
      </c>
      <c r="G6405" t="s">
        <v>203</v>
      </c>
      <c r="H6405" t="s">
        <v>224</v>
      </c>
      <c r="I6405" s="4">
        <v>100638.28079999999</v>
      </c>
      <c r="J6405" s="4">
        <v>402553.12319999997</v>
      </c>
      <c r="L6405" s="4">
        <v>4</v>
      </c>
    </row>
    <row r="6406" spans="1:12">
      <c r="A6406" t="s">
        <v>107</v>
      </c>
      <c r="B6406" s="10">
        <v>45300</v>
      </c>
      <c r="C6406" s="18">
        <f t="shared" si="100"/>
        <v>1</v>
      </c>
      <c r="D6406" t="s">
        <v>190</v>
      </c>
      <c r="E6406">
        <v>4876760</v>
      </c>
      <c r="F6406" t="s">
        <v>8</v>
      </c>
      <c r="G6406" t="s">
        <v>203</v>
      </c>
      <c r="H6406" t="s">
        <v>241</v>
      </c>
      <c r="I6406" s="4">
        <v>125766.4408</v>
      </c>
      <c r="J6406" s="4">
        <v>125766.4408</v>
      </c>
      <c r="L6406" s="4">
        <v>1</v>
      </c>
    </row>
    <row r="6407" spans="1:12">
      <c r="A6407" t="s">
        <v>107</v>
      </c>
      <c r="B6407" s="10">
        <v>45301</v>
      </c>
      <c r="C6407" s="18">
        <f t="shared" si="100"/>
        <v>1</v>
      </c>
      <c r="D6407" t="s">
        <v>154</v>
      </c>
      <c r="E6407">
        <v>4874622</v>
      </c>
      <c r="F6407" t="s">
        <v>8</v>
      </c>
      <c r="G6407" t="s">
        <v>203</v>
      </c>
      <c r="H6407" t="s">
        <v>245</v>
      </c>
      <c r="I6407" s="4">
        <v>100638.28079999999</v>
      </c>
      <c r="J6407" s="4">
        <v>201276.56159999999</v>
      </c>
      <c r="L6407" s="4">
        <v>2</v>
      </c>
    </row>
    <row r="6408" spans="1:12">
      <c r="A6408" t="s">
        <v>107</v>
      </c>
      <c r="B6408" s="10">
        <v>45301</v>
      </c>
      <c r="C6408" s="18">
        <f t="shared" si="100"/>
        <v>1</v>
      </c>
      <c r="D6408" t="s">
        <v>190</v>
      </c>
      <c r="E6408">
        <v>4878855</v>
      </c>
      <c r="F6408" t="s">
        <v>8</v>
      </c>
      <c r="G6408" t="s">
        <v>203</v>
      </c>
      <c r="H6408" t="s">
        <v>236</v>
      </c>
      <c r="I6408" s="4">
        <v>100638.28079999999</v>
      </c>
      <c r="J6408" s="4">
        <v>603829.68479999993</v>
      </c>
      <c r="L6408" s="4">
        <v>6</v>
      </c>
    </row>
    <row r="6409" spans="1:12">
      <c r="A6409" t="s">
        <v>107</v>
      </c>
      <c r="B6409" s="10">
        <v>45301</v>
      </c>
      <c r="C6409" s="18">
        <f t="shared" si="100"/>
        <v>1</v>
      </c>
      <c r="D6409" t="s">
        <v>190</v>
      </c>
      <c r="E6409">
        <v>4878855</v>
      </c>
      <c r="F6409" t="s">
        <v>8</v>
      </c>
      <c r="G6409" t="s">
        <v>203</v>
      </c>
      <c r="H6409" t="s">
        <v>224</v>
      </c>
      <c r="I6409" s="4">
        <v>100638.28079999999</v>
      </c>
      <c r="J6409" s="4">
        <v>201276.56159999999</v>
      </c>
      <c r="L6409" s="4">
        <v>2</v>
      </c>
    </row>
    <row r="6410" spans="1:12">
      <c r="A6410" t="s">
        <v>107</v>
      </c>
      <c r="B6410" s="10">
        <v>45301</v>
      </c>
      <c r="C6410" s="18">
        <f t="shared" si="100"/>
        <v>1</v>
      </c>
      <c r="D6410" t="s">
        <v>190</v>
      </c>
      <c r="E6410">
        <v>4878855</v>
      </c>
      <c r="F6410" t="s">
        <v>8</v>
      </c>
      <c r="G6410" t="s">
        <v>203</v>
      </c>
      <c r="H6410" t="s">
        <v>222</v>
      </c>
      <c r="I6410" s="4">
        <v>100638.28079999999</v>
      </c>
      <c r="J6410" s="4">
        <v>402553.12319999997</v>
      </c>
      <c r="L6410" s="4">
        <v>4</v>
      </c>
    </row>
    <row r="6411" spans="1:12">
      <c r="A6411" t="s">
        <v>107</v>
      </c>
      <c r="B6411" s="10">
        <v>45301</v>
      </c>
      <c r="C6411" s="18">
        <f t="shared" si="100"/>
        <v>1</v>
      </c>
      <c r="D6411" t="s">
        <v>190</v>
      </c>
      <c r="E6411">
        <v>4878855</v>
      </c>
      <c r="F6411" t="s">
        <v>8</v>
      </c>
      <c r="G6411" t="s">
        <v>203</v>
      </c>
      <c r="H6411" t="s">
        <v>233</v>
      </c>
      <c r="I6411" s="4">
        <v>120735.78316800001</v>
      </c>
      <c r="J6411" s="4">
        <v>482943.13267200004</v>
      </c>
      <c r="L6411" s="4">
        <v>4</v>
      </c>
    </row>
    <row r="6412" spans="1:12">
      <c r="A6412" t="s">
        <v>107</v>
      </c>
      <c r="B6412" s="10">
        <v>45302</v>
      </c>
      <c r="C6412" s="18">
        <f t="shared" si="100"/>
        <v>1</v>
      </c>
      <c r="D6412" t="s">
        <v>154</v>
      </c>
      <c r="E6412">
        <v>4876770</v>
      </c>
      <c r="F6412" t="s">
        <v>8</v>
      </c>
      <c r="G6412" t="s">
        <v>203</v>
      </c>
      <c r="H6412" t="s">
        <v>243</v>
      </c>
      <c r="I6412" s="4">
        <v>100638.28079999999</v>
      </c>
      <c r="J6412" s="4">
        <v>201276.56159999999</v>
      </c>
      <c r="L6412" s="4">
        <v>2</v>
      </c>
    </row>
    <row r="6413" spans="1:12">
      <c r="A6413" t="s">
        <v>107</v>
      </c>
      <c r="B6413" s="10">
        <v>45302</v>
      </c>
      <c r="C6413" s="18">
        <f t="shared" si="100"/>
        <v>1</v>
      </c>
      <c r="D6413" t="s">
        <v>175</v>
      </c>
      <c r="E6413">
        <v>4875442</v>
      </c>
      <c r="F6413" t="s">
        <v>8</v>
      </c>
      <c r="G6413" t="s">
        <v>203</v>
      </c>
      <c r="H6413" t="s">
        <v>243</v>
      </c>
      <c r="I6413" s="4">
        <v>100638.28079999999</v>
      </c>
      <c r="J6413" s="4">
        <v>201276.56159999999</v>
      </c>
      <c r="L6413" s="4">
        <v>2</v>
      </c>
    </row>
    <row r="6414" spans="1:12">
      <c r="A6414" t="s">
        <v>107</v>
      </c>
      <c r="B6414" s="10">
        <v>45302</v>
      </c>
      <c r="C6414" s="18">
        <f t="shared" si="100"/>
        <v>1</v>
      </c>
      <c r="D6414" t="s">
        <v>175</v>
      </c>
      <c r="E6414">
        <v>4875442</v>
      </c>
      <c r="F6414" t="s">
        <v>8</v>
      </c>
      <c r="G6414" t="s">
        <v>203</v>
      </c>
      <c r="H6414" t="s">
        <v>240</v>
      </c>
      <c r="I6414" s="4">
        <v>100638.28079999999</v>
      </c>
      <c r="J6414" s="4">
        <v>201276.56159999999</v>
      </c>
      <c r="L6414" s="4">
        <v>2</v>
      </c>
    </row>
    <row r="6415" spans="1:12">
      <c r="A6415" t="s">
        <v>107</v>
      </c>
      <c r="B6415" s="10">
        <v>45302</v>
      </c>
      <c r="C6415" s="18">
        <f t="shared" si="100"/>
        <v>1</v>
      </c>
      <c r="D6415" t="s">
        <v>175</v>
      </c>
      <c r="E6415">
        <v>4875442</v>
      </c>
      <c r="F6415" t="s">
        <v>8</v>
      </c>
      <c r="G6415" t="s">
        <v>203</v>
      </c>
      <c r="H6415" t="s">
        <v>238</v>
      </c>
      <c r="I6415" s="4">
        <v>95606.36675999999</v>
      </c>
      <c r="J6415" s="4">
        <v>191212.73351999998</v>
      </c>
      <c r="L6415" s="4">
        <v>2</v>
      </c>
    </row>
    <row r="6416" spans="1:12">
      <c r="A6416" t="s">
        <v>107</v>
      </c>
      <c r="B6416" s="10">
        <v>45302</v>
      </c>
      <c r="C6416" s="18">
        <f t="shared" si="100"/>
        <v>1</v>
      </c>
      <c r="D6416" t="s">
        <v>190</v>
      </c>
      <c r="E6416">
        <v>4876760</v>
      </c>
      <c r="F6416" t="s">
        <v>8</v>
      </c>
      <c r="G6416" t="s">
        <v>203</v>
      </c>
      <c r="H6416" t="s">
        <v>242</v>
      </c>
      <c r="I6416" s="4">
        <v>100638.28079999999</v>
      </c>
      <c r="J6416" s="4">
        <v>201276.56159999999</v>
      </c>
      <c r="L6416" s="4">
        <v>2</v>
      </c>
    </row>
    <row r="6417" spans="1:12">
      <c r="A6417" t="s">
        <v>107</v>
      </c>
      <c r="B6417" s="10">
        <v>45302</v>
      </c>
      <c r="C6417" s="18">
        <f t="shared" si="100"/>
        <v>1</v>
      </c>
      <c r="D6417" t="s">
        <v>190</v>
      </c>
      <c r="E6417">
        <v>4876760</v>
      </c>
      <c r="F6417" t="s">
        <v>8</v>
      </c>
      <c r="G6417" t="s">
        <v>203</v>
      </c>
      <c r="H6417" t="s">
        <v>236</v>
      </c>
      <c r="I6417" s="4">
        <v>100638.28079999999</v>
      </c>
      <c r="J6417" s="4">
        <v>201276.56159999999</v>
      </c>
      <c r="L6417" s="4">
        <v>2</v>
      </c>
    </row>
    <row r="6418" spans="1:12">
      <c r="A6418" t="s">
        <v>107</v>
      </c>
      <c r="B6418" s="10">
        <v>45302</v>
      </c>
      <c r="C6418" s="18">
        <f t="shared" si="100"/>
        <v>1</v>
      </c>
      <c r="D6418" t="s">
        <v>190</v>
      </c>
      <c r="E6418">
        <v>4876760</v>
      </c>
      <c r="F6418" t="s">
        <v>8</v>
      </c>
      <c r="G6418" t="s">
        <v>203</v>
      </c>
      <c r="H6418" t="s">
        <v>234</v>
      </c>
      <c r="I6418" s="4">
        <v>100638.28079999999</v>
      </c>
      <c r="J6418" s="4">
        <v>201276.56159999999</v>
      </c>
      <c r="L6418" s="4">
        <v>2</v>
      </c>
    </row>
    <row r="6419" spans="1:12">
      <c r="A6419" t="s">
        <v>107</v>
      </c>
      <c r="B6419" s="10">
        <v>45302</v>
      </c>
      <c r="C6419" s="18">
        <f t="shared" si="100"/>
        <v>1</v>
      </c>
      <c r="D6419" t="s">
        <v>190</v>
      </c>
      <c r="E6419">
        <v>4876760</v>
      </c>
      <c r="F6419" t="s">
        <v>8</v>
      </c>
      <c r="G6419" t="s">
        <v>203</v>
      </c>
      <c r="H6419" t="s">
        <v>225</v>
      </c>
      <c r="I6419" s="4">
        <v>100638.28079999999</v>
      </c>
      <c r="J6419" s="4">
        <v>201276.56159999999</v>
      </c>
      <c r="L6419" s="4">
        <v>2</v>
      </c>
    </row>
    <row r="6420" spans="1:12">
      <c r="A6420" t="s">
        <v>107</v>
      </c>
      <c r="B6420" s="10">
        <v>45302</v>
      </c>
      <c r="C6420" s="18">
        <f t="shared" si="100"/>
        <v>1</v>
      </c>
      <c r="D6420" t="s">
        <v>171</v>
      </c>
      <c r="E6420">
        <v>4875729</v>
      </c>
      <c r="F6420" t="s">
        <v>8</v>
      </c>
      <c r="G6420" t="s">
        <v>203</v>
      </c>
      <c r="H6420" t="s">
        <v>242</v>
      </c>
      <c r="I6420" s="4">
        <v>100638.28079999999</v>
      </c>
      <c r="J6420" s="4">
        <v>201276.56159999999</v>
      </c>
      <c r="L6420" s="4">
        <v>2</v>
      </c>
    </row>
    <row r="6421" spans="1:12">
      <c r="A6421" t="s">
        <v>107</v>
      </c>
      <c r="B6421" s="10">
        <v>45302</v>
      </c>
      <c r="C6421" s="18">
        <f t="shared" si="100"/>
        <v>1</v>
      </c>
      <c r="D6421" t="s">
        <v>171</v>
      </c>
      <c r="E6421">
        <v>4875729</v>
      </c>
      <c r="F6421" t="s">
        <v>8</v>
      </c>
      <c r="G6421" t="s">
        <v>203</v>
      </c>
      <c r="H6421" t="s">
        <v>232</v>
      </c>
      <c r="I6421" s="4">
        <v>100638.28079999999</v>
      </c>
      <c r="J6421" s="4">
        <v>201276.56159999999</v>
      </c>
      <c r="L6421" s="4">
        <v>2</v>
      </c>
    </row>
    <row r="6422" spans="1:12">
      <c r="A6422" t="s">
        <v>107</v>
      </c>
      <c r="B6422" s="10">
        <v>45303</v>
      </c>
      <c r="C6422" s="18">
        <f t="shared" si="100"/>
        <v>1</v>
      </c>
      <c r="D6422" t="s">
        <v>182</v>
      </c>
      <c r="E6422">
        <v>4876263</v>
      </c>
      <c r="F6422" t="s">
        <v>8</v>
      </c>
      <c r="G6422" t="s">
        <v>203</v>
      </c>
      <c r="H6422" t="s">
        <v>225</v>
      </c>
      <c r="I6422" s="4">
        <v>100638.28079999999</v>
      </c>
      <c r="J6422" s="4">
        <v>201276.56159999999</v>
      </c>
      <c r="L6422" s="4">
        <v>2</v>
      </c>
    </row>
    <row r="6423" spans="1:12">
      <c r="A6423" t="s">
        <v>107</v>
      </c>
      <c r="B6423" s="10">
        <v>45304</v>
      </c>
      <c r="C6423" s="18">
        <f t="shared" si="100"/>
        <v>1</v>
      </c>
      <c r="D6423" t="s">
        <v>151</v>
      </c>
      <c r="E6423">
        <v>4876098</v>
      </c>
      <c r="F6423" t="s">
        <v>8</v>
      </c>
      <c r="G6423" t="s">
        <v>203</v>
      </c>
      <c r="H6423" t="s">
        <v>244</v>
      </c>
      <c r="I6423" s="4">
        <v>125766.4408</v>
      </c>
      <c r="J6423" s="4">
        <v>628832.20400000003</v>
      </c>
      <c r="L6423" s="4">
        <v>5</v>
      </c>
    </row>
    <row r="6424" spans="1:12">
      <c r="A6424" t="s">
        <v>107</v>
      </c>
      <c r="B6424" s="10">
        <v>45304</v>
      </c>
      <c r="C6424" s="18">
        <f t="shared" si="100"/>
        <v>1</v>
      </c>
      <c r="D6424" t="s">
        <v>151</v>
      </c>
      <c r="E6424">
        <v>4876098</v>
      </c>
      <c r="F6424" t="s">
        <v>8</v>
      </c>
      <c r="G6424" t="s">
        <v>203</v>
      </c>
      <c r="H6424" t="s">
        <v>241</v>
      </c>
      <c r="I6424" s="4">
        <v>125766.4408</v>
      </c>
      <c r="J6424" s="4">
        <v>628832.20400000003</v>
      </c>
      <c r="L6424" s="4">
        <v>5</v>
      </c>
    </row>
    <row r="6425" spans="1:12">
      <c r="A6425" t="s">
        <v>107</v>
      </c>
      <c r="B6425" s="10">
        <v>45304</v>
      </c>
      <c r="C6425" s="18">
        <f t="shared" si="100"/>
        <v>1</v>
      </c>
      <c r="D6425" t="s">
        <v>151</v>
      </c>
      <c r="E6425">
        <v>4876098</v>
      </c>
      <c r="F6425" t="s">
        <v>8</v>
      </c>
      <c r="G6425" t="s">
        <v>204</v>
      </c>
      <c r="H6425" t="s">
        <v>221</v>
      </c>
      <c r="I6425" s="4">
        <v>25253.800799999997</v>
      </c>
      <c r="J6425" s="4">
        <v>1262690.0399999998</v>
      </c>
      <c r="L6425" s="4">
        <v>50</v>
      </c>
    </row>
    <row r="6426" spans="1:12">
      <c r="A6426" t="s">
        <v>107</v>
      </c>
      <c r="B6426" s="10">
        <v>45304</v>
      </c>
      <c r="C6426" s="18">
        <f t="shared" si="100"/>
        <v>1</v>
      </c>
      <c r="D6426" t="s">
        <v>151</v>
      </c>
      <c r="E6426">
        <v>4876098</v>
      </c>
      <c r="F6426" t="s">
        <v>8</v>
      </c>
      <c r="G6426" t="s">
        <v>204</v>
      </c>
      <c r="H6426" t="s">
        <v>220</v>
      </c>
      <c r="I6426" s="4">
        <v>37817.880799999999</v>
      </c>
      <c r="J6426" s="4">
        <v>1890894.04</v>
      </c>
      <c r="L6426" s="4">
        <v>50</v>
      </c>
    </row>
    <row r="6427" spans="1:12">
      <c r="A6427" t="s">
        <v>107</v>
      </c>
      <c r="B6427" s="10">
        <v>45304</v>
      </c>
      <c r="C6427" s="18">
        <f t="shared" si="100"/>
        <v>1</v>
      </c>
      <c r="D6427" t="s">
        <v>140</v>
      </c>
      <c r="E6427">
        <v>4877412</v>
      </c>
      <c r="F6427" t="s">
        <v>8</v>
      </c>
      <c r="G6427" t="s">
        <v>203</v>
      </c>
      <c r="H6427" t="s">
        <v>224</v>
      </c>
      <c r="I6427" s="4">
        <v>100638.28079999999</v>
      </c>
      <c r="J6427" s="4">
        <v>603829.68479999993</v>
      </c>
      <c r="L6427" s="4">
        <v>6</v>
      </c>
    </row>
    <row r="6428" spans="1:12">
      <c r="A6428" t="s">
        <v>107</v>
      </c>
      <c r="B6428" s="10">
        <v>45304</v>
      </c>
      <c r="C6428" s="18">
        <f t="shared" si="100"/>
        <v>1</v>
      </c>
      <c r="D6428" t="s">
        <v>140</v>
      </c>
      <c r="E6428">
        <v>4877412</v>
      </c>
      <c r="F6428" t="s">
        <v>8</v>
      </c>
      <c r="G6428" t="s">
        <v>203</v>
      </c>
      <c r="H6428" t="s">
        <v>231</v>
      </c>
      <c r="I6428" s="4">
        <v>125766.4408</v>
      </c>
      <c r="J6428" s="4">
        <v>628832.20400000003</v>
      </c>
      <c r="L6428" s="4">
        <v>5</v>
      </c>
    </row>
    <row r="6429" spans="1:12">
      <c r="A6429" t="s">
        <v>107</v>
      </c>
      <c r="B6429" s="10">
        <v>45304</v>
      </c>
      <c r="C6429" s="18">
        <f t="shared" si="100"/>
        <v>1</v>
      </c>
      <c r="D6429" t="s">
        <v>140</v>
      </c>
      <c r="E6429">
        <v>4876550</v>
      </c>
      <c r="F6429" t="s">
        <v>8</v>
      </c>
      <c r="G6429" t="s">
        <v>203</v>
      </c>
      <c r="H6429" t="s">
        <v>222</v>
      </c>
      <c r="I6429" s="4">
        <v>100638.28079999999</v>
      </c>
      <c r="J6429" s="4">
        <v>402553.12319999997</v>
      </c>
      <c r="L6429" s="4">
        <v>4</v>
      </c>
    </row>
    <row r="6430" spans="1:12">
      <c r="A6430" t="s">
        <v>107</v>
      </c>
      <c r="B6430" s="10">
        <v>45304</v>
      </c>
      <c r="C6430" s="18">
        <f t="shared" si="100"/>
        <v>1</v>
      </c>
      <c r="D6430" t="s">
        <v>167</v>
      </c>
      <c r="E6430">
        <v>4875363</v>
      </c>
      <c r="F6430" t="s">
        <v>8</v>
      </c>
      <c r="G6430" t="s">
        <v>203</v>
      </c>
      <c r="H6430" t="s">
        <v>245</v>
      </c>
      <c r="I6430" s="4">
        <v>100638.28079999999</v>
      </c>
      <c r="J6430" s="4">
        <v>1207659.3695999999</v>
      </c>
      <c r="L6430" s="4">
        <v>12</v>
      </c>
    </row>
    <row r="6431" spans="1:12">
      <c r="A6431" t="s">
        <v>107</v>
      </c>
      <c r="B6431" s="10">
        <v>45304</v>
      </c>
      <c r="C6431" s="18">
        <f t="shared" si="100"/>
        <v>1</v>
      </c>
      <c r="D6431" t="s">
        <v>167</v>
      </c>
      <c r="E6431">
        <v>4875363</v>
      </c>
      <c r="F6431" t="s">
        <v>8</v>
      </c>
      <c r="G6431" t="s">
        <v>203</v>
      </c>
      <c r="H6431" t="s">
        <v>242</v>
      </c>
      <c r="I6431" s="4">
        <v>100638.28079999999</v>
      </c>
      <c r="J6431" s="4">
        <v>1408935.9312</v>
      </c>
      <c r="L6431" s="4">
        <v>14</v>
      </c>
    </row>
    <row r="6432" spans="1:12">
      <c r="A6432" t="s">
        <v>107</v>
      </c>
      <c r="B6432" s="10">
        <v>45304</v>
      </c>
      <c r="C6432" s="18">
        <f t="shared" si="100"/>
        <v>1</v>
      </c>
      <c r="D6432" t="s">
        <v>167</v>
      </c>
      <c r="E6432">
        <v>4875363</v>
      </c>
      <c r="F6432" t="s">
        <v>8</v>
      </c>
      <c r="G6432" t="s">
        <v>203</v>
      </c>
      <c r="H6432" t="s">
        <v>240</v>
      </c>
      <c r="I6432" s="4">
        <v>100638.28079999999</v>
      </c>
      <c r="J6432" s="4">
        <v>201276.56159999999</v>
      </c>
      <c r="L6432" s="4">
        <v>2</v>
      </c>
    </row>
    <row r="6433" spans="1:12">
      <c r="A6433" t="s">
        <v>107</v>
      </c>
      <c r="B6433" s="10">
        <v>45304</v>
      </c>
      <c r="C6433" s="18">
        <f t="shared" si="100"/>
        <v>1</v>
      </c>
      <c r="D6433" t="s">
        <v>167</v>
      </c>
      <c r="E6433">
        <v>4875363</v>
      </c>
      <c r="F6433" t="s">
        <v>8</v>
      </c>
      <c r="G6433" t="s">
        <v>203</v>
      </c>
      <c r="H6433" t="s">
        <v>238</v>
      </c>
      <c r="I6433" s="4">
        <v>95606.36675999999</v>
      </c>
      <c r="J6433" s="4">
        <v>191212.73351999998</v>
      </c>
      <c r="L6433" s="4">
        <v>2</v>
      </c>
    </row>
    <row r="6434" spans="1:12">
      <c r="A6434" t="s">
        <v>107</v>
      </c>
      <c r="B6434" s="10">
        <v>45304</v>
      </c>
      <c r="C6434" s="18">
        <f t="shared" si="100"/>
        <v>1</v>
      </c>
      <c r="D6434" t="s">
        <v>167</v>
      </c>
      <c r="E6434">
        <v>4875363</v>
      </c>
      <c r="F6434" t="s">
        <v>8</v>
      </c>
      <c r="G6434" t="s">
        <v>203</v>
      </c>
      <c r="H6434" t="s">
        <v>228</v>
      </c>
      <c r="I6434" s="4">
        <v>100638.28079999999</v>
      </c>
      <c r="J6434" s="4">
        <v>201276.56159999999</v>
      </c>
      <c r="L6434" s="4">
        <v>2</v>
      </c>
    </row>
    <row r="6435" spans="1:12">
      <c r="A6435" t="s">
        <v>107</v>
      </c>
      <c r="B6435" s="10">
        <v>45304</v>
      </c>
      <c r="C6435" s="18">
        <f t="shared" si="100"/>
        <v>1</v>
      </c>
      <c r="D6435" t="s">
        <v>167</v>
      </c>
      <c r="E6435">
        <v>4875363</v>
      </c>
      <c r="F6435" t="s">
        <v>8</v>
      </c>
      <c r="G6435" t="s">
        <v>203</v>
      </c>
      <c r="H6435" t="s">
        <v>225</v>
      </c>
      <c r="I6435" s="4">
        <v>100638.28079999999</v>
      </c>
      <c r="J6435" s="4">
        <v>603829.68479999993</v>
      </c>
      <c r="L6435" s="4">
        <v>6</v>
      </c>
    </row>
    <row r="6436" spans="1:12">
      <c r="A6436" t="s">
        <v>107</v>
      </c>
      <c r="B6436" s="10">
        <v>45304</v>
      </c>
      <c r="C6436" s="18">
        <f t="shared" si="100"/>
        <v>1</v>
      </c>
      <c r="D6436" t="s">
        <v>167</v>
      </c>
      <c r="E6436">
        <v>4875363</v>
      </c>
      <c r="F6436" t="s">
        <v>8</v>
      </c>
      <c r="G6436" t="s">
        <v>203</v>
      </c>
      <c r="H6436" t="s">
        <v>222</v>
      </c>
      <c r="I6436" s="4">
        <v>100638.28079999999</v>
      </c>
      <c r="J6436" s="4">
        <v>603829.68479999993</v>
      </c>
      <c r="L6436" s="4">
        <v>6</v>
      </c>
    </row>
    <row r="6437" spans="1:12">
      <c r="A6437" t="s">
        <v>107</v>
      </c>
      <c r="B6437" s="10">
        <v>45304</v>
      </c>
      <c r="C6437" s="18">
        <f t="shared" si="100"/>
        <v>1</v>
      </c>
      <c r="D6437" t="s">
        <v>182</v>
      </c>
      <c r="E6437">
        <v>4876974</v>
      </c>
      <c r="F6437" t="s">
        <v>8</v>
      </c>
      <c r="G6437" t="s">
        <v>203</v>
      </c>
      <c r="H6437" t="s">
        <v>240</v>
      </c>
      <c r="I6437" s="4">
        <v>100638.28079999999</v>
      </c>
      <c r="J6437" s="4">
        <v>402553.12319999997</v>
      </c>
      <c r="L6437" s="4">
        <v>4</v>
      </c>
    </row>
    <row r="6438" spans="1:12">
      <c r="A6438" t="s">
        <v>107</v>
      </c>
      <c r="B6438" s="10">
        <v>45304</v>
      </c>
      <c r="C6438" s="18">
        <f t="shared" si="100"/>
        <v>1</v>
      </c>
      <c r="D6438" t="s">
        <v>182</v>
      </c>
      <c r="E6438">
        <v>4876974</v>
      </c>
      <c r="F6438" t="s">
        <v>8</v>
      </c>
      <c r="G6438" t="s">
        <v>203</v>
      </c>
      <c r="H6438" t="s">
        <v>239</v>
      </c>
      <c r="I6438" s="4">
        <v>125766.4408</v>
      </c>
      <c r="J6438" s="4">
        <v>251532.88159999999</v>
      </c>
      <c r="L6438" s="4">
        <v>2</v>
      </c>
    </row>
    <row r="6439" spans="1:12">
      <c r="A6439" t="s">
        <v>107</v>
      </c>
      <c r="B6439" s="10">
        <v>45304</v>
      </c>
      <c r="C6439" s="18">
        <f t="shared" si="100"/>
        <v>1</v>
      </c>
      <c r="D6439" t="s">
        <v>182</v>
      </c>
      <c r="E6439">
        <v>4876974</v>
      </c>
      <c r="F6439" t="s">
        <v>8</v>
      </c>
      <c r="G6439" t="s">
        <v>203</v>
      </c>
      <c r="H6439" t="s">
        <v>233</v>
      </c>
      <c r="I6439" s="4">
        <v>120735.78316800001</v>
      </c>
      <c r="J6439" s="4">
        <v>241471.56633600002</v>
      </c>
      <c r="L6439" s="4">
        <v>2</v>
      </c>
    </row>
    <row r="6440" spans="1:12">
      <c r="A6440" t="s">
        <v>107</v>
      </c>
      <c r="B6440" s="10">
        <v>45308</v>
      </c>
      <c r="C6440" s="18">
        <f t="shared" si="100"/>
        <v>1</v>
      </c>
      <c r="D6440" t="s">
        <v>154</v>
      </c>
      <c r="E6440">
        <v>4874896</v>
      </c>
      <c r="F6440" t="s">
        <v>8</v>
      </c>
      <c r="G6440" t="s">
        <v>203</v>
      </c>
      <c r="H6440" t="s">
        <v>243</v>
      </c>
      <c r="I6440" s="4">
        <v>100638.28079999999</v>
      </c>
      <c r="J6440" s="4">
        <v>603829.68479999993</v>
      </c>
      <c r="L6440" s="4">
        <v>6</v>
      </c>
    </row>
    <row r="6441" spans="1:12">
      <c r="A6441" t="s">
        <v>107</v>
      </c>
      <c r="B6441" s="10">
        <v>45308</v>
      </c>
      <c r="C6441" s="18">
        <f t="shared" si="100"/>
        <v>1</v>
      </c>
      <c r="D6441" t="s">
        <v>154</v>
      </c>
      <c r="E6441">
        <v>4874896</v>
      </c>
      <c r="F6441" t="s">
        <v>8</v>
      </c>
      <c r="G6441" t="s">
        <v>203</v>
      </c>
      <c r="H6441" t="s">
        <v>240</v>
      </c>
      <c r="I6441" s="4">
        <v>100638.28079999999</v>
      </c>
      <c r="J6441" s="4">
        <v>603829.68479999993</v>
      </c>
      <c r="L6441" s="4">
        <v>6</v>
      </c>
    </row>
    <row r="6442" spans="1:12">
      <c r="A6442" t="s">
        <v>107</v>
      </c>
      <c r="B6442" s="10">
        <v>45308</v>
      </c>
      <c r="C6442" s="18">
        <f t="shared" si="100"/>
        <v>1</v>
      </c>
      <c r="D6442" t="s">
        <v>154</v>
      </c>
      <c r="E6442">
        <v>4874896</v>
      </c>
      <c r="F6442" t="s">
        <v>8</v>
      </c>
      <c r="G6442" t="s">
        <v>203</v>
      </c>
      <c r="H6442" t="s">
        <v>238</v>
      </c>
      <c r="I6442" s="4">
        <v>95606.36675999999</v>
      </c>
      <c r="J6442" s="4">
        <v>573638.20055999991</v>
      </c>
      <c r="L6442" s="4">
        <v>6</v>
      </c>
    </row>
    <row r="6443" spans="1:12">
      <c r="A6443" t="s">
        <v>107</v>
      </c>
      <c r="B6443" s="10">
        <v>45308</v>
      </c>
      <c r="C6443" s="18">
        <f t="shared" si="100"/>
        <v>1</v>
      </c>
      <c r="D6443" t="s">
        <v>154</v>
      </c>
      <c r="E6443">
        <v>4874896</v>
      </c>
      <c r="F6443" t="s">
        <v>8</v>
      </c>
      <c r="G6443" t="s">
        <v>203</v>
      </c>
      <c r="H6443" t="s">
        <v>230</v>
      </c>
      <c r="I6443" s="4">
        <v>100638.28079999999</v>
      </c>
      <c r="J6443" s="4">
        <v>603829.68479999993</v>
      </c>
      <c r="L6443" s="4">
        <v>6</v>
      </c>
    </row>
    <row r="6444" spans="1:12">
      <c r="A6444" t="s">
        <v>107</v>
      </c>
      <c r="B6444" s="10">
        <v>45308</v>
      </c>
      <c r="C6444" s="18">
        <f t="shared" si="100"/>
        <v>1</v>
      </c>
      <c r="D6444" t="s">
        <v>183</v>
      </c>
      <c r="E6444">
        <v>4874373</v>
      </c>
      <c r="F6444" t="s">
        <v>8</v>
      </c>
      <c r="G6444" t="s">
        <v>202</v>
      </c>
      <c r="H6444" t="s">
        <v>261</v>
      </c>
      <c r="I6444" s="4">
        <v>41587.104800000001</v>
      </c>
      <c r="J6444" s="4">
        <v>2079355.24</v>
      </c>
      <c r="K6444" s="4">
        <v>-103967.762</v>
      </c>
      <c r="L6444" s="4">
        <v>50</v>
      </c>
    </row>
    <row r="6445" spans="1:12">
      <c r="A6445" t="s">
        <v>107</v>
      </c>
      <c r="B6445" s="10">
        <v>45308</v>
      </c>
      <c r="C6445" s="18">
        <f t="shared" si="100"/>
        <v>1</v>
      </c>
      <c r="D6445" t="s">
        <v>183</v>
      </c>
      <c r="E6445">
        <v>4874373</v>
      </c>
      <c r="F6445" t="s">
        <v>8</v>
      </c>
      <c r="G6445" t="s">
        <v>202</v>
      </c>
      <c r="H6445" t="s">
        <v>259</v>
      </c>
      <c r="I6445" s="4">
        <v>30279.432800000002</v>
      </c>
      <c r="J6445" s="4">
        <v>3027943.2800000003</v>
      </c>
      <c r="K6445" s="4">
        <v>-151397.16400000002</v>
      </c>
      <c r="L6445" s="4">
        <v>100</v>
      </c>
    </row>
    <row r="6446" spans="1:12">
      <c r="A6446" t="s">
        <v>107</v>
      </c>
      <c r="B6446" s="10">
        <v>45308</v>
      </c>
      <c r="C6446" s="18">
        <f t="shared" si="100"/>
        <v>1</v>
      </c>
      <c r="D6446" t="s">
        <v>183</v>
      </c>
      <c r="E6446">
        <v>4874373</v>
      </c>
      <c r="F6446" t="s">
        <v>8</v>
      </c>
      <c r="G6446" t="s">
        <v>202</v>
      </c>
      <c r="H6446" t="s">
        <v>258</v>
      </c>
      <c r="I6446" s="4">
        <v>37817.880799999999</v>
      </c>
      <c r="J6446" s="4">
        <v>1890894.04</v>
      </c>
      <c r="K6446" s="4">
        <v>-94544.702000000005</v>
      </c>
      <c r="L6446" s="4">
        <v>50</v>
      </c>
    </row>
    <row r="6447" spans="1:12">
      <c r="A6447" t="s">
        <v>107</v>
      </c>
      <c r="B6447" s="10">
        <v>45309</v>
      </c>
      <c r="C6447" s="18">
        <f t="shared" si="100"/>
        <v>1</v>
      </c>
      <c r="D6447" t="s">
        <v>175</v>
      </c>
      <c r="E6447">
        <v>4874579</v>
      </c>
      <c r="F6447" t="s">
        <v>8</v>
      </c>
      <c r="G6447" t="s">
        <v>203</v>
      </c>
      <c r="H6447" t="s">
        <v>240</v>
      </c>
      <c r="I6447" s="4">
        <v>100638.28079999999</v>
      </c>
      <c r="J6447" s="4">
        <v>402553.12319999997</v>
      </c>
      <c r="L6447" s="4">
        <v>4</v>
      </c>
    </row>
    <row r="6448" spans="1:12">
      <c r="A6448" t="s">
        <v>107</v>
      </c>
      <c r="B6448" s="10">
        <v>45310</v>
      </c>
      <c r="C6448" s="18">
        <f t="shared" si="100"/>
        <v>1</v>
      </c>
      <c r="D6448" t="s">
        <v>151</v>
      </c>
      <c r="E6448">
        <v>4874397</v>
      </c>
      <c r="F6448" t="s">
        <v>8</v>
      </c>
      <c r="G6448" t="s">
        <v>203</v>
      </c>
      <c r="H6448" t="s">
        <v>242</v>
      </c>
      <c r="I6448" s="4">
        <v>100638.28079999999</v>
      </c>
      <c r="J6448" s="4">
        <v>201276.56159999999</v>
      </c>
      <c r="L6448" s="4">
        <v>2</v>
      </c>
    </row>
    <row r="6449" spans="1:12">
      <c r="A6449" t="s">
        <v>107</v>
      </c>
      <c r="B6449" s="10">
        <v>45310</v>
      </c>
      <c r="C6449" s="18">
        <f t="shared" si="100"/>
        <v>1</v>
      </c>
      <c r="D6449" t="s">
        <v>162</v>
      </c>
      <c r="E6449">
        <v>4874391</v>
      </c>
      <c r="F6449" t="s">
        <v>8</v>
      </c>
      <c r="G6449" t="s">
        <v>203</v>
      </c>
      <c r="H6449" t="s">
        <v>243</v>
      </c>
      <c r="I6449" s="4">
        <v>100638.28079999999</v>
      </c>
      <c r="J6449" s="4">
        <v>201276.56159999999</v>
      </c>
      <c r="L6449" s="4">
        <v>2</v>
      </c>
    </row>
    <row r="6450" spans="1:12">
      <c r="A6450" t="s">
        <v>107</v>
      </c>
      <c r="B6450" s="10">
        <v>45310</v>
      </c>
      <c r="C6450" s="18">
        <f t="shared" si="100"/>
        <v>1</v>
      </c>
      <c r="D6450" t="s">
        <v>162</v>
      </c>
      <c r="E6450">
        <v>4874391</v>
      </c>
      <c r="F6450" t="s">
        <v>8</v>
      </c>
      <c r="G6450" t="s">
        <v>203</v>
      </c>
      <c r="H6450" t="s">
        <v>240</v>
      </c>
      <c r="I6450" s="4">
        <v>100638.28079999999</v>
      </c>
      <c r="J6450" s="4">
        <v>201276.56159999999</v>
      </c>
      <c r="L6450" s="4">
        <v>2</v>
      </c>
    </row>
    <row r="6451" spans="1:12">
      <c r="A6451" t="s">
        <v>107</v>
      </c>
      <c r="B6451" s="10">
        <v>45310</v>
      </c>
      <c r="C6451" s="18">
        <f t="shared" si="100"/>
        <v>1</v>
      </c>
      <c r="D6451" t="s">
        <v>162</v>
      </c>
      <c r="E6451">
        <v>4874391</v>
      </c>
      <c r="F6451" t="s">
        <v>8</v>
      </c>
      <c r="G6451" t="s">
        <v>203</v>
      </c>
      <c r="H6451" t="s">
        <v>238</v>
      </c>
      <c r="I6451" s="4">
        <v>95606.36675999999</v>
      </c>
      <c r="J6451" s="4">
        <v>191212.73351999998</v>
      </c>
      <c r="L6451" s="4">
        <v>2</v>
      </c>
    </row>
    <row r="6452" spans="1:12">
      <c r="A6452" t="s">
        <v>107</v>
      </c>
      <c r="B6452" s="10">
        <v>45310</v>
      </c>
      <c r="C6452" s="18">
        <f t="shared" si="100"/>
        <v>1</v>
      </c>
      <c r="D6452" t="s">
        <v>162</v>
      </c>
      <c r="E6452">
        <v>4874391</v>
      </c>
      <c r="F6452" t="s">
        <v>8</v>
      </c>
      <c r="G6452" t="s">
        <v>203</v>
      </c>
      <c r="H6452" t="s">
        <v>239</v>
      </c>
      <c r="I6452" s="4">
        <v>125766.4408</v>
      </c>
      <c r="J6452" s="4">
        <v>251532.88159999999</v>
      </c>
      <c r="L6452" s="4">
        <v>2</v>
      </c>
    </row>
    <row r="6453" spans="1:12">
      <c r="A6453" t="s">
        <v>107</v>
      </c>
      <c r="B6453" s="10">
        <v>45310</v>
      </c>
      <c r="C6453" s="18">
        <f t="shared" si="100"/>
        <v>1</v>
      </c>
      <c r="D6453" t="s">
        <v>162</v>
      </c>
      <c r="E6453">
        <v>4874391</v>
      </c>
      <c r="F6453" t="s">
        <v>8</v>
      </c>
      <c r="G6453" t="s">
        <v>203</v>
      </c>
      <c r="H6453" t="s">
        <v>231</v>
      </c>
      <c r="I6453" s="4">
        <v>125766.4408</v>
      </c>
      <c r="J6453" s="4">
        <v>251532.88159999999</v>
      </c>
      <c r="L6453" s="4">
        <v>2</v>
      </c>
    </row>
    <row r="6454" spans="1:12">
      <c r="A6454" t="s">
        <v>107</v>
      </c>
      <c r="B6454" s="10">
        <v>45310</v>
      </c>
      <c r="C6454" s="18">
        <f t="shared" si="100"/>
        <v>1</v>
      </c>
      <c r="D6454" t="s">
        <v>162</v>
      </c>
      <c r="E6454">
        <v>4874313</v>
      </c>
      <c r="F6454" t="s">
        <v>8</v>
      </c>
      <c r="G6454" t="s">
        <v>203</v>
      </c>
      <c r="H6454" t="s">
        <v>245</v>
      </c>
      <c r="I6454" s="4">
        <v>100638.28079999999</v>
      </c>
      <c r="J6454" s="4">
        <v>402553.12319999997</v>
      </c>
      <c r="L6454" s="4">
        <v>4</v>
      </c>
    </row>
    <row r="6455" spans="1:12">
      <c r="A6455" t="s">
        <v>107</v>
      </c>
      <c r="B6455" s="10">
        <v>45310</v>
      </c>
      <c r="C6455" s="18">
        <f t="shared" si="100"/>
        <v>1</v>
      </c>
      <c r="D6455" t="s">
        <v>162</v>
      </c>
      <c r="E6455">
        <v>4874313</v>
      </c>
      <c r="F6455" t="s">
        <v>8</v>
      </c>
      <c r="G6455" t="s">
        <v>203</v>
      </c>
      <c r="H6455" t="s">
        <v>243</v>
      </c>
      <c r="I6455" s="4">
        <v>100638.28079999999</v>
      </c>
      <c r="J6455" s="4">
        <v>201276.56159999999</v>
      </c>
      <c r="L6455" s="4">
        <v>2</v>
      </c>
    </row>
    <row r="6456" spans="1:12">
      <c r="A6456" t="s">
        <v>107</v>
      </c>
      <c r="B6456" s="10">
        <v>45310</v>
      </c>
      <c r="C6456" s="18">
        <f t="shared" si="100"/>
        <v>1</v>
      </c>
      <c r="D6456" t="s">
        <v>162</v>
      </c>
      <c r="E6456">
        <v>4874313</v>
      </c>
      <c r="F6456" t="s">
        <v>8</v>
      </c>
      <c r="G6456" t="s">
        <v>203</v>
      </c>
      <c r="H6456" t="s">
        <v>236</v>
      </c>
      <c r="I6456" s="4">
        <v>100638.28079999999</v>
      </c>
      <c r="J6456" s="4">
        <v>402553.12319999997</v>
      </c>
      <c r="L6456" s="4">
        <v>4</v>
      </c>
    </row>
    <row r="6457" spans="1:12">
      <c r="A6457" t="s">
        <v>107</v>
      </c>
      <c r="B6457" s="10">
        <v>45310</v>
      </c>
      <c r="C6457" s="18">
        <f t="shared" si="100"/>
        <v>1</v>
      </c>
      <c r="D6457" t="s">
        <v>162</v>
      </c>
      <c r="E6457">
        <v>4874313</v>
      </c>
      <c r="F6457" t="s">
        <v>8</v>
      </c>
      <c r="G6457" t="s">
        <v>203</v>
      </c>
      <c r="H6457" t="s">
        <v>234</v>
      </c>
      <c r="I6457" s="4">
        <v>100638.28079999999</v>
      </c>
      <c r="J6457" s="4">
        <v>402553.12319999997</v>
      </c>
      <c r="L6457" s="4">
        <v>4</v>
      </c>
    </row>
    <row r="6458" spans="1:12">
      <c r="A6458" t="s">
        <v>107</v>
      </c>
      <c r="B6458" s="10">
        <v>45310</v>
      </c>
      <c r="C6458" s="18">
        <f t="shared" si="100"/>
        <v>1</v>
      </c>
      <c r="D6458" t="s">
        <v>162</v>
      </c>
      <c r="E6458">
        <v>4874313</v>
      </c>
      <c r="F6458" t="s">
        <v>8</v>
      </c>
      <c r="G6458" t="s">
        <v>203</v>
      </c>
      <c r="H6458" t="s">
        <v>228</v>
      </c>
      <c r="I6458" s="4">
        <v>100638.28079999999</v>
      </c>
      <c r="J6458" s="4">
        <v>402553.12319999997</v>
      </c>
      <c r="L6458" s="4">
        <v>4</v>
      </c>
    </row>
    <row r="6459" spans="1:12">
      <c r="A6459" t="s">
        <v>107</v>
      </c>
      <c r="B6459" s="10">
        <v>45310</v>
      </c>
      <c r="C6459" s="18">
        <f t="shared" si="100"/>
        <v>1</v>
      </c>
      <c r="D6459" t="s">
        <v>162</v>
      </c>
      <c r="E6459">
        <v>4874313</v>
      </c>
      <c r="F6459" t="s">
        <v>8</v>
      </c>
      <c r="G6459" t="s">
        <v>203</v>
      </c>
      <c r="H6459" t="s">
        <v>226</v>
      </c>
      <c r="I6459" s="4">
        <v>100638.28079999999</v>
      </c>
      <c r="J6459" s="4">
        <v>402553.12319999997</v>
      </c>
      <c r="L6459" s="4">
        <v>4</v>
      </c>
    </row>
    <row r="6460" spans="1:12">
      <c r="A6460" t="s">
        <v>107</v>
      </c>
      <c r="B6460" s="10">
        <v>45310</v>
      </c>
      <c r="C6460" s="18">
        <f t="shared" si="100"/>
        <v>1</v>
      </c>
      <c r="D6460" t="s">
        <v>162</v>
      </c>
      <c r="E6460">
        <v>4874313</v>
      </c>
      <c r="F6460" t="s">
        <v>8</v>
      </c>
      <c r="G6460" t="s">
        <v>203</v>
      </c>
      <c r="H6460" t="s">
        <v>225</v>
      </c>
      <c r="I6460" s="4">
        <v>100638.28079999999</v>
      </c>
      <c r="J6460" s="4">
        <v>402553.12319999997</v>
      </c>
      <c r="L6460" s="4">
        <v>4</v>
      </c>
    </row>
    <row r="6461" spans="1:12">
      <c r="A6461" t="s">
        <v>107</v>
      </c>
      <c r="B6461" s="10">
        <v>45310</v>
      </c>
      <c r="C6461" s="18">
        <f t="shared" si="100"/>
        <v>1</v>
      </c>
      <c r="D6461" t="s">
        <v>162</v>
      </c>
      <c r="E6461">
        <v>4874313</v>
      </c>
      <c r="F6461" t="s">
        <v>8</v>
      </c>
      <c r="G6461" t="s">
        <v>203</v>
      </c>
      <c r="H6461" t="s">
        <v>223</v>
      </c>
      <c r="I6461" s="4">
        <v>100638.28079999999</v>
      </c>
      <c r="J6461" s="4">
        <v>402553.12319999997</v>
      </c>
      <c r="L6461" s="4">
        <v>4</v>
      </c>
    </row>
    <row r="6462" spans="1:12">
      <c r="A6462" t="s">
        <v>107</v>
      </c>
      <c r="B6462" s="10">
        <v>45310</v>
      </c>
      <c r="C6462" s="18">
        <f t="shared" si="100"/>
        <v>1</v>
      </c>
      <c r="D6462" t="s">
        <v>162</v>
      </c>
      <c r="E6462">
        <v>4874313</v>
      </c>
      <c r="F6462" t="s">
        <v>8</v>
      </c>
      <c r="G6462" t="s">
        <v>203</v>
      </c>
      <c r="H6462" t="s">
        <v>222</v>
      </c>
      <c r="I6462" s="4">
        <v>100638.28079999999</v>
      </c>
      <c r="J6462" s="4">
        <v>402553.12319999997</v>
      </c>
      <c r="L6462" s="4">
        <v>4</v>
      </c>
    </row>
    <row r="6463" spans="1:12">
      <c r="A6463" t="s">
        <v>107</v>
      </c>
      <c r="B6463" s="10">
        <v>45310</v>
      </c>
      <c r="C6463" s="18">
        <f t="shared" si="100"/>
        <v>1</v>
      </c>
      <c r="D6463" t="s">
        <v>162</v>
      </c>
      <c r="E6463">
        <v>4874313</v>
      </c>
      <c r="F6463" t="s">
        <v>8</v>
      </c>
      <c r="G6463" t="s">
        <v>203</v>
      </c>
      <c r="H6463" t="s">
        <v>239</v>
      </c>
      <c r="I6463" s="4">
        <v>125766.4408</v>
      </c>
      <c r="J6463" s="4">
        <v>251532.88159999999</v>
      </c>
      <c r="L6463" s="4">
        <v>2</v>
      </c>
    </row>
    <row r="6464" spans="1:12">
      <c r="A6464" t="s">
        <v>107</v>
      </c>
      <c r="B6464" s="10">
        <v>45310</v>
      </c>
      <c r="C6464" s="18">
        <f t="shared" si="100"/>
        <v>1</v>
      </c>
      <c r="D6464" t="s">
        <v>162</v>
      </c>
      <c r="E6464">
        <v>4874313</v>
      </c>
      <c r="F6464" t="s">
        <v>8</v>
      </c>
      <c r="G6464" t="s">
        <v>203</v>
      </c>
      <c r="H6464" t="s">
        <v>231</v>
      </c>
      <c r="I6464" s="4">
        <v>125766.4408</v>
      </c>
      <c r="J6464" s="4">
        <v>251532.88159999999</v>
      </c>
      <c r="L6464" s="4">
        <v>2</v>
      </c>
    </row>
    <row r="6465" spans="1:12">
      <c r="A6465" t="s">
        <v>107</v>
      </c>
      <c r="B6465" s="10">
        <v>45310</v>
      </c>
      <c r="C6465" s="18">
        <f t="shared" si="100"/>
        <v>1</v>
      </c>
      <c r="D6465" t="s">
        <v>162</v>
      </c>
      <c r="E6465">
        <v>4874459</v>
      </c>
      <c r="F6465" t="s">
        <v>8</v>
      </c>
      <c r="G6465" t="s">
        <v>203</v>
      </c>
      <c r="H6465" t="s">
        <v>238</v>
      </c>
      <c r="I6465" s="4">
        <v>95606.36675999999</v>
      </c>
      <c r="J6465" s="4">
        <v>191212.73351999998</v>
      </c>
      <c r="L6465" s="4">
        <v>2</v>
      </c>
    </row>
    <row r="6466" spans="1:12">
      <c r="A6466" t="s">
        <v>107</v>
      </c>
      <c r="B6466" s="10">
        <v>45310</v>
      </c>
      <c r="C6466" s="18">
        <f t="shared" ref="C6466:C6529" si="101">MONTH(B6466)</f>
        <v>1</v>
      </c>
      <c r="D6466" t="s">
        <v>162</v>
      </c>
      <c r="E6466">
        <v>4874459</v>
      </c>
      <c r="F6466" t="s">
        <v>8</v>
      </c>
      <c r="G6466" t="s">
        <v>203</v>
      </c>
      <c r="H6466" t="s">
        <v>222</v>
      </c>
      <c r="I6466" s="4">
        <v>100638.28079999999</v>
      </c>
      <c r="J6466" s="4">
        <v>402553.12319999997</v>
      </c>
      <c r="L6466" s="4">
        <v>4</v>
      </c>
    </row>
    <row r="6467" spans="1:12">
      <c r="A6467" t="s">
        <v>107</v>
      </c>
      <c r="B6467" s="10">
        <v>45310</v>
      </c>
      <c r="C6467" s="18">
        <f t="shared" si="101"/>
        <v>1</v>
      </c>
      <c r="D6467" t="s">
        <v>162</v>
      </c>
      <c r="E6467">
        <v>4874459</v>
      </c>
      <c r="F6467" t="s">
        <v>8</v>
      </c>
      <c r="G6467" t="s">
        <v>203</v>
      </c>
      <c r="H6467" t="s">
        <v>239</v>
      </c>
      <c r="I6467" s="4">
        <v>125766.4408</v>
      </c>
      <c r="J6467" s="4">
        <v>251532.88159999999</v>
      </c>
      <c r="L6467" s="4">
        <v>2</v>
      </c>
    </row>
    <row r="6468" spans="1:12">
      <c r="A6468" t="s">
        <v>107</v>
      </c>
      <c r="B6468" s="10">
        <v>45310</v>
      </c>
      <c r="C6468" s="18">
        <f t="shared" si="101"/>
        <v>1</v>
      </c>
      <c r="D6468" t="s">
        <v>162</v>
      </c>
      <c r="E6468">
        <v>4874459</v>
      </c>
      <c r="F6468" t="s">
        <v>8</v>
      </c>
      <c r="G6468" t="s">
        <v>203</v>
      </c>
      <c r="H6468" t="s">
        <v>231</v>
      </c>
      <c r="I6468" s="4">
        <v>125766.4408</v>
      </c>
      <c r="J6468" s="4">
        <v>251532.88159999999</v>
      </c>
      <c r="L6468" s="4">
        <v>2</v>
      </c>
    </row>
    <row r="6469" spans="1:12">
      <c r="A6469" t="s">
        <v>107</v>
      </c>
      <c r="B6469" s="10">
        <v>45311</v>
      </c>
      <c r="C6469" s="18">
        <f t="shared" si="101"/>
        <v>1</v>
      </c>
      <c r="D6469" t="s">
        <v>140</v>
      </c>
      <c r="E6469">
        <v>4877412</v>
      </c>
      <c r="F6469" t="s">
        <v>8</v>
      </c>
      <c r="G6469" t="s">
        <v>203</v>
      </c>
      <c r="H6469" t="s">
        <v>223</v>
      </c>
      <c r="I6469" s="4">
        <v>100638.28079999999</v>
      </c>
      <c r="J6469" s="4">
        <v>603829.68479999993</v>
      </c>
      <c r="L6469" s="4">
        <v>6</v>
      </c>
    </row>
    <row r="6470" spans="1:12">
      <c r="A6470" t="s">
        <v>107</v>
      </c>
      <c r="B6470" s="10">
        <v>45311</v>
      </c>
      <c r="C6470" s="18">
        <f t="shared" si="101"/>
        <v>1</v>
      </c>
      <c r="D6470" t="s">
        <v>140</v>
      </c>
      <c r="E6470">
        <v>4877412</v>
      </c>
      <c r="F6470" t="s">
        <v>8</v>
      </c>
      <c r="G6470" t="s">
        <v>203</v>
      </c>
      <c r="H6470" t="s">
        <v>222</v>
      </c>
      <c r="I6470" s="4">
        <v>100638.28079999999</v>
      </c>
      <c r="J6470" s="4">
        <v>603829.68479999993</v>
      </c>
      <c r="L6470" s="4">
        <v>6</v>
      </c>
    </row>
    <row r="6471" spans="1:12">
      <c r="A6471" t="s">
        <v>107</v>
      </c>
      <c r="B6471" s="10">
        <v>45311</v>
      </c>
      <c r="C6471" s="18">
        <f t="shared" si="101"/>
        <v>1</v>
      </c>
      <c r="D6471" t="s">
        <v>187</v>
      </c>
      <c r="E6471">
        <v>4875358</v>
      </c>
      <c r="F6471" t="s">
        <v>8</v>
      </c>
      <c r="G6471" t="s">
        <v>203</v>
      </c>
      <c r="H6471" t="s">
        <v>226</v>
      </c>
      <c r="I6471" s="4">
        <v>100638.28079999999</v>
      </c>
      <c r="J6471" s="4">
        <v>-201276.56159999999</v>
      </c>
      <c r="L6471" s="4">
        <v>-2</v>
      </c>
    </row>
    <row r="6472" spans="1:12">
      <c r="A6472" t="s">
        <v>107</v>
      </c>
      <c r="B6472" s="10">
        <v>45311</v>
      </c>
      <c r="C6472" s="18">
        <f t="shared" si="101"/>
        <v>1</v>
      </c>
      <c r="D6472" t="s">
        <v>187</v>
      </c>
      <c r="E6472">
        <v>4875358</v>
      </c>
      <c r="F6472" t="s">
        <v>8</v>
      </c>
      <c r="G6472" t="s">
        <v>203</v>
      </c>
      <c r="H6472" t="s">
        <v>224</v>
      </c>
      <c r="I6472" s="4">
        <v>100638.28079999999</v>
      </c>
      <c r="J6472" s="4">
        <v>-201276.56159999999</v>
      </c>
      <c r="L6472" s="4">
        <v>-2</v>
      </c>
    </row>
    <row r="6473" spans="1:12">
      <c r="A6473" t="s">
        <v>107</v>
      </c>
      <c r="B6473" s="10">
        <v>45311</v>
      </c>
      <c r="C6473" s="18">
        <f t="shared" si="101"/>
        <v>1</v>
      </c>
      <c r="D6473" t="s">
        <v>187</v>
      </c>
      <c r="E6473">
        <v>4875358</v>
      </c>
      <c r="F6473" t="s">
        <v>8</v>
      </c>
      <c r="G6473" t="s">
        <v>203</v>
      </c>
      <c r="H6473" t="s">
        <v>222</v>
      </c>
      <c r="I6473" s="4">
        <v>100638.28079999999</v>
      </c>
      <c r="J6473" s="4">
        <v>-201276.56159999999</v>
      </c>
      <c r="L6473" s="4">
        <v>-2</v>
      </c>
    </row>
    <row r="6474" spans="1:12">
      <c r="A6474" t="s">
        <v>107</v>
      </c>
      <c r="B6474" s="10">
        <v>45311</v>
      </c>
      <c r="C6474" s="18">
        <f t="shared" si="101"/>
        <v>1</v>
      </c>
      <c r="D6474" t="s">
        <v>187</v>
      </c>
      <c r="E6474">
        <v>4875358</v>
      </c>
      <c r="F6474" t="s">
        <v>8</v>
      </c>
      <c r="G6474" t="s">
        <v>203</v>
      </c>
      <c r="H6474" t="s">
        <v>231</v>
      </c>
      <c r="I6474" s="4">
        <v>125766.4408</v>
      </c>
      <c r="J6474" s="4">
        <v>-251532.88159999999</v>
      </c>
      <c r="L6474" s="4">
        <v>-2</v>
      </c>
    </row>
    <row r="6475" spans="1:12">
      <c r="A6475" t="s">
        <v>107</v>
      </c>
      <c r="B6475" s="10">
        <v>45311</v>
      </c>
      <c r="C6475" s="18">
        <f t="shared" si="101"/>
        <v>1</v>
      </c>
      <c r="D6475" t="s">
        <v>167</v>
      </c>
      <c r="E6475">
        <v>4875363</v>
      </c>
      <c r="F6475" t="s">
        <v>8</v>
      </c>
      <c r="G6475" t="s">
        <v>203</v>
      </c>
      <c r="H6475" t="s">
        <v>245</v>
      </c>
      <c r="I6475" s="4">
        <v>100638.28079999999</v>
      </c>
      <c r="J6475" s="4">
        <v>1006382.808</v>
      </c>
      <c r="L6475" s="4">
        <v>10</v>
      </c>
    </row>
    <row r="6476" spans="1:12">
      <c r="A6476" t="s">
        <v>107</v>
      </c>
      <c r="B6476" s="10">
        <v>45311</v>
      </c>
      <c r="C6476" s="18">
        <f t="shared" si="101"/>
        <v>1</v>
      </c>
      <c r="D6476" t="s">
        <v>167</v>
      </c>
      <c r="E6476">
        <v>4875363</v>
      </c>
      <c r="F6476" t="s">
        <v>8</v>
      </c>
      <c r="G6476" t="s">
        <v>203</v>
      </c>
      <c r="H6476" t="s">
        <v>234</v>
      </c>
      <c r="I6476" s="4">
        <v>100638.28079999999</v>
      </c>
      <c r="J6476" s="4">
        <v>1006382.808</v>
      </c>
      <c r="L6476" s="4">
        <v>10</v>
      </c>
    </row>
    <row r="6477" spans="1:12">
      <c r="A6477" t="s">
        <v>107</v>
      </c>
      <c r="B6477" s="10">
        <v>45311</v>
      </c>
      <c r="C6477" s="18">
        <f t="shared" si="101"/>
        <v>1</v>
      </c>
      <c r="D6477" t="s">
        <v>167</v>
      </c>
      <c r="E6477">
        <v>4875363</v>
      </c>
      <c r="F6477" t="s">
        <v>8</v>
      </c>
      <c r="G6477" t="s">
        <v>203</v>
      </c>
      <c r="H6477" t="s">
        <v>232</v>
      </c>
      <c r="I6477" s="4">
        <v>100638.28079999999</v>
      </c>
      <c r="J6477" s="4">
        <v>603829.68479999993</v>
      </c>
      <c r="L6477" s="4">
        <v>6</v>
      </c>
    </row>
    <row r="6478" spans="1:12">
      <c r="A6478" t="s">
        <v>107</v>
      </c>
      <c r="B6478" s="10">
        <v>45311</v>
      </c>
      <c r="C6478" s="18">
        <f t="shared" si="101"/>
        <v>1</v>
      </c>
      <c r="D6478" t="s">
        <v>167</v>
      </c>
      <c r="E6478">
        <v>4875363</v>
      </c>
      <c r="F6478" t="s">
        <v>8</v>
      </c>
      <c r="G6478" t="s">
        <v>203</v>
      </c>
      <c r="H6478" t="s">
        <v>228</v>
      </c>
      <c r="I6478" s="4">
        <v>100638.28079999999</v>
      </c>
      <c r="J6478" s="4">
        <v>603829.68479999993</v>
      </c>
      <c r="L6478" s="4">
        <v>6</v>
      </c>
    </row>
    <row r="6479" spans="1:12">
      <c r="A6479" t="s">
        <v>107</v>
      </c>
      <c r="B6479" s="10">
        <v>45311</v>
      </c>
      <c r="C6479" s="18">
        <f t="shared" si="101"/>
        <v>1</v>
      </c>
      <c r="D6479" t="s">
        <v>167</v>
      </c>
      <c r="E6479">
        <v>4875363</v>
      </c>
      <c r="F6479" t="s">
        <v>8</v>
      </c>
      <c r="G6479" t="s">
        <v>203</v>
      </c>
      <c r="H6479" t="s">
        <v>227</v>
      </c>
      <c r="I6479" s="4">
        <v>100638.28079999999</v>
      </c>
      <c r="J6479" s="4">
        <v>1006382.808</v>
      </c>
      <c r="L6479" s="4">
        <v>10</v>
      </c>
    </row>
    <row r="6480" spans="1:12">
      <c r="A6480" t="s">
        <v>107</v>
      </c>
      <c r="B6480" s="10">
        <v>45311</v>
      </c>
      <c r="C6480" s="18">
        <f t="shared" si="101"/>
        <v>1</v>
      </c>
      <c r="D6480" t="s">
        <v>167</v>
      </c>
      <c r="E6480">
        <v>4875363</v>
      </c>
      <c r="F6480" t="s">
        <v>8</v>
      </c>
      <c r="G6480" t="s">
        <v>203</v>
      </c>
      <c r="H6480" t="s">
        <v>226</v>
      </c>
      <c r="I6480" s="4">
        <v>100638.28079999999</v>
      </c>
      <c r="J6480" s="4">
        <v>603829.68479999993</v>
      </c>
      <c r="L6480" s="4">
        <v>6</v>
      </c>
    </row>
    <row r="6481" spans="1:12">
      <c r="A6481" t="s">
        <v>107</v>
      </c>
      <c r="B6481" s="10">
        <v>45311</v>
      </c>
      <c r="C6481" s="18">
        <f t="shared" si="101"/>
        <v>1</v>
      </c>
      <c r="D6481" t="s">
        <v>167</v>
      </c>
      <c r="E6481">
        <v>4875363</v>
      </c>
      <c r="F6481" t="s">
        <v>8</v>
      </c>
      <c r="G6481" t="s">
        <v>203</v>
      </c>
      <c r="H6481" t="s">
        <v>225</v>
      </c>
      <c r="I6481" s="4">
        <v>100638.28079999999</v>
      </c>
      <c r="J6481" s="4">
        <v>1006382.808</v>
      </c>
      <c r="L6481" s="4">
        <v>10</v>
      </c>
    </row>
    <row r="6482" spans="1:12">
      <c r="A6482" t="s">
        <v>107</v>
      </c>
      <c r="B6482" s="10">
        <v>45311</v>
      </c>
      <c r="C6482" s="18">
        <f t="shared" si="101"/>
        <v>1</v>
      </c>
      <c r="D6482" t="s">
        <v>167</v>
      </c>
      <c r="E6482">
        <v>4875363</v>
      </c>
      <c r="F6482" t="s">
        <v>8</v>
      </c>
      <c r="G6482" t="s">
        <v>203</v>
      </c>
      <c r="H6482" t="s">
        <v>224</v>
      </c>
      <c r="I6482" s="4">
        <v>100638.28079999999</v>
      </c>
      <c r="J6482" s="4">
        <v>1006382.808</v>
      </c>
      <c r="L6482" s="4">
        <v>10</v>
      </c>
    </row>
    <row r="6483" spans="1:12">
      <c r="A6483" t="s">
        <v>107</v>
      </c>
      <c r="B6483" s="10">
        <v>45311</v>
      </c>
      <c r="C6483" s="18">
        <f t="shared" si="101"/>
        <v>1</v>
      </c>
      <c r="D6483" t="s">
        <v>167</v>
      </c>
      <c r="E6483">
        <v>4875363</v>
      </c>
      <c r="F6483" t="s">
        <v>8</v>
      </c>
      <c r="G6483" t="s">
        <v>203</v>
      </c>
      <c r="H6483" t="s">
        <v>223</v>
      </c>
      <c r="I6483" s="4">
        <v>100638.28079999999</v>
      </c>
      <c r="J6483" s="4">
        <v>1006382.808</v>
      </c>
      <c r="L6483" s="4">
        <v>10</v>
      </c>
    </row>
    <row r="6484" spans="1:12">
      <c r="A6484" t="s">
        <v>107</v>
      </c>
      <c r="B6484" s="10">
        <v>45311</v>
      </c>
      <c r="C6484" s="18">
        <f t="shared" si="101"/>
        <v>1</v>
      </c>
      <c r="D6484" t="s">
        <v>167</v>
      </c>
      <c r="E6484">
        <v>4875363</v>
      </c>
      <c r="F6484" t="s">
        <v>8</v>
      </c>
      <c r="G6484" t="s">
        <v>203</v>
      </c>
      <c r="H6484" t="s">
        <v>222</v>
      </c>
      <c r="I6484" s="4">
        <v>100638.28079999999</v>
      </c>
      <c r="J6484" s="4">
        <v>1006382.808</v>
      </c>
      <c r="L6484" s="4">
        <v>10</v>
      </c>
    </row>
    <row r="6485" spans="1:12">
      <c r="A6485" t="s">
        <v>107</v>
      </c>
      <c r="B6485" s="10">
        <v>45311</v>
      </c>
      <c r="C6485" s="18">
        <f t="shared" si="101"/>
        <v>1</v>
      </c>
      <c r="D6485" t="s">
        <v>167</v>
      </c>
      <c r="E6485">
        <v>4875363</v>
      </c>
      <c r="F6485" t="s">
        <v>8</v>
      </c>
      <c r="G6485" t="s">
        <v>203</v>
      </c>
      <c r="H6485" t="s">
        <v>239</v>
      </c>
      <c r="I6485" s="4">
        <v>125766.4408</v>
      </c>
      <c r="J6485" s="4">
        <v>251532.88159999999</v>
      </c>
      <c r="L6485" s="4">
        <v>2</v>
      </c>
    </row>
    <row r="6486" spans="1:12">
      <c r="A6486" t="s">
        <v>107</v>
      </c>
      <c r="B6486" s="10">
        <v>45311</v>
      </c>
      <c r="C6486" s="18">
        <f t="shared" si="101"/>
        <v>1</v>
      </c>
      <c r="D6486" t="s">
        <v>167</v>
      </c>
      <c r="E6486">
        <v>4875363</v>
      </c>
      <c r="F6486" t="s">
        <v>8</v>
      </c>
      <c r="G6486" t="s">
        <v>203</v>
      </c>
      <c r="H6486" t="s">
        <v>231</v>
      </c>
      <c r="I6486" s="4">
        <v>125766.4408</v>
      </c>
      <c r="J6486" s="4">
        <v>377299.3224</v>
      </c>
      <c r="L6486" s="4">
        <v>3</v>
      </c>
    </row>
    <row r="6487" spans="1:12">
      <c r="A6487" t="s">
        <v>107</v>
      </c>
      <c r="B6487" s="10">
        <v>45313</v>
      </c>
      <c r="C6487" s="18">
        <f t="shared" si="101"/>
        <v>1</v>
      </c>
      <c r="D6487" t="s">
        <v>151</v>
      </c>
      <c r="E6487">
        <v>4876098</v>
      </c>
      <c r="F6487" t="s">
        <v>8</v>
      </c>
      <c r="G6487" t="s">
        <v>204</v>
      </c>
      <c r="H6487" t="s">
        <v>213</v>
      </c>
      <c r="I6487" s="4">
        <v>119484.4008</v>
      </c>
      <c r="J6487" s="4">
        <v>597422.00399999996</v>
      </c>
      <c r="L6487" s="4">
        <v>5</v>
      </c>
    </row>
    <row r="6488" spans="1:12">
      <c r="A6488" t="s">
        <v>107</v>
      </c>
      <c r="B6488" s="10">
        <v>45315</v>
      </c>
      <c r="C6488" s="18">
        <f t="shared" si="101"/>
        <v>1</v>
      </c>
      <c r="D6488" t="s">
        <v>189</v>
      </c>
      <c r="E6488">
        <v>4878855</v>
      </c>
      <c r="F6488" t="s">
        <v>8</v>
      </c>
      <c r="G6488" t="s">
        <v>203</v>
      </c>
      <c r="H6488" t="s">
        <v>230</v>
      </c>
      <c r="I6488" s="4">
        <v>100638.28079999999</v>
      </c>
      <c r="J6488" s="4">
        <v>402553.12319999997</v>
      </c>
      <c r="K6488" s="4">
        <v>-7246.9613439999994</v>
      </c>
      <c r="L6488" s="4">
        <v>4</v>
      </c>
    </row>
    <row r="6489" spans="1:12">
      <c r="A6489" t="s">
        <v>107</v>
      </c>
      <c r="B6489" s="10">
        <v>45315</v>
      </c>
      <c r="C6489" s="18">
        <f t="shared" si="101"/>
        <v>1</v>
      </c>
      <c r="D6489" t="s">
        <v>189</v>
      </c>
      <c r="E6489">
        <v>4878855</v>
      </c>
      <c r="F6489" t="s">
        <v>8</v>
      </c>
      <c r="G6489" t="s">
        <v>203</v>
      </c>
      <c r="H6489" t="s">
        <v>224</v>
      </c>
      <c r="I6489" s="4">
        <v>100638.28079999999</v>
      </c>
      <c r="J6489" s="4">
        <v>402553.12319999997</v>
      </c>
      <c r="K6489" s="4">
        <v>-7246.9613439999994</v>
      </c>
      <c r="L6489" s="4">
        <v>4</v>
      </c>
    </row>
    <row r="6490" spans="1:12">
      <c r="A6490" t="s">
        <v>107</v>
      </c>
      <c r="B6490" s="10">
        <v>45315</v>
      </c>
      <c r="C6490" s="18">
        <f t="shared" si="101"/>
        <v>1</v>
      </c>
      <c r="D6490" t="s">
        <v>189</v>
      </c>
      <c r="E6490">
        <v>4878855</v>
      </c>
      <c r="F6490" t="s">
        <v>8</v>
      </c>
      <c r="G6490" t="s">
        <v>203</v>
      </c>
      <c r="H6490" t="s">
        <v>222</v>
      </c>
      <c r="I6490" s="4">
        <v>100638.28079999999</v>
      </c>
      <c r="J6490" s="4">
        <v>201276.56159999999</v>
      </c>
      <c r="K6490" s="4">
        <v>-3623.4806719999997</v>
      </c>
      <c r="L6490" s="4">
        <v>2</v>
      </c>
    </row>
    <row r="6491" spans="1:12">
      <c r="A6491" t="s">
        <v>107</v>
      </c>
      <c r="B6491" s="10">
        <v>45315</v>
      </c>
      <c r="C6491" s="18">
        <f t="shared" si="101"/>
        <v>1</v>
      </c>
      <c r="D6491" t="s">
        <v>189</v>
      </c>
      <c r="E6491">
        <v>4876797</v>
      </c>
      <c r="F6491" t="s">
        <v>8</v>
      </c>
      <c r="G6491" t="s">
        <v>203</v>
      </c>
      <c r="H6491" t="s">
        <v>225</v>
      </c>
      <c r="I6491" s="4">
        <v>100638.28079999999</v>
      </c>
      <c r="J6491" s="4">
        <v>1006382.808</v>
      </c>
      <c r="K6491" s="4">
        <v>-45293.508399999999</v>
      </c>
      <c r="L6491" s="4">
        <v>10</v>
      </c>
    </row>
    <row r="6492" spans="1:12">
      <c r="A6492" t="s">
        <v>107</v>
      </c>
      <c r="B6492" s="10">
        <v>45316</v>
      </c>
      <c r="C6492" s="18">
        <f t="shared" si="101"/>
        <v>1</v>
      </c>
      <c r="D6492" t="s">
        <v>154</v>
      </c>
      <c r="E6492">
        <v>4878664</v>
      </c>
      <c r="F6492" t="s">
        <v>8</v>
      </c>
      <c r="G6492" t="s">
        <v>203</v>
      </c>
      <c r="H6492" t="s">
        <v>232</v>
      </c>
      <c r="I6492" s="4">
        <v>100638.28079999999</v>
      </c>
      <c r="J6492" s="4">
        <v>201276.56159999999</v>
      </c>
      <c r="L6492" s="4">
        <v>2</v>
      </c>
    </row>
    <row r="6493" spans="1:12">
      <c r="A6493" t="s">
        <v>107</v>
      </c>
      <c r="B6493" s="10">
        <v>45316</v>
      </c>
      <c r="C6493" s="18">
        <f t="shared" si="101"/>
        <v>1</v>
      </c>
      <c r="D6493" t="s">
        <v>154</v>
      </c>
      <c r="E6493">
        <v>4874955</v>
      </c>
      <c r="F6493" t="s">
        <v>8</v>
      </c>
      <c r="G6493" t="s">
        <v>203</v>
      </c>
      <c r="H6493" t="s">
        <v>225</v>
      </c>
      <c r="I6493" s="4">
        <v>100638.28079999999</v>
      </c>
      <c r="J6493" s="4">
        <v>402553.12319999997</v>
      </c>
      <c r="L6493" s="4">
        <v>4</v>
      </c>
    </row>
    <row r="6494" spans="1:12">
      <c r="A6494" t="s">
        <v>107</v>
      </c>
      <c r="B6494" s="10">
        <v>45316</v>
      </c>
      <c r="C6494" s="18">
        <f t="shared" si="101"/>
        <v>1</v>
      </c>
      <c r="D6494" t="s">
        <v>175</v>
      </c>
      <c r="E6494">
        <v>4874545</v>
      </c>
      <c r="F6494" t="s">
        <v>8</v>
      </c>
      <c r="G6494" t="s">
        <v>203</v>
      </c>
      <c r="H6494" t="s">
        <v>232</v>
      </c>
      <c r="I6494" s="4">
        <v>100638.28079999999</v>
      </c>
      <c r="J6494" s="4">
        <v>201276.56159999999</v>
      </c>
      <c r="L6494" s="4">
        <v>2</v>
      </c>
    </row>
    <row r="6495" spans="1:12">
      <c r="A6495" t="s">
        <v>107</v>
      </c>
      <c r="B6495" s="10">
        <v>45316</v>
      </c>
      <c r="C6495" s="18">
        <f t="shared" si="101"/>
        <v>1</v>
      </c>
      <c r="D6495" t="s">
        <v>175</v>
      </c>
      <c r="E6495">
        <v>4874545</v>
      </c>
      <c r="F6495" t="s">
        <v>8</v>
      </c>
      <c r="G6495" t="s">
        <v>203</v>
      </c>
      <c r="H6495" t="s">
        <v>225</v>
      </c>
      <c r="I6495" s="4">
        <v>100638.28079999999</v>
      </c>
      <c r="J6495" s="4">
        <v>201276.56159999999</v>
      </c>
      <c r="L6495" s="4">
        <v>2</v>
      </c>
    </row>
    <row r="6496" spans="1:12">
      <c r="A6496" t="s">
        <v>107</v>
      </c>
      <c r="B6496" s="10">
        <v>45316</v>
      </c>
      <c r="C6496" s="18">
        <f t="shared" si="101"/>
        <v>1</v>
      </c>
      <c r="D6496" t="s">
        <v>175</v>
      </c>
      <c r="E6496">
        <v>4874545</v>
      </c>
      <c r="F6496" t="s">
        <v>8</v>
      </c>
      <c r="G6496" t="s">
        <v>203</v>
      </c>
      <c r="H6496" t="s">
        <v>223</v>
      </c>
      <c r="I6496" s="4">
        <v>100638.28079999999</v>
      </c>
      <c r="J6496" s="4">
        <v>201276.56159999999</v>
      </c>
      <c r="L6496" s="4">
        <v>2</v>
      </c>
    </row>
    <row r="6497" spans="1:12">
      <c r="A6497" t="s">
        <v>107</v>
      </c>
      <c r="B6497" s="10">
        <v>45318</v>
      </c>
      <c r="C6497" s="18">
        <f t="shared" si="101"/>
        <v>1</v>
      </c>
      <c r="D6497" t="s">
        <v>171</v>
      </c>
      <c r="E6497">
        <v>4875729</v>
      </c>
      <c r="F6497" t="s">
        <v>8</v>
      </c>
      <c r="G6497" t="s">
        <v>203</v>
      </c>
      <c r="H6497" t="s">
        <v>240</v>
      </c>
      <c r="I6497" s="4">
        <v>100638.28079999999</v>
      </c>
      <c r="J6497" s="4">
        <v>201276.56159999999</v>
      </c>
      <c r="L6497" s="4">
        <v>2</v>
      </c>
    </row>
    <row r="6498" spans="1:12">
      <c r="A6498" t="s">
        <v>107</v>
      </c>
      <c r="B6498" s="10">
        <v>45318</v>
      </c>
      <c r="C6498" s="18">
        <f t="shared" si="101"/>
        <v>1</v>
      </c>
      <c r="D6498" t="s">
        <v>171</v>
      </c>
      <c r="E6498">
        <v>4875729</v>
      </c>
      <c r="F6498" t="s">
        <v>8</v>
      </c>
      <c r="G6498" t="s">
        <v>203</v>
      </c>
      <c r="H6498" t="s">
        <v>225</v>
      </c>
      <c r="I6498" s="4">
        <v>100638.28079999999</v>
      </c>
      <c r="J6498" s="4">
        <v>201276.56159999999</v>
      </c>
      <c r="L6498" s="4">
        <v>2</v>
      </c>
    </row>
    <row r="6499" spans="1:12">
      <c r="A6499" t="s">
        <v>93</v>
      </c>
      <c r="B6499" s="10">
        <v>45305</v>
      </c>
      <c r="C6499" s="18">
        <f t="shared" si="101"/>
        <v>1</v>
      </c>
      <c r="D6499" t="s">
        <v>184</v>
      </c>
      <c r="E6499">
        <v>4873371</v>
      </c>
      <c r="F6499" t="s">
        <v>87</v>
      </c>
      <c r="G6499" t="s">
        <v>203</v>
      </c>
      <c r="H6499" t="s">
        <v>223</v>
      </c>
      <c r="I6499" s="4">
        <v>100638.28079999999</v>
      </c>
      <c r="J6499" s="4">
        <v>201276.56159999999</v>
      </c>
      <c r="L6499" s="4">
        <v>2</v>
      </c>
    </row>
    <row r="6500" spans="1:12">
      <c r="A6500" t="s">
        <v>93</v>
      </c>
      <c r="B6500" s="10">
        <v>45305</v>
      </c>
      <c r="C6500" s="18">
        <f t="shared" si="101"/>
        <v>1</v>
      </c>
      <c r="D6500" t="s">
        <v>184</v>
      </c>
      <c r="E6500">
        <v>4873999</v>
      </c>
      <c r="F6500" t="s">
        <v>87</v>
      </c>
      <c r="G6500" t="s">
        <v>203</v>
      </c>
      <c r="H6500" t="s">
        <v>237</v>
      </c>
      <c r="I6500" s="4">
        <v>125766.4408</v>
      </c>
      <c r="J6500" s="4">
        <v>251532.88159999999</v>
      </c>
      <c r="L6500" s="4">
        <v>2</v>
      </c>
    </row>
    <row r="6501" spans="1:12">
      <c r="A6501" t="s">
        <v>93</v>
      </c>
      <c r="B6501" s="10">
        <v>45305</v>
      </c>
      <c r="C6501" s="18">
        <f t="shared" si="101"/>
        <v>1</v>
      </c>
      <c r="D6501" t="s">
        <v>184</v>
      </c>
      <c r="E6501">
        <v>4873999</v>
      </c>
      <c r="F6501" t="s">
        <v>87</v>
      </c>
      <c r="G6501" t="s">
        <v>203</v>
      </c>
      <c r="H6501" t="s">
        <v>233</v>
      </c>
      <c r="I6501" s="4">
        <v>120735.78316800001</v>
      </c>
      <c r="J6501" s="4">
        <v>241471.56633600002</v>
      </c>
      <c r="L6501" s="4">
        <v>2</v>
      </c>
    </row>
    <row r="6502" spans="1:12">
      <c r="A6502" t="s">
        <v>93</v>
      </c>
      <c r="B6502" s="10">
        <v>45307</v>
      </c>
      <c r="C6502" s="18">
        <f t="shared" si="101"/>
        <v>1</v>
      </c>
      <c r="D6502" t="s">
        <v>184</v>
      </c>
      <c r="E6502">
        <v>4875999</v>
      </c>
      <c r="F6502" t="s">
        <v>90</v>
      </c>
      <c r="G6502" t="s">
        <v>203</v>
      </c>
      <c r="H6502" t="s">
        <v>242</v>
      </c>
      <c r="I6502" s="4">
        <v>100638.28079999999</v>
      </c>
      <c r="J6502" s="4">
        <v>603829.68479999993</v>
      </c>
      <c r="L6502" s="4">
        <v>6</v>
      </c>
    </row>
    <row r="6503" spans="1:12">
      <c r="A6503" t="s">
        <v>93</v>
      </c>
      <c r="B6503" s="10">
        <v>45307</v>
      </c>
      <c r="C6503" s="18">
        <f t="shared" si="101"/>
        <v>1</v>
      </c>
      <c r="D6503" t="s">
        <v>184</v>
      </c>
      <c r="E6503">
        <v>4875999</v>
      </c>
      <c r="F6503" t="s">
        <v>90</v>
      </c>
      <c r="G6503" t="s">
        <v>203</v>
      </c>
      <c r="H6503" t="s">
        <v>238</v>
      </c>
      <c r="I6503" s="4">
        <v>95606.36675999999</v>
      </c>
      <c r="J6503" s="4">
        <v>573638.20055999991</v>
      </c>
      <c r="L6503" s="4">
        <v>6</v>
      </c>
    </row>
    <row r="6504" spans="1:12">
      <c r="A6504" t="s">
        <v>93</v>
      </c>
      <c r="B6504" s="10">
        <v>45307</v>
      </c>
      <c r="C6504" s="18">
        <f t="shared" si="101"/>
        <v>1</v>
      </c>
      <c r="D6504" t="s">
        <v>184</v>
      </c>
      <c r="E6504">
        <v>4875999</v>
      </c>
      <c r="F6504" t="s">
        <v>90</v>
      </c>
      <c r="G6504" t="s">
        <v>203</v>
      </c>
      <c r="H6504" t="s">
        <v>224</v>
      </c>
      <c r="I6504" s="4">
        <v>100638.28079999999</v>
      </c>
      <c r="J6504" s="4">
        <v>603829.68479999993</v>
      </c>
      <c r="L6504" s="4">
        <v>6</v>
      </c>
    </row>
    <row r="6505" spans="1:12">
      <c r="A6505" t="s">
        <v>93</v>
      </c>
      <c r="B6505" s="10">
        <v>45307</v>
      </c>
      <c r="C6505" s="18">
        <f t="shared" si="101"/>
        <v>1</v>
      </c>
      <c r="D6505" t="s">
        <v>184</v>
      </c>
      <c r="E6505">
        <v>4875999</v>
      </c>
      <c r="F6505" t="s">
        <v>90</v>
      </c>
      <c r="G6505" t="s">
        <v>203</v>
      </c>
      <c r="H6505" t="s">
        <v>223</v>
      </c>
      <c r="I6505" s="4">
        <v>100638.28079999999</v>
      </c>
      <c r="J6505" s="4">
        <v>603829.68479999993</v>
      </c>
      <c r="L6505" s="4">
        <v>6</v>
      </c>
    </row>
    <row r="6506" spans="1:12">
      <c r="A6506" t="s">
        <v>93</v>
      </c>
      <c r="B6506" s="10">
        <v>45307</v>
      </c>
      <c r="C6506" s="18">
        <f t="shared" si="101"/>
        <v>1</v>
      </c>
      <c r="D6506" t="s">
        <v>184</v>
      </c>
      <c r="E6506">
        <v>4875999</v>
      </c>
      <c r="F6506" t="s">
        <v>90</v>
      </c>
      <c r="G6506" t="s">
        <v>203</v>
      </c>
      <c r="H6506" t="s">
        <v>237</v>
      </c>
      <c r="I6506" s="4">
        <v>125766.4408</v>
      </c>
      <c r="J6506" s="4">
        <v>628832.20400000003</v>
      </c>
      <c r="L6506" s="4">
        <v>5</v>
      </c>
    </row>
    <row r="6507" spans="1:12">
      <c r="A6507" t="s">
        <v>93</v>
      </c>
      <c r="B6507" s="10">
        <v>45307</v>
      </c>
      <c r="C6507" s="18">
        <f t="shared" si="101"/>
        <v>1</v>
      </c>
      <c r="D6507" t="s">
        <v>184</v>
      </c>
      <c r="E6507">
        <v>4875999</v>
      </c>
      <c r="F6507" t="s">
        <v>90</v>
      </c>
      <c r="G6507" t="s">
        <v>203</v>
      </c>
      <c r="H6507" t="s">
        <v>233</v>
      </c>
      <c r="I6507" s="4">
        <v>120735.78316800001</v>
      </c>
      <c r="J6507" s="4">
        <v>603678.91584000003</v>
      </c>
      <c r="L6507" s="4">
        <v>5</v>
      </c>
    </row>
    <row r="6508" spans="1:12">
      <c r="A6508" t="s">
        <v>93</v>
      </c>
      <c r="B6508" s="10">
        <v>45307</v>
      </c>
      <c r="C6508" s="18">
        <f t="shared" si="101"/>
        <v>1</v>
      </c>
      <c r="D6508" t="s">
        <v>184</v>
      </c>
      <c r="E6508">
        <v>4875999</v>
      </c>
      <c r="F6508" t="s">
        <v>90</v>
      </c>
      <c r="G6508" t="s">
        <v>203</v>
      </c>
      <c r="H6508" t="s">
        <v>229</v>
      </c>
      <c r="I6508" s="4">
        <v>125766.4408</v>
      </c>
      <c r="J6508" s="4">
        <v>628832.20400000003</v>
      </c>
      <c r="L6508" s="4">
        <v>5</v>
      </c>
    </row>
    <row r="6509" spans="1:12">
      <c r="A6509" t="s">
        <v>93</v>
      </c>
      <c r="B6509" s="10">
        <v>45314</v>
      </c>
      <c r="C6509" s="18">
        <f t="shared" si="101"/>
        <v>1</v>
      </c>
      <c r="D6509" t="s">
        <v>184</v>
      </c>
      <c r="E6509">
        <v>4873678</v>
      </c>
      <c r="F6509" t="s">
        <v>90</v>
      </c>
      <c r="G6509" t="s">
        <v>203</v>
      </c>
      <c r="H6509" t="s">
        <v>238</v>
      </c>
      <c r="I6509" s="4">
        <v>95606.36675999999</v>
      </c>
      <c r="J6509" s="4">
        <v>191212.73351999998</v>
      </c>
      <c r="L6509" s="4">
        <v>2</v>
      </c>
    </row>
    <row r="6510" spans="1:12">
      <c r="A6510" t="s">
        <v>93</v>
      </c>
      <c r="B6510" s="10">
        <v>45315</v>
      </c>
      <c r="C6510" s="18">
        <f t="shared" si="101"/>
        <v>1</v>
      </c>
      <c r="D6510" t="s">
        <v>184</v>
      </c>
      <c r="E6510">
        <v>4878605</v>
      </c>
      <c r="F6510" t="s">
        <v>87</v>
      </c>
      <c r="G6510" t="s">
        <v>203</v>
      </c>
      <c r="H6510" t="s">
        <v>242</v>
      </c>
      <c r="I6510" s="4">
        <v>100638.28079999999</v>
      </c>
      <c r="J6510" s="4">
        <v>201276.56159999999</v>
      </c>
      <c r="L6510" s="4">
        <v>2</v>
      </c>
    </row>
    <row r="6511" spans="1:12">
      <c r="A6511" t="s">
        <v>93</v>
      </c>
      <c r="B6511" s="10">
        <v>45315</v>
      </c>
      <c r="C6511" s="18">
        <f t="shared" si="101"/>
        <v>1</v>
      </c>
      <c r="D6511" t="s">
        <v>184</v>
      </c>
      <c r="E6511">
        <v>4878605</v>
      </c>
      <c r="F6511" t="s">
        <v>87</v>
      </c>
      <c r="G6511" t="s">
        <v>203</v>
      </c>
      <c r="H6511" t="s">
        <v>238</v>
      </c>
      <c r="I6511" s="4">
        <v>95606.36675999999</v>
      </c>
      <c r="J6511" s="4">
        <v>191212.73351999998</v>
      </c>
      <c r="L6511" s="4">
        <v>2</v>
      </c>
    </row>
    <row r="6512" spans="1:12">
      <c r="A6512" t="s">
        <v>93</v>
      </c>
      <c r="B6512" s="10">
        <v>45315</v>
      </c>
      <c r="C6512" s="18">
        <f t="shared" si="101"/>
        <v>1</v>
      </c>
      <c r="D6512" t="s">
        <v>184</v>
      </c>
      <c r="E6512">
        <v>4878605</v>
      </c>
      <c r="F6512" t="s">
        <v>87</v>
      </c>
      <c r="G6512" t="s">
        <v>203</v>
      </c>
      <c r="H6512" t="s">
        <v>228</v>
      </c>
      <c r="I6512" s="4">
        <v>100638.28079999999</v>
      </c>
      <c r="J6512" s="4">
        <v>201276.56159999999</v>
      </c>
      <c r="L6512" s="4">
        <v>2</v>
      </c>
    </row>
    <row r="6513" spans="1:12">
      <c r="A6513" t="s">
        <v>93</v>
      </c>
      <c r="B6513" s="10">
        <v>45315</v>
      </c>
      <c r="C6513" s="18">
        <f t="shared" si="101"/>
        <v>1</v>
      </c>
      <c r="D6513" t="s">
        <v>184</v>
      </c>
      <c r="E6513">
        <v>4878605</v>
      </c>
      <c r="F6513" t="s">
        <v>87</v>
      </c>
      <c r="G6513" t="s">
        <v>203</v>
      </c>
      <c r="H6513" t="s">
        <v>224</v>
      </c>
      <c r="I6513" s="4">
        <v>100638.28079999999</v>
      </c>
      <c r="J6513" s="4">
        <v>201276.56159999999</v>
      </c>
      <c r="L6513" s="4">
        <v>2</v>
      </c>
    </row>
    <row r="6514" spans="1:12">
      <c r="A6514" t="s">
        <v>93</v>
      </c>
      <c r="B6514" s="10">
        <v>45315</v>
      </c>
      <c r="C6514" s="18">
        <f t="shared" si="101"/>
        <v>1</v>
      </c>
      <c r="D6514" t="s">
        <v>184</v>
      </c>
      <c r="E6514">
        <v>4873678</v>
      </c>
      <c r="F6514" t="s">
        <v>90</v>
      </c>
      <c r="G6514" t="s">
        <v>203</v>
      </c>
      <c r="H6514" t="s">
        <v>238</v>
      </c>
      <c r="I6514" s="4">
        <v>95606.36675999999</v>
      </c>
      <c r="J6514" s="4">
        <v>573638.20055999991</v>
      </c>
      <c r="L6514" s="4">
        <v>6</v>
      </c>
    </row>
    <row r="6515" spans="1:12">
      <c r="A6515" t="s">
        <v>93</v>
      </c>
      <c r="B6515" s="10">
        <v>45315</v>
      </c>
      <c r="C6515" s="18">
        <f t="shared" si="101"/>
        <v>1</v>
      </c>
      <c r="D6515" t="s">
        <v>184</v>
      </c>
      <c r="E6515">
        <v>4873678</v>
      </c>
      <c r="F6515" t="s">
        <v>90</v>
      </c>
      <c r="G6515" t="s">
        <v>203</v>
      </c>
      <c r="H6515" t="s">
        <v>224</v>
      </c>
      <c r="I6515" s="4">
        <v>100638.28079999999</v>
      </c>
      <c r="J6515" s="4">
        <v>402553.12319999997</v>
      </c>
      <c r="L6515" s="4">
        <v>4</v>
      </c>
    </row>
    <row r="6516" spans="1:12">
      <c r="A6516" t="s">
        <v>93</v>
      </c>
      <c r="B6516" s="10">
        <v>45318</v>
      </c>
      <c r="C6516" s="18">
        <f t="shared" si="101"/>
        <v>1</v>
      </c>
      <c r="D6516" t="s">
        <v>184</v>
      </c>
      <c r="E6516">
        <v>4873371</v>
      </c>
      <c r="F6516" t="s">
        <v>87</v>
      </c>
      <c r="G6516" t="s">
        <v>203</v>
      </c>
      <c r="H6516" t="s">
        <v>240</v>
      </c>
      <c r="I6516" s="4">
        <v>100638.28079999999</v>
      </c>
      <c r="J6516" s="4">
        <v>201276.56159999999</v>
      </c>
      <c r="L6516" s="4">
        <v>2</v>
      </c>
    </row>
    <row r="6517" spans="1:12">
      <c r="A6517" t="s">
        <v>93</v>
      </c>
      <c r="B6517" s="10">
        <v>45318</v>
      </c>
      <c r="C6517" s="18">
        <f t="shared" si="101"/>
        <v>1</v>
      </c>
      <c r="D6517" t="s">
        <v>184</v>
      </c>
      <c r="E6517">
        <v>4873371</v>
      </c>
      <c r="F6517" t="s">
        <v>87</v>
      </c>
      <c r="G6517" t="s">
        <v>203</v>
      </c>
      <c r="H6517" t="s">
        <v>223</v>
      </c>
      <c r="I6517" s="4">
        <v>100638.28079999999</v>
      </c>
      <c r="J6517" s="4">
        <v>201276.56159999999</v>
      </c>
      <c r="L6517" s="4">
        <v>2</v>
      </c>
    </row>
    <row r="6518" spans="1:12">
      <c r="A6518" t="s">
        <v>93</v>
      </c>
      <c r="B6518" s="10">
        <v>45318</v>
      </c>
      <c r="C6518" s="18">
        <f t="shared" si="101"/>
        <v>1</v>
      </c>
      <c r="D6518" t="s">
        <v>184</v>
      </c>
      <c r="E6518">
        <v>4873678</v>
      </c>
      <c r="F6518" t="s">
        <v>90</v>
      </c>
      <c r="G6518" t="s">
        <v>203</v>
      </c>
      <c r="H6518" t="s">
        <v>238</v>
      </c>
      <c r="I6518" s="4">
        <v>95606.36675999999</v>
      </c>
      <c r="J6518" s="4">
        <v>191212.73351999998</v>
      </c>
      <c r="L6518" s="4">
        <v>2</v>
      </c>
    </row>
    <row r="6519" spans="1:12">
      <c r="A6519" t="s">
        <v>93</v>
      </c>
      <c r="B6519" s="10">
        <v>45318</v>
      </c>
      <c r="C6519" s="18">
        <f t="shared" si="101"/>
        <v>1</v>
      </c>
      <c r="D6519" t="s">
        <v>184</v>
      </c>
      <c r="E6519">
        <v>4873678</v>
      </c>
      <c r="F6519" t="s">
        <v>90</v>
      </c>
      <c r="G6519" t="s">
        <v>203</v>
      </c>
      <c r="H6519" t="s">
        <v>233</v>
      </c>
      <c r="I6519" s="4">
        <v>120735.78316800001</v>
      </c>
      <c r="J6519" s="4">
        <v>241471.56633600002</v>
      </c>
      <c r="L6519" s="4">
        <v>2</v>
      </c>
    </row>
    <row r="6520" spans="1:12">
      <c r="A6520" t="s">
        <v>94</v>
      </c>
      <c r="B6520" s="10">
        <v>45297</v>
      </c>
      <c r="C6520" s="18">
        <f t="shared" si="101"/>
        <v>1</v>
      </c>
      <c r="D6520" t="s">
        <v>150</v>
      </c>
      <c r="E6520">
        <v>4875823</v>
      </c>
      <c r="F6520" t="s">
        <v>89</v>
      </c>
      <c r="G6520" t="s">
        <v>203</v>
      </c>
      <c r="H6520" t="s">
        <v>244</v>
      </c>
      <c r="I6520" s="4">
        <v>125766.4408</v>
      </c>
      <c r="J6520" s="4">
        <v>628832.20400000003</v>
      </c>
      <c r="K6520" s="4">
        <v>-31410.2</v>
      </c>
      <c r="L6520" s="4">
        <v>5</v>
      </c>
    </row>
    <row r="6521" spans="1:12">
      <c r="A6521" t="s">
        <v>94</v>
      </c>
      <c r="B6521" s="10">
        <v>45307</v>
      </c>
      <c r="C6521" s="18">
        <f t="shared" si="101"/>
        <v>1</v>
      </c>
      <c r="D6521" t="s">
        <v>150</v>
      </c>
      <c r="E6521">
        <v>4877305</v>
      </c>
      <c r="F6521" t="s">
        <v>87</v>
      </c>
      <c r="G6521" t="s">
        <v>203</v>
      </c>
      <c r="H6521" t="s">
        <v>244</v>
      </c>
      <c r="I6521" s="4">
        <v>125766.4408</v>
      </c>
      <c r="J6521" s="4">
        <v>2263795.9344000001</v>
      </c>
      <c r="L6521" s="4">
        <v>18</v>
      </c>
    </row>
    <row r="6522" spans="1:12">
      <c r="A6522" t="s">
        <v>95</v>
      </c>
      <c r="B6522" s="10">
        <v>45294</v>
      </c>
      <c r="C6522" s="18">
        <f t="shared" si="101"/>
        <v>1</v>
      </c>
      <c r="D6522" t="s">
        <v>188</v>
      </c>
      <c r="E6522">
        <v>4876241</v>
      </c>
      <c r="F6522" t="s">
        <v>89</v>
      </c>
      <c r="G6522" t="s">
        <v>203</v>
      </c>
      <c r="H6522" t="s">
        <v>224</v>
      </c>
      <c r="I6522" s="4">
        <v>100638.28079999999</v>
      </c>
      <c r="J6522" s="4">
        <v>603829.68479999993</v>
      </c>
      <c r="L6522" s="4">
        <v>6</v>
      </c>
    </row>
    <row r="6523" spans="1:12">
      <c r="A6523" t="s">
        <v>95</v>
      </c>
      <c r="B6523" s="10">
        <v>45294</v>
      </c>
      <c r="C6523" s="18">
        <f t="shared" si="101"/>
        <v>1</v>
      </c>
      <c r="D6523" t="s">
        <v>188</v>
      </c>
      <c r="E6523">
        <v>4877018</v>
      </c>
      <c r="F6523" t="s">
        <v>89</v>
      </c>
      <c r="G6523" t="s">
        <v>203</v>
      </c>
      <c r="H6523" t="s">
        <v>225</v>
      </c>
      <c r="I6523" s="4">
        <v>100638.28079999999</v>
      </c>
      <c r="J6523" s="4">
        <v>402553.12319999997</v>
      </c>
      <c r="L6523" s="4">
        <v>4</v>
      </c>
    </row>
    <row r="6524" spans="1:12">
      <c r="A6524" t="s">
        <v>95</v>
      </c>
      <c r="B6524" s="10">
        <v>45294</v>
      </c>
      <c r="C6524" s="18">
        <f t="shared" si="101"/>
        <v>1</v>
      </c>
      <c r="D6524" t="s">
        <v>188</v>
      </c>
      <c r="E6524">
        <v>4878830</v>
      </c>
      <c r="F6524" t="s">
        <v>90</v>
      </c>
      <c r="G6524" t="s">
        <v>203</v>
      </c>
      <c r="H6524" t="s">
        <v>222</v>
      </c>
      <c r="I6524" s="4">
        <v>100638.28079999999</v>
      </c>
      <c r="J6524" s="4">
        <v>402553.12319999997</v>
      </c>
      <c r="L6524" s="4">
        <v>4</v>
      </c>
    </row>
    <row r="6525" spans="1:12">
      <c r="A6525" t="s">
        <v>95</v>
      </c>
      <c r="B6525" s="10">
        <v>45295</v>
      </c>
      <c r="C6525" s="18">
        <f t="shared" si="101"/>
        <v>1</v>
      </c>
      <c r="D6525" t="s">
        <v>188</v>
      </c>
      <c r="E6525">
        <v>4876057</v>
      </c>
      <c r="F6525" t="s">
        <v>87</v>
      </c>
      <c r="G6525" t="s">
        <v>203</v>
      </c>
      <c r="H6525" t="s">
        <v>225</v>
      </c>
      <c r="I6525" s="4">
        <v>100638.28079999999</v>
      </c>
      <c r="J6525" s="4">
        <v>201276.56159999999</v>
      </c>
      <c r="L6525" s="4">
        <v>2</v>
      </c>
    </row>
    <row r="6526" spans="1:12">
      <c r="A6526" t="s">
        <v>95</v>
      </c>
      <c r="B6526" s="10">
        <v>45297</v>
      </c>
      <c r="C6526" s="18">
        <f t="shared" si="101"/>
        <v>1</v>
      </c>
      <c r="D6526" t="s">
        <v>188</v>
      </c>
      <c r="E6526">
        <v>4876241</v>
      </c>
      <c r="F6526" t="s">
        <v>89</v>
      </c>
      <c r="G6526" t="s">
        <v>203</v>
      </c>
      <c r="H6526" t="s">
        <v>222</v>
      </c>
      <c r="I6526" s="4">
        <v>100638.28079999999</v>
      </c>
      <c r="J6526" s="4">
        <v>603829.68479999993</v>
      </c>
      <c r="L6526" s="4">
        <v>6</v>
      </c>
    </row>
    <row r="6527" spans="1:12">
      <c r="A6527" t="s">
        <v>95</v>
      </c>
      <c r="B6527" s="10">
        <v>45297</v>
      </c>
      <c r="C6527" s="18">
        <f t="shared" si="101"/>
        <v>1</v>
      </c>
      <c r="D6527" t="s">
        <v>188</v>
      </c>
      <c r="E6527">
        <v>4875929</v>
      </c>
      <c r="F6527" t="s">
        <v>87</v>
      </c>
      <c r="G6527" t="s">
        <v>203</v>
      </c>
      <c r="H6527" t="s">
        <v>222</v>
      </c>
      <c r="I6527" s="4">
        <v>100638.28079999999</v>
      </c>
      <c r="J6527" s="4">
        <v>1006382.808</v>
      </c>
      <c r="L6527" s="4">
        <v>10</v>
      </c>
    </row>
    <row r="6528" spans="1:12">
      <c r="A6528" t="s">
        <v>95</v>
      </c>
      <c r="B6528" s="10">
        <v>45297</v>
      </c>
      <c r="C6528" s="18">
        <f t="shared" si="101"/>
        <v>1</v>
      </c>
      <c r="D6528" t="s">
        <v>188</v>
      </c>
      <c r="E6528">
        <v>4875929</v>
      </c>
      <c r="F6528" t="s">
        <v>87</v>
      </c>
      <c r="G6528" t="s">
        <v>203</v>
      </c>
      <c r="H6528" t="s">
        <v>229</v>
      </c>
      <c r="I6528" s="4">
        <v>125766.4408</v>
      </c>
      <c r="J6528" s="4">
        <v>1257664.4080000001</v>
      </c>
      <c r="L6528" s="4">
        <v>10</v>
      </c>
    </row>
    <row r="6529" spans="1:12">
      <c r="A6529" t="s">
        <v>95</v>
      </c>
      <c r="B6529" s="10">
        <v>45297</v>
      </c>
      <c r="C6529" s="18">
        <f t="shared" si="101"/>
        <v>1</v>
      </c>
      <c r="D6529" t="s">
        <v>188</v>
      </c>
      <c r="E6529">
        <v>4878770</v>
      </c>
      <c r="F6529" t="s">
        <v>90</v>
      </c>
      <c r="G6529" t="s">
        <v>203</v>
      </c>
      <c r="H6529" t="s">
        <v>225</v>
      </c>
      <c r="I6529" s="4">
        <v>100638.28079999999</v>
      </c>
      <c r="J6529" s="4">
        <v>201276.56159999999</v>
      </c>
      <c r="L6529" s="4">
        <v>2</v>
      </c>
    </row>
    <row r="6530" spans="1:12">
      <c r="A6530" t="s">
        <v>95</v>
      </c>
      <c r="B6530" s="10">
        <v>45297</v>
      </c>
      <c r="C6530" s="18">
        <f t="shared" ref="C6530:C6593" si="102">MONTH(B6530)</f>
        <v>1</v>
      </c>
      <c r="D6530" t="s">
        <v>188</v>
      </c>
      <c r="E6530">
        <v>4878770</v>
      </c>
      <c r="F6530" t="s">
        <v>90</v>
      </c>
      <c r="G6530" t="s">
        <v>203</v>
      </c>
      <c r="H6530" t="s">
        <v>224</v>
      </c>
      <c r="I6530" s="4">
        <v>100638.28079999999</v>
      </c>
      <c r="J6530" s="4">
        <v>201276.56159999999</v>
      </c>
      <c r="L6530" s="4">
        <v>2</v>
      </c>
    </row>
    <row r="6531" spans="1:12">
      <c r="A6531" t="s">
        <v>95</v>
      </c>
      <c r="B6531" s="10">
        <v>45297</v>
      </c>
      <c r="C6531" s="18">
        <f t="shared" si="102"/>
        <v>1</v>
      </c>
      <c r="D6531" t="s">
        <v>188</v>
      </c>
      <c r="E6531">
        <v>4878040</v>
      </c>
      <c r="F6531" t="s">
        <v>88</v>
      </c>
      <c r="G6531" t="s">
        <v>203</v>
      </c>
      <c r="H6531" t="s">
        <v>229</v>
      </c>
      <c r="I6531" s="4">
        <v>125766.4408</v>
      </c>
      <c r="J6531" s="4">
        <v>377299.3224</v>
      </c>
      <c r="L6531" s="4">
        <v>3</v>
      </c>
    </row>
    <row r="6532" spans="1:12">
      <c r="A6532" t="s">
        <v>95</v>
      </c>
      <c r="B6532" s="10">
        <v>45298</v>
      </c>
      <c r="C6532" s="18">
        <f t="shared" si="102"/>
        <v>1</v>
      </c>
      <c r="D6532" t="s">
        <v>188</v>
      </c>
      <c r="E6532">
        <v>4875916</v>
      </c>
      <c r="F6532" t="s">
        <v>89</v>
      </c>
      <c r="G6532" t="s">
        <v>203</v>
      </c>
      <c r="H6532" t="s">
        <v>225</v>
      </c>
      <c r="I6532" s="4">
        <v>100638.28079999999</v>
      </c>
      <c r="J6532" s="4">
        <v>1006382.808</v>
      </c>
      <c r="L6532" s="4">
        <v>10</v>
      </c>
    </row>
    <row r="6533" spans="1:12">
      <c r="A6533" t="s">
        <v>95</v>
      </c>
      <c r="B6533" s="10">
        <v>45299</v>
      </c>
      <c r="C6533" s="18">
        <f t="shared" si="102"/>
        <v>1</v>
      </c>
      <c r="D6533" t="s">
        <v>188</v>
      </c>
      <c r="E6533">
        <v>4876149</v>
      </c>
      <c r="F6533" t="s">
        <v>88</v>
      </c>
      <c r="G6533" t="s">
        <v>203</v>
      </c>
      <c r="H6533" t="s">
        <v>222</v>
      </c>
      <c r="I6533" s="4">
        <v>100638.28079999999</v>
      </c>
      <c r="J6533" s="4">
        <v>402553.12319999997</v>
      </c>
      <c r="L6533" s="4">
        <v>4</v>
      </c>
    </row>
    <row r="6534" spans="1:12">
      <c r="A6534" t="s">
        <v>95</v>
      </c>
      <c r="B6534" s="10">
        <v>45301</v>
      </c>
      <c r="C6534" s="18">
        <f t="shared" si="102"/>
        <v>1</v>
      </c>
      <c r="D6534" t="s">
        <v>188</v>
      </c>
      <c r="E6534">
        <v>4877327</v>
      </c>
      <c r="F6534" t="s">
        <v>90</v>
      </c>
      <c r="G6534" t="s">
        <v>203</v>
      </c>
      <c r="H6534" t="s">
        <v>237</v>
      </c>
      <c r="I6534" s="4">
        <v>125766.4408</v>
      </c>
      <c r="J6534" s="4">
        <v>251532.88159999999</v>
      </c>
      <c r="L6534" s="4">
        <v>2</v>
      </c>
    </row>
    <row r="6535" spans="1:12">
      <c r="A6535" t="s">
        <v>95</v>
      </c>
      <c r="B6535" s="10">
        <v>45302</v>
      </c>
      <c r="C6535" s="18">
        <f t="shared" si="102"/>
        <v>1</v>
      </c>
      <c r="D6535" t="s">
        <v>188</v>
      </c>
      <c r="E6535">
        <v>4878830</v>
      </c>
      <c r="F6535" t="s">
        <v>90</v>
      </c>
      <c r="G6535" t="s">
        <v>203</v>
      </c>
      <c r="H6535" t="s">
        <v>232</v>
      </c>
      <c r="I6535" s="4">
        <v>100638.28079999999</v>
      </c>
      <c r="J6535" s="4">
        <v>402553.12319999997</v>
      </c>
      <c r="L6535" s="4">
        <v>4</v>
      </c>
    </row>
    <row r="6536" spans="1:12">
      <c r="A6536" t="s">
        <v>95</v>
      </c>
      <c r="B6536" s="10">
        <v>45304</v>
      </c>
      <c r="C6536" s="18">
        <f t="shared" si="102"/>
        <v>1</v>
      </c>
      <c r="D6536" t="s">
        <v>188</v>
      </c>
      <c r="E6536">
        <v>4877327</v>
      </c>
      <c r="F6536" t="s">
        <v>90</v>
      </c>
      <c r="G6536" t="s">
        <v>203</v>
      </c>
      <c r="H6536" t="s">
        <v>224</v>
      </c>
      <c r="I6536" s="4">
        <v>100638.28079999999</v>
      </c>
      <c r="J6536" s="4">
        <v>201276.56159999999</v>
      </c>
      <c r="L6536" s="4">
        <v>2</v>
      </c>
    </row>
    <row r="6537" spans="1:12">
      <c r="A6537" t="s">
        <v>95</v>
      </c>
      <c r="B6537" s="10">
        <v>45304</v>
      </c>
      <c r="C6537" s="18">
        <f t="shared" si="102"/>
        <v>1</v>
      </c>
      <c r="D6537" t="s">
        <v>188</v>
      </c>
      <c r="E6537">
        <v>4877327</v>
      </c>
      <c r="F6537" t="s">
        <v>90</v>
      </c>
      <c r="G6537" t="s">
        <v>203</v>
      </c>
      <c r="H6537" t="s">
        <v>237</v>
      </c>
      <c r="I6537" s="4">
        <v>125766.4408</v>
      </c>
      <c r="J6537" s="4">
        <v>125766.4408</v>
      </c>
      <c r="L6537" s="4">
        <v>1</v>
      </c>
    </row>
    <row r="6538" spans="1:12">
      <c r="A6538" t="s">
        <v>95</v>
      </c>
      <c r="B6538" s="10">
        <v>45304</v>
      </c>
      <c r="C6538" s="18">
        <f t="shared" si="102"/>
        <v>1</v>
      </c>
      <c r="D6538" t="s">
        <v>188</v>
      </c>
      <c r="E6538">
        <v>4878904</v>
      </c>
      <c r="F6538" t="s">
        <v>87</v>
      </c>
      <c r="G6538" t="s">
        <v>203</v>
      </c>
      <c r="H6538" t="s">
        <v>223</v>
      </c>
      <c r="I6538" s="4">
        <v>100638.28079999999</v>
      </c>
      <c r="J6538" s="4">
        <v>100638.28079999999</v>
      </c>
      <c r="L6538" s="4">
        <v>1</v>
      </c>
    </row>
    <row r="6539" spans="1:12">
      <c r="A6539" t="s">
        <v>95</v>
      </c>
      <c r="B6539" s="10">
        <v>45306</v>
      </c>
      <c r="C6539" s="18">
        <f t="shared" si="102"/>
        <v>1</v>
      </c>
      <c r="D6539" t="s">
        <v>188</v>
      </c>
      <c r="E6539">
        <v>4878040</v>
      </c>
      <c r="F6539" t="s">
        <v>88</v>
      </c>
      <c r="G6539" t="s">
        <v>203</v>
      </c>
      <c r="H6539" t="s">
        <v>237</v>
      </c>
      <c r="I6539" s="4">
        <v>125766.4408</v>
      </c>
      <c r="J6539" s="4">
        <v>251532.88159999999</v>
      </c>
      <c r="L6539" s="4">
        <v>2</v>
      </c>
    </row>
    <row r="6540" spans="1:12">
      <c r="A6540" t="s">
        <v>95</v>
      </c>
      <c r="B6540" s="10">
        <v>45308</v>
      </c>
      <c r="C6540" s="18">
        <f t="shared" si="102"/>
        <v>1</v>
      </c>
      <c r="D6540" t="s">
        <v>188</v>
      </c>
      <c r="E6540">
        <v>4876396</v>
      </c>
      <c r="F6540" t="s">
        <v>87</v>
      </c>
      <c r="G6540" t="s">
        <v>203</v>
      </c>
      <c r="H6540" t="s">
        <v>224</v>
      </c>
      <c r="I6540" s="4">
        <v>100638.28079999999</v>
      </c>
      <c r="J6540" s="4">
        <v>1006382.808</v>
      </c>
      <c r="L6540" s="4">
        <v>10</v>
      </c>
    </row>
    <row r="6541" spans="1:12">
      <c r="A6541" t="s">
        <v>95</v>
      </c>
      <c r="B6541" s="10">
        <v>45308</v>
      </c>
      <c r="C6541" s="18">
        <f t="shared" si="102"/>
        <v>1</v>
      </c>
      <c r="D6541" t="s">
        <v>188</v>
      </c>
      <c r="E6541">
        <v>4878821</v>
      </c>
      <c r="F6541" t="s">
        <v>87</v>
      </c>
      <c r="G6541" t="s">
        <v>203</v>
      </c>
      <c r="H6541" t="s">
        <v>230</v>
      </c>
      <c r="I6541" s="4">
        <v>100638.28079999999</v>
      </c>
      <c r="J6541" s="4">
        <v>402553.12319999997</v>
      </c>
      <c r="L6541" s="4">
        <v>4</v>
      </c>
    </row>
    <row r="6542" spans="1:12">
      <c r="A6542" t="s">
        <v>95</v>
      </c>
      <c r="B6542" s="10">
        <v>45308</v>
      </c>
      <c r="C6542" s="18">
        <f t="shared" si="102"/>
        <v>1</v>
      </c>
      <c r="D6542" t="s">
        <v>188</v>
      </c>
      <c r="E6542">
        <v>4878821</v>
      </c>
      <c r="F6542" t="s">
        <v>87</v>
      </c>
      <c r="G6542" t="s">
        <v>203</v>
      </c>
      <c r="H6542" t="s">
        <v>237</v>
      </c>
      <c r="I6542" s="4">
        <v>125766.4408</v>
      </c>
      <c r="J6542" s="4">
        <v>251532.88159999999</v>
      </c>
      <c r="L6542" s="4">
        <v>2</v>
      </c>
    </row>
    <row r="6543" spans="1:12">
      <c r="A6543" t="s">
        <v>95</v>
      </c>
      <c r="B6543" s="10">
        <v>45308</v>
      </c>
      <c r="C6543" s="18">
        <f t="shared" si="102"/>
        <v>1</v>
      </c>
      <c r="D6543" t="s">
        <v>188</v>
      </c>
      <c r="E6543">
        <v>4878821</v>
      </c>
      <c r="F6543" t="s">
        <v>87</v>
      </c>
      <c r="G6543" t="s">
        <v>203</v>
      </c>
      <c r="H6543" t="s">
        <v>229</v>
      </c>
      <c r="I6543" s="4">
        <v>125766.4408</v>
      </c>
      <c r="J6543" s="4">
        <v>251532.88159999999</v>
      </c>
      <c r="L6543" s="4">
        <v>2</v>
      </c>
    </row>
    <row r="6544" spans="1:12">
      <c r="A6544" t="s">
        <v>95</v>
      </c>
      <c r="B6544" s="10">
        <v>45309</v>
      </c>
      <c r="C6544" s="18">
        <f t="shared" si="102"/>
        <v>1</v>
      </c>
      <c r="D6544" t="s">
        <v>188</v>
      </c>
      <c r="E6544">
        <v>4876241</v>
      </c>
      <c r="F6544" t="s">
        <v>89</v>
      </c>
      <c r="G6544" t="s">
        <v>203</v>
      </c>
      <c r="H6544" t="s">
        <v>225</v>
      </c>
      <c r="I6544" s="4">
        <v>100638.28079999999</v>
      </c>
      <c r="J6544" s="4">
        <v>1006382.808</v>
      </c>
      <c r="L6544" s="4">
        <v>10</v>
      </c>
    </row>
    <row r="6545" spans="1:12">
      <c r="A6545" t="s">
        <v>95</v>
      </c>
      <c r="B6545" s="10">
        <v>45309</v>
      </c>
      <c r="C6545" s="18">
        <f t="shared" si="102"/>
        <v>1</v>
      </c>
      <c r="D6545" t="s">
        <v>188</v>
      </c>
      <c r="E6545">
        <v>4878830</v>
      </c>
      <c r="F6545" t="s">
        <v>90</v>
      </c>
      <c r="G6545" t="s">
        <v>203</v>
      </c>
      <c r="H6545" t="s">
        <v>230</v>
      </c>
      <c r="I6545" s="4">
        <v>100638.28079999999</v>
      </c>
      <c r="J6545" s="4">
        <v>805106.24639999995</v>
      </c>
      <c r="L6545" s="4">
        <v>8</v>
      </c>
    </row>
    <row r="6546" spans="1:12">
      <c r="A6546" t="s">
        <v>95</v>
      </c>
      <c r="B6546" s="10">
        <v>45312</v>
      </c>
      <c r="C6546" s="18">
        <f t="shared" si="102"/>
        <v>1</v>
      </c>
      <c r="D6546" t="s">
        <v>188</v>
      </c>
      <c r="E6546">
        <v>4876079</v>
      </c>
      <c r="F6546" t="s">
        <v>87</v>
      </c>
      <c r="G6546" t="s">
        <v>203</v>
      </c>
      <c r="H6546" t="s">
        <v>225</v>
      </c>
      <c r="I6546" s="4">
        <v>100638.28079999999</v>
      </c>
      <c r="J6546" s="4">
        <v>201276.56159999999</v>
      </c>
      <c r="L6546" s="4">
        <v>2</v>
      </c>
    </row>
    <row r="6547" spans="1:12">
      <c r="A6547" t="s">
        <v>95</v>
      </c>
      <c r="B6547" s="10">
        <v>45313</v>
      </c>
      <c r="C6547" s="18">
        <f t="shared" si="102"/>
        <v>1</v>
      </c>
      <c r="D6547" t="s">
        <v>188</v>
      </c>
      <c r="E6547">
        <v>4878821</v>
      </c>
      <c r="F6547" t="s">
        <v>87</v>
      </c>
      <c r="G6547" t="s">
        <v>203</v>
      </c>
      <c r="H6547" t="s">
        <v>237</v>
      </c>
      <c r="I6547" s="4">
        <v>125766.4408</v>
      </c>
      <c r="J6547" s="4">
        <v>628832.20400000003</v>
      </c>
      <c r="L6547" s="4">
        <v>5</v>
      </c>
    </row>
    <row r="6548" spans="1:12">
      <c r="A6548" t="s">
        <v>95</v>
      </c>
      <c r="B6548" s="10">
        <v>45313</v>
      </c>
      <c r="C6548" s="18">
        <f t="shared" si="102"/>
        <v>1</v>
      </c>
      <c r="D6548" t="s">
        <v>188</v>
      </c>
      <c r="E6548">
        <v>4878821</v>
      </c>
      <c r="F6548" t="s">
        <v>87</v>
      </c>
      <c r="G6548" t="s">
        <v>203</v>
      </c>
      <c r="H6548" t="s">
        <v>229</v>
      </c>
      <c r="I6548" s="4">
        <v>125766.4408</v>
      </c>
      <c r="J6548" s="4">
        <v>628832.20400000003</v>
      </c>
      <c r="L6548" s="4">
        <v>5</v>
      </c>
    </row>
    <row r="6549" spans="1:12">
      <c r="A6549" t="s">
        <v>95</v>
      </c>
      <c r="B6549" s="10">
        <v>45314</v>
      </c>
      <c r="C6549" s="18">
        <f t="shared" si="102"/>
        <v>1</v>
      </c>
      <c r="D6549" t="s">
        <v>188</v>
      </c>
      <c r="E6549">
        <v>4878859</v>
      </c>
      <c r="F6549" t="s">
        <v>87</v>
      </c>
      <c r="G6549" t="s">
        <v>203</v>
      </c>
      <c r="H6549" t="s">
        <v>225</v>
      </c>
      <c r="I6549" s="4">
        <v>100638.28079999999</v>
      </c>
      <c r="J6549" s="4">
        <v>1006382.808</v>
      </c>
      <c r="L6549" s="4">
        <v>10</v>
      </c>
    </row>
    <row r="6550" spans="1:12">
      <c r="A6550" t="s">
        <v>95</v>
      </c>
      <c r="B6550" s="10">
        <v>45314</v>
      </c>
      <c r="C6550" s="18">
        <f t="shared" si="102"/>
        <v>1</v>
      </c>
      <c r="D6550" t="s">
        <v>188</v>
      </c>
      <c r="E6550">
        <v>4878040</v>
      </c>
      <c r="F6550" t="s">
        <v>88</v>
      </c>
      <c r="G6550" t="s">
        <v>203</v>
      </c>
      <c r="H6550" t="s">
        <v>229</v>
      </c>
      <c r="I6550" s="4">
        <v>125766.4408</v>
      </c>
      <c r="J6550" s="4">
        <v>503065.76319999999</v>
      </c>
      <c r="L6550" s="4">
        <v>4</v>
      </c>
    </row>
    <row r="6551" spans="1:12">
      <c r="A6551" t="s">
        <v>95</v>
      </c>
      <c r="B6551" s="10">
        <v>45315</v>
      </c>
      <c r="C6551" s="18">
        <f t="shared" si="102"/>
        <v>1</v>
      </c>
      <c r="D6551" t="s">
        <v>188</v>
      </c>
      <c r="E6551">
        <v>4876465</v>
      </c>
      <c r="F6551" t="s">
        <v>87</v>
      </c>
      <c r="G6551" t="s">
        <v>203</v>
      </c>
      <c r="H6551" t="s">
        <v>222</v>
      </c>
      <c r="I6551" s="4">
        <v>100638.28079999999</v>
      </c>
      <c r="J6551" s="4">
        <v>402553.12319999997</v>
      </c>
      <c r="L6551" s="4">
        <v>4</v>
      </c>
    </row>
    <row r="6552" spans="1:12">
      <c r="A6552" t="s">
        <v>95</v>
      </c>
      <c r="B6552" s="10">
        <v>45315</v>
      </c>
      <c r="C6552" s="18">
        <f t="shared" si="102"/>
        <v>1</v>
      </c>
      <c r="D6552" t="s">
        <v>188</v>
      </c>
      <c r="E6552">
        <v>4876465</v>
      </c>
      <c r="F6552" t="s">
        <v>87</v>
      </c>
      <c r="G6552" t="s">
        <v>203</v>
      </c>
      <c r="H6552" t="s">
        <v>229</v>
      </c>
      <c r="I6552" s="4">
        <v>125766.4408</v>
      </c>
      <c r="J6552" s="4">
        <v>503065.76319999999</v>
      </c>
      <c r="L6552" s="4">
        <v>4</v>
      </c>
    </row>
    <row r="6553" spans="1:12">
      <c r="A6553" t="s">
        <v>95</v>
      </c>
      <c r="B6553" s="10">
        <v>45316</v>
      </c>
      <c r="C6553" s="18">
        <f t="shared" si="102"/>
        <v>1</v>
      </c>
      <c r="D6553" t="s">
        <v>188</v>
      </c>
      <c r="E6553">
        <v>4878830</v>
      </c>
      <c r="F6553" t="s">
        <v>90</v>
      </c>
      <c r="G6553" t="s">
        <v>203</v>
      </c>
      <c r="H6553" t="s">
        <v>225</v>
      </c>
      <c r="I6553" s="4">
        <v>100638.28079999999</v>
      </c>
      <c r="J6553" s="4">
        <v>402553.12319999997</v>
      </c>
      <c r="L6553" s="4">
        <v>4</v>
      </c>
    </row>
    <row r="6554" spans="1:12">
      <c r="A6554" t="s">
        <v>95</v>
      </c>
      <c r="B6554" s="10">
        <v>45318</v>
      </c>
      <c r="C6554" s="18">
        <f t="shared" si="102"/>
        <v>1</v>
      </c>
      <c r="D6554" t="s">
        <v>188</v>
      </c>
      <c r="E6554">
        <v>4876014</v>
      </c>
      <c r="F6554" t="s">
        <v>87</v>
      </c>
      <c r="G6554" t="s">
        <v>203</v>
      </c>
      <c r="H6554" t="s">
        <v>230</v>
      </c>
      <c r="I6554" s="4">
        <v>100638.28079999999</v>
      </c>
      <c r="J6554" s="4">
        <v>603829.68479999993</v>
      </c>
      <c r="L6554" s="4">
        <v>6</v>
      </c>
    </row>
    <row r="6555" spans="1:12">
      <c r="A6555" t="s">
        <v>95</v>
      </c>
      <c r="B6555" s="10">
        <v>45318</v>
      </c>
      <c r="C6555" s="18">
        <f t="shared" si="102"/>
        <v>1</v>
      </c>
      <c r="D6555" t="s">
        <v>188</v>
      </c>
      <c r="E6555">
        <v>4879049</v>
      </c>
      <c r="F6555" t="s">
        <v>89</v>
      </c>
      <c r="G6555" t="s">
        <v>203</v>
      </c>
      <c r="H6555" t="s">
        <v>222</v>
      </c>
      <c r="I6555" s="4">
        <v>100638.28079999999</v>
      </c>
      <c r="J6555" s="4">
        <v>1408935.9312</v>
      </c>
      <c r="K6555" s="4">
        <v>-37993.77792</v>
      </c>
      <c r="L6555" s="4">
        <v>14</v>
      </c>
    </row>
    <row r="6556" spans="1:12">
      <c r="A6556" t="s">
        <v>95</v>
      </c>
      <c r="B6556" s="10">
        <v>45318</v>
      </c>
      <c r="C6556" s="18">
        <f t="shared" si="102"/>
        <v>1</v>
      </c>
      <c r="D6556" t="s">
        <v>188</v>
      </c>
      <c r="E6556">
        <v>4879049</v>
      </c>
      <c r="F6556" t="s">
        <v>89</v>
      </c>
      <c r="G6556" t="s">
        <v>203</v>
      </c>
      <c r="H6556" t="s">
        <v>229</v>
      </c>
      <c r="I6556" s="4">
        <v>125766.4408</v>
      </c>
      <c r="J6556" s="4">
        <v>1760730.1712</v>
      </c>
      <c r="K6556" s="4">
        <v>-49075.296480000005</v>
      </c>
      <c r="L6556" s="4">
        <v>14</v>
      </c>
    </row>
    <row r="6557" spans="1:12">
      <c r="A6557" t="s">
        <v>95</v>
      </c>
      <c r="B6557" s="10">
        <v>45319</v>
      </c>
      <c r="C6557" s="18">
        <f t="shared" si="102"/>
        <v>1</v>
      </c>
      <c r="D6557" t="s">
        <v>188</v>
      </c>
      <c r="E6557">
        <v>4878830</v>
      </c>
      <c r="F6557" t="s">
        <v>90</v>
      </c>
      <c r="G6557" t="s">
        <v>203</v>
      </c>
      <c r="H6557" t="s">
        <v>230</v>
      </c>
      <c r="I6557" s="4">
        <v>100638.28079999999</v>
      </c>
      <c r="J6557" s="4">
        <v>201276.56159999999</v>
      </c>
      <c r="L6557" s="4">
        <v>2</v>
      </c>
    </row>
    <row r="6558" spans="1:12">
      <c r="A6558" t="s">
        <v>95</v>
      </c>
      <c r="B6558" s="10">
        <v>45319</v>
      </c>
      <c r="C6558" s="18">
        <f t="shared" si="102"/>
        <v>1</v>
      </c>
      <c r="D6558" t="s">
        <v>188</v>
      </c>
      <c r="E6558">
        <v>4878830</v>
      </c>
      <c r="F6558" t="s">
        <v>90</v>
      </c>
      <c r="G6558" t="s">
        <v>203</v>
      </c>
      <c r="H6558" t="s">
        <v>225</v>
      </c>
      <c r="I6558" s="4">
        <v>100638.28079999999</v>
      </c>
      <c r="J6558" s="4">
        <v>603829.68479999993</v>
      </c>
      <c r="L6558" s="4">
        <v>6</v>
      </c>
    </row>
    <row r="6559" spans="1:12">
      <c r="A6559" t="s">
        <v>95</v>
      </c>
      <c r="B6559" s="10">
        <v>45319</v>
      </c>
      <c r="C6559" s="18">
        <f t="shared" si="102"/>
        <v>1</v>
      </c>
      <c r="D6559" t="s">
        <v>188</v>
      </c>
      <c r="E6559">
        <v>4878830</v>
      </c>
      <c r="F6559" t="s">
        <v>90</v>
      </c>
      <c r="G6559" t="s">
        <v>203</v>
      </c>
      <c r="H6559" t="s">
        <v>222</v>
      </c>
      <c r="I6559" s="4">
        <v>100638.28079999999</v>
      </c>
      <c r="J6559" s="4">
        <v>201276.56159999999</v>
      </c>
      <c r="L6559" s="4">
        <v>2</v>
      </c>
    </row>
    <row r="6560" spans="1:12">
      <c r="A6560" t="s">
        <v>95</v>
      </c>
      <c r="B6560" s="10">
        <v>45321</v>
      </c>
      <c r="C6560" s="18">
        <f t="shared" si="102"/>
        <v>1</v>
      </c>
      <c r="D6560" t="s">
        <v>188</v>
      </c>
      <c r="E6560">
        <v>4876549</v>
      </c>
      <c r="F6560" t="s">
        <v>87</v>
      </c>
      <c r="G6560" t="s">
        <v>203</v>
      </c>
      <c r="H6560" t="s">
        <v>222</v>
      </c>
      <c r="I6560" s="4">
        <v>100638.28079999999</v>
      </c>
      <c r="J6560" s="4">
        <v>402553.12319999997</v>
      </c>
      <c r="L6560" s="4">
        <v>4</v>
      </c>
    </row>
    <row r="6561" spans="1:12">
      <c r="A6561" t="s">
        <v>95</v>
      </c>
      <c r="B6561" s="10">
        <v>45321</v>
      </c>
      <c r="C6561" s="18">
        <f t="shared" si="102"/>
        <v>1</v>
      </c>
      <c r="D6561" t="s">
        <v>188</v>
      </c>
      <c r="E6561">
        <v>4876549</v>
      </c>
      <c r="F6561" t="s">
        <v>87</v>
      </c>
      <c r="G6561" t="s">
        <v>203</v>
      </c>
      <c r="H6561" t="s">
        <v>229</v>
      </c>
      <c r="I6561" s="4">
        <v>125766.4408</v>
      </c>
      <c r="J6561" s="4">
        <v>125766.4408</v>
      </c>
      <c r="L6561" s="4">
        <v>1</v>
      </c>
    </row>
    <row r="6562" spans="1:12">
      <c r="A6562" t="s">
        <v>106</v>
      </c>
      <c r="B6562" s="10">
        <v>45298</v>
      </c>
      <c r="C6562" s="18">
        <f t="shared" si="102"/>
        <v>1</v>
      </c>
      <c r="D6562" t="s">
        <v>135</v>
      </c>
      <c r="E6562">
        <v>4878797</v>
      </c>
      <c r="F6562" t="s">
        <v>88</v>
      </c>
      <c r="G6562" t="s">
        <v>204</v>
      </c>
      <c r="H6562" t="s">
        <v>219</v>
      </c>
      <c r="I6562" s="4">
        <v>44099.9208</v>
      </c>
      <c r="J6562" s="4">
        <v>88199.8416</v>
      </c>
      <c r="L6562" s="4">
        <v>2</v>
      </c>
    </row>
    <row r="6563" spans="1:12">
      <c r="A6563" t="s">
        <v>106</v>
      </c>
      <c r="B6563" s="10">
        <v>45298</v>
      </c>
      <c r="C6563" s="18">
        <f t="shared" si="102"/>
        <v>1</v>
      </c>
      <c r="D6563" t="s">
        <v>135</v>
      </c>
      <c r="E6563">
        <v>4878797</v>
      </c>
      <c r="F6563" t="s">
        <v>88</v>
      </c>
      <c r="G6563" t="s">
        <v>204</v>
      </c>
      <c r="H6563" t="s">
        <v>216</v>
      </c>
      <c r="I6563" s="4">
        <v>113202.36079999999</v>
      </c>
      <c r="J6563" s="4">
        <v>113202.36079999999</v>
      </c>
      <c r="L6563" s="4">
        <v>1</v>
      </c>
    </row>
    <row r="6564" spans="1:12">
      <c r="A6564" t="s">
        <v>106</v>
      </c>
      <c r="B6564" s="10">
        <v>45298</v>
      </c>
      <c r="C6564" s="18">
        <f t="shared" si="102"/>
        <v>1</v>
      </c>
      <c r="D6564" t="s">
        <v>135</v>
      </c>
      <c r="E6564">
        <v>4878797</v>
      </c>
      <c r="F6564" t="s">
        <v>88</v>
      </c>
      <c r="G6564" t="s">
        <v>204</v>
      </c>
      <c r="H6564" t="s">
        <v>214</v>
      </c>
      <c r="I6564" s="4">
        <v>119484.4008</v>
      </c>
      <c r="J6564" s="4">
        <v>716906.40480000002</v>
      </c>
      <c r="L6564" s="4">
        <v>6</v>
      </c>
    </row>
    <row r="6565" spans="1:12">
      <c r="A6565" t="s">
        <v>106</v>
      </c>
      <c r="B6565" s="10">
        <v>45301</v>
      </c>
      <c r="C6565" s="18">
        <f t="shared" si="102"/>
        <v>1</v>
      </c>
      <c r="D6565" t="s">
        <v>135</v>
      </c>
      <c r="E6565">
        <v>4872395</v>
      </c>
      <c r="F6565" t="s">
        <v>89</v>
      </c>
      <c r="G6565" t="s">
        <v>203</v>
      </c>
      <c r="H6565" t="s">
        <v>245</v>
      </c>
      <c r="I6565" s="4">
        <v>100638.28079999999</v>
      </c>
      <c r="J6565" s="4">
        <v>402553.12319999997</v>
      </c>
      <c r="L6565" s="4">
        <v>4</v>
      </c>
    </row>
    <row r="6566" spans="1:12">
      <c r="A6566" t="s">
        <v>106</v>
      </c>
      <c r="B6566" s="10">
        <v>45301</v>
      </c>
      <c r="C6566" s="18">
        <f t="shared" si="102"/>
        <v>1</v>
      </c>
      <c r="D6566" t="s">
        <v>135</v>
      </c>
      <c r="E6566">
        <v>4872395</v>
      </c>
      <c r="F6566" t="s">
        <v>89</v>
      </c>
      <c r="G6566" t="s">
        <v>203</v>
      </c>
      <c r="H6566" t="s">
        <v>243</v>
      </c>
      <c r="I6566" s="4">
        <v>100638.28079999999</v>
      </c>
      <c r="J6566" s="4">
        <v>402553.12319999997</v>
      </c>
      <c r="L6566" s="4">
        <v>4</v>
      </c>
    </row>
    <row r="6567" spans="1:12">
      <c r="A6567" t="s">
        <v>106</v>
      </c>
      <c r="B6567" s="10">
        <v>45301</v>
      </c>
      <c r="C6567" s="18">
        <f t="shared" si="102"/>
        <v>1</v>
      </c>
      <c r="D6567" t="s">
        <v>135</v>
      </c>
      <c r="E6567">
        <v>4872395</v>
      </c>
      <c r="F6567" t="s">
        <v>89</v>
      </c>
      <c r="G6567" t="s">
        <v>203</v>
      </c>
      <c r="H6567" t="s">
        <v>242</v>
      </c>
      <c r="I6567" s="4">
        <v>100638.28079999999</v>
      </c>
      <c r="J6567" s="4">
        <v>402553.12319999997</v>
      </c>
      <c r="L6567" s="4">
        <v>4</v>
      </c>
    </row>
    <row r="6568" spans="1:12">
      <c r="A6568" t="s">
        <v>106</v>
      </c>
      <c r="B6568" s="10">
        <v>45301</v>
      </c>
      <c r="C6568" s="18">
        <f t="shared" si="102"/>
        <v>1</v>
      </c>
      <c r="D6568" t="s">
        <v>135</v>
      </c>
      <c r="E6568">
        <v>4872395</v>
      </c>
      <c r="F6568" t="s">
        <v>89</v>
      </c>
      <c r="G6568" t="s">
        <v>203</v>
      </c>
      <c r="H6568" t="s">
        <v>240</v>
      </c>
      <c r="I6568" s="4">
        <v>100638.28079999999</v>
      </c>
      <c r="J6568" s="4">
        <v>402553.12319999997</v>
      </c>
      <c r="L6568" s="4">
        <v>4</v>
      </c>
    </row>
    <row r="6569" spans="1:12">
      <c r="A6569" t="s">
        <v>106</v>
      </c>
      <c r="B6569" s="10">
        <v>45301</v>
      </c>
      <c r="C6569" s="18">
        <f t="shared" si="102"/>
        <v>1</v>
      </c>
      <c r="D6569" t="s">
        <v>135</v>
      </c>
      <c r="E6569">
        <v>4872395</v>
      </c>
      <c r="F6569" t="s">
        <v>89</v>
      </c>
      <c r="G6569" t="s">
        <v>203</v>
      </c>
      <c r="H6569" t="s">
        <v>230</v>
      </c>
      <c r="I6569" s="4">
        <v>100638.28079999999</v>
      </c>
      <c r="J6569" s="4">
        <v>402553.12319999997</v>
      </c>
      <c r="L6569" s="4">
        <v>4</v>
      </c>
    </row>
    <row r="6570" spans="1:12">
      <c r="A6570" t="s">
        <v>106</v>
      </c>
      <c r="B6570" s="10">
        <v>45301</v>
      </c>
      <c r="C6570" s="18">
        <f t="shared" si="102"/>
        <v>1</v>
      </c>
      <c r="D6570" t="s">
        <v>135</v>
      </c>
      <c r="E6570">
        <v>4872395</v>
      </c>
      <c r="F6570" t="s">
        <v>89</v>
      </c>
      <c r="G6570" t="s">
        <v>203</v>
      </c>
      <c r="H6570" t="s">
        <v>222</v>
      </c>
      <c r="I6570" s="4">
        <v>100638.28079999999</v>
      </c>
      <c r="J6570" s="4">
        <v>402553.12319999997</v>
      </c>
      <c r="L6570" s="4">
        <v>4</v>
      </c>
    </row>
    <row r="6571" spans="1:12">
      <c r="A6571" t="s">
        <v>106</v>
      </c>
      <c r="B6571" s="10">
        <v>45301</v>
      </c>
      <c r="C6571" s="18">
        <f t="shared" si="102"/>
        <v>1</v>
      </c>
      <c r="D6571" t="s">
        <v>135</v>
      </c>
      <c r="E6571">
        <v>4872395</v>
      </c>
      <c r="F6571" t="s">
        <v>89</v>
      </c>
      <c r="G6571" t="s">
        <v>203</v>
      </c>
      <c r="H6571" t="s">
        <v>244</v>
      </c>
      <c r="I6571" s="4">
        <v>125766.4408</v>
      </c>
      <c r="J6571" s="4">
        <v>251532.88159999999</v>
      </c>
      <c r="L6571" s="4">
        <v>2</v>
      </c>
    </row>
    <row r="6572" spans="1:12">
      <c r="A6572" t="s">
        <v>106</v>
      </c>
      <c r="B6572" s="10">
        <v>45301</v>
      </c>
      <c r="C6572" s="18">
        <f t="shared" si="102"/>
        <v>1</v>
      </c>
      <c r="D6572" t="s">
        <v>135</v>
      </c>
      <c r="E6572">
        <v>4872395</v>
      </c>
      <c r="F6572" t="s">
        <v>89</v>
      </c>
      <c r="G6572" t="s">
        <v>203</v>
      </c>
      <c r="H6572" t="s">
        <v>239</v>
      </c>
      <c r="I6572" s="4">
        <v>125766.4408</v>
      </c>
      <c r="J6572" s="4">
        <v>251532.88159999999</v>
      </c>
      <c r="L6572" s="4">
        <v>2</v>
      </c>
    </row>
    <row r="6573" spans="1:12">
      <c r="A6573" t="s">
        <v>106</v>
      </c>
      <c r="B6573" s="10">
        <v>45301</v>
      </c>
      <c r="C6573" s="18">
        <f t="shared" si="102"/>
        <v>1</v>
      </c>
      <c r="D6573" t="s">
        <v>135</v>
      </c>
      <c r="E6573">
        <v>4872395</v>
      </c>
      <c r="F6573" t="s">
        <v>89</v>
      </c>
      <c r="G6573" t="s">
        <v>203</v>
      </c>
      <c r="H6573" t="s">
        <v>237</v>
      </c>
      <c r="I6573" s="4">
        <v>125766.4408</v>
      </c>
      <c r="J6573" s="4">
        <v>251532.88159999999</v>
      </c>
      <c r="L6573" s="4">
        <v>2</v>
      </c>
    </row>
    <row r="6574" spans="1:12">
      <c r="A6574" t="s">
        <v>106</v>
      </c>
      <c r="B6574" s="10">
        <v>45301</v>
      </c>
      <c r="C6574" s="18">
        <f t="shared" si="102"/>
        <v>1</v>
      </c>
      <c r="D6574" t="s">
        <v>135</v>
      </c>
      <c r="E6574">
        <v>4872395</v>
      </c>
      <c r="F6574" t="s">
        <v>89</v>
      </c>
      <c r="G6574" t="s">
        <v>203</v>
      </c>
      <c r="H6574" t="s">
        <v>229</v>
      </c>
      <c r="I6574" s="4">
        <v>125766.4408</v>
      </c>
      <c r="J6574" s="4">
        <v>251532.88159999999</v>
      </c>
      <c r="L6574" s="4">
        <v>2</v>
      </c>
    </row>
    <row r="6575" spans="1:12">
      <c r="A6575" t="s">
        <v>106</v>
      </c>
      <c r="B6575" s="10">
        <v>45301</v>
      </c>
      <c r="C6575" s="18">
        <f t="shared" si="102"/>
        <v>1</v>
      </c>
      <c r="D6575" t="s">
        <v>135</v>
      </c>
      <c r="E6575">
        <v>4872844</v>
      </c>
      <c r="F6575" t="s">
        <v>88</v>
      </c>
      <c r="G6575" t="s">
        <v>203</v>
      </c>
      <c r="H6575" t="s">
        <v>234</v>
      </c>
      <c r="I6575" s="4">
        <v>100638.28079999999</v>
      </c>
      <c r="J6575" s="4">
        <v>603829.68479999993</v>
      </c>
      <c r="L6575" s="4">
        <v>6</v>
      </c>
    </row>
    <row r="6576" spans="1:12">
      <c r="A6576" t="s">
        <v>106</v>
      </c>
      <c r="B6576" s="10">
        <v>45301</v>
      </c>
      <c r="C6576" s="18">
        <f t="shared" si="102"/>
        <v>1</v>
      </c>
      <c r="D6576" t="s">
        <v>135</v>
      </c>
      <c r="E6576">
        <v>4873291</v>
      </c>
      <c r="F6576" t="s">
        <v>89</v>
      </c>
      <c r="G6576" t="s">
        <v>203</v>
      </c>
      <c r="H6576" t="s">
        <v>245</v>
      </c>
      <c r="I6576" s="4">
        <v>100638.28079999999</v>
      </c>
      <c r="J6576" s="4">
        <v>402553.12319999997</v>
      </c>
      <c r="L6576" s="4">
        <v>4</v>
      </c>
    </row>
    <row r="6577" spans="1:12">
      <c r="A6577" t="s">
        <v>106</v>
      </c>
      <c r="B6577" s="10">
        <v>45301</v>
      </c>
      <c r="C6577" s="18">
        <f t="shared" si="102"/>
        <v>1</v>
      </c>
      <c r="D6577" t="s">
        <v>135</v>
      </c>
      <c r="E6577">
        <v>4873291</v>
      </c>
      <c r="F6577" t="s">
        <v>89</v>
      </c>
      <c r="G6577" t="s">
        <v>203</v>
      </c>
      <c r="H6577" t="s">
        <v>240</v>
      </c>
      <c r="I6577" s="4">
        <v>100638.28079999999</v>
      </c>
      <c r="J6577" s="4">
        <v>402553.12319999997</v>
      </c>
      <c r="L6577" s="4">
        <v>4</v>
      </c>
    </row>
    <row r="6578" spans="1:12">
      <c r="A6578" t="s">
        <v>106</v>
      </c>
      <c r="B6578" s="10">
        <v>45301</v>
      </c>
      <c r="C6578" s="18">
        <f t="shared" si="102"/>
        <v>1</v>
      </c>
      <c r="D6578" t="s">
        <v>135</v>
      </c>
      <c r="E6578">
        <v>4873291</v>
      </c>
      <c r="F6578" t="s">
        <v>89</v>
      </c>
      <c r="G6578" t="s">
        <v>203</v>
      </c>
      <c r="H6578" t="s">
        <v>232</v>
      </c>
      <c r="I6578" s="4">
        <v>100638.28079999999</v>
      </c>
      <c r="J6578" s="4">
        <v>402553.12319999997</v>
      </c>
      <c r="L6578" s="4">
        <v>4</v>
      </c>
    </row>
    <row r="6579" spans="1:12">
      <c r="A6579" t="s">
        <v>106</v>
      </c>
      <c r="B6579" s="10">
        <v>45301</v>
      </c>
      <c r="C6579" s="18">
        <f t="shared" si="102"/>
        <v>1</v>
      </c>
      <c r="D6579" t="s">
        <v>135</v>
      </c>
      <c r="E6579">
        <v>4873291</v>
      </c>
      <c r="F6579" t="s">
        <v>89</v>
      </c>
      <c r="G6579" t="s">
        <v>203</v>
      </c>
      <c r="H6579" t="s">
        <v>230</v>
      </c>
      <c r="I6579" s="4">
        <v>100638.28079999999</v>
      </c>
      <c r="J6579" s="4">
        <v>402553.12319999997</v>
      </c>
      <c r="L6579" s="4">
        <v>4</v>
      </c>
    </row>
    <row r="6580" spans="1:12">
      <c r="A6580" t="s">
        <v>106</v>
      </c>
      <c r="B6580" s="10">
        <v>45301</v>
      </c>
      <c r="C6580" s="18">
        <f t="shared" si="102"/>
        <v>1</v>
      </c>
      <c r="D6580" t="s">
        <v>135</v>
      </c>
      <c r="E6580">
        <v>4873291</v>
      </c>
      <c r="F6580" t="s">
        <v>89</v>
      </c>
      <c r="G6580" t="s">
        <v>203</v>
      </c>
      <c r="H6580" t="s">
        <v>223</v>
      </c>
      <c r="I6580" s="4">
        <v>100638.28079999999</v>
      </c>
      <c r="J6580" s="4">
        <v>402553.12319999997</v>
      </c>
      <c r="L6580" s="4">
        <v>4</v>
      </c>
    </row>
    <row r="6581" spans="1:12">
      <c r="A6581" t="s">
        <v>106</v>
      </c>
      <c r="B6581" s="10">
        <v>45302</v>
      </c>
      <c r="C6581" s="18">
        <f t="shared" si="102"/>
        <v>1</v>
      </c>
      <c r="D6581" t="s">
        <v>135</v>
      </c>
      <c r="E6581">
        <v>4872839</v>
      </c>
      <c r="F6581" t="s">
        <v>89</v>
      </c>
      <c r="G6581" t="s">
        <v>203</v>
      </c>
      <c r="H6581" t="s">
        <v>222</v>
      </c>
      <c r="I6581" s="4">
        <v>100638.28079999999</v>
      </c>
      <c r="J6581" s="4">
        <v>1006382.808</v>
      </c>
      <c r="L6581" s="4">
        <v>10</v>
      </c>
    </row>
    <row r="6582" spans="1:12">
      <c r="A6582" t="s">
        <v>106</v>
      </c>
      <c r="B6582" s="10">
        <v>45302</v>
      </c>
      <c r="C6582" s="18">
        <f t="shared" si="102"/>
        <v>1</v>
      </c>
      <c r="D6582" t="s">
        <v>135</v>
      </c>
      <c r="E6582">
        <v>4873659</v>
      </c>
      <c r="F6582" t="s">
        <v>89</v>
      </c>
      <c r="G6582" t="s">
        <v>203</v>
      </c>
      <c r="H6582" t="s">
        <v>243</v>
      </c>
      <c r="I6582" s="4">
        <v>100638.28079999999</v>
      </c>
      <c r="J6582" s="4">
        <v>402553.12319999997</v>
      </c>
      <c r="L6582" s="4">
        <v>4</v>
      </c>
    </row>
    <row r="6583" spans="1:12">
      <c r="A6583" t="s">
        <v>106</v>
      </c>
      <c r="B6583" s="10">
        <v>45302</v>
      </c>
      <c r="C6583" s="18">
        <f t="shared" si="102"/>
        <v>1</v>
      </c>
      <c r="D6583" t="s">
        <v>135</v>
      </c>
      <c r="E6583">
        <v>4873659</v>
      </c>
      <c r="F6583" t="s">
        <v>89</v>
      </c>
      <c r="G6583" t="s">
        <v>203</v>
      </c>
      <c r="H6583" t="s">
        <v>236</v>
      </c>
      <c r="I6583" s="4">
        <v>100638.28079999999</v>
      </c>
      <c r="J6583" s="4">
        <v>402553.12319999997</v>
      </c>
      <c r="L6583" s="4">
        <v>4</v>
      </c>
    </row>
    <row r="6584" spans="1:12">
      <c r="A6584" t="s">
        <v>106</v>
      </c>
      <c r="B6584" s="10">
        <v>45302</v>
      </c>
      <c r="C6584" s="18">
        <f t="shared" si="102"/>
        <v>1</v>
      </c>
      <c r="D6584" t="s">
        <v>135</v>
      </c>
      <c r="E6584">
        <v>4873659</v>
      </c>
      <c r="F6584" t="s">
        <v>89</v>
      </c>
      <c r="G6584" t="s">
        <v>203</v>
      </c>
      <c r="H6584" t="s">
        <v>228</v>
      </c>
      <c r="I6584" s="4">
        <v>100638.28079999999</v>
      </c>
      <c r="J6584" s="4">
        <v>402553.12319999997</v>
      </c>
      <c r="L6584" s="4">
        <v>4</v>
      </c>
    </row>
    <row r="6585" spans="1:12">
      <c r="A6585" t="s">
        <v>106</v>
      </c>
      <c r="B6585" s="10">
        <v>45302</v>
      </c>
      <c r="C6585" s="18">
        <f t="shared" si="102"/>
        <v>1</v>
      </c>
      <c r="D6585" t="s">
        <v>135</v>
      </c>
      <c r="E6585">
        <v>4873659</v>
      </c>
      <c r="F6585" t="s">
        <v>89</v>
      </c>
      <c r="G6585" t="s">
        <v>203</v>
      </c>
      <c r="H6585" t="s">
        <v>227</v>
      </c>
      <c r="I6585" s="4">
        <v>100638.28079999999</v>
      </c>
      <c r="J6585" s="4">
        <v>402553.12319999997</v>
      </c>
      <c r="L6585" s="4">
        <v>4</v>
      </c>
    </row>
    <row r="6586" spans="1:12">
      <c r="A6586" t="s">
        <v>106</v>
      </c>
      <c r="B6586" s="10">
        <v>45302</v>
      </c>
      <c r="C6586" s="18">
        <f t="shared" si="102"/>
        <v>1</v>
      </c>
      <c r="D6586" t="s">
        <v>135</v>
      </c>
      <c r="E6586">
        <v>4873659</v>
      </c>
      <c r="F6586" t="s">
        <v>89</v>
      </c>
      <c r="G6586" t="s">
        <v>203</v>
      </c>
      <c r="H6586" t="s">
        <v>225</v>
      </c>
      <c r="I6586" s="4">
        <v>100638.28079999999</v>
      </c>
      <c r="J6586" s="4">
        <v>402553.12319999997</v>
      </c>
      <c r="L6586" s="4">
        <v>4</v>
      </c>
    </row>
    <row r="6587" spans="1:12">
      <c r="A6587" t="s">
        <v>106</v>
      </c>
      <c r="B6587" s="10">
        <v>45302</v>
      </c>
      <c r="C6587" s="18">
        <f t="shared" si="102"/>
        <v>1</v>
      </c>
      <c r="D6587" t="s">
        <v>135</v>
      </c>
      <c r="E6587">
        <v>4873659</v>
      </c>
      <c r="F6587" t="s">
        <v>89</v>
      </c>
      <c r="G6587" t="s">
        <v>203</v>
      </c>
      <c r="H6587" t="s">
        <v>244</v>
      </c>
      <c r="I6587" s="4">
        <v>125766.4408</v>
      </c>
      <c r="J6587" s="4">
        <v>503065.76319999999</v>
      </c>
      <c r="L6587" s="4">
        <v>4</v>
      </c>
    </row>
    <row r="6588" spans="1:12">
      <c r="A6588" t="s">
        <v>106</v>
      </c>
      <c r="B6588" s="10">
        <v>45302</v>
      </c>
      <c r="C6588" s="18">
        <f t="shared" si="102"/>
        <v>1</v>
      </c>
      <c r="D6588" t="s">
        <v>135</v>
      </c>
      <c r="E6588">
        <v>4873659</v>
      </c>
      <c r="F6588" t="s">
        <v>89</v>
      </c>
      <c r="G6588" t="s">
        <v>203</v>
      </c>
      <c r="H6588" t="s">
        <v>239</v>
      </c>
      <c r="I6588" s="4">
        <v>125766.4408</v>
      </c>
      <c r="J6588" s="4">
        <v>503065.76319999999</v>
      </c>
      <c r="L6588" s="4">
        <v>4</v>
      </c>
    </row>
    <row r="6589" spans="1:12">
      <c r="A6589" t="s">
        <v>106</v>
      </c>
      <c r="B6589" s="10">
        <v>45302</v>
      </c>
      <c r="C6589" s="18">
        <f t="shared" si="102"/>
        <v>1</v>
      </c>
      <c r="D6589" t="s">
        <v>135</v>
      </c>
      <c r="E6589">
        <v>4873659</v>
      </c>
      <c r="F6589" t="s">
        <v>89</v>
      </c>
      <c r="G6589" t="s">
        <v>203</v>
      </c>
      <c r="H6589" t="s">
        <v>237</v>
      </c>
      <c r="I6589" s="4">
        <v>125766.4408</v>
      </c>
      <c r="J6589" s="4">
        <v>503065.76319999999</v>
      </c>
      <c r="L6589" s="4">
        <v>4</v>
      </c>
    </row>
    <row r="6590" spans="1:12">
      <c r="A6590" t="s">
        <v>106</v>
      </c>
      <c r="B6590" s="10">
        <v>45302</v>
      </c>
      <c r="C6590" s="18">
        <f t="shared" si="102"/>
        <v>1</v>
      </c>
      <c r="D6590" t="s">
        <v>135</v>
      </c>
      <c r="E6590">
        <v>4873659</v>
      </c>
      <c r="F6590" t="s">
        <v>89</v>
      </c>
      <c r="G6590" t="s">
        <v>203</v>
      </c>
      <c r="H6590" t="s">
        <v>229</v>
      </c>
      <c r="I6590" s="4">
        <v>125766.4408</v>
      </c>
      <c r="J6590" s="4">
        <v>503065.76319999999</v>
      </c>
      <c r="L6590" s="4">
        <v>4</v>
      </c>
    </row>
    <row r="6591" spans="1:12">
      <c r="A6591" t="s">
        <v>106</v>
      </c>
      <c r="B6591" s="10">
        <v>45302</v>
      </c>
      <c r="C6591" s="18">
        <f t="shared" si="102"/>
        <v>1</v>
      </c>
      <c r="D6591" t="s">
        <v>135</v>
      </c>
      <c r="E6591">
        <v>4878797</v>
      </c>
      <c r="F6591" t="s">
        <v>88</v>
      </c>
      <c r="G6591" t="s">
        <v>203</v>
      </c>
      <c r="H6591" t="s">
        <v>245</v>
      </c>
      <c r="I6591" s="4">
        <v>100638.28079999999</v>
      </c>
      <c r="J6591" s="4">
        <v>603829.68479999993</v>
      </c>
      <c r="L6591" s="4">
        <v>6</v>
      </c>
    </row>
    <row r="6592" spans="1:12">
      <c r="A6592" t="s">
        <v>106</v>
      </c>
      <c r="B6592" s="10">
        <v>45302</v>
      </c>
      <c r="C6592" s="18">
        <f t="shared" si="102"/>
        <v>1</v>
      </c>
      <c r="D6592" t="s">
        <v>135</v>
      </c>
      <c r="E6592">
        <v>4878797</v>
      </c>
      <c r="F6592" t="s">
        <v>88</v>
      </c>
      <c r="G6592" t="s">
        <v>203</v>
      </c>
      <c r="H6592" t="s">
        <v>236</v>
      </c>
      <c r="I6592" s="4">
        <v>100638.28079999999</v>
      </c>
      <c r="J6592" s="4">
        <v>805106.24639999995</v>
      </c>
      <c r="L6592" s="4">
        <v>8</v>
      </c>
    </row>
    <row r="6593" spans="1:12">
      <c r="A6593" t="s">
        <v>106</v>
      </c>
      <c r="B6593" s="10">
        <v>45302</v>
      </c>
      <c r="C6593" s="18">
        <f t="shared" si="102"/>
        <v>1</v>
      </c>
      <c r="D6593" t="s">
        <v>135</v>
      </c>
      <c r="E6593">
        <v>4878797</v>
      </c>
      <c r="F6593" t="s">
        <v>88</v>
      </c>
      <c r="G6593" t="s">
        <v>203</v>
      </c>
      <c r="H6593" t="s">
        <v>234</v>
      </c>
      <c r="I6593" s="4">
        <v>100638.28079999999</v>
      </c>
      <c r="J6593" s="4">
        <v>1006382.808</v>
      </c>
      <c r="L6593" s="4">
        <v>10</v>
      </c>
    </row>
    <row r="6594" spans="1:12">
      <c r="A6594" t="s">
        <v>106</v>
      </c>
      <c r="B6594" s="10">
        <v>45302</v>
      </c>
      <c r="C6594" s="18">
        <f t="shared" ref="C6594:C6657" si="103">MONTH(B6594)</f>
        <v>1</v>
      </c>
      <c r="D6594" t="s">
        <v>135</v>
      </c>
      <c r="E6594">
        <v>4878797</v>
      </c>
      <c r="F6594" t="s">
        <v>88</v>
      </c>
      <c r="G6594" t="s">
        <v>203</v>
      </c>
      <c r="H6594" t="s">
        <v>232</v>
      </c>
      <c r="I6594" s="4">
        <v>100638.28079999999</v>
      </c>
      <c r="J6594" s="4">
        <v>603829.68479999993</v>
      </c>
      <c r="L6594" s="4">
        <v>6</v>
      </c>
    </row>
    <row r="6595" spans="1:12">
      <c r="A6595" t="s">
        <v>106</v>
      </c>
      <c r="B6595" s="10">
        <v>45302</v>
      </c>
      <c r="C6595" s="18">
        <f t="shared" si="103"/>
        <v>1</v>
      </c>
      <c r="D6595" t="s">
        <v>135</v>
      </c>
      <c r="E6595">
        <v>4878797</v>
      </c>
      <c r="F6595" t="s">
        <v>88</v>
      </c>
      <c r="G6595" t="s">
        <v>203</v>
      </c>
      <c r="H6595" t="s">
        <v>227</v>
      </c>
      <c r="I6595" s="4">
        <v>100638.28079999999</v>
      </c>
      <c r="J6595" s="4">
        <v>402553.12319999997</v>
      </c>
      <c r="L6595" s="4">
        <v>4</v>
      </c>
    </row>
    <row r="6596" spans="1:12">
      <c r="A6596" t="s">
        <v>106</v>
      </c>
      <c r="B6596" s="10">
        <v>45302</v>
      </c>
      <c r="C6596" s="18">
        <f t="shared" si="103"/>
        <v>1</v>
      </c>
      <c r="D6596" t="s">
        <v>135</v>
      </c>
      <c r="E6596">
        <v>4878797</v>
      </c>
      <c r="F6596" t="s">
        <v>88</v>
      </c>
      <c r="G6596" t="s">
        <v>204</v>
      </c>
      <c r="H6596" t="s">
        <v>212</v>
      </c>
      <c r="I6596" s="4">
        <v>62946.040799999995</v>
      </c>
      <c r="J6596" s="4">
        <v>629460.40799999994</v>
      </c>
      <c r="L6596" s="4">
        <v>10</v>
      </c>
    </row>
    <row r="6597" spans="1:12">
      <c r="A6597" t="s">
        <v>106</v>
      </c>
      <c r="B6597" s="10">
        <v>45302</v>
      </c>
      <c r="C6597" s="18">
        <f t="shared" si="103"/>
        <v>1</v>
      </c>
      <c r="D6597" t="s">
        <v>135</v>
      </c>
      <c r="E6597">
        <v>4872948</v>
      </c>
      <c r="F6597" t="s">
        <v>88</v>
      </c>
      <c r="G6597" t="s">
        <v>203</v>
      </c>
      <c r="H6597" t="s">
        <v>242</v>
      </c>
      <c r="I6597" s="4">
        <v>100638.28079999999</v>
      </c>
      <c r="J6597" s="4">
        <v>1006382.808</v>
      </c>
      <c r="L6597" s="4">
        <v>10</v>
      </c>
    </row>
    <row r="6598" spans="1:12">
      <c r="A6598" t="s">
        <v>106</v>
      </c>
      <c r="B6598" s="10">
        <v>45302</v>
      </c>
      <c r="C6598" s="18">
        <f t="shared" si="103"/>
        <v>1</v>
      </c>
      <c r="D6598" t="s">
        <v>135</v>
      </c>
      <c r="E6598">
        <v>4872948</v>
      </c>
      <c r="F6598" t="s">
        <v>88</v>
      </c>
      <c r="G6598" t="s">
        <v>203</v>
      </c>
      <c r="H6598" t="s">
        <v>240</v>
      </c>
      <c r="I6598" s="4">
        <v>100638.28079999999</v>
      </c>
      <c r="J6598" s="4">
        <v>402553.12319999997</v>
      </c>
      <c r="L6598" s="4">
        <v>4</v>
      </c>
    </row>
    <row r="6599" spans="1:12">
      <c r="A6599" t="s">
        <v>106</v>
      </c>
      <c r="B6599" s="10">
        <v>45302</v>
      </c>
      <c r="C6599" s="18">
        <f t="shared" si="103"/>
        <v>1</v>
      </c>
      <c r="D6599" t="s">
        <v>135</v>
      </c>
      <c r="E6599">
        <v>4872948</v>
      </c>
      <c r="F6599" t="s">
        <v>88</v>
      </c>
      <c r="G6599" t="s">
        <v>203</v>
      </c>
      <c r="H6599" t="s">
        <v>227</v>
      </c>
      <c r="I6599" s="4">
        <v>100638.28079999999</v>
      </c>
      <c r="J6599" s="4">
        <v>1006382.808</v>
      </c>
      <c r="L6599" s="4">
        <v>10</v>
      </c>
    </row>
    <row r="6600" spans="1:12">
      <c r="A6600" t="s">
        <v>106</v>
      </c>
      <c r="B6600" s="10">
        <v>45302</v>
      </c>
      <c r="C6600" s="18">
        <f t="shared" si="103"/>
        <v>1</v>
      </c>
      <c r="D6600" t="s">
        <v>135</v>
      </c>
      <c r="E6600">
        <v>4872948</v>
      </c>
      <c r="F6600" t="s">
        <v>88</v>
      </c>
      <c r="G6600" t="s">
        <v>203</v>
      </c>
      <c r="H6600" t="s">
        <v>223</v>
      </c>
      <c r="I6600" s="4">
        <v>100638.28079999999</v>
      </c>
      <c r="J6600" s="4">
        <v>402553.12319999997</v>
      </c>
      <c r="L6600" s="4">
        <v>4</v>
      </c>
    </row>
    <row r="6601" spans="1:12">
      <c r="A6601" t="s">
        <v>106</v>
      </c>
      <c r="B6601" s="10">
        <v>45302</v>
      </c>
      <c r="C6601" s="18">
        <f t="shared" si="103"/>
        <v>1</v>
      </c>
      <c r="D6601" t="s">
        <v>135</v>
      </c>
      <c r="E6601">
        <v>4872948</v>
      </c>
      <c r="F6601" t="s">
        <v>88</v>
      </c>
      <c r="G6601" t="s">
        <v>203</v>
      </c>
      <c r="H6601" t="s">
        <v>241</v>
      </c>
      <c r="I6601" s="4">
        <v>125766.4408</v>
      </c>
      <c r="J6601" s="4">
        <v>1257664.4080000001</v>
      </c>
      <c r="L6601" s="4">
        <v>10</v>
      </c>
    </row>
    <row r="6602" spans="1:12">
      <c r="A6602" t="s">
        <v>106</v>
      </c>
      <c r="B6602" s="10">
        <v>45302</v>
      </c>
      <c r="C6602" s="18">
        <f t="shared" si="103"/>
        <v>1</v>
      </c>
      <c r="D6602" t="s">
        <v>135</v>
      </c>
      <c r="E6602">
        <v>4872948</v>
      </c>
      <c r="F6602" t="s">
        <v>88</v>
      </c>
      <c r="G6602" t="s">
        <v>203</v>
      </c>
      <c r="H6602" t="s">
        <v>239</v>
      </c>
      <c r="I6602" s="4">
        <v>125766.4408</v>
      </c>
      <c r="J6602" s="4">
        <v>628832.20400000003</v>
      </c>
      <c r="L6602" s="4">
        <v>5</v>
      </c>
    </row>
    <row r="6603" spans="1:12">
      <c r="A6603" t="s">
        <v>106</v>
      </c>
      <c r="B6603" s="10">
        <v>45302</v>
      </c>
      <c r="C6603" s="18">
        <f t="shared" si="103"/>
        <v>1</v>
      </c>
      <c r="D6603" t="s">
        <v>135</v>
      </c>
      <c r="E6603">
        <v>4872948</v>
      </c>
      <c r="F6603" t="s">
        <v>88</v>
      </c>
      <c r="G6603" t="s">
        <v>203</v>
      </c>
      <c r="H6603" t="s">
        <v>233</v>
      </c>
      <c r="I6603" s="4">
        <v>120735.78316800001</v>
      </c>
      <c r="J6603" s="4">
        <v>1207357.8316800001</v>
      </c>
      <c r="L6603" s="4">
        <v>10</v>
      </c>
    </row>
    <row r="6604" spans="1:12">
      <c r="A6604" t="s">
        <v>106</v>
      </c>
      <c r="B6604" s="10">
        <v>45302</v>
      </c>
      <c r="C6604" s="18">
        <f t="shared" si="103"/>
        <v>1</v>
      </c>
      <c r="D6604" t="s">
        <v>135</v>
      </c>
      <c r="E6604">
        <v>4876383</v>
      </c>
      <c r="F6604" t="s">
        <v>90</v>
      </c>
      <c r="G6604" t="s">
        <v>203</v>
      </c>
      <c r="H6604" t="s">
        <v>236</v>
      </c>
      <c r="I6604" s="4">
        <v>100638.28079999999</v>
      </c>
      <c r="J6604" s="4">
        <v>201276.56159999999</v>
      </c>
      <c r="L6604" s="4">
        <v>2</v>
      </c>
    </row>
    <row r="6605" spans="1:12">
      <c r="A6605" t="s">
        <v>106</v>
      </c>
      <c r="B6605" s="10">
        <v>45302</v>
      </c>
      <c r="C6605" s="18">
        <f t="shared" si="103"/>
        <v>1</v>
      </c>
      <c r="D6605" t="s">
        <v>135</v>
      </c>
      <c r="E6605">
        <v>4876383</v>
      </c>
      <c r="F6605" t="s">
        <v>90</v>
      </c>
      <c r="G6605" t="s">
        <v>203</v>
      </c>
      <c r="H6605" t="s">
        <v>227</v>
      </c>
      <c r="I6605" s="4">
        <v>100638.28079999999</v>
      </c>
      <c r="J6605" s="4">
        <v>201276.56159999999</v>
      </c>
      <c r="L6605" s="4">
        <v>2</v>
      </c>
    </row>
    <row r="6606" spans="1:12">
      <c r="A6606" t="s">
        <v>106</v>
      </c>
      <c r="B6606" s="10">
        <v>45302</v>
      </c>
      <c r="C6606" s="18">
        <f t="shared" si="103"/>
        <v>1</v>
      </c>
      <c r="D6606" t="s">
        <v>135</v>
      </c>
      <c r="E6606">
        <v>4876383</v>
      </c>
      <c r="F6606" t="s">
        <v>90</v>
      </c>
      <c r="G6606" t="s">
        <v>203</v>
      </c>
      <c r="H6606" t="s">
        <v>224</v>
      </c>
      <c r="I6606" s="4">
        <v>100638.28079999999</v>
      </c>
      <c r="J6606" s="4">
        <v>201276.56159999999</v>
      </c>
      <c r="L6606" s="4">
        <v>2</v>
      </c>
    </row>
    <row r="6607" spans="1:12">
      <c r="A6607" t="s">
        <v>106</v>
      </c>
      <c r="B6607" s="10">
        <v>45302</v>
      </c>
      <c r="C6607" s="18">
        <f t="shared" si="103"/>
        <v>1</v>
      </c>
      <c r="D6607" t="s">
        <v>135</v>
      </c>
      <c r="E6607">
        <v>4876383</v>
      </c>
      <c r="F6607" t="s">
        <v>90</v>
      </c>
      <c r="G6607" t="s">
        <v>203</v>
      </c>
      <c r="H6607" t="s">
        <v>223</v>
      </c>
      <c r="I6607" s="4">
        <v>100638.28079999999</v>
      </c>
      <c r="J6607" s="4">
        <v>201276.56159999999</v>
      </c>
      <c r="L6607" s="4">
        <v>2</v>
      </c>
    </row>
    <row r="6608" spans="1:12">
      <c r="A6608" t="s">
        <v>106</v>
      </c>
      <c r="B6608" s="10">
        <v>45302</v>
      </c>
      <c r="C6608" s="18">
        <f t="shared" si="103"/>
        <v>1</v>
      </c>
      <c r="D6608" t="s">
        <v>135</v>
      </c>
      <c r="E6608">
        <v>4876383</v>
      </c>
      <c r="F6608" t="s">
        <v>90</v>
      </c>
      <c r="G6608" t="s">
        <v>203</v>
      </c>
      <c r="H6608" t="s">
        <v>222</v>
      </c>
      <c r="I6608" s="4">
        <v>100638.28079999999</v>
      </c>
      <c r="J6608" s="4">
        <v>201276.56159999999</v>
      </c>
      <c r="L6608" s="4">
        <v>2</v>
      </c>
    </row>
    <row r="6609" spans="1:12">
      <c r="A6609" t="s">
        <v>106</v>
      </c>
      <c r="B6609" s="10">
        <v>45302</v>
      </c>
      <c r="C6609" s="18">
        <f t="shared" si="103"/>
        <v>1</v>
      </c>
      <c r="D6609" t="s">
        <v>135</v>
      </c>
      <c r="E6609">
        <v>4878582</v>
      </c>
      <c r="F6609" t="s">
        <v>90</v>
      </c>
      <c r="G6609" t="s">
        <v>203</v>
      </c>
      <c r="H6609" t="s">
        <v>232</v>
      </c>
      <c r="I6609" s="4">
        <v>100638.28079999999</v>
      </c>
      <c r="J6609" s="4">
        <v>201276.56159999999</v>
      </c>
      <c r="L6609" s="4">
        <v>2</v>
      </c>
    </row>
    <row r="6610" spans="1:12">
      <c r="A6610" t="s">
        <v>106</v>
      </c>
      <c r="B6610" s="10">
        <v>45302</v>
      </c>
      <c r="C6610" s="18">
        <f t="shared" si="103"/>
        <v>1</v>
      </c>
      <c r="D6610" t="s">
        <v>135</v>
      </c>
      <c r="E6610">
        <v>4878582</v>
      </c>
      <c r="F6610" t="s">
        <v>90</v>
      </c>
      <c r="G6610" t="s">
        <v>203</v>
      </c>
      <c r="H6610" t="s">
        <v>225</v>
      </c>
      <c r="I6610" s="4">
        <v>100638.28079999999</v>
      </c>
      <c r="J6610" s="4">
        <v>201276.56159999999</v>
      </c>
      <c r="L6610" s="4">
        <v>2</v>
      </c>
    </row>
    <row r="6611" spans="1:12">
      <c r="A6611" t="s">
        <v>106</v>
      </c>
      <c r="B6611" s="10">
        <v>45302</v>
      </c>
      <c r="C6611" s="18">
        <f t="shared" si="103"/>
        <v>1</v>
      </c>
      <c r="D6611" t="s">
        <v>135</v>
      </c>
      <c r="E6611">
        <v>4878582</v>
      </c>
      <c r="F6611" t="s">
        <v>90</v>
      </c>
      <c r="G6611" t="s">
        <v>203</v>
      </c>
      <c r="H6611" t="s">
        <v>224</v>
      </c>
      <c r="I6611" s="4">
        <v>100638.28079999999</v>
      </c>
      <c r="J6611" s="4">
        <v>201276.56159999999</v>
      </c>
      <c r="L6611" s="4">
        <v>2</v>
      </c>
    </row>
    <row r="6612" spans="1:12">
      <c r="A6612" t="s">
        <v>106</v>
      </c>
      <c r="B6612" s="10">
        <v>45302</v>
      </c>
      <c r="C6612" s="18">
        <f t="shared" si="103"/>
        <v>1</v>
      </c>
      <c r="D6612" t="s">
        <v>135</v>
      </c>
      <c r="E6612">
        <v>4878582</v>
      </c>
      <c r="F6612" t="s">
        <v>90</v>
      </c>
      <c r="G6612" t="s">
        <v>203</v>
      </c>
      <c r="H6612" t="s">
        <v>241</v>
      </c>
      <c r="I6612" s="4">
        <v>125766.4408</v>
      </c>
      <c r="J6612" s="4">
        <v>251532.88159999999</v>
      </c>
      <c r="L6612" s="4">
        <v>2</v>
      </c>
    </row>
    <row r="6613" spans="1:12">
      <c r="A6613" t="s">
        <v>106</v>
      </c>
      <c r="B6613" s="10">
        <v>45302</v>
      </c>
      <c r="C6613" s="18">
        <f t="shared" si="103"/>
        <v>1</v>
      </c>
      <c r="D6613" t="s">
        <v>135</v>
      </c>
      <c r="E6613">
        <v>4878582</v>
      </c>
      <c r="F6613" t="s">
        <v>90</v>
      </c>
      <c r="G6613" t="s">
        <v>203</v>
      </c>
      <c r="H6613" t="s">
        <v>237</v>
      </c>
      <c r="I6613" s="4">
        <v>125766.4408</v>
      </c>
      <c r="J6613" s="4">
        <v>251532.88159999999</v>
      </c>
      <c r="L6613" s="4">
        <v>2</v>
      </c>
    </row>
    <row r="6614" spans="1:12">
      <c r="A6614" t="s">
        <v>106</v>
      </c>
      <c r="B6614" s="10">
        <v>45302</v>
      </c>
      <c r="C6614" s="18">
        <f t="shared" si="103"/>
        <v>1</v>
      </c>
      <c r="D6614" t="s">
        <v>135</v>
      </c>
      <c r="E6614">
        <v>4872614</v>
      </c>
      <c r="F6614" t="s">
        <v>90</v>
      </c>
      <c r="G6614" t="s">
        <v>203</v>
      </c>
      <c r="H6614" t="s">
        <v>245</v>
      </c>
      <c r="I6614" s="4">
        <v>100638.28079999999</v>
      </c>
      <c r="J6614" s="4">
        <v>603829.68479999993</v>
      </c>
      <c r="L6614" s="4">
        <v>6</v>
      </c>
    </row>
    <row r="6615" spans="1:12">
      <c r="A6615" t="s">
        <v>106</v>
      </c>
      <c r="B6615" s="10">
        <v>45302</v>
      </c>
      <c r="C6615" s="18">
        <f t="shared" si="103"/>
        <v>1</v>
      </c>
      <c r="D6615" t="s">
        <v>135</v>
      </c>
      <c r="E6615">
        <v>4872614</v>
      </c>
      <c r="F6615" t="s">
        <v>90</v>
      </c>
      <c r="G6615" t="s">
        <v>203</v>
      </c>
      <c r="H6615" t="s">
        <v>230</v>
      </c>
      <c r="I6615" s="4">
        <v>100638.28079999999</v>
      </c>
      <c r="J6615" s="4">
        <v>402553.12319999997</v>
      </c>
      <c r="L6615" s="4">
        <v>4</v>
      </c>
    </row>
    <row r="6616" spans="1:12">
      <c r="A6616" t="s">
        <v>106</v>
      </c>
      <c r="B6616" s="10">
        <v>45302</v>
      </c>
      <c r="C6616" s="18">
        <f t="shared" si="103"/>
        <v>1</v>
      </c>
      <c r="D6616" t="s">
        <v>135</v>
      </c>
      <c r="E6616">
        <v>4872614</v>
      </c>
      <c r="F6616" t="s">
        <v>90</v>
      </c>
      <c r="G6616" t="s">
        <v>203</v>
      </c>
      <c r="H6616" t="s">
        <v>224</v>
      </c>
      <c r="I6616" s="4">
        <v>100638.28079999999</v>
      </c>
      <c r="J6616" s="4">
        <v>402553.12319999997</v>
      </c>
      <c r="L6616" s="4">
        <v>4</v>
      </c>
    </row>
    <row r="6617" spans="1:12">
      <c r="A6617" t="s">
        <v>106</v>
      </c>
      <c r="B6617" s="10">
        <v>45302</v>
      </c>
      <c r="C6617" s="18">
        <f t="shared" si="103"/>
        <v>1</v>
      </c>
      <c r="D6617" t="s">
        <v>135</v>
      </c>
      <c r="E6617">
        <v>4872614</v>
      </c>
      <c r="F6617" t="s">
        <v>90</v>
      </c>
      <c r="G6617" t="s">
        <v>203</v>
      </c>
      <c r="H6617" t="s">
        <v>223</v>
      </c>
      <c r="I6617" s="4">
        <v>100638.28079999999</v>
      </c>
      <c r="J6617" s="4">
        <v>402553.12319999997</v>
      </c>
      <c r="L6617" s="4">
        <v>4</v>
      </c>
    </row>
    <row r="6618" spans="1:12">
      <c r="A6618" t="s">
        <v>106</v>
      </c>
      <c r="B6618" s="10">
        <v>45302</v>
      </c>
      <c r="C6618" s="18">
        <f t="shared" si="103"/>
        <v>1</v>
      </c>
      <c r="D6618" t="s">
        <v>135</v>
      </c>
      <c r="E6618">
        <v>4872614</v>
      </c>
      <c r="F6618" t="s">
        <v>90</v>
      </c>
      <c r="G6618" t="s">
        <v>203</v>
      </c>
      <c r="H6618" t="s">
        <v>244</v>
      </c>
      <c r="I6618" s="4">
        <v>125766.4408</v>
      </c>
      <c r="J6618" s="4">
        <v>503065.76319999999</v>
      </c>
      <c r="L6618" s="4">
        <v>4</v>
      </c>
    </row>
    <row r="6619" spans="1:12">
      <c r="A6619" t="s">
        <v>106</v>
      </c>
      <c r="B6619" s="10">
        <v>45302</v>
      </c>
      <c r="C6619" s="18">
        <f t="shared" si="103"/>
        <v>1</v>
      </c>
      <c r="D6619" t="s">
        <v>135</v>
      </c>
      <c r="E6619">
        <v>4872614</v>
      </c>
      <c r="F6619" t="s">
        <v>90</v>
      </c>
      <c r="G6619" t="s">
        <v>203</v>
      </c>
      <c r="H6619" t="s">
        <v>239</v>
      </c>
      <c r="I6619" s="4">
        <v>125766.4408</v>
      </c>
      <c r="J6619" s="4">
        <v>503065.76319999999</v>
      </c>
      <c r="L6619" s="4">
        <v>4</v>
      </c>
    </row>
    <row r="6620" spans="1:12">
      <c r="A6620" t="s">
        <v>106</v>
      </c>
      <c r="B6620" s="10">
        <v>45302</v>
      </c>
      <c r="C6620" s="18">
        <f t="shared" si="103"/>
        <v>1</v>
      </c>
      <c r="D6620" t="s">
        <v>135</v>
      </c>
      <c r="E6620">
        <v>4872614</v>
      </c>
      <c r="F6620" t="s">
        <v>90</v>
      </c>
      <c r="G6620" t="s">
        <v>203</v>
      </c>
      <c r="H6620" t="s">
        <v>237</v>
      </c>
      <c r="I6620" s="4">
        <v>125766.4408</v>
      </c>
      <c r="J6620" s="4">
        <v>503065.76319999999</v>
      </c>
      <c r="L6620" s="4">
        <v>4</v>
      </c>
    </row>
    <row r="6621" spans="1:12">
      <c r="A6621" t="s">
        <v>106</v>
      </c>
      <c r="B6621" s="10">
        <v>45302</v>
      </c>
      <c r="C6621" s="18">
        <f t="shared" si="103"/>
        <v>1</v>
      </c>
      <c r="D6621" t="s">
        <v>135</v>
      </c>
      <c r="E6621">
        <v>4872614</v>
      </c>
      <c r="F6621" t="s">
        <v>90</v>
      </c>
      <c r="G6621" t="s">
        <v>203</v>
      </c>
      <c r="H6621" t="s">
        <v>233</v>
      </c>
      <c r="I6621" s="4">
        <v>120735.78316800001</v>
      </c>
      <c r="J6621" s="4">
        <v>482943.13267200004</v>
      </c>
      <c r="L6621" s="4">
        <v>4</v>
      </c>
    </row>
    <row r="6622" spans="1:12">
      <c r="A6622" t="s">
        <v>106</v>
      </c>
      <c r="B6622" s="10">
        <v>45308</v>
      </c>
      <c r="C6622" s="18">
        <f t="shared" si="103"/>
        <v>1</v>
      </c>
      <c r="D6622" t="s">
        <v>135</v>
      </c>
      <c r="E6622">
        <v>4876331</v>
      </c>
      <c r="F6622" t="s">
        <v>89</v>
      </c>
      <c r="G6622" t="s">
        <v>203</v>
      </c>
      <c r="H6622" t="s">
        <v>243</v>
      </c>
      <c r="I6622" s="4">
        <v>100638.28079999999</v>
      </c>
      <c r="J6622" s="4">
        <v>402553.12319999997</v>
      </c>
      <c r="L6622" s="4">
        <v>4</v>
      </c>
    </row>
    <row r="6623" spans="1:12">
      <c r="A6623" t="s">
        <v>106</v>
      </c>
      <c r="B6623" s="10">
        <v>45308</v>
      </c>
      <c r="C6623" s="18">
        <f t="shared" si="103"/>
        <v>1</v>
      </c>
      <c r="D6623" t="s">
        <v>135</v>
      </c>
      <c r="E6623">
        <v>4876331</v>
      </c>
      <c r="F6623" t="s">
        <v>89</v>
      </c>
      <c r="G6623" t="s">
        <v>203</v>
      </c>
      <c r="H6623" t="s">
        <v>236</v>
      </c>
      <c r="I6623" s="4">
        <v>100638.28079999999</v>
      </c>
      <c r="J6623" s="4">
        <v>402553.12319999997</v>
      </c>
      <c r="L6623" s="4">
        <v>4</v>
      </c>
    </row>
    <row r="6624" spans="1:12">
      <c r="A6624" t="s">
        <v>106</v>
      </c>
      <c r="B6624" s="10">
        <v>45308</v>
      </c>
      <c r="C6624" s="18">
        <f t="shared" si="103"/>
        <v>1</v>
      </c>
      <c r="D6624" t="s">
        <v>135</v>
      </c>
      <c r="E6624">
        <v>4876331</v>
      </c>
      <c r="F6624" t="s">
        <v>89</v>
      </c>
      <c r="G6624" t="s">
        <v>203</v>
      </c>
      <c r="H6624" t="s">
        <v>234</v>
      </c>
      <c r="I6624" s="4">
        <v>100638.28079999999</v>
      </c>
      <c r="J6624" s="4">
        <v>402553.12319999997</v>
      </c>
      <c r="L6624" s="4">
        <v>4</v>
      </c>
    </row>
    <row r="6625" spans="1:12">
      <c r="A6625" t="s">
        <v>106</v>
      </c>
      <c r="B6625" s="10">
        <v>45308</v>
      </c>
      <c r="C6625" s="18">
        <f t="shared" si="103"/>
        <v>1</v>
      </c>
      <c r="D6625" t="s">
        <v>135</v>
      </c>
      <c r="E6625">
        <v>4876331</v>
      </c>
      <c r="F6625" t="s">
        <v>89</v>
      </c>
      <c r="G6625" t="s">
        <v>203</v>
      </c>
      <c r="H6625" t="s">
        <v>223</v>
      </c>
      <c r="I6625" s="4">
        <v>100638.28079999999</v>
      </c>
      <c r="J6625" s="4">
        <v>402553.12319999997</v>
      </c>
      <c r="L6625" s="4">
        <v>4</v>
      </c>
    </row>
    <row r="6626" spans="1:12">
      <c r="A6626" t="s">
        <v>106</v>
      </c>
      <c r="B6626" s="10">
        <v>45308</v>
      </c>
      <c r="C6626" s="18">
        <f t="shared" si="103"/>
        <v>1</v>
      </c>
      <c r="D6626" t="s">
        <v>135</v>
      </c>
      <c r="E6626">
        <v>4876331</v>
      </c>
      <c r="F6626" t="s">
        <v>89</v>
      </c>
      <c r="G6626" t="s">
        <v>203</v>
      </c>
      <c r="H6626" t="s">
        <v>222</v>
      </c>
      <c r="I6626" s="4">
        <v>100638.28079999999</v>
      </c>
      <c r="J6626" s="4">
        <v>402553.12319999997</v>
      </c>
      <c r="L6626" s="4">
        <v>4</v>
      </c>
    </row>
    <row r="6627" spans="1:12">
      <c r="A6627" t="s">
        <v>106</v>
      </c>
      <c r="B6627" s="10">
        <v>45308</v>
      </c>
      <c r="C6627" s="18">
        <f t="shared" si="103"/>
        <v>1</v>
      </c>
      <c r="D6627" t="s">
        <v>135</v>
      </c>
      <c r="E6627">
        <v>4878797</v>
      </c>
      <c r="F6627" t="s">
        <v>88</v>
      </c>
      <c r="G6627" t="s">
        <v>203</v>
      </c>
      <c r="H6627" t="s">
        <v>243</v>
      </c>
      <c r="I6627" s="4">
        <v>100638.28079999999</v>
      </c>
      <c r="J6627" s="4">
        <v>402553.12319999997</v>
      </c>
      <c r="L6627" s="4">
        <v>4</v>
      </c>
    </row>
    <row r="6628" spans="1:12">
      <c r="A6628" t="s">
        <v>106</v>
      </c>
      <c r="B6628" s="10">
        <v>45308</v>
      </c>
      <c r="C6628" s="18">
        <f t="shared" si="103"/>
        <v>1</v>
      </c>
      <c r="D6628" t="s">
        <v>135</v>
      </c>
      <c r="E6628">
        <v>4878797</v>
      </c>
      <c r="F6628" t="s">
        <v>88</v>
      </c>
      <c r="G6628" t="s">
        <v>203</v>
      </c>
      <c r="H6628" t="s">
        <v>242</v>
      </c>
      <c r="I6628" s="4">
        <v>100638.28079999999</v>
      </c>
      <c r="J6628" s="4">
        <v>402553.12319999997</v>
      </c>
      <c r="L6628" s="4">
        <v>4</v>
      </c>
    </row>
    <row r="6629" spans="1:12">
      <c r="A6629" t="s">
        <v>106</v>
      </c>
      <c r="B6629" s="10">
        <v>45308</v>
      </c>
      <c r="C6629" s="18">
        <f t="shared" si="103"/>
        <v>1</v>
      </c>
      <c r="D6629" t="s">
        <v>135</v>
      </c>
      <c r="E6629">
        <v>4878797</v>
      </c>
      <c r="F6629" t="s">
        <v>88</v>
      </c>
      <c r="G6629" t="s">
        <v>203</v>
      </c>
      <c r="H6629" t="s">
        <v>240</v>
      </c>
      <c r="I6629" s="4">
        <v>100638.28079999999</v>
      </c>
      <c r="J6629" s="4">
        <v>402553.12319999997</v>
      </c>
      <c r="L6629" s="4">
        <v>4</v>
      </c>
    </row>
    <row r="6630" spans="1:12">
      <c r="A6630" t="s">
        <v>106</v>
      </c>
      <c r="B6630" s="10">
        <v>45308</v>
      </c>
      <c r="C6630" s="18">
        <f t="shared" si="103"/>
        <v>1</v>
      </c>
      <c r="D6630" t="s">
        <v>135</v>
      </c>
      <c r="E6630">
        <v>4878797</v>
      </c>
      <c r="F6630" t="s">
        <v>88</v>
      </c>
      <c r="G6630" t="s">
        <v>203</v>
      </c>
      <c r="H6630" t="s">
        <v>230</v>
      </c>
      <c r="I6630" s="4">
        <v>100638.28079999999</v>
      </c>
      <c r="J6630" s="4">
        <v>805106.24639999995</v>
      </c>
      <c r="L6630" s="4">
        <v>8</v>
      </c>
    </row>
    <row r="6631" spans="1:12">
      <c r="A6631" t="s">
        <v>106</v>
      </c>
      <c r="B6631" s="10">
        <v>45308</v>
      </c>
      <c r="C6631" s="18">
        <f t="shared" si="103"/>
        <v>1</v>
      </c>
      <c r="D6631" t="s">
        <v>135</v>
      </c>
      <c r="E6631">
        <v>4872949</v>
      </c>
      <c r="F6631" t="s">
        <v>89</v>
      </c>
      <c r="G6631" t="s">
        <v>203</v>
      </c>
      <c r="H6631" t="s">
        <v>232</v>
      </c>
      <c r="I6631" s="4">
        <v>100638.28079999999</v>
      </c>
      <c r="J6631" s="4">
        <v>201276.56159999999</v>
      </c>
      <c r="L6631" s="4">
        <v>2</v>
      </c>
    </row>
    <row r="6632" spans="1:12">
      <c r="A6632" t="s">
        <v>106</v>
      </c>
      <c r="B6632" s="10">
        <v>45308</v>
      </c>
      <c r="C6632" s="18">
        <f t="shared" si="103"/>
        <v>1</v>
      </c>
      <c r="D6632" t="s">
        <v>135</v>
      </c>
      <c r="E6632">
        <v>4872949</v>
      </c>
      <c r="F6632" t="s">
        <v>89</v>
      </c>
      <c r="G6632" t="s">
        <v>203</v>
      </c>
      <c r="H6632" t="s">
        <v>225</v>
      </c>
      <c r="I6632" s="4">
        <v>100638.28079999999</v>
      </c>
      <c r="J6632" s="4">
        <v>402553.12319999997</v>
      </c>
      <c r="L6632" s="4">
        <v>4</v>
      </c>
    </row>
    <row r="6633" spans="1:12">
      <c r="A6633" t="s">
        <v>106</v>
      </c>
      <c r="B6633" s="10">
        <v>45308</v>
      </c>
      <c r="C6633" s="18">
        <f t="shared" si="103"/>
        <v>1</v>
      </c>
      <c r="D6633" t="s">
        <v>135</v>
      </c>
      <c r="E6633">
        <v>4872949</v>
      </c>
      <c r="F6633" t="s">
        <v>89</v>
      </c>
      <c r="G6633" t="s">
        <v>203</v>
      </c>
      <c r="H6633" t="s">
        <v>224</v>
      </c>
      <c r="I6633" s="4">
        <v>100638.28079999999</v>
      </c>
      <c r="J6633" s="4">
        <v>402553.12319999997</v>
      </c>
      <c r="L6633" s="4">
        <v>4</v>
      </c>
    </row>
    <row r="6634" spans="1:12">
      <c r="A6634" t="s">
        <v>106</v>
      </c>
      <c r="B6634" s="10">
        <v>45308</v>
      </c>
      <c r="C6634" s="18">
        <f t="shared" si="103"/>
        <v>1</v>
      </c>
      <c r="D6634" t="s">
        <v>135</v>
      </c>
      <c r="E6634">
        <v>4872836</v>
      </c>
      <c r="F6634" t="s">
        <v>88</v>
      </c>
      <c r="G6634" t="s">
        <v>203</v>
      </c>
      <c r="H6634" t="s">
        <v>242</v>
      </c>
      <c r="I6634" s="4">
        <v>100638.28079999999</v>
      </c>
      <c r="J6634" s="4">
        <v>402553.12319999997</v>
      </c>
      <c r="L6634" s="4">
        <v>4</v>
      </c>
    </row>
    <row r="6635" spans="1:12">
      <c r="A6635" t="s">
        <v>106</v>
      </c>
      <c r="B6635" s="10">
        <v>45308</v>
      </c>
      <c r="C6635" s="18">
        <f t="shared" si="103"/>
        <v>1</v>
      </c>
      <c r="D6635" t="s">
        <v>135</v>
      </c>
      <c r="E6635">
        <v>4872836</v>
      </c>
      <c r="F6635" t="s">
        <v>88</v>
      </c>
      <c r="G6635" t="s">
        <v>203</v>
      </c>
      <c r="H6635" t="s">
        <v>232</v>
      </c>
      <c r="I6635" s="4">
        <v>100638.28079999999</v>
      </c>
      <c r="J6635" s="4">
        <v>603829.68479999993</v>
      </c>
      <c r="L6635" s="4">
        <v>6</v>
      </c>
    </row>
    <row r="6636" spans="1:12">
      <c r="A6636" t="s">
        <v>106</v>
      </c>
      <c r="B6636" s="10">
        <v>45308</v>
      </c>
      <c r="C6636" s="18">
        <f t="shared" si="103"/>
        <v>1</v>
      </c>
      <c r="D6636" t="s">
        <v>135</v>
      </c>
      <c r="E6636">
        <v>4872836</v>
      </c>
      <c r="F6636" t="s">
        <v>88</v>
      </c>
      <c r="G6636" t="s">
        <v>203</v>
      </c>
      <c r="H6636" t="s">
        <v>228</v>
      </c>
      <c r="I6636" s="4">
        <v>100638.28079999999</v>
      </c>
      <c r="J6636" s="4">
        <v>1006382.808</v>
      </c>
      <c r="L6636" s="4">
        <v>10</v>
      </c>
    </row>
    <row r="6637" spans="1:12">
      <c r="A6637" t="s">
        <v>106</v>
      </c>
      <c r="B6637" s="10">
        <v>45308</v>
      </c>
      <c r="C6637" s="18">
        <f t="shared" si="103"/>
        <v>1</v>
      </c>
      <c r="D6637" t="s">
        <v>135</v>
      </c>
      <c r="E6637">
        <v>4872836</v>
      </c>
      <c r="F6637" t="s">
        <v>88</v>
      </c>
      <c r="G6637" t="s">
        <v>203</v>
      </c>
      <c r="H6637" t="s">
        <v>225</v>
      </c>
      <c r="I6637" s="4">
        <v>100638.28079999999</v>
      </c>
      <c r="J6637" s="4">
        <v>1006382.808</v>
      </c>
      <c r="L6637" s="4">
        <v>10</v>
      </c>
    </row>
    <row r="6638" spans="1:12">
      <c r="A6638" t="s">
        <v>106</v>
      </c>
      <c r="B6638" s="10">
        <v>45308</v>
      </c>
      <c r="C6638" s="18">
        <f t="shared" si="103"/>
        <v>1</v>
      </c>
      <c r="D6638" t="s">
        <v>135</v>
      </c>
      <c r="E6638">
        <v>4872836</v>
      </c>
      <c r="F6638" t="s">
        <v>88</v>
      </c>
      <c r="G6638" t="s">
        <v>203</v>
      </c>
      <c r="H6638" t="s">
        <v>224</v>
      </c>
      <c r="I6638" s="4">
        <v>100638.28079999999</v>
      </c>
      <c r="J6638" s="4">
        <v>805106.24639999995</v>
      </c>
      <c r="L6638" s="4">
        <v>8</v>
      </c>
    </row>
    <row r="6639" spans="1:12">
      <c r="A6639" t="s">
        <v>106</v>
      </c>
      <c r="B6639" s="10">
        <v>45308</v>
      </c>
      <c r="C6639" s="18">
        <f t="shared" si="103"/>
        <v>1</v>
      </c>
      <c r="D6639" t="s">
        <v>135</v>
      </c>
      <c r="E6639">
        <v>4872836</v>
      </c>
      <c r="F6639" t="s">
        <v>88</v>
      </c>
      <c r="G6639" t="s">
        <v>203</v>
      </c>
      <c r="H6639" t="s">
        <v>223</v>
      </c>
      <c r="I6639" s="4">
        <v>100638.28079999999</v>
      </c>
      <c r="J6639" s="4">
        <v>201276.56159999999</v>
      </c>
      <c r="L6639" s="4">
        <v>2</v>
      </c>
    </row>
    <row r="6640" spans="1:12">
      <c r="A6640" t="s">
        <v>106</v>
      </c>
      <c r="B6640" s="10">
        <v>45311</v>
      </c>
      <c r="C6640" s="18">
        <f t="shared" si="103"/>
        <v>1</v>
      </c>
      <c r="D6640" t="s">
        <v>135</v>
      </c>
      <c r="E6640">
        <v>4876577</v>
      </c>
      <c r="F6640" t="s">
        <v>87</v>
      </c>
      <c r="G6640" t="s">
        <v>203</v>
      </c>
      <c r="H6640" t="s">
        <v>222</v>
      </c>
      <c r="I6640" s="4">
        <v>100638.28079999999</v>
      </c>
      <c r="J6640" s="4">
        <v>1006382.808</v>
      </c>
      <c r="L6640" s="4">
        <v>10</v>
      </c>
    </row>
    <row r="6641" spans="1:12">
      <c r="A6641" t="s">
        <v>106</v>
      </c>
      <c r="B6641" s="10">
        <v>45317</v>
      </c>
      <c r="C6641" s="18">
        <f t="shared" si="103"/>
        <v>1</v>
      </c>
      <c r="D6641" t="s">
        <v>135</v>
      </c>
      <c r="E6641">
        <v>4872838</v>
      </c>
      <c r="F6641" t="s">
        <v>87</v>
      </c>
      <c r="G6641" t="s">
        <v>203</v>
      </c>
      <c r="H6641" t="s">
        <v>245</v>
      </c>
      <c r="I6641" s="4">
        <v>100638.28079999999</v>
      </c>
      <c r="J6641" s="4">
        <v>603829.68479999993</v>
      </c>
      <c r="L6641" s="4">
        <v>6</v>
      </c>
    </row>
    <row r="6642" spans="1:12">
      <c r="A6642" t="s">
        <v>106</v>
      </c>
      <c r="B6642" s="10">
        <v>45317</v>
      </c>
      <c r="C6642" s="18">
        <f t="shared" si="103"/>
        <v>1</v>
      </c>
      <c r="D6642" t="s">
        <v>135</v>
      </c>
      <c r="E6642">
        <v>4872838</v>
      </c>
      <c r="F6642" t="s">
        <v>87</v>
      </c>
      <c r="G6642" t="s">
        <v>203</v>
      </c>
      <c r="H6642" t="s">
        <v>243</v>
      </c>
      <c r="I6642" s="4">
        <v>100638.28079999999</v>
      </c>
      <c r="J6642" s="4">
        <v>603829.68479999993</v>
      </c>
      <c r="L6642" s="4">
        <v>6</v>
      </c>
    </row>
    <row r="6643" spans="1:12">
      <c r="A6643" t="s">
        <v>106</v>
      </c>
      <c r="B6643" s="10">
        <v>45317</v>
      </c>
      <c r="C6643" s="18">
        <f t="shared" si="103"/>
        <v>1</v>
      </c>
      <c r="D6643" t="s">
        <v>135</v>
      </c>
      <c r="E6643">
        <v>4872838</v>
      </c>
      <c r="F6643" t="s">
        <v>87</v>
      </c>
      <c r="G6643" t="s">
        <v>203</v>
      </c>
      <c r="H6643" t="s">
        <v>240</v>
      </c>
      <c r="I6643" s="4">
        <v>100638.28079999999</v>
      </c>
      <c r="J6643" s="4">
        <v>603829.68479999993</v>
      </c>
      <c r="L6643" s="4">
        <v>6</v>
      </c>
    </row>
    <row r="6644" spans="1:12">
      <c r="A6644" t="s">
        <v>106</v>
      </c>
      <c r="B6644" s="10">
        <v>45317</v>
      </c>
      <c r="C6644" s="18">
        <f t="shared" si="103"/>
        <v>1</v>
      </c>
      <c r="D6644" t="s">
        <v>135</v>
      </c>
      <c r="E6644">
        <v>4872838</v>
      </c>
      <c r="F6644" t="s">
        <v>87</v>
      </c>
      <c r="G6644" t="s">
        <v>203</v>
      </c>
      <c r="H6644" t="s">
        <v>238</v>
      </c>
      <c r="I6644" s="4">
        <v>95606.36675999999</v>
      </c>
      <c r="J6644" s="4">
        <v>573638.20055999991</v>
      </c>
      <c r="L6644" s="4">
        <v>6</v>
      </c>
    </row>
    <row r="6645" spans="1:12">
      <c r="A6645" t="s">
        <v>106</v>
      </c>
      <c r="B6645" s="10">
        <v>45317</v>
      </c>
      <c r="C6645" s="18">
        <f t="shared" si="103"/>
        <v>1</v>
      </c>
      <c r="D6645" t="s">
        <v>135</v>
      </c>
      <c r="E6645">
        <v>4872838</v>
      </c>
      <c r="F6645" t="s">
        <v>87</v>
      </c>
      <c r="G6645" t="s">
        <v>203</v>
      </c>
      <c r="H6645" t="s">
        <v>230</v>
      </c>
      <c r="I6645" s="4">
        <v>100638.28079999999</v>
      </c>
      <c r="J6645" s="4">
        <v>603829.68479999993</v>
      </c>
      <c r="L6645" s="4">
        <v>6</v>
      </c>
    </row>
    <row r="6646" spans="1:12">
      <c r="A6646" t="s">
        <v>106</v>
      </c>
      <c r="B6646" s="10">
        <v>45317</v>
      </c>
      <c r="C6646" s="18">
        <f t="shared" si="103"/>
        <v>1</v>
      </c>
      <c r="D6646" t="s">
        <v>135</v>
      </c>
      <c r="E6646">
        <v>4872838</v>
      </c>
      <c r="F6646" t="s">
        <v>87</v>
      </c>
      <c r="G6646" t="s">
        <v>203</v>
      </c>
      <c r="H6646" t="s">
        <v>235</v>
      </c>
      <c r="I6646" s="4">
        <v>125766.4408</v>
      </c>
      <c r="J6646" s="4">
        <v>628832.20400000003</v>
      </c>
      <c r="L6646" s="4">
        <v>5</v>
      </c>
    </row>
    <row r="6647" spans="1:12">
      <c r="A6647" t="s">
        <v>106</v>
      </c>
      <c r="B6647" s="10">
        <v>45317</v>
      </c>
      <c r="C6647" s="18">
        <f t="shared" si="103"/>
        <v>1</v>
      </c>
      <c r="D6647" t="s">
        <v>135</v>
      </c>
      <c r="E6647">
        <v>4872838</v>
      </c>
      <c r="F6647" t="s">
        <v>87</v>
      </c>
      <c r="G6647" t="s">
        <v>203</v>
      </c>
      <c r="H6647" t="s">
        <v>231</v>
      </c>
      <c r="I6647" s="4">
        <v>125766.4408</v>
      </c>
      <c r="J6647" s="4">
        <v>628832.20400000003</v>
      </c>
      <c r="L6647" s="4">
        <v>5</v>
      </c>
    </row>
    <row r="6648" spans="1:12">
      <c r="A6648" t="s">
        <v>106</v>
      </c>
      <c r="B6648" s="10">
        <v>45317</v>
      </c>
      <c r="C6648" s="18">
        <f t="shared" si="103"/>
        <v>1</v>
      </c>
      <c r="D6648" t="s">
        <v>135</v>
      </c>
      <c r="E6648">
        <v>4872838</v>
      </c>
      <c r="F6648" t="s">
        <v>87</v>
      </c>
      <c r="G6648" t="s">
        <v>203</v>
      </c>
      <c r="H6648" t="s">
        <v>229</v>
      </c>
      <c r="I6648" s="4">
        <v>125766.4408</v>
      </c>
      <c r="J6648" s="4">
        <v>628832.20400000003</v>
      </c>
      <c r="L6648" s="4">
        <v>5</v>
      </c>
    </row>
    <row r="6649" spans="1:12">
      <c r="A6649" t="s">
        <v>106</v>
      </c>
      <c r="B6649" s="10">
        <v>45322</v>
      </c>
      <c r="C6649" s="18">
        <f t="shared" si="103"/>
        <v>1</v>
      </c>
      <c r="D6649" t="s">
        <v>135</v>
      </c>
      <c r="E6649">
        <v>4878723</v>
      </c>
      <c r="F6649" t="s">
        <v>90</v>
      </c>
      <c r="G6649" t="s">
        <v>203</v>
      </c>
      <c r="H6649" t="s">
        <v>245</v>
      </c>
      <c r="I6649" s="4">
        <v>100638.28079999999</v>
      </c>
      <c r="J6649" s="4">
        <v>201276.56159999999</v>
      </c>
      <c r="L6649" s="4">
        <v>2</v>
      </c>
    </row>
    <row r="6650" spans="1:12">
      <c r="A6650" t="s">
        <v>106</v>
      </c>
      <c r="B6650" s="10">
        <v>45322</v>
      </c>
      <c r="C6650" s="18">
        <f t="shared" si="103"/>
        <v>1</v>
      </c>
      <c r="D6650" t="s">
        <v>135</v>
      </c>
      <c r="E6650">
        <v>4878723</v>
      </c>
      <c r="F6650" t="s">
        <v>90</v>
      </c>
      <c r="G6650" t="s">
        <v>203</v>
      </c>
      <c r="H6650" t="s">
        <v>240</v>
      </c>
      <c r="I6650" s="4">
        <v>100638.28079999999</v>
      </c>
      <c r="J6650" s="4">
        <v>201276.56159999999</v>
      </c>
      <c r="L6650" s="4">
        <v>2</v>
      </c>
    </row>
    <row r="6651" spans="1:12">
      <c r="A6651" t="s">
        <v>106</v>
      </c>
      <c r="B6651" s="10">
        <v>45322</v>
      </c>
      <c r="C6651" s="18">
        <f t="shared" si="103"/>
        <v>1</v>
      </c>
      <c r="D6651" t="s">
        <v>135</v>
      </c>
      <c r="E6651">
        <v>4878723</v>
      </c>
      <c r="F6651" t="s">
        <v>90</v>
      </c>
      <c r="G6651" t="s">
        <v>203</v>
      </c>
      <c r="H6651" t="s">
        <v>228</v>
      </c>
      <c r="I6651" s="4">
        <v>100638.28079999999</v>
      </c>
      <c r="J6651" s="4">
        <v>402553.12319999997</v>
      </c>
      <c r="L6651" s="4">
        <v>4</v>
      </c>
    </row>
    <row r="6652" spans="1:12">
      <c r="A6652" t="s">
        <v>264</v>
      </c>
      <c r="B6652" s="10">
        <v>45294</v>
      </c>
      <c r="C6652" s="18">
        <f t="shared" si="103"/>
        <v>1</v>
      </c>
      <c r="D6652" t="s">
        <v>196</v>
      </c>
      <c r="E6652">
        <v>4873570</v>
      </c>
      <c r="F6652" t="s">
        <v>8</v>
      </c>
      <c r="G6652" t="s">
        <v>203</v>
      </c>
      <c r="H6652" t="s">
        <v>240</v>
      </c>
      <c r="I6652" s="4">
        <v>100638.28079999999</v>
      </c>
      <c r="J6652" s="4">
        <v>2012765.6159999999</v>
      </c>
      <c r="K6652" s="4">
        <v>-90461.376000000004</v>
      </c>
      <c r="L6652" s="4">
        <v>20</v>
      </c>
    </row>
    <row r="6653" spans="1:12">
      <c r="A6653" t="s">
        <v>264</v>
      </c>
      <c r="B6653" s="10">
        <v>45294</v>
      </c>
      <c r="C6653" s="18">
        <f t="shared" si="103"/>
        <v>1</v>
      </c>
      <c r="D6653" t="s">
        <v>196</v>
      </c>
      <c r="E6653">
        <v>4873570</v>
      </c>
      <c r="F6653" t="s">
        <v>8</v>
      </c>
      <c r="G6653" t="s">
        <v>203</v>
      </c>
      <c r="H6653" t="s">
        <v>232</v>
      </c>
      <c r="I6653" s="4">
        <v>100638.28079999999</v>
      </c>
      <c r="J6653" s="4">
        <v>2012765.6159999999</v>
      </c>
      <c r="K6653" s="4">
        <v>-90461.376000000004</v>
      </c>
      <c r="L6653" s="4">
        <v>20</v>
      </c>
    </row>
    <row r="6654" spans="1:12">
      <c r="A6654" t="s">
        <v>264</v>
      </c>
      <c r="B6654" s="10">
        <v>45294</v>
      </c>
      <c r="C6654" s="18">
        <f t="shared" si="103"/>
        <v>1</v>
      </c>
      <c r="D6654" t="s">
        <v>196</v>
      </c>
      <c r="E6654">
        <v>4873570</v>
      </c>
      <c r="F6654" t="s">
        <v>8</v>
      </c>
      <c r="G6654" t="s">
        <v>203</v>
      </c>
      <c r="H6654" t="s">
        <v>230</v>
      </c>
      <c r="I6654" s="4">
        <v>100638.28079999999</v>
      </c>
      <c r="J6654" s="4">
        <v>2012765.6159999999</v>
      </c>
      <c r="K6654" s="4">
        <v>-90461.376000000004</v>
      </c>
      <c r="L6654" s="4">
        <v>20</v>
      </c>
    </row>
    <row r="6655" spans="1:12">
      <c r="A6655" t="s">
        <v>264</v>
      </c>
      <c r="B6655" s="10">
        <v>45294</v>
      </c>
      <c r="C6655" s="18">
        <f t="shared" si="103"/>
        <v>1</v>
      </c>
      <c r="D6655" t="s">
        <v>196</v>
      </c>
      <c r="E6655">
        <v>4873570</v>
      </c>
      <c r="F6655" t="s">
        <v>8</v>
      </c>
      <c r="G6655" t="s">
        <v>203</v>
      </c>
      <c r="H6655" t="s">
        <v>244</v>
      </c>
      <c r="I6655" s="4">
        <v>125766.4408</v>
      </c>
      <c r="J6655" s="4">
        <v>628832.20400000003</v>
      </c>
      <c r="K6655" s="4">
        <v>-29211.486000000001</v>
      </c>
      <c r="L6655" s="4">
        <v>5</v>
      </c>
    </row>
    <row r="6656" spans="1:12">
      <c r="A6656" t="s">
        <v>264</v>
      </c>
      <c r="B6656" s="10">
        <v>45294</v>
      </c>
      <c r="C6656" s="18">
        <f t="shared" si="103"/>
        <v>1</v>
      </c>
      <c r="D6656" t="s">
        <v>196</v>
      </c>
      <c r="E6656">
        <v>4873570</v>
      </c>
      <c r="F6656" t="s">
        <v>8</v>
      </c>
      <c r="G6656" t="s">
        <v>203</v>
      </c>
      <c r="H6656" t="s">
        <v>241</v>
      </c>
      <c r="I6656" s="4">
        <v>125766.4408</v>
      </c>
      <c r="J6656" s="4">
        <v>628832.20400000003</v>
      </c>
      <c r="K6656" s="4">
        <v>-29211.486000000001</v>
      </c>
      <c r="L6656" s="4">
        <v>5</v>
      </c>
    </row>
    <row r="6657" spans="1:12">
      <c r="A6657" t="s">
        <v>264</v>
      </c>
      <c r="B6657" s="10">
        <v>45294</v>
      </c>
      <c r="C6657" s="18">
        <f t="shared" si="103"/>
        <v>1</v>
      </c>
      <c r="D6657" t="s">
        <v>196</v>
      </c>
      <c r="E6657">
        <v>4872189</v>
      </c>
      <c r="F6657" t="s">
        <v>8</v>
      </c>
      <c r="G6657" t="s">
        <v>203</v>
      </c>
      <c r="H6657" t="s">
        <v>232</v>
      </c>
      <c r="I6657" s="4">
        <v>100638.28079999999</v>
      </c>
      <c r="J6657" s="4">
        <v>2012765.6159999999</v>
      </c>
      <c r="K6657" s="4">
        <v>-90461.376000000004</v>
      </c>
      <c r="L6657" s="4">
        <v>20</v>
      </c>
    </row>
    <row r="6658" spans="1:12">
      <c r="A6658" t="s">
        <v>264</v>
      </c>
      <c r="B6658" s="10">
        <v>45294</v>
      </c>
      <c r="C6658" s="18">
        <f t="shared" ref="C6658:C6721" si="104">MONTH(B6658)</f>
        <v>1</v>
      </c>
      <c r="D6658" t="s">
        <v>196</v>
      </c>
      <c r="E6658">
        <v>4872189</v>
      </c>
      <c r="F6658" t="s">
        <v>8</v>
      </c>
      <c r="G6658" t="s">
        <v>203</v>
      </c>
      <c r="H6658" t="s">
        <v>227</v>
      </c>
      <c r="I6658" s="4">
        <v>100638.28079999999</v>
      </c>
      <c r="J6658" s="4">
        <v>2012765.6159999999</v>
      </c>
      <c r="K6658" s="4">
        <v>-90461.376000000004</v>
      </c>
      <c r="L6658" s="4">
        <v>20</v>
      </c>
    </row>
    <row r="6659" spans="1:12">
      <c r="A6659" t="s">
        <v>264</v>
      </c>
      <c r="B6659" s="10">
        <v>45294</v>
      </c>
      <c r="C6659" s="18">
        <f t="shared" si="104"/>
        <v>1</v>
      </c>
      <c r="D6659" t="s">
        <v>196</v>
      </c>
      <c r="E6659">
        <v>4872189</v>
      </c>
      <c r="F6659" t="s">
        <v>8</v>
      </c>
      <c r="G6659" t="s">
        <v>203</v>
      </c>
      <c r="H6659" t="s">
        <v>226</v>
      </c>
      <c r="I6659" s="4">
        <v>100638.28079999999</v>
      </c>
      <c r="J6659" s="4">
        <v>2012765.6159999999</v>
      </c>
      <c r="K6659" s="4">
        <v>-90461.376000000004</v>
      </c>
      <c r="L6659" s="4">
        <v>20</v>
      </c>
    </row>
    <row r="6660" spans="1:12">
      <c r="A6660" t="s">
        <v>264</v>
      </c>
      <c r="B6660" s="10">
        <v>45294</v>
      </c>
      <c r="C6660" s="18">
        <f t="shared" si="104"/>
        <v>1</v>
      </c>
      <c r="D6660" t="s">
        <v>196</v>
      </c>
      <c r="E6660">
        <v>4872189</v>
      </c>
      <c r="F6660" t="s">
        <v>8</v>
      </c>
      <c r="G6660" t="s">
        <v>203</v>
      </c>
      <c r="H6660" t="s">
        <v>224</v>
      </c>
      <c r="I6660" s="4">
        <v>100638.28079999999</v>
      </c>
      <c r="J6660" s="4">
        <v>2012765.6159999999</v>
      </c>
      <c r="K6660" s="4">
        <v>-90461.376000000004</v>
      </c>
      <c r="L6660" s="4">
        <v>20</v>
      </c>
    </row>
    <row r="6661" spans="1:12">
      <c r="A6661" t="s">
        <v>264</v>
      </c>
      <c r="B6661" s="10">
        <v>45294</v>
      </c>
      <c r="C6661" s="18">
        <f t="shared" si="104"/>
        <v>1</v>
      </c>
      <c r="D6661" t="s">
        <v>196</v>
      </c>
      <c r="E6661">
        <v>4872189</v>
      </c>
      <c r="F6661" t="s">
        <v>8</v>
      </c>
      <c r="G6661" t="s">
        <v>203</v>
      </c>
      <c r="H6661" t="s">
        <v>222</v>
      </c>
      <c r="I6661" s="4">
        <v>100638.28079999999</v>
      </c>
      <c r="J6661" s="4">
        <v>2012765.6159999999</v>
      </c>
      <c r="K6661" s="4">
        <v>-90461.376000000004</v>
      </c>
      <c r="L6661" s="4">
        <v>20</v>
      </c>
    </row>
    <row r="6662" spans="1:12">
      <c r="A6662" t="s">
        <v>264</v>
      </c>
      <c r="B6662" s="10">
        <v>45294</v>
      </c>
      <c r="C6662" s="18">
        <f t="shared" si="104"/>
        <v>1</v>
      </c>
      <c r="D6662" t="s">
        <v>196</v>
      </c>
      <c r="E6662">
        <v>4872189</v>
      </c>
      <c r="F6662" t="s">
        <v>8</v>
      </c>
      <c r="G6662" t="s">
        <v>203</v>
      </c>
      <c r="H6662" t="s">
        <v>239</v>
      </c>
      <c r="I6662" s="4">
        <v>125766.4408</v>
      </c>
      <c r="J6662" s="4">
        <v>1257664.4080000001</v>
      </c>
      <c r="K6662" s="4">
        <v>-58422.972000000002</v>
      </c>
      <c r="L6662" s="4">
        <v>10</v>
      </c>
    </row>
    <row r="6663" spans="1:12">
      <c r="A6663" t="s">
        <v>264</v>
      </c>
      <c r="B6663" s="10">
        <v>45294</v>
      </c>
      <c r="C6663" s="18">
        <f t="shared" si="104"/>
        <v>1</v>
      </c>
      <c r="D6663" t="s">
        <v>196</v>
      </c>
      <c r="E6663">
        <v>4872189</v>
      </c>
      <c r="F6663" t="s">
        <v>8</v>
      </c>
      <c r="G6663" t="s">
        <v>203</v>
      </c>
      <c r="H6663" t="s">
        <v>237</v>
      </c>
      <c r="I6663" s="4">
        <v>125766.4408</v>
      </c>
      <c r="J6663" s="4">
        <v>1257664.4080000001</v>
      </c>
      <c r="K6663" s="4">
        <v>-58422.972000000002</v>
      </c>
      <c r="L6663" s="4">
        <v>10</v>
      </c>
    </row>
    <row r="6664" spans="1:12">
      <c r="A6664" t="s">
        <v>264</v>
      </c>
      <c r="B6664" s="10">
        <v>45294</v>
      </c>
      <c r="C6664" s="18">
        <f t="shared" si="104"/>
        <v>1</v>
      </c>
      <c r="D6664" t="s">
        <v>196</v>
      </c>
      <c r="E6664">
        <v>4872189</v>
      </c>
      <c r="F6664" t="s">
        <v>8</v>
      </c>
      <c r="G6664" t="s">
        <v>203</v>
      </c>
      <c r="H6664" t="s">
        <v>233</v>
      </c>
      <c r="I6664" s="4">
        <v>120735.78316800001</v>
      </c>
      <c r="J6664" s="4">
        <v>1207357.8316800001</v>
      </c>
      <c r="K6664" s="4">
        <v>-58422.972000000002</v>
      </c>
      <c r="L6664" s="4">
        <v>10</v>
      </c>
    </row>
    <row r="6665" spans="1:12">
      <c r="A6665" t="s">
        <v>264</v>
      </c>
      <c r="B6665" s="10">
        <v>45294</v>
      </c>
      <c r="C6665" s="18">
        <f t="shared" si="104"/>
        <v>1</v>
      </c>
      <c r="D6665" t="s">
        <v>196</v>
      </c>
      <c r="E6665">
        <v>4872189</v>
      </c>
      <c r="F6665" t="s">
        <v>8</v>
      </c>
      <c r="G6665" t="s">
        <v>203</v>
      </c>
      <c r="H6665" t="s">
        <v>231</v>
      </c>
      <c r="I6665" s="4">
        <v>125766.4408</v>
      </c>
      <c r="J6665" s="4">
        <v>1257664.4080000001</v>
      </c>
      <c r="K6665" s="4">
        <v>-58422.972000000002</v>
      </c>
      <c r="L6665" s="4">
        <v>10</v>
      </c>
    </row>
    <row r="6666" spans="1:12">
      <c r="A6666" t="s">
        <v>264</v>
      </c>
      <c r="B6666" s="10">
        <v>45294</v>
      </c>
      <c r="C6666" s="18">
        <f t="shared" si="104"/>
        <v>1</v>
      </c>
      <c r="D6666" t="s">
        <v>196</v>
      </c>
      <c r="E6666">
        <v>4872189</v>
      </c>
      <c r="F6666" t="s">
        <v>8</v>
      </c>
      <c r="G6666" t="s">
        <v>203</v>
      </c>
      <c r="H6666" t="s">
        <v>229</v>
      </c>
      <c r="I6666" s="4">
        <v>125766.4408</v>
      </c>
      <c r="J6666" s="4">
        <v>1257664.4080000001</v>
      </c>
      <c r="K6666" s="4">
        <v>-58422.972000000002</v>
      </c>
      <c r="L6666" s="4">
        <v>10</v>
      </c>
    </row>
    <row r="6667" spans="1:12">
      <c r="A6667" t="s">
        <v>264</v>
      </c>
      <c r="B6667" s="10">
        <v>45294</v>
      </c>
      <c r="C6667" s="18">
        <f t="shared" si="104"/>
        <v>1</v>
      </c>
      <c r="D6667" t="s">
        <v>196</v>
      </c>
      <c r="E6667">
        <v>4872162</v>
      </c>
      <c r="F6667" t="s">
        <v>8</v>
      </c>
      <c r="G6667" t="s">
        <v>202</v>
      </c>
      <c r="H6667" t="s">
        <v>261</v>
      </c>
      <c r="I6667" s="4">
        <v>41587.104800000001</v>
      </c>
      <c r="J6667" s="4">
        <v>1039677.62</v>
      </c>
      <c r="K6667" s="4">
        <v>-51826.83</v>
      </c>
      <c r="L6667" s="4">
        <v>25</v>
      </c>
    </row>
    <row r="6668" spans="1:12">
      <c r="A6668" t="s">
        <v>264</v>
      </c>
      <c r="B6668" s="10">
        <v>45294</v>
      </c>
      <c r="C6668" s="18">
        <f t="shared" si="104"/>
        <v>1</v>
      </c>
      <c r="D6668" t="s">
        <v>196</v>
      </c>
      <c r="E6668">
        <v>4872162</v>
      </c>
      <c r="F6668" t="s">
        <v>8</v>
      </c>
      <c r="G6668" t="s">
        <v>202</v>
      </c>
      <c r="H6668" t="s">
        <v>260</v>
      </c>
      <c r="I6668" s="4">
        <v>41587.104800000001</v>
      </c>
      <c r="J6668" s="4">
        <v>41587.104800000001</v>
      </c>
      <c r="K6668" s="4">
        <v>-2073.0732000000003</v>
      </c>
      <c r="L6668" s="4">
        <v>1</v>
      </c>
    </row>
    <row r="6669" spans="1:12">
      <c r="A6669" t="s">
        <v>264</v>
      </c>
      <c r="B6669" s="10">
        <v>45294</v>
      </c>
      <c r="C6669" s="18">
        <f t="shared" si="104"/>
        <v>1</v>
      </c>
      <c r="D6669" t="s">
        <v>196</v>
      </c>
      <c r="E6669">
        <v>4872162</v>
      </c>
      <c r="F6669" t="s">
        <v>8</v>
      </c>
      <c r="G6669" t="s">
        <v>202</v>
      </c>
      <c r="H6669" t="s">
        <v>259</v>
      </c>
      <c r="I6669" s="4">
        <v>30279.432800000002</v>
      </c>
      <c r="J6669" s="4">
        <v>3027943.2800000003</v>
      </c>
      <c r="K6669" s="4">
        <v>-150768.95999999999</v>
      </c>
      <c r="L6669" s="4">
        <v>100</v>
      </c>
    </row>
    <row r="6670" spans="1:12">
      <c r="A6670" t="s">
        <v>264</v>
      </c>
      <c r="B6670" s="10">
        <v>45294</v>
      </c>
      <c r="C6670" s="18">
        <f t="shared" si="104"/>
        <v>1</v>
      </c>
      <c r="D6670" t="s">
        <v>196</v>
      </c>
      <c r="E6670">
        <v>4872162</v>
      </c>
      <c r="F6670" t="s">
        <v>8</v>
      </c>
      <c r="G6670" t="s">
        <v>202</v>
      </c>
      <c r="H6670" t="s">
        <v>258</v>
      </c>
      <c r="I6670" s="4">
        <v>37817.880799999999</v>
      </c>
      <c r="J6670" s="4">
        <v>756357.61599999992</v>
      </c>
      <c r="K6670" s="4">
        <v>-37692.239999999998</v>
      </c>
      <c r="L6670" s="4">
        <v>20</v>
      </c>
    </row>
    <row r="6671" spans="1:12">
      <c r="A6671" t="s">
        <v>264</v>
      </c>
      <c r="B6671" s="10">
        <v>45294</v>
      </c>
      <c r="C6671" s="18">
        <f t="shared" si="104"/>
        <v>1</v>
      </c>
      <c r="D6671" t="s">
        <v>196</v>
      </c>
      <c r="E6671">
        <v>4872162</v>
      </c>
      <c r="F6671" t="s">
        <v>8</v>
      </c>
      <c r="G6671" t="s">
        <v>202</v>
      </c>
      <c r="H6671" t="s">
        <v>257</v>
      </c>
      <c r="I6671" s="4">
        <v>56664.000799999994</v>
      </c>
      <c r="J6671" s="4">
        <v>56664.000799999994</v>
      </c>
      <c r="K6671" s="4">
        <v>-2826.9180000000001</v>
      </c>
      <c r="L6671" s="4">
        <v>1</v>
      </c>
    </row>
    <row r="6672" spans="1:12">
      <c r="A6672" t="s">
        <v>264</v>
      </c>
      <c r="B6672" s="10">
        <v>45294</v>
      </c>
      <c r="C6672" s="18">
        <f t="shared" si="104"/>
        <v>1</v>
      </c>
      <c r="D6672" t="s">
        <v>196</v>
      </c>
      <c r="E6672">
        <v>4872193</v>
      </c>
      <c r="F6672" t="s">
        <v>8</v>
      </c>
      <c r="G6672" t="s">
        <v>203</v>
      </c>
      <c r="H6672" t="s">
        <v>245</v>
      </c>
      <c r="I6672" s="4">
        <v>100638.28079999999</v>
      </c>
      <c r="J6672" s="4">
        <v>1006382.808</v>
      </c>
      <c r="K6672" s="4">
        <v>-45230.688000000002</v>
      </c>
      <c r="L6672" s="4">
        <v>10</v>
      </c>
    </row>
    <row r="6673" spans="1:12">
      <c r="A6673" t="s">
        <v>264</v>
      </c>
      <c r="B6673" s="10">
        <v>45294</v>
      </c>
      <c r="C6673" s="18">
        <f t="shared" si="104"/>
        <v>1</v>
      </c>
      <c r="D6673" t="s">
        <v>196</v>
      </c>
      <c r="E6673">
        <v>4872193</v>
      </c>
      <c r="F6673" t="s">
        <v>8</v>
      </c>
      <c r="G6673" t="s">
        <v>203</v>
      </c>
      <c r="H6673" t="s">
        <v>243</v>
      </c>
      <c r="I6673" s="4">
        <v>100638.28079999999</v>
      </c>
      <c r="J6673" s="4">
        <v>1006382.808</v>
      </c>
      <c r="K6673" s="4">
        <v>-45230.688000000002</v>
      </c>
      <c r="L6673" s="4">
        <v>10</v>
      </c>
    </row>
    <row r="6674" spans="1:12">
      <c r="A6674" t="s">
        <v>264</v>
      </c>
      <c r="B6674" s="10">
        <v>45294</v>
      </c>
      <c r="C6674" s="18">
        <f t="shared" si="104"/>
        <v>1</v>
      </c>
      <c r="D6674" t="s">
        <v>196</v>
      </c>
      <c r="E6674">
        <v>4872193</v>
      </c>
      <c r="F6674" t="s">
        <v>8</v>
      </c>
      <c r="G6674" t="s">
        <v>203</v>
      </c>
      <c r="H6674" t="s">
        <v>240</v>
      </c>
      <c r="I6674" s="4">
        <v>100638.28079999999</v>
      </c>
      <c r="J6674" s="4">
        <v>1006382.808</v>
      </c>
      <c r="K6674" s="4">
        <v>-45230.688000000002</v>
      </c>
      <c r="L6674" s="4">
        <v>10</v>
      </c>
    </row>
    <row r="6675" spans="1:12">
      <c r="A6675" t="s">
        <v>264</v>
      </c>
      <c r="B6675" s="10">
        <v>45294</v>
      </c>
      <c r="C6675" s="18">
        <f t="shared" si="104"/>
        <v>1</v>
      </c>
      <c r="D6675" t="s">
        <v>196</v>
      </c>
      <c r="E6675">
        <v>4872193</v>
      </c>
      <c r="F6675" t="s">
        <v>8</v>
      </c>
      <c r="G6675" t="s">
        <v>203</v>
      </c>
      <c r="H6675" t="s">
        <v>234</v>
      </c>
      <c r="I6675" s="4">
        <v>100638.28079999999</v>
      </c>
      <c r="J6675" s="4">
        <v>1006382.808</v>
      </c>
      <c r="K6675" s="4">
        <v>-45230.688000000002</v>
      </c>
      <c r="L6675" s="4">
        <v>10</v>
      </c>
    </row>
    <row r="6676" spans="1:12">
      <c r="A6676" t="s">
        <v>264</v>
      </c>
      <c r="B6676" s="10">
        <v>45294</v>
      </c>
      <c r="C6676" s="18">
        <f t="shared" si="104"/>
        <v>1</v>
      </c>
      <c r="D6676" t="s">
        <v>196</v>
      </c>
      <c r="E6676">
        <v>4872193</v>
      </c>
      <c r="F6676" t="s">
        <v>8</v>
      </c>
      <c r="G6676" t="s">
        <v>203</v>
      </c>
      <c r="H6676" t="s">
        <v>230</v>
      </c>
      <c r="I6676" s="4">
        <v>100638.28079999999</v>
      </c>
      <c r="J6676" s="4">
        <v>1006382.808</v>
      </c>
      <c r="K6676" s="4">
        <v>-45230.688000000002</v>
      </c>
      <c r="L6676" s="4">
        <v>10</v>
      </c>
    </row>
    <row r="6677" spans="1:12">
      <c r="A6677" t="s">
        <v>264</v>
      </c>
      <c r="B6677" s="10">
        <v>45294</v>
      </c>
      <c r="C6677" s="18">
        <f t="shared" si="104"/>
        <v>1</v>
      </c>
      <c r="D6677" t="s">
        <v>196</v>
      </c>
      <c r="E6677">
        <v>4872193</v>
      </c>
      <c r="F6677" t="s">
        <v>8</v>
      </c>
      <c r="G6677" t="s">
        <v>203</v>
      </c>
      <c r="H6677" t="s">
        <v>244</v>
      </c>
      <c r="I6677" s="4">
        <v>125766.4408</v>
      </c>
      <c r="J6677" s="4">
        <v>1257664.4080000001</v>
      </c>
      <c r="K6677" s="4">
        <v>-58422.972000000002</v>
      </c>
      <c r="L6677" s="4">
        <v>10</v>
      </c>
    </row>
    <row r="6678" spans="1:12">
      <c r="A6678" t="s">
        <v>264</v>
      </c>
      <c r="B6678" s="10">
        <v>45294</v>
      </c>
      <c r="C6678" s="18">
        <f t="shared" si="104"/>
        <v>1</v>
      </c>
      <c r="D6678" t="s">
        <v>196</v>
      </c>
      <c r="E6678">
        <v>4872193</v>
      </c>
      <c r="F6678" t="s">
        <v>8</v>
      </c>
      <c r="G6678" t="s">
        <v>203</v>
      </c>
      <c r="H6678" t="s">
        <v>241</v>
      </c>
      <c r="I6678" s="4">
        <v>125766.4408</v>
      </c>
      <c r="J6678" s="4">
        <v>1257664.4080000001</v>
      </c>
      <c r="K6678" s="4">
        <v>-58422.972000000002</v>
      </c>
      <c r="L6678" s="4">
        <v>10</v>
      </c>
    </row>
    <row r="6679" spans="1:12">
      <c r="A6679" t="s">
        <v>264</v>
      </c>
      <c r="B6679" s="10">
        <v>45294</v>
      </c>
      <c r="C6679" s="18">
        <f t="shared" si="104"/>
        <v>1</v>
      </c>
      <c r="D6679" t="s">
        <v>196</v>
      </c>
      <c r="E6679">
        <v>4872193</v>
      </c>
      <c r="F6679" t="s">
        <v>8</v>
      </c>
      <c r="G6679" t="s">
        <v>203</v>
      </c>
      <c r="H6679" t="s">
        <v>235</v>
      </c>
      <c r="I6679" s="4">
        <v>125766.4408</v>
      </c>
      <c r="J6679" s="4">
        <v>1257664.4080000001</v>
      </c>
      <c r="K6679" s="4">
        <v>-58422.972000000002</v>
      </c>
      <c r="L6679" s="4">
        <v>10</v>
      </c>
    </row>
    <row r="6680" spans="1:12">
      <c r="A6680" t="s">
        <v>264</v>
      </c>
      <c r="B6680" s="10">
        <v>45294</v>
      </c>
      <c r="C6680" s="18">
        <f t="shared" si="104"/>
        <v>1</v>
      </c>
      <c r="D6680" t="s">
        <v>196</v>
      </c>
      <c r="E6680">
        <v>4872193</v>
      </c>
      <c r="F6680" t="s">
        <v>8</v>
      </c>
      <c r="G6680" t="s">
        <v>203</v>
      </c>
      <c r="H6680" t="s">
        <v>233</v>
      </c>
      <c r="I6680" s="4">
        <v>120735.78316800001</v>
      </c>
      <c r="J6680" s="4">
        <v>1207357.8316800001</v>
      </c>
      <c r="K6680" s="4">
        <v>-58422.972000000002</v>
      </c>
      <c r="L6680" s="4">
        <v>10</v>
      </c>
    </row>
    <row r="6681" spans="1:12">
      <c r="A6681" t="s">
        <v>264</v>
      </c>
      <c r="B6681" s="10">
        <v>45294</v>
      </c>
      <c r="C6681" s="18">
        <f t="shared" si="104"/>
        <v>1</v>
      </c>
      <c r="D6681" t="s">
        <v>196</v>
      </c>
      <c r="E6681">
        <v>4872193</v>
      </c>
      <c r="F6681" t="s">
        <v>8</v>
      </c>
      <c r="G6681" t="s">
        <v>203</v>
      </c>
      <c r="H6681" t="s">
        <v>231</v>
      </c>
      <c r="I6681" s="4">
        <v>125766.4408</v>
      </c>
      <c r="J6681" s="4">
        <v>1257664.4080000001</v>
      </c>
      <c r="K6681" s="4">
        <v>-58422.972000000002</v>
      </c>
      <c r="L6681" s="4">
        <v>10</v>
      </c>
    </row>
    <row r="6682" spans="1:12">
      <c r="A6682" t="s">
        <v>264</v>
      </c>
      <c r="B6682" s="10">
        <v>45294</v>
      </c>
      <c r="C6682" s="18">
        <f t="shared" si="104"/>
        <v>1</v>
      </c>
      <c r="D6682" t="s">
        <v>196</v>
      </c>
      <c r="E6682">
        <v>4872163</v>
      </c>
      <c r="F6682" t="s">
        <v>8</v>
      </c>
      <c r="G6682" t="s">
        <v>203</v>
      </c>
      <c r="H6682" t="s">
        <v>245</v>
      </c>
      <c r="I6682" s="4">
        <v>100638.28079999999</v>
      </c>
      <c r="J6682" s="4">
        <v>2012765.6159999999</v>
      </c>
      <c r="K6682" s="4">
        <v>-90461.376000000004</v>
      </c>
      <c r="L6682" s="4">
        <v>20</v>
      </c>
    </row>
    <row r="6683" spans="1:12">
      <c r="A6683" t="s">
        <v>264</v>
      </c>
      <c r="B6683" s="10">
        <v>45294</v>
      </c>
      <c r="C6683" s="18">
        <f t="shared" si="104"/>
        <v>1</v>
      </c>
      <c r="D6683" t="s">
        <v>196</v>
      </c>
      <c r="E6683">
        <v>4872163</v>
      </c>
      <c r="F6683" t="s">
        <v>8</v>
      </c>
      <c r="G6683" t="s">
        <v>203</v>
      </c>
      <c r="H6683" t="s">
        <v>243</v>
      </c>
      <c r="I6683" s="4">
        <v>100638.28079999999</v>
      </c>
      <c r="J6683" s="4">
        <v>2012765.6159999999</v>
      </c>
      <c r="K6683" s="4">
        <v>-90461.376000000004</v>
      </c>
      <c r="L6683" s="4">
        <v>20</v>
      </c>
    </row>
    <row r="6684" spans="1:12">
      <c r="A6684" t="s">
        <v>264</v>
      </c>
      <c r="B6684" s="10">
        <v>45294</v>
      </c>
      <c r="C6684" s="18">
        <f t="shared" si="104"/>
        <v>1</v>
      </c>
      <c r="D6684" t="s">
        <v>196</v>
      </c>
      <c r="E6684">
        <v>4872163</v>
      </c>
      <c r="F6684" t="s">
        <v>8</v>
      </c>
      <c r="G6684" t="s">
        <v>203</v>
      </c>
      <c r="H6684" t="s">
        <v>242</v>
      </c>
      <c r="I6684" s="4">
        <v>100638.28079999999</v>
      </c>
      <c r="J6684" s="4">
        <v>2012765.6159999999</v>
      </c>
      <c r="K6684" s="4">
        <v>-90461.376000000004</v>
      </c>
      <c r="L6684" s="4">
        <v>20</v>
      </c>
    </row>
    <row r="6685" spans="1:12">
      <c r="A6685" t="s">
        <v>264</v>
      </c>
      <c r="B6685" s="10">
        <v>45294</v>
      </c>
      <c r="C6685" s="18">
        <f t="shared" si="104"/>
        <v>1</v>
      </c>
      <c r="D6685" t="s">
        <v>196</v>
      </c>
      <c r="E6685">
        <v>4872163</v>
      </c>
      <c r="F6685" t="s">
        <v>8</v>
      </c>
      <c r="G6685" t="s">
        <v>203</v>
      </c>
      <c r="H6685" t="s">
        <v>240</v>
      </c>
      <c r="I6685" s="4">
        <v>100638.28079999999</v>
      </c>
      <c r="J6685" s="4">
        <v>2012765.6159999999</v>
      </c>
      <c r="K6685" s="4">
        <v>-90461.376000000004</v>
      </c>
      <c r="L6685" s="4">
        <v>20</v>
      </c>
    </row>
    <row r="6686" spans="1:12">
      <c r="A6686" t="s">
        <v>264</v>
      </c>
      <c r="B6686" s="10">
        <v>45294</v>
      </c>
      <c r="C6686" s="18">
        <f t="shared" si="104"/>
        <v>1</v>
      </c>
      <c r="D6686" t="s">
        <v>196</v>
      </c>
      <c r="E6686">
        <v>4872163</v>
      </c>
      <c r="F6686" t="s">
        <v>8</v>
      </c>
      <c r="G6686" t="s">
        <v>203</v>
      </c>
      <c r="H6686" t="s">
        <v>236</v>
      </c>
      <c r="I6686" s="4">
        <v>100638.28079999999</v>
      </c>
      <c r="J6686" s="4">
        <v>2012765.6159999999</v>
      </c>
      <c r="K6686" s="4">
        <v>-90461.376000000004</v>
      </c>
      <c r="L6686" s="4">
        <v>20</v>
      </c>
    </row>
    <row r="6687" spans="1:12">
      <c r="A6687" t="s">
        <v>264</v>
      </c>
      <c r="B6687" s="10">
        <v>45294</v>
      </c>
      <c r="C6687" s="18">
        <f t="shared" si="104"/>
        <v>1</v>
      </c>
      <c r="D6687" t="s">
        <v>196</v>
      </c>
      <c r="E6687">
        <v>4872163</v>
      </c>
      <c r="F6687" t="s">
        <v>8</v>
      </c>
      <c r="G6687" t="s">
        <v>203</v>
      </c>
      <c r="H6687" t="s">
        <v>234</v>
      </c>
      <c r="I6687" s="4">
        <v>100638.28079999999</v>
      </c>
      <c r="J6687" s="4">
        <v>2012765.6159999999</v>
      </c>
      <c r="K6687" s="4">
        <v>-90461.376000000004</v>
      </c>
      <c r="L6687" s="4">
        <v>20</v>
      </c>
    </row>
    <row r="6688" spans="1:12">
      <c r="A6688" t="s">
        <v>264</v>
      </c>
      <c r="B6688" s="10">
        <v>45294</v>
      </c>
      <c r="C6688" s="18">
        <f t="shared" si="104"/>
        <v>1</v>
      </c>
      <c r="D6688" t="s">
        <v>196</v>
      </c>
      <c r="E6688">
        <v>4872163</v>
      </c>
      <c r="F6688" t="s">
        <v>8</v>
      </c>
      <c r="G6688" t="s">
        <v>203</v>
      </c>
      <c r="H6688" t="s">
        <v>232</v>
      </c>
      <c r="I6688" s="4">
        <v>100638.28079999999</v>
      </c>
      <c r="J6688" s="4">
        <v>2012765.6159999999</v>
      </c>
      <c r="K6688" s="4">
        <v>-90461.376000000004</v>
      </c>
      <c r="L6688" s="4">
        <v>20</v>
      </c>
    </row>
    <row r="6689" spans="1:12">
      <c r="A6689" t="s">
        <v>264</v>
      </c>
      <c r="B6689" s="10">
        <v>45294</v>
      </c>
      <c r="C6689" s="18">
        <f t="shared" si="104"/>
        <v>1</v>
      </c>
      <c r="D6689" t="s">
        <v>196</v>
      </c>
      <c r="E6689">
        <v>4872163</v>
      </c>
      <c r="F6689" t="s">
        <v>8</v>
      </c>
      <c r="G6689" t="s">
        <v>203</v>
      </c>
      <c r="H6689" t="s">
        <v>230</v>
      </c>
      <c r="I6689" s="4">
        <v>100638.28079999999</v>
      </c>
      <c r="J6689" s="4">
        <v>4025531.2319999998</v>
      </c>
      <c r="K6689" s="4">
        <v>-180922.75200000001</v>
      </c>
      <c r="L6689" s="4">
        <v>40</v>
      </c>
    </row>
    <row r="6690" spans="1:12">
      <c r="A6690" t="s">
        <v>264</v>
      </c>
      <c r="B6690" s="10">
        <v>45294</v>
      </c>
      <c r="C6690" s="18">
        <f t="shared" si="104"/>
        <v>1</v>
      </c>
      <c r="D6690" t="s">
        <v>196</v>
      </c>
      <c r="E6690">
        <v>4872163</v>
      </c>
      <c r="F6690" t="s">
        <v>8</v>
      </c>
      <c r="G6690" t="s">
        <v>203</v>
      </c>
      <c r="H6690" t="s">
        <v>228</v>
      </c>
      <c r="I6690" s="4">
        <v>100638.28079999999</v>
      </c>
      <c r="J6690" s="4">
        <v>2012765.6159999999</v>
      </c>
      <c r="K6690" s="4">
        <v>-90461.376000000004</v>
      </c>
      <c r="L6690" s="4">
        <v>20</v>
      </c>
    </row>
    <row r="6691" spans="1:12">
      <c r="A6691" t="s">
        <v>264</v>
      </c>
      <c r="B6691" s="10">
        <v>45294</v>
      </c>
      <c r="C6691" s="18">
        <f t="shared" si="104"/>
        <v>1</v>
      </c>
      <c r="D6691" t="s">
        <v>196</v>
      </c>
      <c r="E6691">
        <v>4872163</v>
      </c>
      <c r="F6691" t="s">
        <v>8</v>
      </c>
      <c r="G6691" t="s">
        <v>203</v>
      </c>
      <c r="H6691" t="s">
        <v>227</v>
      </c>
      <c r="I6691" s="4">
        <v>100638.28079999999</v>
      </c>
      <c r="J6691" s="4">
        <v>2012765.6159999999</v>
      </c>
      <c r="K6691" s="4">
        <v>-90461.376000000004</v>
      </c>
      <c r="L6691" s="4">
        <v>20</v>
      </c>
    </row>
    <row r="6692" spans="1:12">
      <c r="A6692" t="s">
        <v>264</v>
      </c>
      <c r="B6692" s="10">
        <v>45294</v>
      </c>
      <c r="C6692" s="18">
        <f t="shared" si="104"/>
        <v>1</v>
      </c>
      <c r="D6692" t="s">
        <v>196</v>
      </c>
      <c r="E6692">
        <v>4872163</v>
      </c>
      <c r="F6692" t="s">
        <v>8</v>
      </c>
      <c r="G6692" t="s">
        <v>203</v>
      </c>
      <c r="H6692" t="s">
        <v>226</v>
      </c>
      <c r="I6692" s="4">
        <v>100638.28079999999</v>
      </c>
      <c r="J6692" s="4">
        <v>2012765.6159999999</v>
      </c>
      <c r="K6692" s="4">
        <v>-90461.376000000004</v>
      </c>
      <c r="L6692" s="4">
        <v>20</v>
      </c>
    </row>
    <row r="6693" spans="1:12">
      <c r="A6693" t="s">
        <v>264</v>
      </c>
      <c r="B6693" s="10">
        <v>45294</v>
      </c>
      <c r="C6693" s="18">
        <f t="shared" si="104"/>
        <v>1</v>
      </c>
      <c r="D6693" t="s">
        <v>196</v>
      </c>
      <c r="E6693">
        <v>4872163</v>
      </c>
      <c r="F6693" t="s">
        <v>8</v>
      </c>
      <c r="G6693" t="s">
        <v>203</v>
      </c>
      <c r="H6693" t="s">
        <v>225</v>
      </c>
      <c r="I6693" s="4">
        <v>100638.28079999999</v>
      </c>
      <c r="J6693" s="4">
        <v>2012765.6159999999</v>
      </c>
      <c r="K6693" s="4">
        <v>-90461.376000000004</v>
      </c>
      <c r="L6693" s="4">
        <v>20</v>
      </c>
    </row>
    <row r="6694" spans="1:12">
      <c r="A6694" t="s">
        <v>264</v>
      </c>
      <c r="B6694" s="10">
        <v>45294</v>
      </c>
      <c r="C6694" s="18">
        <f t="shared" si="104"/>
        <v>1</v>
      </c>
      <c r="D6694" t="s">
        <v>196</v>
      </c>
      <c r="E6694">
        <v>4872163</v>
      </c>
      <c r="F6694" t="s">
        <v>8</v>
      </c>
      <c r="G6694" t="s">
        <v>203</v>
      </c>
      <c r="H6694" t="s">
        <v>224</v>
      </c>
      <c r="I6694" s="4">
        <v>100638.28079999999</v>
      </c>
      <c r="J6694" s="4">
        <v>2012765.6159999999</v>
      </c>
      <c r="K6694" s="4">
        <v>-90461.376000000004</v>
      </c>
      <c r="L6694" s="4">
        <v>20</v>
      </c>
    </row>
    <row r="6695" spans="1:12">
      <c r="A6695" t="s">
        <v>264</v>
      </c>
      <c r="B6695" s="10">
        <v>45294</v>
      </c>
      <c r="C6695" s="18">
        <f t="shared" si="104"/>
        <v>1</v>
      </c>
      <c r="D6695" t="s">
        <v>196</v>
      </c>
      <c r="E6695">
        <v>4872163</v>
      </c>
      <c r="F6695" t="s">
        <v>8</v>
      </c>
      <c r="G6695" t="s">
        <v>203</v>
      </c>
      <c r="H6695" t="s">
        <v>223</v>
      </c>
      <c r="I6695" s="4">
        <v>100638.28079999999</v>
      </c>
      <c r="J6695" s="4">
        <v>2012765.6159999999</v>
      </c>
      <c r="K6695" s="4">
        <v>-90461.376000000004</v>
      </c>
      <c r="L6695" s="4">
        <v>20</v>
      </c>
    </row>
    <row r="6696" spans="1:12">
      <c r="A6696" t="s">
        <v>264</v>
      </c>
      <c r="B6696" s="10">
        <v>45294</v>
      </c>
      <c r="C6696" s="18">
        <f t="shared" si="104"/>
        <v>1</v>
      </c>
      <c r="D6696" t="s">
        <v>196</v>
      </c>
      <c r="E6696">
        <v>4872163</v>
      </c>
      <c r="F6696" t="s">
        <v>8</v>
      </c>
      <c r="G6696" t="s">
        <v>203</v>
      </c>
      <c r="H6696" t="s">
        <v>222</v>
      </c>
      <c r="I6696" s="4">
        <v>100638.28079999999</v>
      </c>
      <c r="J6696" s="4">
        <v>2012765.6159999999</v>
      </c>
      <c r="K6696" s="4">
        <v>-90461.376000000004</v>
      </c>
      <c r="L6696" s="4">
        <v>20</v>
      </c>
    </row>
    <row r="6697" spans="1:12">
      <c r="A6697" t="s">
        <v>264</v>
      </c>
      <c r="B6697" s="10">
        <v>45294</v>
      </c>
      <c r="C6697" s="18">
        <f t="shared" si="104"/>
        <v>1</v>
      </c>
      <c r="D6697" t="s">
        <v>196</v>
      </c>
      <c r="E6697">
        <v>4872163</v>
      </c>
      <c r="F6697" t="s">
        <v>8</v>
      </c>
      <c r="G6697" t="s">
        <v>203</v>
      </c>
      <c r="H6697" t="s">
        <v>231</v>
      </c>
      <c r="I6697" s="4">
        <v>125766.4408</v>
      </c>
      <c r="J6697" s="4">
        <v>1257664.4080000001</v>
      </c>
      <c r="K6697" s="4">
        <v>-58422.972000000002</v>
      </c>
      <c r="L6697" s="4">
        <v>10</v>
      </c>
    </row>
    <row r="6698" spans="1:12">
      <c r="A6698" t="s">
        <v>264</v>
      </c>
      <c r="B6698" s="10">
        <v>45294</v>
      </c>
      <c r="C6698" s="18">
        <f t="shared" si="104"/>
        <v>1</v>
      </c>
      <c r="D6698" t="s">
        <v>196</v>
      </c>
      <c r="E6698">
        <v>4872163</v>
      </c>
      <c r="F6698" t="s">
        <v>8</v>
      </c>
      <c r="G6698" t="s">
        <v>203</v>
      </c>
      <c r="H6698" t="s">
        <v>229</v>
      </c>
      <c r="I6698" s="4">
        <v>125766.4408</v>
      </c>
      <c r="J6698" s="4">
        <v>2515328.8160000001</v>
      </c>
      <c r="K6698" s="4">
        <v>-116845.944</v>
      </c>
      <c r="L6698" s="4">
        <v>20</v>
      </c>
    </row>
    <row r="6699" spans="1:12">
      <c r="A6699" t="s">
        <v>264</v>
      </c>
      <c r="B6699" s="10">
        <v>45294</v>
      </c>
      <c r="C6699" s="18">
        <f t="shared" si="104"/>
        <v>1</v>
      </c>
      <c r="D6699" t="s">
        <v>196</v>
      </c>
      <c r="E6699">
        <v>4876759</v>
      </c>
      <c r="F6699" t="s">
        <v>8</v>
      </c>
      <c r="G6699" t="s">
        <v>203</v>
      </c>
      <c r="H6699" t="s">
        <v>245</v>
      </c>
      <c r="I6699" s="4">
        <v>100638.28079999999</v>
      </c>
      <c r="J6699" s="4">
        <v>1006382.808</v>
      </c>
      <c r="K6699" s="4">
        <v>-45230.688000000002</v>
      </c>
      <c r="L6699" s="4">
        <v>10</v>
      </c>
    </row>
    <row r="6700" spans="1:12">
      <c r="A6700" t="s">
        <v>264</v>
      </c>
      <c r="B6700" s="10">
        <v>45294</v>
      </c>
      <c r="C6700" s="18">
        <f t="shared" si="104"/>
        <v>1</v>
      </c>
      <c r="D6700" t="s">
        <v>196</v>
      </c>
      <c r="E6700">
        <v>4876759</v>
      </c>
      <c r="F6700" t="s">
        <v>8</v>
      </c>
      <c r="G6700" t="s">
        <v>203</v>
      </c>
      <c r="H6700" t="s">
        <v>236</v>
      </c>
      <c r="I6700" s="4">
        <v>100638.28079999999</v>
      </c>
      <c r="J6700" s="4">
        <v>1006382.808</v>
      </c>
      <c r="K6700" s="4">
        <v>-45230.688000000002</v>
      </c>
      <c r="L6700" s="4">
        <v>10</v>
      </c>
    </row>
    <row r="6701" spans="1:12">
      <c r="A6701" t="s">
        <v>264</v>
      </c>
      <c r="B6701" s="10">
        <v>45294</v>
      </c>
      <c r="C6701" s="18">
        <f t="shared" si="104"/>
        <v>1</v>
      </c>
      <c r="D6701" t="s">
        <v>196</v>
      </c>
      <c r="E6701">
        <v>4876759</v>
      </c>
      <c r="F6701" t="s">
        <v>8</v>
      </c>
      <c r="G6701" t="s">
        <v>203</v>
      </c>
      <c r="H6701" t="s">
        <v>230</v>
      </c>
      <c r="I6701" s="4">
        <v>100638.28079999999</v>
      </c>
      <c r="J6701" s="4">
        <v>1006382.808</v>
      </c>
      <c r="K6701" s="4">
        <v>-45230.688000000002</v>
      </c>
      <c r="L6701" s="4">
        <v>10</v>
      </c>
    </row>
    <row r="6702" spans="1:12">
      <c r="A6702" t="s">
        <v>264</v>
      </c>
      <c r="B6702" s="10">
        <v>45294</v>
      </c>
      <c r="C6702" s="18">
        <f t="shared" si="104"/>
        <v>1</v>
      </c>
      <c r="D6702" t="s">
        <v>196</v>
      </c>
      <c r="E6702">
        <v>4876759</v>
      </c>
      <c r="F6702" t="s">
        <v>8</v>
      </c>
      <c r="G6702" t="s">
        <v>203</v>
      </c>
      <c r="H6702" t="s">
        <v>244</v>
      </c>
      <c r="I6702" s="4">
        <v>125766.4408</v>
      </c>
      <c r="J6702" s="4">
        <v>628832.20400000003</v>
      </c>
      <c r="K6702" s="4">
        <v>-29211.486000000001</v>
      </c>
      <c r="L6702" s="4">
        <v>5</v>
      </c>
    </row>
    <row r="6703" spans="1:12">
      <c r="A6703" t="s">
        <v>264</v>
      </c>
      <c r="B6703" s="10">
        <v>45294</v>
      </c>
      <c r="C6703" s="18">
        <f t="shared" si="104"/>
        <v>1</v>
      </c>
      <c r="D6703" t="s">
        <v>196</v>
      </c>
      <c r="E6703">
        <v>4876759</v>
      </c>
      <c r="F6703" t="s">
        <v>8</v>
      </c>
      <c r="G6703" t="s">
        <v>203</v>
      </c>
      <c r="H6703" t="s">
        <v>241</v>
      </c>
      <c r="I6703" s="4">
        <v>125766.4408</v>
      </c>
      <c r="J6703" s="4">
        <v>628832.20400000003</v>
      </c>
      <c r="K6703" s="4">
        <v>-29211.486000000001</v>
      </c>
      <c r="L6703" s="4">
        <v>5</v>
      </c>
    </row>
    <row r="6704" spans="1:12">
      <c r="A6704" t="s">
        <v>264</v>
      </c>
      <c r="B6704" s="10">
        <v>45294</v>
      </c>
      <c r="C6704" s="18">
        <f t="shared" si="104"/>
        <v>1</v>
      </c>
      <c r="D6704" t="s">
        <v>196</v>
      </c>
      <c r="E6704">
        <v>4876759</v>
      </c>
      <c r="F6704" t="s">
        <v>8</v>
      </c>
      <c r="G6704" t="s">
        <v>203</v>
      </c>
      <c r="H6704" t="s">
        <v>239</v>
      </c>
      <c r="I6704" s="4">
        <v>125766.4408</v>
      </c>
      <c r="J6704" s="4">
        <v>628832.20400000003</v>
      </c>
      <c r="K6704" s="4">
        <v>-29211.486000000001</v>
      </c>
      <c r="L6704" s="4">
        <v>5</v>
      </c>
    </row>
    <row r="6705" spans="1:12">
      <c r="A6705" t="s">
        <v>264</v>
      </c>
      <c r="B6705" s="10">
        <v>45294</v>
      </c>
      <c r="C6705" s="18">
        <f t="shared" si="104"/>
        <v>1</v>
      </c>
      <c r="D6705" t="s">
        <v>196</v>
      </c>
      <c r="E6705">
        <v>4876759</v>
      </c>
      <c r="F6705" t="s">
        <v>8</v>
      </c>
      <c r="G6705" t="s">
        <v>203</v>
      </c>
      <c r="H6705" t="s">
        <v>235</v>
      </c>
      <c r="I6705" s="4">
        <v>125766.4408</v>
      </c>
      <c r="J6705" s="4">
        <v>628832.20400000003</v>
      </c>
      <c r="K6705" s="4">
        <v>-29211.486000000001</v>
      </c>
      <c r="L6705" s="4">
        <v>5</v>
      </c>
    </row>
    <row r="6706" spans="1:12">
      <c r="A6706" t="s">
        <v>264</v>
      </c>
      <c r="B6706" s="10">
        <v>45294</v>
      </c>
      <c r="C6706" s="18">
        <f t="shared" si="104"/>
        <v>1</v>
      </c>
      <c r="D6706" t="s">
        <v>196</v>
      </c>
      <c r="E6706">
        <v>4876759</v>
      </c>
      <c r="F6706" t="s">
        <v>8</v>
      </c>
      <c r="G6706" t="s">
        <v>203</v>
      </c>
      <c r="H6706" t="s">
        <v>233</v>
      </c>
      <c r="I6706" s="4">
        <v>120735.78316800001</v>
      </c>
      <c r="J6706" s="4">
        <v>603678.91584000003</v>
      </c>
      <c r="K6706" s="4">
        <v>-29211.486000000001</v>
      </c>
      <c r="L6706" s="4">
        <v>5</v>
      </c>
    </row>
    <row r="6707" spans="1:12">
      <c r="A6707" t="s">
        <v>264</v>
      </c>
      <c r="B6707" s="10">
        <v>45294</v>
      </c>
      <c r="C6707" s="18">
        <f t="shared" si="104"/>
        <v>1</v>
      </c>
      <c r="D6707" t="s">
        <v>196</v>
      </c>
      <c r="E6707">
        <v>4876759</v>
      </c>
      <c r="F6707" t="s">
        <v>8</v>
      </c>
      <c r="G6707" t="s">
        <v>203</v>
      </c>
      <c r="H6707" t="s">
        <v>229</v>
      </c>
      <c r="I6707" s="4">
        <v>125766.4408</v>
      </c>
      <c r="J6707" s="4">
        <v>628832.20400000003</v>
      </c>
      <c r="K6707" s="4">
        <v>-29211.486000000001</v>
      </c>
      <c r="L6707" s="4">
        <v>5</v>
      </c>
    </row>
    <row r="6708" spans="1:12">
      <c r="A6708" t="s">
        <v>264</v>
      </c>
      <c r="B6708" s="10">
        <v>45294</v>
      </c>
      <c r="C6708" s="18">
        <f t="shared" si="104"/>
        <v>1</v>
      </c>
      <c r="D6708" t="s">
        <v>196</v>
      </c>
      <c r="E6708">
        <v>4872141</v>
      </c>
      <c r="F6708" t="s">
        <v>8</v>
      </c>
      <c r="G6708" t="s">
        <v>203</v>
      </c>
      <c r="H6708" t="s">
        <v>223</v>
      </c>
      <c r="I6708" s="4">
        <v>100638.28079999999</v>
      </c>
      <c r="J6708" s="4">
        <v>2012765.6159999999</v>
      </c>
      <c r="K6708" s="4">
        <v>-90461.376000000004</v>
      </c>
      <c r="L6708" s="4">
        <v>20</v>
      </c>
    </row>
    <row r="6709" spans="1:12">
      <c r="A6709" t="s">
        <v>264</v>
      </c>
      <c r="B6709" s="10">
        <v>45294</v>
      </c>
      <c r="C6709" s="18">
        <f t="shared" si="104"/>
        <v>1</v>
      </c>
      <c r="D6709" t="s">
        <v>196</v>
      </c>
      <c r="E6709">
        <v>4872141</v>
      </c>
      <c r="F6709" t="s">
        <v>8</v>
      </c>
      <c r="G6709" t="s">
        <v>203</v>
      </c>
      <c r="H6709" t="s">
        <v>222</v>
      </c>
      <c r="I6709" s="4">
        <v>100638.28079999999</v>
      </c>
      <c r="J6709" s="4">
        <v>2012765.6159999999</v>
      </c>
      <c r="K6709" s="4">
        <v>-90461.376000000004</v>
      </c>
      <c r="L6709" s="4">
        <v>20</v>
      </c>
    </row>
    <row r="6710" spans="1:12">
      <c r="A6710" t="s">
        <v>264</v>
      </c>
      <c r="B6710" s="10">
        <v>45294</v>
      </c>
      <c r="C6710" s="18">
        <f t="shared" si="104"/>
        <v>1</v>
      </c>
      <c r="D6710" t="s">
        <v>196</v>
      </c>
      <c r="E6710">
        <v>4872141</v>
      </c>
      <c r="F6710" t="s">
        <v>8</v>
      </c>
      <c r="G6710" t="s">
        <v>203</v>
      </c>
      <c r="H6710" t="s">
        <v>239</v>
      </c>
      <c r="I6710" s="4">
        <v>125766.4408</v>
      </c>
      <c r="J6710" s="4">
        <v>1886496.612</v>
      </c>
      <c r="K6710" s="4">
        <v>-87634.457999999999</v>
      </c>
      <c r="L6710" s="4">
        <v>15</v>
      </c>
    </row>
    <row r="6711" spans="1:12">
      <c r="A6711" t="s">
        <v>264</v>
      </c>
      <c r="B6711" s="10">
        <v>45294</v>
      </c>
      <c r="C6711" s="18">
        <f t="shared" si="104"/>
        <v>1</v>
      </c>
      <c r="D6711" t="s">
        <v>196</v>
      </c>
      <c r="E6711">
        <v>4872141</v>
      </c>
      <c r="F6711" t="s">
        <v>8</v>
      </c>
      <c r="G6711" t="s">
        <v>203</v>
      </c>
      <c r="H6711" t="s">
        <v>237</v>
      </c>
      <c r="I6711" s="4">
        <v>125766.4408</v>
      </c>
      <c r="J6711" s="4">
        <v>1383430.8488</v>
      </c>
      <c r="K6711" s="4">
        <v>-64265.269200000002</v>
      </c>
      <c r="L6711" s="4">
        <v>11</v>
      </c>
    </row>
    <row r="6712" spans="1:12">
      <c r="A6712" t="s">
        <v>264</v>
      </c>
      <c r="B6712" s="10">
        <v>45294</v>
      </c>
      <c r="C6712" s="18">
        <f t="shared" si="104"/>
        <v>1</v>
      </c>
      <c r="D6712" t="s">
        <v>196</v>
      </c>
      <c r="E6712">
        <v>4872141</v>
      </c>
      <c r="F6712" t="s">
        <v>8</v>
      </c>
      <c r="G6712" t="s">
        <v>203</v>
      </c>
      <c r="H6712" t="s">
        <v>231</v>
      </c>
      <c r="I6712" s="4">
        <v>125766.4408</v>
      </c>
      <c r="J6712" s="4">
        <v>1886496.612</v>
      </c>
      <c r="K6712" s="4">
        <v>-87634.457999999999</v>
      </c>
      <c r="L6712" s="4">
        <v>15</v>
      </c>
    </row>
    <row r="6713" spans="1:12">
      <c r="A6713" t="s">
        <v>264</v>
      </c>
      <c r="B6713" s="10">
        <v>45294</v>
      </c>
      <c r="C6713" s="18">
        <f t="shared" si="104"/>
        <v>1</v>
      </c>
      <c r="D6713" t="s">
        <v>196</v>
      </c>
      <c r="E6713">
        <v>4872141</v>
      </c>
      <c r="F6713" t="s">
        <v>8</v>
      </c>
      <c r="G6713" t="s">
        <v>203</v>
      </c>
      <c r="H6713" t="s">
        <v>229</v>
      </c>
      <c r="I6713" s="4">
        <v>125766.4408</v>
      </c>
      <c r="J6713" s="4">
        <v>2515328.8160000001</v>
      </c>
      <c r="K6713" s="4">
        <v>-116845.944</v>
      </c>
      <c r="L6713" s="4">
        <v>20</v>
      </c>
    </row>
    <row r="6714" spans="1:12">
      <c r="A6714" t="s">
        <v>264</v>
      </c>
      <c r="B6714" s="10">
        <v>45294</v>
      </c>
      <c r="C6714" s="18">
        <f t="shared" si="104"/>
        <v>1</v>
      </c>
      <c r="D6714" t="s">
        <v>196</v>
      </c>
      <c r="E6714">
        <v>4875779</v>
      </c>
      <c r="F6714" t="s">
        <v>8</v>
      </c>
      <c r="G6714" t="s">
        <v>204</v>
      </c>
      <c r="H6714" t="s">
        <v>221</v>
      </c>
      <c r="I6714" s="4">
        <v>25253.800799999997</v>
      </c>
      <c r="J6714" s="4">
        <v>505076.01599999995</v>
      </c>
      <c r="K6714" s="4">
        <v>-25128.16</v>
      </c>
      <c r="L6714" s="4">
        <v>20</v>
      </c>
    </row>
    <row r="6715" spans="1:12">
      <c r="A6715" t="s">
        <v>264</v>
      </c>
      <c r="B6715" s="10">
        <v>45294</v>
      </c>
      <c r="C6715" s="18">
        <f t="shared" si="104"/>
        <v>1</v>
      </c>
      <c r="D6715" t="s">
        <v>196</v>
      </c>
      <c r="E6715">
        <v>4875779</v>
      </c>
      <c r="F6715" t="s">
        <v>8</v>
      </c>
      <c r="G6715" t="s">
        <v>204</v>
      </c>
      <c r="H6715" t="s">
        <v>220</v>
      </c>
      <c r="I6715" s="4">
        <v>37817.880799999999</v>
      </c>
      <c r="J6715" s="4">
        <v>1512715.2319999998</v>
      </c>
      <c r="K6715" s="4">
        <v>-57794.767999999996</v>
      </c>
      <c r="L6715" s="4">
        <v>40</v>
      </c>
    </row>
    <row r="6716" spans="1:12">
      <c r="A6716" t="s">
        <v>264</v>
      </c>
      <c r="B6716" s="10">
        <v>45294</v>
      </c>
      <c r="C6716" s="18">
        <f t="shared" si="104"/>
        <v>1</v>
      </c>
      <c r="D6716" t="s">
        <v>196</v>
      </c>
      <c r="E6716">
        <v>4875779</v>
      </c>
      <c r="F6716" t="s">
        <v>8</v>
      </c>
      <c r="G6716" t="s">
        <v>204</v>
      </c>
      <c r="H6716" t="s">
        <v>212</v>
      </c>
      <c r="I6716" s="4">
        <v>62946.040799999995</v>
      </c>
      <c r="J6716" s="4">
        <v>2517841.6319999998</v>
      </c>
      <c r="K6716" s="4">
        <v>-75384.479999999996</v>
      </c>
      <c r="L6716" s="4">
        <v>40</v>
      </c>
    </row>
    <row r="6717" spans="1:12">
      <c r="A6717" t="s">
        <v>264</v>
      </c>
      <c r="B6717" s="10">
        <v>45295</v>
      </c>
      <c r="C6717" s="18">
        <f t="shared" si="104"/>
        <v>1</v>
      </c>
      <c r="D6717" t="s">
        <v>196</v>
      </c>
      <c r="E6717">
        <v>4873615</v>
      </c>
      <c r="F6717" t="s">
        <v>8</v>
      </c>
      <c r="G6717" t="s">
        <v>203</v>
      </c>
      <c r="H6717" t="s">
        <v>230</v>
      </c>
      <c r="I6717" s="4">
        <v>100638.28079999999</v>
      </c>
      <c r="J6717" s="4">
        <v>1006382.808</v>
      </c>
      <c r="K6717" s="4">
        <v>-45230.688000000002</v>
      </c>
      <c r="L6717" s="4">
        <v>10</v>
      </c>
    </row>
    <row r="6718" spans="1:12">
      <c r="A6718" t="s">
        <v>264</v>
      </c>
      <c r="B6718" s="10">
        <v>45295</v>
      </c>
      <c r="C6718" s="18">
        <f t="shared" si="104"/>
        <v>1</v>
      </c>
      <c r="D6718" t="s">
        <v>196</v>
      </c>
      <c r="E6718">
        <v>4873615</v>
      </c>
      <c r="F6718" t="s">
        <v>8</v>
      </c>
      <c r="G6718" t="s">
        <v>203</v>
      </c>
      <c r="H6718" t="s">
        <v>225</v>
      </c>
      <c r="I6718" s="4">
        <v>100638.28079999999</v>
      </c>
      <c r="J6718" s="4">
        <v>1006382.808</v>
      </c>
      <c r="K6718" s="4">
        <v>-45230.688000000002</v>
      </c>
      <c r="L6718" s="4">
        <v>10</v>
      </c>
    </row>
    <row r="6719" spans="1:12">
      <c r="A6719" t="s">
        <v>264</v>
      </c>
      <c r="B6719" s="10">
        <v>45295</v>
      </c>
      <c r="C6719" s="18">
        <f t="shared" si="104"/>
        <v>1</v>
      </c>
      <c r="D6719" t="s">
        <v>196</v>
      </c>
      <c r="E6719">
        <v>4873615</v>
      </c>
      <c r="F6719" t="s">
        <v>8</v>
      </c>
      <c r="G6719" t="s">
        <v>203</v>
      </c>
      <c r="H6719" t="s">
        <v>229</v>
      </c>
      <c r="I6719" s="4">
        <v>125766.4408</v>
      </c>
      <c r="J6719" s="4">
        <v>1257664.4080000001</v>
      </c>
      <c r="K6719" s="4">
        <v>-58422.972000000002</v>
      </c>
      <c r="L6719" s="4">
        <v>10</v>
      </c>
    </row>
    <row r="6720" spans="1:12">
      <c r="A6720" t="s">
        <v>264</v>
      </c>
      <c r="B6720" s="10">
        <v>45295</v>
      </c>
      <c r="C6720" s="18">
        <f t="shared" si="104"/>
        <v>1</v>
      </c>
      <c r="D6720" t="s">
        <v>196</v>
      </c>
      <c r="E6720">
        <v>4872156</v>
      </c>
      <c r="F6720" t="s">
        <v>8</v>
      </c>
      <c r="G6720" t="s">
        <v>204</v>
      </c>
      <c r="H6720" t="s">
        <v>212</v>
      </c>
      <c r="I6720" s="4">
        <v>62946.040799999995</v>
      </c>
      <c r="J6720" s="4">
        <v>1258920.8159999999</v>
      </c>
      <c r="K6720" s="4">
        <v>-37692.239999999998</v>
      </c>
      <c r="L6720" s="4">
        <v>20</v>
      </c>
    </row>
    <row r="6721" spans="1:12">
      <c r="A6721" t="s">
        <v>264</v>
      </c>
      <c r="B6721" s="10">
        <v>45295</v>
      </c>
      <c r="C6721" s="18">
        <f t="shared" si="104"/>
        <v>1</v>
      </c>
      <c r="D6721" t="s">
        <v>196</v>
      </c>
      <c r="E6721">
        <v>4872156</v>
      </c>
      <c r="F6721" t="s">
        <v>8</v>
      </c>
      <c r="G6721" t="s">
        <v>202</v>
      </c>
      <c r="H6721" t="s">
        <v>261</v>
      </c>
      <c r="I6721" s="4">
        <v>41587.104800000001</v>
      </c>
      <c r="J6721" s="4">
        <v>4158710.48</v>
      </c>
      <c r="K6721" s="4">
        <v>-207307.32</v>
      </c>
      <c r="L6721" s="4">
        <v>100</v>
      </c>
    </row>
    <row r="6722" spans="1:12">
      <c r="A6722" t="s">
        <v>264</v>
      </c>
      <c r="B6722" s="10">
        <v>45295</v>
      </c>
      <c r="C6722" s="18">
        <f t="shared" ref="C6722:C6785" si="105">MONTH(B6722)</f>
        <v>1</v>
      </c>
      <c r="D6722" t="s">
        <v>196</v>
      </c>
      <c r="E6722">
        <v>4872190</v>
      </c>
      <c r="F6722" t="s">
        <v>8</v>
      </c>
      <c r="G6722" t="s">
        <v>203</v>
      </c>
      <c r="H6722" t="s">
        <v>245</v>
      </c>
      <c r="I6722" s="4">
        <v>100638.28079999999</v>
      </c>
      <c r="J6722" s="4">
        <v>2012765.6159999999</v>
      </c>
      <c r="K6722" s="4">
        <v>-90461.376000000004</v>
      </c>
      <c r="L6722" s="4">
        <v>20</v>
      </c>
    </row>
    <row r="6723" spans="1:12">
      <c r="A6723" t="s">
        <v>264</v>
      </c>
      <c r="B6723" s="10">
        <v>45295</v>
      </c>
      <c r="C6723" s="18">
        <f t="shared" si="105"/>
        <v>1</v>
      </c>
      <c r="D6723" t="s">
        <v>196</v>
      </c>
      <c r="E6723">
        <v>4872190</v>
      </c>
      <c r="F6723" t="s">
        <v>8</v>
      </c>
      <c r="G6723" t="s">
        <v>203</v>
      </c>
      <c r="H6723" t="s">
        <v>243</v>
      </c>
      <c r="I6723" s="4">
        <v>100638.28079999999</v>
      </c>
      <c r="J6723" s="4">
        <v>2012765.6159999999</v>
      </c>
      <c r="K6723" s="4">
        <v>-90461.376000000004</v>
      </c>
      <c r="L6723" s="4">
        <v>20</v>
      </c>
    </row>
    <row r="6724" spans="1:12">
      <c r="A6724" t="s">
        <v>264</v>
      </c>
      <c r="B6724" s="10">
        <v>45295</v>
      </c>
      <c r="C6724" s="18">
        <f t="shared" si="105"/>
        <v>1</v>
      </c>
      <c r="D6724" t="s">
        <v>196</v>
      </c>
      <c r="E6724">
        <v>4872190</v>
      </c>
      <c r="F6724" t="s">
        <v>8</v>
      </c>
      <c r="G6724" t="s">
        <v>203</v>
      </c>
      <c r="H6724" t="s">
        <v>242</v>
      </c>
      <c r="I6724" s="4">
        <v>100638.28079999999</v>
      </c>
      <c r="J6724" s="4">
        <v>2012765.6159999999</v>
      </c>
      <c r="K6724" s="4">
        <v>-90461.376000000004</v>
      </c>
      <c r="L6724" s="4">
        <v>20</v>
      </c>
    </row>
    <row r="6725" spans="1:12">
      <c r="A6725" t="s">
        <v>264</v>
      </c>
      <c r="B6725" s="10">
        <v>45295</v>
      </c>
      <c r="C6725" s="18">
        <f t="shared" si="105"/>
        <v>1</v>
      </c>
      <c r="D6725" t="s">
        <v>196</v>
      </c>
      <c r="E6725">
        <v>4872190</v>
      </c>
      <c r="F6725" t="s">
        <v>8</v>
      </c>
      <c r="G6725" t="s">
        <v>203</v>
      </c>
      <c r="H6725" t="s">
        <v>240</v>
      </c>
      <c r="I6725" s="4">
        <v>100638.28079999999</v>
      </c>
      <c r="J6725" s="4">
        <v>2012765.6159999999</v>
      </c>
      <c r="K6725" s="4">
        <v>-90461.376000000004</v>
      </c>
      <c r="L6725" s="4">
        <v>20</v>
      </c>
    </row>
    <row r="6726" spans="1:12">
      <c r="A6726" t="s">
        <v>264</v>
      </c>
      <c r="B6726" s="10">
        <v>45295</v>
      </c>
      <c r="C6726" s="18">
        <f t="shared" si="105"/>
        <v>1</v>
      </c>
      <c r="D6726" t="s">
        <v>196</v>
      </c>
      <c r="E6726">
        <v>4872190</v>
      </c>
      <c r="F6726" t="s">
        <v>8</v>
      </c>
      <c r="G6726" t="s">
        <v>203</v>
      </c>
      <c r="H6726" t="s">
        <v>236</v>
      </c>
      <c r="I6726" s="4">
        <v>100638.28079999999</v>
      </c>
      <c r="J6726" s="4">
        <v>2012765.6159999999</v>
      </c>
      <c r="K6726" s="4">
        <v>-90461.376000000004</v>
      </c>
      <c r="L6726" s="4">
        <v>20</v>
      </c>
    </row>
    <row r="6727" spans="1:12">
      <c r="A6727" t="s">
        <v>264</v>
      </c>
      <c r="B6727" s="10">
        <v>45295</v>
      </c>
      <c r="C6727" s="18">
        <f t="shared" si="105"/>
        <v>1</v>
      </c>
      <c r="D6727" t="s">
        <v>196</v>
      </c>
      <c r="E6727">
        <v>4872190</v>
      </c>
      <c r="F6727" t="s">
        <v>8</v>
      </c>
      <c r="G6727" t="s">
        <v>203</v>
      </c>
      <c r="H6727" t="s">
        <v>234</v>
      </c>
      <c r="I6727" s="4">
        <v>100638.28079999999</v>
      </c>
      <c r="J6727" s="4">
        <v>2012765.6159999999</v>
      </c>
      <c r="K6727" s="4">
        <v>-90461.376000000004</v>
      </c>
      <c r="L6727" s="4">
        <v>20</v>
      </c>
    </row>
    <row r="6728" spans="1:12">
      <c r="A6728" t="s">
        <v>264</v>
      </c>
      <c r="B6728" s="10">
        <v>45295</v>
      </c>
      <c r="C6728" s="18">
        <f t="shared" si="105"/>
        <v>1</v>
      </c>
      <c r="D6728" t="s">
        <v>196</v>
      </c>
      <c r="E6728">
        <v>4872190</v>
      </c>
      <c r="F6728" t="s">
        <v>8</v>
      </c>
      <c r="G6728" t="s">
        <v>203</v>
      </c>
      <c r="H6728" t="s">
        <v>232</v>
      </c>
      <c r="I6728" s="4">
        <v>100638.28079999999</v>
      </c>
      <c r="J6728" s="4">
        <v>2012765.6159999999</v>
      </c>
      <c r="K6728" s="4">
        <v>-90461.376000000004</v>
      </c>
      <c r="L6728" s="4">
        <v>20</v>
      </c>
    </row>
    <row r="6729" spans="1:12">
      <c r="A6729" t="s">
        <v>264</v>
      </c>
      <c r="B6729" s="10">
        <v>45295</v>
      </c>
      <c r="C6729" s="18">
        <f t="shared" si="105"/>
        <v>1</v>
      </c>
      <c r="D6729" t="s">
        <v>196</v>
      </c>
      <c r="E6729">
        <v>4872190</v>
      </c>
      <c r="F6729" t="s">
        <v>8</v>
      </c>
      <c r="G6729" t="s">
        <v>203</v>
      </c>
      <c r="H6729" t="s">
        <v>230</v>
      </c>
      <c r="I6729" s="4">
        <v>100638.28079999999</v>
      </c>
      <c r="J6729" s="4">
        <v>2012765.6159999999</v>
      </c>
      <c r="K6729" s="4">
        <v>-90461.376000000004</v>
      </c>
      <c r="L6729" s="4">
        <v>20</v>
      </c>
    </row>
    <row r="6730" spans="1:12">
      <c r="A6730" t="s">
        <v>264</v>
      </c>
      <c r="B6730" s="10">
        <v>45295</v>
      </c>
      <c r="C6730" s="18">
        <f t="shared" si="105"/>
        <v>1</v>
      </c>
      <c r="D6730" t="s">
        <v>196</v>
      </c>
      <c r="E6730">
        <v>4872190</v>
      </c>
      <c r="F6730" t="s">
        <v>8</v>
      </c>
      <c r="G6730" t="s">
        <v>203</v>
      </c>
      <c r="H6730" t="s">
        <v>228</v>
      </c>
      <c r="I6730" s="4">
        <v>100638.28079999999</v>
      </c>
      <c r="J6730" s="4">
        <v>2012765.6159999999</v>
      </c>
      <c r="K6730" s="4">
        <v>-90461.376000000004</v>
      </c>
      <c r="L6730" s="4">
        <v>20</v>
      </c>
    </row>
    <row r="6731" spans="1:12">
      <c r="A6731" t="s">
        <v>264</v>
      </c>
      <c r="B6731" s="10">
        <v>45295</v>
      </c>
      <c r="C6731" s="18">
        <f t="shared" si="105"/>
        <v>1</v>
      </c>
      <c r="D6731" t="s">
        <v>196</v>
      </c>
      <c r="E6731">
        <v>4872190</v>
      </c>
      <c r="F6731" t="s">
        <v>8</v>
      </c>
      <c r="G6731" t="s">
        <v>203</v>
      </c>
      <c r="H6731" t="s">
        <v>225</v>
      </c>
      <c r="I6731" s="4">
        <v>100638.28079999999</v>
      </c>
      <c r="J6731" s="4">
        <v>2012765.6159999999</v>
      </c>
      <c r="K6731" s="4">
        <v>-90461.376000000004</v>
      </c>
      <c r="L6731" s="4">
        <v>20</v>
      </c>
    </row>
    <row r="6732" spans="1:12">
      <c r="A6732" t="s">
        <v>264</v>
      </c>
      <c r="B6732" s="10">
        <v>45295</v>
      </c>
      <c r="C6732" s="18">
        <f t="shared" si="105"/>
        <v>1</v>
      </c>
      <c r="D6732" t="s">
        <v>196</v>
      </c>
      <c r="E6732">
        <v>4874586</v>
      </c>
      <c r="F6732" t="s">
        <v>8</v>
      </c>
      <c r="G6732" t="s">
        <v>203</v>
      </c>
      <c r="H6732" t="s">
        <v>245</v>
      </c>
      <c r="I6732" s="4">
        <v>100638.28079999999</v>
      </c>
      <c r="J6732" s="4">
        <v>1006382.808</v>
      </c>
      <c r="K6732" s="4">
        <v>-45230.688000000002</v>
      </c>
      <c r="L6732" s="4">
        <v>10</v>
      </c>
    </row>
    <row r="6733" spans="1:12">
      <c r="A6733" t="s">
        <v>264</v>
      </c>
      <c r="B6733" s="10">
        <v>45295</v>
      </c>
      <c r="C6733" s="18">
        <f t="shared" si="105"/>
        <v>1</v>
      </c>
      <c r="D6733" t="s">
        <v>196</v>
      </c>
      <c r="E6733">
        <v>4874586</v>
      </c>
      <c r="F6733" t="s">
        <v>8</v>
      </c>
      <c r="G6733" t="s">
        <v>203</v>
      </c>
      <c r="H6733" t="s">
        <v>243</v>
      </c>
      <c r="I6733" s="4">
        <v>100638.28079999999</v>
      </c>
      <c r="J6733" s="4">
        <v>1006382.808</v>
      </c>
      <c r="K6733" s="4">
        <v>-45230.688000000002</v>
      </c>
      <c r="L6733" s="4">
        <v>10</v>
      </c>
    </row>
    <row r="6734" spans="1:12">
      <c r="A6734" t="s">
        <v>264</v>
      </c>
      <c r="B6734" s="10">
        <v>45295</v>
      </c>
      <c r="C6734" s="18">
        <f t="shared" si="105"/>
        <v>1</v>
      </c>
      <c r="D6734" t="s">
        <v>196</v>
      </c>
      <c r="E6734">
        <v>4874586</v>
      </c>
      <c r="F6734" t="s">
        <v>8</v>
      </c>
      <c r="G6734" t="s">
        <v>203</v>
      </c>
      <c r="H6734" t="s">
        <v>242</v>
      </c>
      <c r="I6734" s="4">
        <v>100638.28079999999</v>
      </c>
      <c r="J6734" s="4">
        <v>1006382.808</v>
      </c>
      <c r="K6734" s="4">
        <v>-45230.688000000002</v>
      </c>
      <c r="L6734" s="4">
        <v>10</v>
      </c>
    </row>
    <row r="6735" spans="1:12">
      <c r="A6735" t="s">
        <v>264</v>
      </c>
      <c r="B6735" s="10">
        <v>45295</v>
      </c>
      <c r="C6735" s="18">
        <f t="shared" si="105"/>
        <v>1</v>
      </c>
      <c r="D6735" t="s">
        <v>196</v>
      </c>
      <c r="E6735">
        <v>4874586</v>
      </c>
      <c r="F6735" t="s">
        <v>8</v>
      </c>
      <c r="G6735" t="s">
        <v>203</v>
      </c>
      <c r="H6735" t="s">
        <v>240</v>
      </c>
      <c r="I6735" s="4">
        <v>100638.28079999999</v>
      </c>
      <c r="J6735" s="4">
        <v>1006382.808</v>
      </c>
      <c r="K6735" s="4">
        <v>-45230.688000000002</v>
      </c>
      <c r="L6735" s="4">
        <v>10</v>
      </c>
    </row>
    <row r="6736" spans="1:12">
      <c r="A6736" t="s">
        <v>264</v>
      </c>
      <c r="B6736" s="10">
        <v>45295</v>
      </c>
      <c r="C6736" s="18">
        <f t="shared" si="105"/>
        <v>1</v>
      </c>
      <c r="D6736" t="s">
        <v>196</v>
      </c>
      <c r="E6736">
        <v>4874586</v>
      </c>
      <c r="F6736" t="s">
        <v>8</v>
      </c>
      <c r="G6736" t="s">
        <v>203</v>
      </c>
      <c r="H6736" t="s">
        <v>238</v>
      </c>
      <c r="I6736" s="4">
        <v>95606.36675999999</v>
      </c>
      <c r="J6736" s="4">
        <v>573638.20055999991</v>
      </c>
      <c r="K6736" s="4">
        <v>-27138.412800000002</v>
      </c>
      <c r="L6736" s="4">
        <v>6</v>
      </c>
    </row>
    <row r="6737" spans="1:12">
      <c r="A6737" t="s">
        <v>264</v>
      </c>
      <c r="B6737" s="10">
        <v>45295</v>
      </c>
      <c r="C6737" s="18">
        <f t="shared" si="105"/>
        <v>1</v>
      </c>
      <c r="D6737" t="s">
        <v>196</v>
      </c>
      <c r="E6737">
        <v>4874586</v>
      </c>
      <c r="F6737" t="s">
        <v>8</v>
      </c>
      <c r="G6737" t="s">
        <v>203</v>
      </c>
      <c r="H6737" t="s">
        <v>236</v>
      </c>
      <c r="I6737" s="4">
        <v>100638.28079999999</v>
      </c>
      <c r="J6737" s="4">
        <v>1408935.9312</v>
      </c>
      <c r="K6737" s="4">
        <v>-63322.963199999998</v>
      </c>
      <c r="L6737" s="4">
        <v>14</v>
      </c>
    </row>
    <row r="6738" spans="1:12">
      <c r="A6738" t="s">
        <v>264</v>
      </c>
      <c r="B6738" s="10">
        <v>45295</v>
      </c>
      <c r="C6738" s="18">
        <f t="shared" si="105"/>
        <v>1</v>
      </c>
      <c r="D6738" t="s">
        <v>196</v>
      </c>
      <c r="E6738">
        <v>4874586</v>
      </c>
      <c r="F6738" t="s">
        <v>8</v>
      </c>
      <c r="G6738" t="s">
        <v>203</v>
      </c>
      <c r="H6738" t="s">
        <v>234</v>
      </c>
      <c r="I6738" s="4">
        <v>100638.28079999999</v>
      </c>
      <c r="J6738" s="4">
        <v>1006382.808</v>
      </c>
      <c r="K6738" s="4">
        <v>-45230.688000000002</v>
      </c>
      <c r="L6738" s="4">
        <v>10</v>
      </c>
    </row>
    <row r="6739" spans="1:12">
      <c r="A6739" t="s">
        <v>264</v>
      </c>
      <c r="B6739" s="10">
        <v>45295</v>
      </c>
      <c r="C6739" s="18">
        <f t="shared" si="105"/>
        <v>1</v>
      </c>
      <c r="D6739" t="s">
        <v>196</v>
      </c>
      <c r="E6739">
        <v>4874586</v>
      </c>
      <c r="F6739" t="s">
        <v>8</v>
      </c>
      <c r="G6739" t="s">
        <v>203</v>
      </c>
      <c r="H6739" t="s">
        <v>232</v>
      </c>
      <c r="I6739" s="4">
        <v>100638.28079999999</v>
      </c>
      <c r="J6739" s="4">
        <v>1006382.808</v>
      </c>
      <c r="K6739" s="4">
        <v>-45230.688000000002</v>
      </c>
      <c r="L6739" s="4">
        <v>10</v>
      </c>
    </row>
    <row r="6740" spans="1:12">
      <c r="A6740" t="s">
        <v>264</v>
      </c>
      <c r="B6740" s="10">
        <v>45295</v>
      </c>
      <c r="C6740" s="18">
        <f t="shared" si="105"/>
        <v>1</v>
      </c>
      <c r="D6740" t="s">
        <v>196</v>
      </c>
      <c r="E6740">
        <v>4874586</v>
      </c>
      <c r="F6740" t="s">
        <v>8</v>
      </c>
      <c r="G6740" t="s">
        <v>203</v>
      </c>
      <c r="H6740" t="s">
        <v>230</v>
      </c>
      <c r="I6740" s="4">
        <v>100638.28079999999</v>
      </c>
      <c r="J6740" s="4">
        <v>1006382.808</v>
      </c>
      <c r="K6740" s="4">
        <v>-45230.688000000002</v>
      </c>
      <c r="L6740" s="4">
        <v>10</v>
      </c>
    </row>
    <row r="6741" spans="1:12">
      <c r="A6741" t="s">
        <v>264</v>
      </c>
      <c r="B6741" s="10">
        <v>45295</v>
      </c>
      <c r="C6741" s="18">
        <f t="shared" si="105"/>
        <v>1</v>
      </c>
      <c r="D6741" t="s">
        <v>196</v>
      </c>
      <c r="E6741">
        <v>4874586</v>
      </c>
      <c r="F6741" t="s">
        <v>8</v>
      </c>
      <c r="G6741" t="s">
        <v>203</v>
      </c>
      <c r="H6741" t="s">
        <v>228</v>
      </c>
      <c r="I6741" s="4">
        <v>100638.28079999999</v>
      </c>
      <c r="J6741" s="4">
        <v>1006382.808</v>
      </c>
      <c r="K6741" s="4">
        <v>-45230.688000000002</v>
      </c>
      <c r="L6741" s="4">
        <v>10</v>
      </c>
    </row>
    <row r="6742" spans="1:12">
      <c r="A6742" t="s">
        <v>264</v>
      </c>
      <c r="B6742" s="10">
        <v>45295</v>
      </c>
      <c r="C6742" s="18">
        <f t="shared" si="105"/>
        <v>1</v>
      </c>
      <c r="D6742" t="s">
        <v>196</v>
      </c>
      <c r="E6742">
        <v>4874586</v>
      </c>
      <c r="F6742" t="s">
        <v>8</v>
      </c>
      <c r="G6742" t="s">
        <v>203</v>
      </c>
      <c r="H6742" t="s">
        <v>227</v>
      </c>
      <c r="I6742" s="4">
        <v>100638.28079999999</v>
      </c>
      <c r="J6742" s="4">
        <v>1006382.808</v>
      </c>
      <c r="K6742" s="4">
        <v>-45230.688000000002</v>
      </c>
      <c r="L6742" s="4">
        <v>10</v>
      </c>
    </row>
    <row r="6743" spans="1:12">
      <c r="A6743" t="s">
        <v>264</v>
      </c>
      <c r="B6743" s="10">
        <v>45295</v>
      </c>
      <c r="C6743" s="18">
        <f t="shared" si="105"/>
        <v>1</v>
      </c>
      <c r="D6743" t="s">
        <v>196</v>
      </c>
      <c r="E6743">
        <v>4874586</v>
      </c>
      <c r="F6743" t="s">
        <v>8</v>
      </c>
      <c r="G6743" t="s">
        <v>203</v>
      </c>
      <c r="H6743" t="s">
        <v>226</v>
      </c>
      <c r="I6743" s="4">
        <v>100638.28079999999</v>
      </c>
      <c r="J6743" s="4">
        <v>1006382.808</v>
      </c>
      <c r="K6743" s="4">
        <v>-45230.688000000002</v>
      </c>
      <c r="L6743" s="4">
        <v>10</v>
      </c>
    </row>
    <row r="6744" spans="1:12">
      <c r="A6744" t="s">
        <v>264</v>
      </c>
      <c r="B6744" s="10">
        <v>45295</v>
      </c>
      <c r="C6744" s="18">
        <f t="shared" si="105"/>
        <v>1</v>
      </c>
      <c r="D6744" t="s">
        <v>196</v>
      </c>
      <c r="E6744">
        <v>4874586</v>
      </c>
      <c r="F6744" t="s">
        <v>8</v>
      </c>
      <c r="G6744" t="s">
        <v>203</v>
      </c>
      <c r="H6744" t="s">
        <v>225</v>
      </c>
      <c r="I6744" s="4">
        <v>100638.28079999999</v>
      </c>
      <c r="J6744" s="4">
        <v>1006382.808</v>
      </c>
      <c r="K6744" s="4">
        <v>-45230.688000000002</v>
      </c>
      <c r="L6744" s="4">
        <v>10</v>
      </c>
    </row>
    <row r="6745" spans="1:12">
      <c r="A6745" t="s">
        <v>264</v>
      </c>
      <c r="B6745" s="10">
        <v>45295</v>
      </c>
      <c r="C6745" s="18">
        <f t="shared" si="105"/>
        <v>1</v>
      </c>
      <c r="D6745" t="s">
        <v>196</v>
      </c>
      <c r="E6745">
        <v>4874586</v>
      </c>
      <c r="F6745" t="s">
        <v>8</v>
      </c>
      <c r="G6745" t="s">
        <v>203</v>
      </c>
      <c r="H6745" t="s">
        <v>224</v>
      </c>
      <c r="I6745" s="4">
        <v>100638.28079999999</v>
      </c>
      <c r="J6745" s="4">
        <v>1006382.808</v>
      </c>
      <c r="K6745" s="4">
        <v>-45230.688000000002</v>
      </c>
      <c r="L6745" s="4">
        <v>10</v>
      </c>
    </row>
    <row r="6746" spans="1:12">
      <c r="A6746" t="s">
        <v>264</v>
      </c>
      <c r="B6746" s="10">
        <v>45295</v>
      </c>
      <c r="C6746" s="18">
        <f t="shared" si="105"/>
        <v>1</v>
      </c>
      <c r="D6746" t="s">
        <v>196</v>
      </c>
      <c r="E6746">
        <v>4874586</v>
      </c>
      <c r="F6746" t="s">
        <v>8</v>
      </c>
      <c r="G6746" t="s">
        <v>203</v>
      </c>
      <c r="H6746" t="s">
        <v>223</v>
      </c>
      <c r="I6746" s="4">
        <v>100638.28079999999</v>
      </c>
      <c r="J6746" s="4">
        <v>1006382.808</v>
      </c>
      <c r="K6746" s="4">
        <v>-45230.688000000002</v>
      </c>
      <c r="L6746" s="4">
        <v>10</v>
      </c>
    </row>
    <row r="6747" spans="1:12">
      <c r="A6747" t="s">
        <v>264</v>
      </c>
      <c r="B6747" s="10">
        <v>45295</v>
      </c>
      <c r="C6747" s="18">
        <f t="shared" si="105"/>
        <v>1</v>
      </c>
      <c r="D6747" t="s">
        <v>196</v>
      </c>
      <c r="E6747">
        <v>4874586</v>
      </c>
      <c r="F6747" t="s">
        <v>8</v>
      </c>
      <c r="G6747" t="s">
        <v>203</v>
      </c>
      <c r="H6747" t="s">
        <v>222</v>
      </c>
      <c r="I6747" s="4">
        <v>100638.28079999999</v>
      </c>
      <c r="J6747" s="4">
        <v>1006382.808</v>
      </c>
      <c r="K6747" s="4">
        <v>-45230.688000000002</v>
      </c>
      <c r="L6747" s="4">
        <v>10</v>
      </c>
    </row>
    <row r="6748" spans="1:12">
      <c r="A6748" t="s">
        <v>264</v>
      </c>
      <c r="B6748" s="10">
        <v>45295</v>
      </c>
      <c r="C6748" s="18">
        <f t="shared" si="105"/>
        <v>1</v>
      </c>
      <c r="D6748" t="s">
        <v>196</v>
      </c>
      <c r="E6748">
        <v>4874586</v>
      </c>
      <c r="F6748" t="s">
        <v>8</v>
      </c>
      <c r="G6748" t="s">
        <v>203</v>
      </c>
      <c r="H6748" t="s">
        <v>244</v>
      </c>
      <c r="I6748" s="4">
        <v>125766.4408</v>
      </c>
      <c r="J6748" s="4">
        <v>628832.20400000003</v>
      </c>
      <c r="K6748" s="4">
        <v>-29211.486000000001</v>
      </c>
      <c r="L6748" s="4">
        <v>5</v>
      </c>
    </row>
    <row r="6749" spans="1:12">
      <c r="A6749" t="s">
        <v>264</v>
      </c>
      <c r="B6749" s="10">
        <v>45295</v>
      </c>
      <c r="C6749" s="18">
        <f t="shared" si="105"/>
        <v>1</v>
      </c>
      <c r="D6749" t="s">
        <v>196</v>
      </c>
      <c r="E6749">
        <v>4874586</v>
      </c>
      <c r="F6749" t="s">
        <v>8</v>
      </c>
      <c r="G6749" t="s">
        <v>203</v>
      </c>
      <c r="H6749" t="s">
        <v>241</v>
      </c>
      <c r="I6749" s="4">
        <v>125766.4408</v>
      </c>
      <c r="J6749" s="4">
        <v>628832.20400000003</v>
      </c>
      <c r="K6749" s="4">
        <v>-29211.486000000001</v>
      </c>
      <c r="L6749" s="4">
        <v>5</v>
      </c>
    </row>
    <row r="6750" spans="1:12">
      <c r="A6750" t="s">
        <v>264</v>
      </c>
      <c r="B6750" s="10">
        <v>45295</v>
      </c>
      <c r="C6750" s="18">
        <f t="shared" si="105"/>
        <v>1</v>
      </c>
      <c r="D6750" t="s">
        <v>196</v>
      </c>
      <c r="E6750">
        <v>4874586</v>
      </c>
      <c r="F6750" t="s">
        <v>8</v>
      </c>
      <c r="G6750" t="s">
        <v>203</v>
      </c>
      <c r="H6750" t="s">
        <v>239</v>
      </c>
      <c r="I6750" s="4">
        <v>125766.4408</v>
      </c>
      <c r="J6750" s="4">
        <v>628832.20400000003</v>
      </c>
      <c r="K6750" s="4">
        <v>-29211.486000000001</v>
      </c>
      <c r="L6750" s="4">
        <v>5</v>
      </c>
    </row>
    <row r="6751" spans="1:12">
      <c r="A6751" t="s">
        <v>264</v>
      </c>
      <c r="B6751" s="10">
        <v>45295</v>
      </c>
      <c r="C6751" s="18">
        <f t="shared" si="105"/>
        <v>1</v>
      </c>
      <c r="D6751" t="s">
        <v>196</v>
      </c>
      <c r="E6751">
        <v>4874586</v>
      </c>
      <c r="F6751" t="s">
        <v>8</v>
      </c>
      <c r="G6751" t="s">
        <v>203</v>
      </c>
      <c r="H6751" t="s">
        <v>237</v>
      </c>
      <c r="I6751" s="4">
        <v>125766.4408</v>
      </c>
      <c r="J6751" s="4">
        <v>628832.20400000003</v>
      </c>
      <c r="K6751" s="4">
        <v>-29211.486000000001</v>
      </c>
      <c r="L6751" s="4">
        <v>5</v>
      </c>
    </row>
    <row r="6752" spans="1:12">
      <c r="A6752" t="s">
        <v>264</v>
      </c>
      <c r="B6752" s="10">
        <v>45295</v>
      </c>
      <c r="C6752" s="18">
        <f t="shared" si="105"/>
        <v>1</v>
      </c>
      <c r="D6752" t="s">
        <v>196</v>
      </c>
      <c r="E6752">
        <v>4874586</v>
      </c>
      <c r="F6752" t="s">
        <v>8</v>
      </c>
      <c r="G6752" t="s">
        <v>203</v>
      </c>
      <c r="H6752" t="s">
        <v>235</v>
      </c>
      <c r="I6752" s="4">
        <v>125766.4408</v>
      </c>
      <c r="J6752" s="4">
        <v>628832.20400000003</v>
      </c>
      <c r="K6752" s="4">
        <v>-29211.486000000001</v>
      </c>
      <c r="L6752" s="4">
        <v>5</v>
      </c>
    </row>
    <row r="6753" spans="1:12">
      <c r="A6753" t="s">
        <v>264</v>
      </c>
      <c r="B6753" s="10">
        <v>45295</v>
      </c>
      <c r="C6753" s="18">
        <f t="shared" si="105"/>
        <v>1</v>
      </c>
      <c r="D6753" t="s">
        <v>196</v>
      </c>
      <c r="E6753">
        <v>4874586</v>
      </c>
      <c r="F6753" t="s">
        <v>8</v>
      </c>
      <c r="G6753" t="s">
        <v>203</v>
      </c>
      <c r="H6753" t="s">
        <v>233</v>
      </c>
      <c r="I6753" s="4">
        <v>120735.78316800001</v>
      </c>
      <c r="J6753" s="4">
        <v>603678.91584000003</v>
      </c>
      <c r="K6753" s="4">
        <v>-29211.486000000001</v>
      </c>
      <c r="L6753" s="4">
        <v>5</v>
      </c>
    </row>
    <row r="6754" spans="1:12">
      <c r="A6754" t="s">
        <v>264</v>
      </c>
      <c r="B6754" s="10">
        <v>45295</v>
      </c>
      <c r="C6754" s="18">
        <f t="shared" si="105"/>
        <v>1</v>
      </c>
      <c r="D6754" t="s">
        <v>196</v>
      </c>
      <c r="E6754">
        <v>4874586</v>
      </c>
      <c r="F6754" t="s">
        <v>8</v>
      </c>
      <c r="G6754" t="s">
        <v>203</v>
      </c>
      <c r="H6754" t="s">
        <v>231</v>
      </c>
      <c r="I6754" s="4">
        <v>125766.4408</v>
      </c>
      <c r="J6754" s="4">
        <v>628832.20400000003</v>
      </c>
      <c r="K6754" s="4">
        <v>-29211.486000000001</v>
      </c>
      <c r="L6754" s="4">
        <v>5</v>
      </c>
    </row>
    <row r="6755" spans="1:12">
      <c r="A6755" t="s">
        <v>264</v>
      </c>
      <c r="B6755" s="10">
        <v>45295</v>
      </c>
      <c r="C6755" s="18">
        <f t="shared" si="105"/>
        <v>1</v>
      </c>
      <c r="D6755" t="s">
        <v>196</v>
      </c>
      <c r="E6755">
        <v>4874586</v>
      </c>
      <c r="F6755" t="s">
        <v>8</v>
      </c>
      <c r="G6755" t="s">
        <v>203</v>
      </c>
      <c r="H6755" t="s">
        <v>229</v>
      </c>
      <c r="I6755" s="4">
        <v>125766.4408</v>
      </c>
      <c r="J6755" s="4">
        <v>628832.20400000003</v>
      </c>
      <c r="K6755" s="4">
        <v>-29211.486000000001</v>
      </c>
      <c r="L6755" s="4">
        <v>5</v>
      </c>
    </row>
    <row r="6756" spans="1:12">
      <c r="A6756" t="s">
        <v>264</v>
      </c>
      <c r="B6756" s="10">
        <v>45295</v>
      </c>
      <c r="C6756" s="18">
        <f t="shared" si="105"/>
        <v>1</v>
      </c>
      <c r="D6756" t="s">
        <v>196</v>
      </c>
      <c r="E6756">
        <v>4872592</v>
      </c>
      <c r="F6756" t="s">
        <v>8</v>
      </c>
      <c r="G6756" t="s">
        <v>203</v>
      </c>
      <c r="H6756" t="s">
        <v>242</v>
      </c>
      <c r="I6756" s="4">
        <v>100638.28079999999</v>
      </c>
      <c r="J6756" s="4">
        <v>2012765.6159999999</v>
      </c>
      <c r="K6756" s="4">
        <v>-90461.376000000004</v>
      </c>
      <c r="L6756" s="4">
        <v>20</v>
      </c>
    </row>
    <row r="6757" spans="1:12">
      <c r="A6757" t="s">
        <v>264</v>
      </c>
      <c r="B6757" s="10">
        <v>45295</v>
      </c>
      <c r="C6757" s="18">
        <f t="shared" si="105"/>
        <v>1</v>
      </c>
      <c r="D6757" t="s">
        <v>196</v>
      </c>
      <c r="E6757">
        <v>4872592</v>
      </c>
      <c r="F6757" t="s">
        <v>8</v>
      </c>
      <c r="G6757" t="s">
        <v>203</v>
      </c>
      <c r="H6757" t="s">
        <v>224</v>
      </c>
      <c r="I6757" s="4">
        <v>100638.28079999999</v>
      </c>
      <c r="J6757" s="4">
        <v>2012765.6159999999</v>
      </c>
      <c r="K6757" s="4">
        <v>-90461.376000000004</v>
      </c>
      <c r="L6757" s="4">
        <v>20</v>
      </c>
    </row>
    <row r="6758" spans="1:12">
      <c r="A6758" t="s">
        <v>264</v>
      </c>
      <c r="B6758" s="10">
        <v>45295</v>
      </c>
      <c r="C6758" s="18">
        <f t="shared" si="105"/>
        <v>1</v>
      </c>
      <c r="D6758" t="s">
        <v>196</v>
      </c>
      <c r="E6758">
        <v>4872210</v>
      </c>
      <c r="F6758" t="s">
        <v>8</v>
      </c>
      <c r="G6758" t="s">
        <v>203</v>
      </c>
      <c r="H6758" t="s">
        <v>237</v>
      </c>
      <c r="I6758" s="4">
        <v>125766.4408</v>
      </c>
      <c r="J6758" s="4">
        <v>2515328.8160000001</v>
      </c>
      <c r="K6758" s="4">
        <v>-116845.944</v>
      </c>
      <c r="L6758" s="4">
        <v>20</v>
      </c>
    </row>
    <row r="6759" spans="1:12">
      <c r="A6759" t="s">
        <v>264</v>
      </c>
      <c r="B6759" s="10">
        <v>45295</v>
      </c>
      <c r="C6759" s="18">
        <f t="shared" si="105"/>
        <v>1</v>
      </c>
      <c r="D6759" t="s">
        <v>196</v>
      </c>
      <c r="E6759">
        <v>4872210</v>
      </c>
      <c r="F6759" t="s">
        <v>8</v>
      </c>
      <c r="G6759" t="s">
        <v>203</v>
      </c>
      <c r="H6759" t="s">
        <v>229</v>
      </c>
      <c r="I6759" s="4">
        <v>125766.4408</v>
      </c>
      <c r="J6759" s="4">
        <v>2515328.8160000001</v>
      </c>
      <c r="K6759" s="4">
        <v>-116845.944</v>
      </c>
      <c r="L6759" s="4">
        <v>20</v>
      </c>
    </row>
    <row r="6760" spans="1:12">
      <c r="A6760" t="s">
        <v>264</v>
      </c>
      <c r="B6760" s="10">
        <v>45296</v>
      </c>
      <c r="C6760" s="18">
        <f t="shared" si="105"/>
        <v>1</v>
      </c>
      <c r="D6760" t="s">
        <v>196</v>
      </c>
      <c r="E6760">
        <v>4872158</v>
      </c>
      <c r="F6760" t="s">
        <v>8</v>
      </c>
      <c r="G6760" t="s">
        <v>203</v>
      </c>
      <c r="H6760" t="s">
        <v>245</v>
      </c>
      <c r="I6760" s="4">
        <v>100638.28079999999</v>
      </c>
      <c r="J6760" s="4">
        <v>2012765.6159999999</v>
      </c>
      <c r="K6760" s="4">
        <v>-90461.376000000004</v>
      </c>
      <c r="L6760" s="4">
        <v>20</v>
      </c>
    </row>
    <row r="6761" spans="1:12">
      <c r="A6761" t="s">
        <v>264</v>
      </c>
      <c r="B6761" s="10">
        <v>45296</v>
      </c>
      <c r="C6761" s="18">
        <f t="shared" si="105"/>
        <v>1</v>
      </c>
      <c r="D6761" t="s">
        <v>196</v>
      </c>
      <c r="E6761">
        <v>4872158</v>
      </c>
      <c r="F6761" t="s">
        <v>8</v>
      </c>
      <c r="G6761" t="s">
        <v>203</v>
      </c>
      <c r="H6761" t="s">
        <v>243</v>
      </c>
      <c r="I6761" s="4">
        <v>100638.28079999999</v>
      </c>
      <c r="J6761" s="4">
        <v>2012765.6159999999</v>
      </c>
      <c r="K6761" s="4">
        <v>-90461.376000000004</v>
      </c>
      <c r="L6761" s="4">
        <v>20</v>
      </c>
    </row>
    <row r="6762" spans="1:12">
      <c r="A6762" t="s">
        <v>264</v>
      </c>
      <c r="B6762" s="10">
        <v>45296</v>
      </c>
      <c r="C6762" s="18">
        <f t="shared" si="105"/>
        <v>1</v>
      </c>
      <c r="D6762" t="s">
        <v>196</v>
      </c>
      <c r="E6762">
        <v>4872158</v>
      </c>
      <c r="F6762" t="s">
        <v>8</v>
      </c>
      <c r="G6762" t="s">
        <v>203</v>
      </c>
      <c r="H6762" t="s">
        <v>242</v>
      </c>
      <c r="I6762" s="4">
        <v>100638.28079999999</v>
      </c>
      <c r="J6762" s="4">
        <v>2012765.6159999999</v>
      </c>
      <c r="K6762" s="4">
        <v>-90461.376000000004</v>
      </c>
      <c r="L6762" s="4">
        <v>20</v>
      </c>
    </row>
    <row r="6763" spans="1:12">
      <c r="A6763" t="s">
        <v>264</v>
      </c>
      <c r="B6763" s="10">
        <v>45296</v>
      </c>
      <c r="C6763" s="18">
        <f t="shared" si="105"/>
        <v>1</v>
      </c>
      <c r="D6763" t="s">
        <v>196</v>
      </c>
      <c r="E6763">
        <v>4872158</v>
      </c>
      <c r="F6763" t="s">
        <v>8</v>
      </c>
      <c r="G6763" t="s">
        <v>203</v>
      </c>
      <c r="H6763" t="s">
        <v>240</v>
      </c>
      <c r="I6763" s="4">
        <v>100638.28079999999</v>
      </c>
      <c r="J6763" s="4">
        <v>2012765.6159999999</v>
      </c>
      <c r="K6763" s="4">
        <v>-90461.376000000004</v>
      </c>
      <c r="L6763" s="4">
        <v>20</v>
      </c>
    </row>
    <row r="6764" spans="1:12">
      <c r="A6764" t="s">
        <v>264</v>
      </c>
      <c r="B6764" s="10">
        <v>45296</v>
      </c>
      <c r="C6764" s="18">
        <f t="shared" si="105"/>
        <v>1</v>
      </c>
      <c r="D6764" t="s">
        <v>196</v>
      </c>
      <c r="E6764">
        <v>4872158</v>
      </c>
      <c r="F6764" t="s">
        <v>8</v>
      </c>
      <c r="G6764" t="s">
        <v>203</v>
      </c>
      <c r="H6764" t="s">
        <v>236</v>
      </c>
      <c r="I6764" s="4">
        <v>100638.28079999999</v>
      </c>
      <c r="J6764" s="4">
        <v>2012765.6159999999</v>
      </c>
      <c r="K6764" s="4">
        <v>-90461.376000000004</v>
      </c>
      <c r="L6764" s="4">
        <v>20</v>
      </c>
    </row>
    <row r="6765" spans="1:12">
      <c r="A6765" t="s">
        <v>264</v>
      </c>
      <c r="B6765" s="10">
        <v>45296</v>
      </c>
      <c r="C6765" s="18">
        <f t="shared" si="105"/>
        <v>1</v>
      </c>
      <c r="D6765" t="s">
        <v>196</v>
      </c>
      <c r="E6765">
        <v>4872158</v>
      </c>
      <c r="F6765" t="s">
        <v>8</v>
      </c>
      <c r="G6765" t="s">
        <v>203</v>
      </c>
      <c r="H6765" t="s">
        <v>234</v>
      </c>
      <c r="I6765" s="4">
        <v>100638.28079999999</v>
      </c>
      <c r="J6765" s="4">
        <v>2012765.6159999999</v>
      </c>
      <c r="K6765" s="4">
        <v>-90461.376000000004</v>
      </c>
      <c r="L6765" s="4">
        <v>20</v>
      </c>
    </row>
    <row r="6766" spans="1:12">
      <c r="A6766" t="s">
        <v>264</v>
      </c>
      <c r="B6766" s="10">
        <v>45296</v>
      </c>
      <c r="C6766" s="18">
        <f t="shared" si="105"/>
        <v>1</v>
      </c>
      <c r="D6766" t="s">
        <v>196</v>
      </c>
      <c r="E6766">
        <v>4872158</v>
      </c>
      <c r="F6766" t="s">
        <v>8</v>
      </c>
      <c r="G6766" t="s">
        <v>203</v>
      </c>
      <c r="H6766" t="s">
        <v>232</v>
      </c>
      <c r="I6766" s="4">
        <v>100638.28079999999</v>
      </c>
      <c r="J6766" s="4">
        <v>2012765.6159999999</v>
      </c>
      <c r="K6766" s="4">
        <v>-90461.376000000004</v>
      </c>
      <c r="L6766" s="4">
        <v>20</v>
      </c>
    </row>
    <row r="6767" spans="1:12">
      <c r="A6767" t="s">
        <v>264</v>
      </c>
      <c r="B6767" s="10">
        <v>45296</v>
      </c>
      <c r="C6767" s="18">
        <f t="shared" si="105"/>
        <v>1</v>
      </c>
      <c r="D6767" t="s">
        <v>196</v>
      </c>
      <c r="E6767">
        <v>4872158</v>
      </c>
      <c r="F6767" t="s">
        <v>8</v>
      </c>
      <c r="G6767" t="s">
        <v>203</v>
      </c>
      <c r="H6767" t="s">
        <v>230</v>
      </c>
      <c r="I6767" s="4">
        <v>100638.28079999999</v>
      </c>
      <c r="J6767" s="4">
        <v>2012765.6159999999</v>
      </c>
      <c r="K6767" s="4">
        <v>-90461.376000000004</v>
      </c>
      <c r="L6767" s="4">
        <v>20</v>
      </c>
    </row>
    <row r="6768" spans="1:12">
      <c r="A6768" t="s">
        <v>264</v>
      </c>
      <c r="B6768" s="10">
        <v>45296</v>
      </c>
      <c r="C6768" s="18">
        <f t="shared" si="105"/>
        <v>1</v>
      </c>
      <c r="D6768" t="s">
        <v>196</v>
      </c>
      <c r="E6768">
        <v>4872158</v>
      </c>
      <c r="F6768" t="s">
        <v>8</v>
      </c>
      <c r="G6768" t="s">
        <v>203</v>
      </c>
      <c r="H6768" t="s">
        <v>228</v>
      </c>
      <c r="I6768" s="4">
        <v>100638.28079999999</v>
      </c>
      <c r="J6768" s="4">
        <v>2012765.6159999999</v>
      </c>
      <c r="K6768" s="4">
        <v>-90461.376000000004</v>
      </c>
      <c r="L6768" s="4">
        <v>20</v>
      </c>
    </row>
    <row r="6769" spans="1:12">
      <c r="A6769" t="s">
        <v>264</v>
      </c>
      <c r="B6769" s="10">
        <v>45296</v>
      </c>
      <c r="C6769" s="18">
        <f t="shared" si="105"/>
        <v>1</v>
      </c>
      <c r="D6769" t="s">
        <v>196</v>
      </c>
      <c r="E6769">
        <v>4872158</v>
      </c>
      <c r="F6769" t="s">
        <v>8</v>
      </c>
      <c r="G6769" t="s">
        <v>203</v>
      </c>
      <c r="H6769" t="s">
        <v>227</v>
      </c>
      <c r="I6769" s="4">
        <v>100638.28079999999</v>
      </c>
      <c r="J6769" s="4">
        <v>2012765.6159999999</v>
      </c>
      <c r="K6769" s="4">
        <v>-90461.376000000004</v>
      </c>
      <c r="L6769" s="4">
        <v>20</v>
      </c>
    </row>
    <row r="6770" spans="1:12">
      <c r="A6770" t="s">
        <v>264</v>
      </c>
      <c r="B6770" s="10">
        <v>45296</v>
      </c>
      <c r="C6770" s="18">
        <f t="shared" si="105"/>
        <v>1</v>
      </c>
      <c r="D6770" t="s">
        <v>196</v>
      </c>
      <c r="E6770">
        <v>4872158</v>
      </c>
      <c r="F6770" t="s">
        <v>8</v>
      </c>
      <c r="G6770" t="s">
        <v>203</v>
      </c>
      <c r="H6770" t="s">
        <v>226</v>
      </c>
      <c r="I6770" s="4">
        <v>100638.28079999999</v>
      </c>
      <c r="J6770" s="4">
        <v>2012765.6159999999</v>
      </c>
      <c r="K6770" s="4">
        <v>-90461.376000000004</v>
      </c>
      <c r="L6770" s="4">
        <v>20</v>
      </c>
    </row>
    <row r="6771" spans="1:12">
      <c r="A6771" t="s">
        <v>264</v>
      </c>
      <c r="B6771" s="10">
        <v>45296</v>
      </c>
      <c r="C6771" s="18">
        <f t="shared" si="105"/>
        <v>1</v>
      </c>
      <c r="D6771" t="s">
        <v>196</v>
      </c>
      <c r="E6771">
        <v>4872158</v>
      </c>
      <c r="F6771" t="s">
        <v>8</v>
      </c>
      <c r="G6771" t="s">
        <v>203</v>
      </c>
      <c r="H6771" t="s">
        <v>225</v>
      </c>
      <c r="I6771" s="4">
        <v>100638.28079999999</v>
      </c>
      <c r="J6771" s="4">
        <v>2012765.6159999999</v>
      </c>
      <c r="K6771" s="4">
        <v>-90461.376000000004</v>
      </c>
      <c r="L6771" s="4">
        <v>20</v>
      </c>
    </row>
    <row r="6772" spans="1:12">
      <c r="A6772" t="s">
        <v>264</v>
      </c>
      <c r="B6772" s="10">
        <v>45296</v>
      </c>
      <c r="C6772" s="18">
        <f t="shared" si="105"/>
        <v>1</v>
      </c>
      <c r="D6772" t="s">
        <v>196</v>
      </c>
      <c r="E6772">
        <v>4872158</v>
      </c>
      <c r="F6772" t="s">
        <v>8</v>
      </c>
      <c r="G6772" t="s">
        <v>203</v>
      </c>
      <c r="H6772" t="s">
        <v>224</v>
      </c>
      <c r="I6772" s="4">
        <v>100638.28079999999</v>
      </c>
      <c r="J6772" s="4">
        <v>2012765.6159999999</v>
      </c>
      <c r="K6772" s="4">
        <v>-90461.376000000004</v>
      </c>
      <c r="L6772" s="4">
        <v>20</v>
      </c>
    </row>
    <row r="6773" spans="1:12">
      <c r="A6773" t="s">
        <v>264</v>
      </c>
      <c r="B6773" s="10">
        <v>45296</v>
      </c>
      <c r="C6773" s="18">
        <f t="shared" si="105"/>
        <v>1</v>
      </c>
      <c r="D6773" t="s">
        <v>196</v>
      </c>
      <c r="E6773">
        <v>4872158</v>
      </c>
      <c r="F6773" t="s">
        <v>8</v>
      </c>
      <c r="G6773" t="s">
        <v>203</v>
      </c>
      <c r="H6773" t="s">
        <v>223</v>
      </c>
      <c r="I6773" s="4">
        <v>100638.28079999999</v>
      </c>
      <c r="J6773" s="4">
        <v>2012765.6159999999</v>
      </c>
      <c r="K6773" s="4">
        <v>-90461.376000000004</v>
      </c>
      <c r="L6773" s="4">
        <v>20</v>
      </c>
    </row>
    <row r="6774" spans="1:12">
      <c r="A6774" t="s">
        <v>264</v>
      </c>
      <c r="B6774" s="10">
        <v>45296</v>
      </c>
      <c r="C6774" s="18">
        <f t="shared" si="105"/>
        <v>1</v>
      </c>
      <c r="D6774" t="s">
        <v>196</v>
      </c>
      <c r="E6774">
        <v>4872158</v>
      </c>
      <c r="F6774" t="s">
        <v>8</v>
      </c>
      <c r="G6774" t="s">
        <v>203</v>
      </c>
      <c r="H6774" t="s">
        <v>222</v>
      </c>
      <c r="I6774" s="4">
        <v>100638.28079999999</v>
      </c>
      <c r="J6774" s="4">
        <v>2012765.6159999999</v>
      </c>
      <c r="K6774" s="4">
        <v>-90461.376000000004</v>
      </c>
      <c r="L6774" s="4">
        <v>20</v>
      </c>
    </row>
    <row r="6775" spans="1:12">
      <c r="A6775" t="s">
        <v>264</v>
      </c>
      <c r="B6775" s="10">
        <v>45296</v>
      </c>
      <c r="C6775" s="18">
        <f t="shared" si="105"/>
        <v>1</v>
      </c>
      <c r="D6775" t="s">
        <v>196</v>
      </c>
      <c r="E6775">
        <v>4872158</v>
      </c>
      <c r="F6775" t="s">
        <v>8</v>
      </c>
      <c r="G6775" t="s">
        <v>203</v>
      </c>
      <c r="H6775" t="s">
        <v>244</v>
      </c>
      <c r="I6775" s="4">
        <v>125766.4408</v>
      </c>
      <c r="J6775" s="4">
        <v>2515328.8160000001</v>
      </c>
      <c r="K6775" s="4">
        <v>-116845.944</v>
      </c>
      <c r="L6775" s="4">
        <v>20</v>
      </c>
    </row>
    <row r="6776" spans="1:12">
      <c r="A6776" t="s">
        <v>264</v>
      </c>
      <c r="B6776" s="10">
        <v>45296</v>
      </c>
      <c r="C6776" s="18">
        <f t="shared" si="105"/>
        <v>1</v>
      </c>
      <c r="D6776" t="s">
        <v>196</v>
      </c>
      <c r="E6776">
        <v>4872158</v>
      </c>
      <c r="F6776" t="s">
        <v>8</v>
      </c>
      <c r="G6776" t="s">
        <v>203</v>
      </c>
      <c r="H6776" t="s">
        <v>241</v>
      </c>
      <c r="I6776" s="4">
        <v>125766.4408</v>
      </c>
      <c r="J6776" s="4">
        <v>2515328.8160000001</v>
      </c>
      <c r="K6776" s="4">
        <v>-116845.944</v>
      </c>
      <c r="L6776" s="4">
        <v>20</v>
      </c>
    </row>
    <row r="6777" spans="1:12">
      <c r="A6777" t="s">
        <v>264</v>
      </c>
      <c r="B6777" s="10">
        <v>45296</v>
      </c>
      <c r="C6777" s="18">
        <f t="shared" si="105"/>
        <v>1</v>
      </c>
      <c r="D6777" t="s">
        <v>196</v>
      </c>
      <c r="E6777">
        <v>4872158</v>
      </c>
      <c r="F6777" t="s">
        <v>8</v>
      </c>
      <c r="G6777" t="s">
        <v>203</v>
      </c>
      <c r="H6777" t="s">
        <v>239</v>
      </c>
      <c r="I6777" s="4">
        <v>125766.4408</v>
      </c>
      <c r="J6777" s="4">
        <v>2515328.8160000001</v>
      </c>
      <c r="K6777" s="4">
        <v>-116845.944</v>
      </c>
      <c r="L6777" s="4">
        <v>20</v>
      </c>
    </row>
    <row r="6778" spans="1:12">
      <c r="A6778" t="s">
        <v>264</v>
      </c>
      <c r="B6778" s="10">
        <v>45296</v>
      </c>
      <c r="C6778" s="18">
        <f t="shared" si="105"/>
        <v>1</v>
      </c>
      <c r="D6778" t="s">
        <v>196</v>
      </c>
      <c r="E6778">
        <v>4872158</v>
      </c>
      <c r="F6778" t="s">
        <v>8</v>
      </c>
      <c r="G6778" t="s">
        <v>203</v>
      </c>
      <c r="H6778" t="s">
        <v>237</v>
      </c>
      <c r="I6778" s="4">
        <v>125766.4408</v>
      </c>
      <c r="J6778" s="4">
        <v>2515328.8160000001</v>
      </c>
      <c r="K6778" s="4">
        <v>-116845.944</v>
      </c>
      <c r="L6778" s="4">
        <v>20</v>
      </c>
    </row>
    <row r="6779" spans="1:12">
      <c r="A6779" t="s">
        <v>264</v>
      </c>
      <c r="B6779" s="10">
        <v>45296</v>
      </c>
      <c r="C6779" s="18">
        <f t="shared" si="105"/>
        <v>1</v>
      </c>
      <c r="D6779" t="s">
        <v>196</v>
      </c>
      <c r="E6779">
        <v>4872158</v>
      </c>
      <c r="F6779" t="s">
        <v>8</v>
      </c>
      <c r="G6779" t="s">
        <v>203</v>
      </c>
      <c r="H6779" t="s">
        <v>235</v>
      </c>
      <c r="I6779" s="4">
        <v>125766.4408</v>
      </c>
      <c r="J6779" s="4">
        <v>2515328.8160000001</v>
      </c>
      <c r="K6779" s="4">
        <v>-116845.944</v>
      </c>
      <c r="L6779" s="4">
        <v>20</v>
      </c>
    </row>
    <row r="6780" spans="1:12">
      <c r="A6780" t="s">
        <v>264</v>
      </c>
      <c r="B6780" s="10">
        <v>45296</v>
      </c>
      <c r="C6780" s="18">
        <f t="shared" si="105"/>
        <v>1</v>
      </c>
      <c r="D6780" t="s">
        <v>196</v>
      </c>
      <c r="E6780">
        <v>4872158</v>
      </c>
      <c r="F6780" t="s">
        <v>8</v>
      </c>
      <c r="G6780" t="s">
        <v>203</v>
      </c>
      <c r="H6780" t="s">
        <v>233</v>
      </c>
      <c r="I6780" s="4">
        <v>120735.78316800001</v>
      </c>
      <c r="J6780" s="4">
        <v>2414715.6633600001</v>
      </c>
      <c r="K6780" s="4">
        <v>-116845.944</v>
      </c>
      <c r="L6780" s="4">
        <v>20</v>
      </c>
    </row>
    <row r="6781" spans="1:12">
      <c r="A6781" t="s">
        <v>264</v>
      </c>
      <c r="B6781" s="10">
        <v>45296</v>
      </c>
      <c r="C6781" s="18">
        <f t="shared" si="105"/>
        <v>1</v>
      </c>
      <c r="D6781" t="s">
        <v>196</v>
      </c>
      <c r="E6781">
        <v>4872158</v>
      </c>
      <c r="F6781" t="s">
        <v>8</v>
      </c>
      <c r="G6781" t="s">
        <v>203</v>
      </c>
      <c r="H6781" t="s">
        <v>231</v>
      </c>
      <c r="I6781" s="4">
        <v>125766.4408</v>
      </c>
      <c r="J6781" s="4">
        <v>2515328.8160000001</v>
      </c>
      <c r="K6781" s="4">
        <v>-116845.944</v>
      </c>
      <c r="L6781" s="4">
        <v>20</v>
      </c>
    </row>
    <row r="6782" spans="1:12">
      <c r="A6782" t="s">
        <v>264</v>
      </c>
      <c r="B6782" s="10">
        <v>45296</v>
      </c>
      <c r="C6782" s="18">
        <f t="shared" si="105"/>
        <v>1</v>
      </c>
      <c r="D6782" t="s">
        <v>196</v>
      </c>
      <c r="E6782">
        <v>4872158</v>
      </c>
      <c r="F6782" t="s">
        <v>8</v>
      </c>
      <c r="G6782" t="s">
        <v>203</v>
      </c>
      <c r="H6782" t="s">
        <v>229</v>
      </c>
      <c r="I6782" s="4">
        <v>125766.4408</v>
      </c>
      <c r="J6782" s="4">
        <v>2515328.8160000001</v>
      </c>
      <c r="K6782" s="4">
        <v>-116845.944</v>
      </c>
      <c r="L6782" s="4">
        <v>20</v>
      </c>
    </row>
    <row r="6783" spans="1:12">
      <c r="A6783" t="s">
        <v>264</v>
      </c>
      <c r="B6783" s="10">
        <v>45296</v>
      </c>
      <c r="C6783" s="18">
        <f t="shared" si="105"/>
        <v>1</v>
      </c>
      <c r="D6783" t="s">
        <v>196</v>
      </c>
      <c r="E6783">
        <v>4878825</v>
      </c>
      <c r="F6783" t="s">
        <v>8</v>
      </c>
      <c r="G6783" t="s">
        <v>204</v>
      </c>
      <c r="H6783" t="s">
        <v>220</v>
      </c>
      <c r="I6783" s="4">
        <v>37817.880799999999</v>
      </c>
      <c r="J6783" s="4">
        <v>151271.5232</v>
      </c>
      <c r="K6783" s="4">
        <v>-5779.4768000000004</v>
      </c>
      <c r="L6783" s="4">
        <v>4</v>
      </c>
    </row>
    <row r="6784" spans="1:12">
      <c r="A6784" t="s">
        <v>264</v>
      </c>
      <c r="B6784" s="10">
        <v>45296</v>
      </c>
      <c r="C6784" s="18">
        <f t="shared" si="105"/>
        <v>1</v>
      </c>
      <c r="D6784" t="s">
        <v>196</v>
      </c>
      <c r="E6784">
        <v>4872193</v>
      </c>
      <c r="F6784" t="s">
        <v>8</v>
      </c>
      <c r="G6784" t="s">
        <v>203</v>
      </c>
      <c r="H6784" t="s">
        <v>225</v>
      </c>
      <c r="I6784" s="4">
        <v>100638.28079999999</v>
      </c>
      <c r="J6784" s="4">
        <v>1006382.808</v>
      </c>
      <c r="K6784" s="4">
        <v>-45230.688000000002</v>
      </c>
      <c r="L6784" s="4">
        <v>10</v>
      </c>
    </row>
    <row r="6785" spans="1:12">
      <c r="A6785" t="s">
        <v>264</v>
      </c>
      <c r="B6785" s="10">
        <v>45296</v>
      </c>
      <c r="C6785" s="18">
        <f t="shared" si="105"/>
        <v>1</v>
      </c>
      <c r="D6785" t="s">
        <v>196</v>
      </c>
      <c r="E6785">
        <v>4872193</v>
      </c>
      <c r="F6785" t="s">
        <v>8</v>
      </c>
      <c r="G6785" t="s">
        <v>203</v>
      </c>
      <c r="H6785" t="s">
        <v>229</v>
      </c>
      <c r="I6785" s="4">
        <v>125766.4408</v>
      </c>
      <c r="J6785" s="4">
        <v>1257664.4080000001</v>
      </c>
      <c r="K6785" s="4">
        <v>-58422.972000000002</v>
      </c>
      <c r="L6785" s="4">
        <v>10</v>
      </c>
    </row>
    <row r="6786" spans="1:12">
      <c r="A6786" t="s">
        <v>264</v>
      </c>
      <c r="B6786" s="10">
        <v>45296</v>
      </c>
      <c r="C6786" s="18">
        <f t="shared" ref="C6786:C6849" si="106">MONTH(B6786)</f>
        <v>1</v>
      </c>
      <c r="D6786" t="s">
        <v>196</v>
      </c>
      <c r="E6786">
        <v>4872208</v>
      </c>
      <c r="F6786" t="s">
        <v>8</v>
      </c>
      <c r="G6786" t="s">
        <v>203</v>
      </c>
      <c r="H6786" t="s">
        <v>245</v>
      </c>
      <c r="I6786" s="4">
        <v>100638.28079999999</v>
      </c>
      <c r="J6786" s="4">
        <v>1006382.808</v>
      </c>
      <c r="K6786" s="4">
        <v>-45230.688000000002</v>
      </c>
      <c r="L6786" s="4">
        <v>10</v>
      </c>
    </row>
    <row r="6787" spans="1:12">
      <c r="A6787" t="s">
        <v>264</v>
      </c>
      <c r="B6787" s="10">
        <v>45296</v>
      </c>
      <c r="C6787" s="18">
        <f t="shared" si="106"/>
        <v>1</v>
      </c>
      <c r="D6787" t="s">
        <v>196</v>
      </c>
      <c r="E6787">
        <v>4872208</v>
      </c>
      <c r="F6787" t="s">
        <v>8</v>
      </c>
      <c r="G6787" t="s">
        <v>203</v>
      </c>
      <c r="H6787" t="s">
        <v>243</v>
      </c>
      <c r="I6787" s="4">
        <v>100638.28079999999</v>
      </c>
      <c r="J6787" s="4">
        <v>1006382.808</v>
      </c>
      <c r="K6787" s="4">
        <v>-45230.688000000002</v>
      </c>
      <c r="L6787" s="4">
        <v>10</v>
      </c>
    </row>
    <row r="6788" spans="1:12">
      <c r="A6788" t="s">
        <v>264</v>
      </c>
      <c r="B6788" s="10">
        <v>45296</v>
      </c>
      <c r="C6788" s="18">
        <f t="shared" si="106"/>
        <v>1</v>
      </c>
      <c r="D6788" t="s">
        <v>196</v>
      </c>
      <c r="E6788">
        <v>4872208</v>
      </c>
      <c r="F6788" t="s">
        <v>8</v>
      </c>
      <c r="G6788" t="s">
        <v>203</v>
      </c>
      <c r="H6788" t="s">
        <v>240</v>
      </c>
      <c r="I6788" s="4">
        <v>100638.28079999999</v>
      </c>
      <c r="J6788" s="4">
        <v>1006382.808</v>
      </c>
      <c r="K6788" s="4">
        <v>-45230.688000000002</v>
      </c>
      <c r="L6788" s="4">
        <v>10</v>
      </c>
    </row>
    <row r="6789" spans="1:12">
      <c r="A6789" t="s">
        <v>264</v>
      </c>
      <c r="B6789" s="10">
        <v>45296</v>
      </c>
      <c r="C6789" s="18">
        <f t="shared" si="106"/>
        <v>1</v>
      </c>
      <c r="D6789" t="s">
        <v>196</v>
      </c>
      <c r="E6789">
        <v>4872208</v>
      </c>
      <c r="F6789" t="s">
        <v>8</v>
      </c>
      <c r="G6789" t="s">
        <v>203</v>
      </c>
      <c r="H6789" t="s">
        <v>232</v>
      </c>
      <c r="I6789" s="4">
        <v>100638.28079999999</v>
      </c>
      <c r="J6789" s="4">
        <v>1006382.808</v>
      </c>
      <c r="K6789" s="4">
        <v>-45230.688000000002</v>
      </c>
      <c r="L6789" s="4">
        <v>10</v>
      </c>
    </row>
    <row r="6790" spans="1:12">
      <c r="A6790" t="s">
        <v>264</v>
      </c>
      <c r="B6790" s="10">
        <v>45296</v>
      </c>
      <c r="C6790" s="18">
        <f t="shared" si="106"/>
        <v>1</v>
      </c>
      <c r="D6790" t="s">
        <v>196</v>
      </c>
      <c r="E6790">
        <v>4872208</v>
      </c>
      <c r="F6790" t="s">
        <v>8</v>
      </c>
      <c r="G6790" t="s">
        <v>203</v>
      </c>
      <c r="H6790" t="s">
        <v>227</v>
      </c>
      <c r="I6790" s="4">
        <v>100638.28079999999</v>
      </c>
      <c r="J6790" s="4">
        <v>1006382.808</v>
      </c>
      <c r="K6790" s="4">
        <v>-45230.688000000002</v>
      </c>
      <c r="L6790" s="4">
        <v>10</v>
      </c>
    </row>
    <row r="6791" spans="1:12">
      <c r="A6791" t="s">
        <v>264</v>
      </c>
      <c r="B6791" s="10">
        <v>45296</v>
      </c>
      <c r="C6791" s="18">
        <f t="shared" si="106"/>
        <v>1</v>
      </c>
      <c r="D6791" t="s">
        <v>196</v>
      </c>
      <c r="E6791">
        <v>4872208</v>
      </c>
      <c r="F6791" t="s">
        <v>8</v>
      </c>
      <c r="G6791" t="s">
        <v>203</v>
      </c>
      <c r="H6791" t="s">
        <v>223</v>
      </c>
      <c r="I6791" s="4">
        <v>100638.28079999999</v>
      </c>
      <c r="J6791" s="4">
        <v>1006382.808</v>
      </c>
      <c r="K6791" s="4">
        <v>-45230.688000000002</v>
      </c>
      <c r="L6791" s="4">
        <v>10</v>
      </c>
    </row>
    <row r="6792" spans="1:12">
      <c r="A6792" t="s">
        <v>264</v>
      </c>
      <c r="B6792" s="10">
        <v>45297</v>
      </c>
      <c r="C6792" s="18">
        <f t="shared" si="106"/>
        <v>1</v>
      </c>
      <c r="D6792" t="s">
        <v>196</v>
      </c>
      <c r="E6792">
        <v>4871600</v>
      </c>
      <c r="F6792" t="s">
        <v>8</v>
      </c>
      <c r="G6792" t="s">
        <v>204</v>
      </c>
      <c r="H6792" t="s">
        <v>218</v>
      </c>
      <c r="I6792" s="4">
        <v>71740.896800000002</v>
      </c>
      <c r="J6792" s="4">
        <v>71740.896800000002</v>
      </c>
      <c r="K6792" s="4">
        <v>-3894.8647999999998</v>
      </c>
      <c r="L6792" s="4">
        <v>1</v>
      </c>
    </row>
    <row r="6793" spans="1:12">
      <c r="A6793" t="s">
        <v>264</v>
      </c>
      <c r="B6793" s="10">
        <v>45297</v>
      </c>
      <c r="C6793" s="18">
        <f t="shared" si="106"/>
        <v>1</v>
      </c>
      <c r="D6793" t="s">
        <v>196</v>
      </c>
      <c r="E6793">
        <v>4871600</v>
      </c>
      <c r="F6793" t="s">
        <v>8</v>
      </c>
      <c r="G6793" t="s">
        <v>204</v>
      </c>
      <c r="H6793" t="s">
        <v>217</v>
      </c>
      <c r="I6793" s="4">
        <v>78022.936799999996</v>
      </c>
      <c r="J6793" s="4">
        <v>624183.49439999997</v>
      </c>
      <c r="K6793" s="4">
        <v>-31158.918399999999</v>
      </c>
      <c r="L6793" s="4">
        <v>8</v>
      </c>
    </row>
    <row r="6794" spans="1:12">
      <c r="A6794" t="s">
        <v>264</v>
      </c>
      <c r="B6794" s="10">
        <v>45297</v>
      </c>
      <c r="C6794" s="18">
        <f t="shared" si="106"/>
        <v>1</v>
      </c>
      <c r="D6794" t="s">
        <v>196</v>
      </c>
      <c r="E6794">
        <v>4871600</v>
      </c>
      <c r="F6794" t="s">
        <v>8</v>
      </c>
      <c r="G6794" t="s">
        <v>204</v>
      </c>
      <c r="H6794" t="s">
        <v>221</v>
      </c>
      <c r="I6794" s="4">
        <v>25253.800799999997</v>
      </c>
      <c r="J6794" s="4">
        <v>101015.20319999999</v>
      </c>
      <c r="K6794" s="4">
        <v>-5025.6320000000005</v>
      </c>
      <c r="L6794" s="4">
        <v>4</v>
      </c>
    </row>
    <row r="6795" spans="1:12">
      <c r="A6795" t="s">
        <v>264</v>
      </c>
      <c r="B6795" s="10">
        <v>45297</v>
      </c>
      <c r="C6795" s="18">
        <f t="shared" si="106"/>
        <v>1</v>
      </c>
      <c r="D6795" t="s">
        <v>196</v>
      </c>
      <c r="E6795">
        <v>4878874</v>
      </c>
      <c r="F6795" t="s">
        <v>8</v>
      </c>
      <c r="G6795" t="s">
        <v>206</v>
      </c>
      <c r="H6795" t="s">
        <v>209</v>
      </c>
      <c r="I6795" s="4">
        <v>17715.352800000001</v>
      </c>
      <c r="J6795" s="4">
        <v>1771535.28</v>
      </c>
      <c r="K6795" s="4">
        <v>-87948.56</v>
      </c>
      <c r="L6795" s="4">
        <v>100</v>
      </c>
    </row>
    <row r="6796" spans="1:12">
      <c r="A6796" t="s">
        <v>264</v>
      </c>
      <c r="B6796" s="10">
        <v>45297</v>
      </c>
      <c r="C6796" s="18">
        <f t="shared" si="106"/>
        <v>1</v>
      </c>
      <c r="D6796" t="s">
        <v>196</v>
      </c>
      <c r="E6796">
        <v>4874006</v>
      </c>
      <c r="F6796" t="s">
        <v>8</v>
      </c>
      <c r="G6796" t="s">
        <v>204</v>
      </c>
      <c r="H6796" t="s">
        <v>214</v>
      </c>
      <c r="I6796" s="4">
        <v>119484.4008</v>
      </c>
      <c r="J6796" s="4">
        <v>2987110.02</v>
      </c>
      <c r="K6796" s="4">
        <v>-149198.45000000001</v>
      </c>
      <c r="L6796" s="4">
        <v>25</v>
      </c>
    </row>
    <row r="6797" spans="1:12">
      <c r="A6797" t="s">
        <v>264</v>
      </c>
      <c r="B6797" s="10">
        <v>45297</v>
      </c>
      <c r="C6797" s="18">
        <f t="shared" si="106"/>
        <v>1</v>
      </c>
      <c r="D6797" t="s">
        <v>196</v>
      </c>
      <c r="E6797">
        <v>4874006</v>
      </c>
      <c r="F6797" t="s">
        <v>8</v>
      </c>
      <c r="G6797" t="s">
        <v>204</v>
      </c>
      <c r="H6797" t="s">
        <v>213</v>
      </c>
      <c r="I6797" s="4">
        <v>119484.4008</v>
      </c>
      <c r="J6797" s="4">
        <v>3704016.4248000002</v>
      </c>
      <c r="K6797" s="4">
        <v>-185006.07800000001</v>
      </c>
      <c r="L6797" s="4">
        <v>31</v>
      </c>
    </row>
    <row r="6798" spans="1:12">
      <c r="A6798" t="s">
        <v>264</v>
      </c>
      <c r="B6798" s="10">
        <v>45297</v>
      </c>
      <c r="C6798" s="18">
        <f t="shared" si="106"/>
        <v>1</v>
      </c>
      <c r="D6798" t="s">
        <v>196</v>
      </c>
      <c r="E6798">
        <v>4874006</v>
      </c>
      <c r="F6798" t="s">
        <v>8</v>
      </c>
      <c r="G6798" t="s">
        <v>204</v>
      </c>
      <c r="H6798" t="s">
        <v>220</v>
      </c>
      <c r="I6798" s="4">
        <v>37817.880799999999</v>
      </c>
      <c r="J6798" s="4">
        <v>756357.61599999992</v>
      </c>
      <c r="K6798" s="4">
        <v>-28897.383999999998</v>
      </c>
      <c r="L6798" s="4">
        <v>20</v>
      </c>
    </row>
    <row r="6799" spans="1:12">
      <c r="A6799" t="s">
        <v>264</v>
      </c>
      <c r="B6799" s="10">
        <v>45297</v>
      </c>
      <c r="C6799" s="18">
        <f t="shared" si="106"/>
        <v>1</v>
      </c>
      <c r="D6799" t="s">
        <v>196</v>
      </c>
      <c r="E6799">
        <v>4872068</v>
      </c>
      <c r="F6799" t="s">
        <v>8</v>
      </c>
      <c r="G6799" t="s">
        <v>203</v>
      </c>
      <c r="H6799" t="s">
        <v>240</v>
      </c>
      <c r="I6799" s="4">
        <v>100638.28079999999</v>
      </c>
      <c r="J6799" s="4">
        <v>1006382.808</v>
      </c>
      <c r="K6799" s="4">
        <v>-45230.688000000002</v>
      </c>
      <c r="L6799" s="4">
        <v>10</v>
      </c>
    </row>
    <row r="6800" spans="1:12">
      <c r="A6800" t="s">
        <v>264</v>
      </c>
      <c r="B6800" s="10">
        <v>45297</v>
      </c>
      <c r="C6800" s="18">
        <f t="shared" si="106"/>
        <v>1</v>
      </c>
      <c r="D6800" t="s">
        <v>196</v>
      </c>
      <c r="E6800">
        <v>4872068</v>
      </c>
      <c r="F6800" t="s">
        <v>8</v>
      </c>
      <c r="G6800" t="s">
        <v>203</v>
      </c>
      <c r="H6800" t="s">
        <v>230</v>
      </c>
      <c r="I6800" s="4">
        <v>100638.28079999999</v>
      </c>
      <c r="J6800" s="4">
        <v>1006382.808</v>
      </c>
      <c r="K6800" s="4">
        <v>-45230.688000000002</v>
      </c>
      <c r="L6800" s="4">
        <v>10</v>
      </c>
    </row>
    <row r="6801" spans="1:12">
      <c r="A6801" t="s">
        <v>264</v>
      </c>
      <c r="B6801" s="10">
        <v>45297</v>
      </c>
      <c r="C6801" s="18">
        <f t="shared" si="106"/>
        <v>1</v>
      </c>
      <c r="D6801" t="s">
        <v>196</v>
      </c>
      <c r="E6801">
        <v>4872068</v>
      </c>
      <c r="F6801" t="s">
        <v>8</v>
      </c>
      <c r="G6801" t="s">
        <v>203</v>
      </c>
      <c r="H6801" t="s">
        <v>228</v>
      </c>
      <c r="I6801" s="4">
        <v>100638.28079999999</v>
      </c>
      <c r="J6801" s="4">
        <v>1006382.808</v>
      </c>
      <c r="K6801" s="4">
        <v>-45230.688000000002</v>
      </c>
      <c r="L6801" s="4">
        <v>10</v>
      </c>
    </row>
    <row r="6802" spans="1:12">
      <c r="A6802" t="s">
        <v>264</v>
      </c>
      <c r="B6802" s="10">
        <v>45297</v>
      </c>
      <c r="C6802" s="18">
        <f t="shared" si="106"/>
        <v>1</v>
      </c>
      <c r="D6802" t="s">
        <v>196</v>
      </c>
      <c r="E6802">
        <v>4872571</v>
      </c>
      <c r="F6802" t="s">
        <v>8</v>
      </c>
      <c r="G6802" t="s">
        <v>203</v>
      </c>
      <c r="H6802" t="s">
        <v>245</v>
      </c>
      <c r="I6802" s="4">
        <v>100638.28079999999</v>
      </c>
      <c r="J6802" s="4">
        <v>603829.68479999993</v>
      </c>
      <c r="K6802" s="4">
        <v>-27138.412800000002</v>
      </c>
      <c r="L6802" s="4">
        <v>6</v>
      </c>
    </row>
    <row r="6803" spans="1:12">
      <c r="A6803" t="s">
        <v>264</v>
      </c>
      <c r="B6803" s="10">
        <v>45297</v>
      </c>
      <c r="C6803" s="18">
        <f t="shared" si="106"/>
        <v>1</v>
      </c>
      <c r="D6803" t="s">
        <v>196</v>
      </c>
      <c r="E6803">
        <v>4872571</v>
      </c>
      <c r="F6803" t="s">
        <v>8</v>
      </c>
      <c r="G6803" t="s">
        <v>203</v>
      </c>
      <c r="H6803" t="s">
        <v>240</v>
      </c>
      <c r="I6803" s="4">
        <v>100638.28079999999</v>
      </c>
      <c r="J6803" s="4">
        <v>603829.68479999993</v>
      </c>
      <c r="K6803" s="4">
        <v>-27138.412800000002</v>
      </c>
      <c r="L6803" s="4">
        <v>6</v>
      </c>
    </row>
    <row r="6804" spans="1:12">
      <c r="A6804" t="s">
        <v>264</v>
      </c>
      <c r="B6804" s="10">
        <v>45297</v>
      </c>
      <c r="C6804" s="18">
        <f t="shared" si="106"/>
        <v>1</v>
      </c>
      <c r="D6804" t="s">
        <v>196</v>
      </c>
      <c r="E6804">
        <v>4872571</v>
      </c>
      <c r="F6804" t="s">
        <v>8</v>
      </c>
      <c r="G6804" t="s">
        <v>203</v>
      </c>
      <c r="H6804" t="s">
        <v>234</v>
      </c>
      <c r="I6804" s="4">
        <v>100638.28079999999</v>
      </c>
      <c r="J6804" s="4">
        <v>603829.68479999993</v>
      </c>
      <c r="K6804" s="4">
        <v>-27138.412800000002</v>
      </c>
      <c r="L6804" s="4">
        <v>6</v>
      </c>
    </row>
    <row r="6805" spans="1:12">
      <c r="A6805" t="s">
        <v>264</v>
      </c>
      <c r="B6805" s="10">
        <v>45297</v>
      </c>
      <c r="C6805" s="18">
        <f t="shared" si="106"/>
        <v>1</v>
      </c>
      <c r="D6805" t="s">
        <v>196</v>
      </c>
      <c r="E6805">
        <v>4872571</v>
      </c>
      <c r="F6805" t="s">
        <v>8</v>
      </c>
      <c r="G6805" t="s">
        <v>203</v>
      </c>
      <c r="H6805" t="s">
        <v>230</v>
      </c>
      <c r="I6805" s="4">
        <v>100638.28079999999</v>
      </c>
      <c r="J6805" s="4">
        <v>603829.68479999993</v>
      </c>
      <c r="K6805" s="4">
        <v>-27138.412800000002</v>
      </c>
      <c r="L6805" s="4">
        <v>6</v>
      </c>
    </row>
    <row r="6806" spans="1:12">
      <c r="A6806" t="s">
        <v>264</v>
      </c>
      <c r="B6806" s="10">
        <v>45297</v>
      </c>
      <c r="C6806" s="18">
        <f t="shared" si="106"/>
        <v>1</v>
      </c>
      <c r="D6806" t="s">
        <v>196</v>
      </c>
      <c r="E6806">
        <v>4872571</v>
      </c>
      <c r="F6806" t="s">
        <v>8</v>
      </c>
      <c r="G6806" t="s">
        <v>203</v>
      </c>
      <c r="H6806" t="s">
        <v>228</v>
      </c>
      <c r="I6806" s="4">
        <v>100638.28079999999</v>
      </c>
      <c r="J6806" s="4">
        <v>603829.68479999993</v>
      </c>
      <c r="K6806" s="4">
        <v>-27138.412800000002</v>
      </c>
      <c r="L6806" s="4">
        <v>6</v>
      </c>
    </row>
    <row r="6807" spans="1:12">
      <c r="A6807" t="s">
        <v>264</v>
      </c>
      <c r="B6807" s="10">
        <v>45297</v>
      </c>
      <c r="C6807" s="18">
        <f t="shared" si="106"/>
        <v>1</v>
      </c>
      <c r="D6807" t="s">
        <v>196</v>
      </c>
      <c r="E6807">
        <v>4872158</v>
      </c>
      <c r="F6807" t="s">
        <v>8</v>
      </c>
      <c r="G6807" t="s">
        <v>204</v>
      </c>
      <c r="H6807" t="s">
        <v>221</v>
      </c>
      <c r="I6807" s="4">
        <v>25253.800799999997</v>
      </c>
      <c r="J6807" s="4">
        <v>1262690.0399999998</v>
      </c>
      <c r="K6807" s="4">
        <v>-62820.4</v>
      </c>
      <c r="L6807" s="4">
        <v>50</v>
      </c>
    </row>
    <row r="6808" spans="1:12">
      <c r="A6808" t="s">
        <v>264</v>
      </c>
      <c r="B6808" s="10">
        <v>45297</v>
      </c>
      <c r="C6808" s="18">
        <f t="shared" si="106"/>
        <v>1</v>
      </c>
      <c r="D6808" t="s">
        <v>196</v>
      </c>
      <c r="E6808">
        <v>4872158</v>
      </c>
      <c r="F6808" t="s">
        <v>8</v>
      </c>
      <c r="G6808" t="s">
        <v>204</v>
      </c>
      <c r="H6808" t="s">
        <v>220</v>
      </c>
      <c r="I6808" s="4">
        <v>37817.880799999999</v>
      </c>
      <c r="J6808" s="4">
        <v>1890894.04</v>
      </c>
      <c r="K6808" s="4">
        <v>-72243.460000000006</v>
      </c>
      <c r="L6808" s="4">
        <v>50</v>
      </c>
    </row>
    <row r="6809" spans="1:12">
      <c r="A6809" t="s">
        <v>264</v>
      </c>
      <c r="B6809" s="10">
        <v>45297</v>
      </c>
      <c r="C6809" s="18">
        <f t="shared" si="106"/>
        <v>1</v>
      </c>
      <c r="D6809" t="s">
        <v>196</v>
      </c>
      <c r="E6809">
        <v>4872158</v>
      </c>
      <c r="F6809" t="s">
        <v>8</v>
      </c>
      <c r="G6809" t="s">
        <v>202</v>
      </c>
      <c r="H6809" t="s">
        <v>258</v>
      </c>
      <c r="I6809" s="4">
        <v>37817.880799999999</v>
      </c>
      <c r="J6809" s="4">
        <v>1890894.04</v>
      </c>
      <c r="K6809" s="4">
        <v>-94230.6</v>
      </c>
      <c r="L6809" s="4">
        <v>50</v>
      </c>
    </row>
    <row r="6810" spans="1:12">
      <c r="A6810" t="s">
        <v>264</v>
      </c>
      <c r="B6810" s="10">
        <v>45297</v>
      </c>
      <c r="C6810" s="18">
        <f t="shared" si="106"/>
        <v>1</v>
      </c>
      <c r="D6810" t="s">
        <v>196</v>
      </c>
      <c r="E6810">
        <v>4872158</v>
      </c>
      <c r="F6810" t="s">
        <v>8</v>
      </c>
      <c r="G6810" t="s">
        <v>202</v>
      </c>
      <c r="H6810" t="s">
        <v>257</v>
      </c>
      <c r="I6810" s="4">
        <v>56664.000799999994</v>
      </c>
      <c r="J6810" s="4">
        <v>2833200.0399999996</v>
      </c>
      <c r="K6810" s="4">
        <v>-141345.9</v>
      </c>
      <c r="L6810" s="4">
        <v>50</v>
      </c>
    </row>
    <row r="6811" spans="1:12">
      <c r="A6811" t="s">
        <v>264</v>
      </c>
      <c r="B6811" s="10">
        <v>45297</v>
      </c>
      <c r="C6811" s="18">
        <f t="shared" si="106"/>
        <v>1</v>
      </c>
      <c r="D6811" t="s">
        <v>196</v>
      </c>
      <c r="E6811">
        <v>4871747</v>
      </c>
      <c r="F6811" t="s">
        <v>8</v>
      </c>
      <c r="G6811" t="s">
        <v>204</v>
      </c>
      <c r="H6811" t="s">
        <v>213</v>
      </c>
      <c r="I6811" s="4">
        <v>119484.4008</v>
      </c>
      <c r="J6811" s="4">
        <v>1194844.0079999999</v>
      </c>
      <c r="K6811" s="4">
        <v>-59679.38</v>
      </c>
      <c r="L6811" s="4">
        <v>10</v>
      </c>
    </row>
    <row r="6812" spans="1:12">
      <c r="A6812" t="s">
        <v>264</v>
      </c>
      <c r="B6812" s="10">
        <v>45297</v>
      </c>
      <c r="C6812" s="18">
        <f t="shared" si="106"/>
        <v>1</v>
      </c>
      <c r="D6812" t="s">
        <v>196</v>
      </c>
      <c r="E6812">
        <v>4871747</v>
      </c>
      <c r="F6812" t="s">
        <v>8</v>
      </c>
      <c r="G6812" t="s">
        <v>204</v>
      </c>
      <c r="H6812" t="s">
        <v>221</v>
      </c>
      <c r="I6812" s="4">
        <v>25253.800799999997</v>
      </c>
      <c r="J6812" s="4">
        <v>505076.01599999995</v>
      </c>
      <c r="K6812" s="4">
        <v>-25128.16</v>
      </c>
      <c r="L6812" s="4">
        <v>20</v>
      </c>
    </row>
    <row r="6813" spans="1:12">
      <c r="A6813" t="s">
        <v>264</v>
      </c>
      <c r="B6813" s="10">
        <v>45297</v>
      </c>
      <c r="C6813" s="18">
        <f t="shared" si="106"/>
        <v>1</v>
      </c>
      <c r="D6813" t="s">
        <v>196</v>
      </c>
      <c r="E6813">
        <v>4871747</v>
      </c>
      <c r="F6813" t="s">
        <v>8</v>
      </c>
      <c r="G6813" t="s">
        <v>204</v>
      </c>
      <c r="H6813" t="s">
        <v>220</v>
      </c>
      <c r="I6813" s="4">
        <v>37817.880799999999</v>
      </c>
      <c r="J6813" s="4">
        <v>756357.61599999992</v>
      </c>
      <c r="K6813" s="4">
        <v>-28897.383999999998</v>
      </c>
      <c r="L6813" s="4">
        <v>20</v>
      </c>
    </row>
    <row r="6814" spans="1:12">
      <c r="A6814" t="s">
        <v>264</v>
      </c>
      <c r="B6814" s="10">
        <v>45297</v>
      </c>
      <c r="C6814" s="18">
        <f t="shared" si="106"/>
        <v>1</v>
      </c>
      <c r="D6814" t="s">
        <v>196</v>
      </c>
      <c r="E6814">
        <v>4872162</v>
      </c>
      <c r="F6814" t="s">
        <v>8</v>
      </c>
      <c r="G6814" t="s">
        <v>204</v>
      </c>
      <c r="H6814" t="s">
        <v>219</v>
      </c>
      <c r="I6814" s="4">
        <v>44099.9208</v>
      </c>
      <c r="J6814" s="4">
        <v>220499.60399999999</v>
      </c>
      <c r="K6814" s="4">
        <v>-10993.57</v>
      </c>
      <c r="L6814" s="4">
        <v>5</v>
      </c>
    </row>
    <row r="6815" spans="1:12">
      <c r="A6815" t="s">
        <v>264</v>
      </c>
      <c r="B6815" s="10">
        <v>45297</v>
      </c>
      <c r="C6815" s="18">
        <f t="shared" si="106"/>
        <v>1</v>
      </c>
      <c r="D6815" t="s">
        <v>196</v>
      </c>
      <c r="E6815">
        <v>4872162</v>
      </c>
      <c r="F6815" t="s">
        <v>8</v>
      </c>
      <c r="G6815" t="s">
        <v>204</v>
      </c>
      <c r="H6815" t="s">
        <v>217</v>
      </c>
      <c r="I6815" s="4">
        <v>78022.936799999996</v>
      </c>
      <c r="J6815" s="4">
        <v>390114.68400000001</v>
      </c>
      <c r="K6815" s="4">
        <v>-19474.324000000001</v>
      </c>
      <c r="L6815" s="4">
        <v>5</v>
      </c>
    </row>
    <row r="6816" spans="1:12">
      <c r="A6816" t="s">
        <v>264</v>
      </c>
      <c r="B6816" s="10">
        <v>45297</v>
      </c>
      <c r="C6816" s="18">
        <f t="shared" si="106"/>
        <v>1</v>
      </c>
      <c r="D6816" t="s">
        <v>196</v>
      </c>
      <c r="E6816">
        <v>4872162</v>
      </c>
      <c r="F6816" t="s">
        <v>8</v>
      </c>
      <c r="G6816" t="s">
        <v>204</v>
      </c>
      <c r="H6816" t="s">
        <v>215</v>
      </c>
      <c r="I6816" s="4">
        <v>75510.12079999999</v>
      </c>
      <c r="J6816" s="4">
        <v>377550.60399999993</v>
      </c>
      <c r="K6816" s="4">
        <v>-21987.14</v>
      </c>
      <c r="L6816" s="4">
        <v>5</v>
      </c>
    </row>
    <row r="6817" spans="1:12">
      <c r="A6817" t="s">
        <v>264</v>
      </c>
      <c r="B6817" s="10">
        <v>45297</v>
      </c>
      <c r="C6817" s="18">
        <f t="shared" si="106"/>
        <v>1</v>
      </c>
      <c r="D6817" t="s">
        <v>196</v>
      </c>
      <c r="E6817">
        <v>4872162</v>
      </c>
      <c r="F6817" t="s">
        <v>8</v>
      </c>
      <c r="G6817" t="s">
        <v>204</v>
      </c>
      <c r="H6817" t="s">
        <v>213</v>
      </c>
      <c r="I6817" s="4">
        <v>119484.4008</v>
      </c>
      <c r="J6817" s="4">
        <v>597422.00399999996</v>
      </c>
      <c r="K6817" s="4">
        <v>-29839.69</v>
      </c>
      <c r="L6817" s="4">
        <v>5</v>
      </c>
    </row>
    <row r="6818" spans="1:12">
      <c r="A6818" t="s">
        <v>264</v>
      </c>
      <c r="B6818" s="10">
        <v>45297</v>
      </c>
      <c r="C6818" s="18">
        <f t="shared" si="106"/>
        <v>1</v>
      </c>
      <c r="D6818" t="s">
        <v>196</v>
      </c>
      <c r="E6818">
        <v>4872162</v>
      </c>
      <c r="F6818" t="s">
        <v>8</v>
      </c>
      <c r="G6818" t="s">
        <v>204</v>
      </c>
      <c r="H6818" t="s">
        <v>221</v>
      </c>
      <c r="I6818" s="4">
        <v>25253.800799999997</v>
      </c>
      <c r="J6818" s="4">
        <v>252538.00799999997</v>
      </c>
      <c r="K6818" s="4">
        <v>-12564.08</v>
      </c>
      <c r="L6818" s="4">
        <v>10</v>
      </c>
    </row>
    <row r="6819" spans="1:12">
      <c r="A6819" t="s">
        <v>264</v>
      </c>
      <c r="B6819" s="10">
        <v>45297</v>
      </c>
      <c r="C6819" s="18">
        <f t="shared" si="106"/>
        <v>1</v>
      </c>
      <c r="D6819" t="s">
        <v>196</v>
      </c>
      <c r="E6819">
        <v>4872162</v>
      </c>
      <c r="F6819" t="s">
        <v>8</v>
      </c>
      <c r="G6819" t="s">
        <v>204</v>
      </c>
      <c r="H6819" t="s">
        <v>220</v>
      </c>
      <c r="I6819" s="4">
        <v>37817.880799999999</v>
      </c>
      <c r="J6819" s="4">
        <v>302543.04639999999</v>
      </c>
      <c r="K6819" s="4">
        <v>-11558.953600000001</v>
      </c>
      <c r="L6819" s="4">
        <v>8</v>
      </c>
    </row>
    <row r="6820" spans="1:12">
      <c r="A6820" t="s">
        <v>264</v>
      </c>
      <c r="B6820" s="10">
        <v>45297</v>
      </c>
      <c r="C6820" s="18">
        <f t="shared" si="106"/>
        <v>1</v>
      </c>
      <c r="D6820" t="s">
        <v>196</v>
      </c>
      <c r="E6820">
        <v>4872162</v>
      </c>
      <c r="F6820" t="s">
        <v>8</v>
      </c>
      <c r="G6820" t="s">
        <v>204</v>
      </c>
      <c r="H6820" t="s">
        <v>212</v>
      </c>
      <c r="I6820" s="4">
        <v>62946.040799999995</v>
      </c>
      <c r="J6820" s="4">
        <v>503568.32639999996</v>
      </c>
      <c r="K6820" s="4">
        <v>-15076.895999999999</v>
      </c>
      <c r="L6820" s="4">
        <v>8</v>
      </c>
    </row>
    <row r="6821" spans="1:12">
      <c r="A6821" t="s">
        <v>264</v>
      </c>
      <c r="B6821" s="10">
        <v>45297</v>
      </c>
      <c r="C6821" s="18">
        <f t="shared" si="106"/>
        <v>1</v>
      </c>
      <c r="D6821" t="s">
        <v>196</v>
      </c>
      <c r="E6821">
        <v>4872162</v>
      </c>
      <c r="F6821" t="s">
        <v>8</v>
      </c>
      <c r="G6821" t="s">
        <v>202</v>
      </c>
      <c r="H6821" t="s">
        <v>256</v>
      </c>
      <c r="I6821" s="4">
        <v>64202.448800000006</v>
      </c>
      <c r="J6821" s="4">
        <v>642024.48800000001</v>
      </c>
      <c r="K6821" s="4">
        <v>-32038.403999999999</v>
      </c>
      <c r="L6821" s="4">
        <v>10</v>
      </c>
    </row>
    <row r="6822" spans="1:12">
      <c r="A6822" t="s">
        <v>264</v>
      </c>
      <c r="B6822" s="10">
        <v>45297</v>
      </c>
      <c r="C6822" s="18">
        <f t="shared" si="106"/>
        <v>1</v>
      </c>
      <c r="D6822" t="s">
        <v>196</v>
      </c>
      <c r="E6822">
        <v>4872162</v>
      </c>
      <c r="F6822" t="s">
        <v>8</v>
      </c>
      <c r="G6822" t="s">
        <v>202</v>
      </c>
      <c r="H6822" t="s">
        <v>255</v>
      </c>
      <c r="I6822" s="4">
        <v>72489.71596799999</v>
      </c>
      <c r="J6822" s="4">
        <v>724897.15967999992</v>
      </c>
      <c r="K6822" s="4">
        <v>-37692.239999999998</v>
      </c>
      <c r="L6822" s="4">
        <v>10</v>
      </c>
    </row>
    <row r="6823" spans="1:12">
      <c r="A6823" t="s">
        <v>264</v>
      </c>
      <c r="B6823" s="10">
        <v>45297</v>
      </c>
      <c r="C6823" s="18">
        <f t="shared" si="106"/>
        <v>1</v>
      </c>
      <c r="D6823" t="s">
        <v>196</v>
      </c>
      <c r="E6823">
        <v>4875779</v>
      </c>
      <c r="F6823" t="s">
        <v>8</v>
      </c>
      <c r="G6823" t="s">
        <v>205</v>
      </c>
      <c r="H6823" t="s">
        <v>210</v>
      </c>
      <c r="I6823" s="4">
        <v>7538.4479999999994</v>
      </c>
      <c r="J6823" s="4">
        <v>753844.79999999993</v>
      </c>
      <c r="K6823" s="4">
        <v>-37692.239999999998</v>
      </c>
      <c r="L6823" s="4">
        <v>100</v>
      </c>
    </row>
    <row r="6824" spans="1:12">
      <c r="A6824" t="s">
        <v>264</v>
      </c>
      <c r="B6824" s="10">
        <v>45297</v>
      </c>
      <c r="C6824" s="18">
        <f t="shared" si="106"/>
        <v>1</v>
      </c>
      <c r="D6824" t="s">
        <v>196</v>
      </c>
      <c r="E6824">
        <v>4875779</v>
      </c>
      <c r="F6824" t="s">
        <v>8</v>
      </c>
      <c r="G6824" t="s">
        <v>205</v>
      </c>
      <c r="H6824" t="s">
        <v>211</v>
      </c>
      <c r="I6824" s="4">
        <v>5151.2727999999997</v>
      </c>
      <c r="J6824" s="4">
        <v>515127.27999999997</v>
      </c>
      <c r="K6824" s="4">
        <v>-25128.16</v>
      </c>
      <c r="L6824" s="4">
        <v>100</v>
      </c>
    </row>
    <row r="6825" spans="1:12">
      <c r="A6825" t="s">
        <v>264</v>
      </c>
      <c r="B6825" s="10">
        <v>45297</v>
      </c>
      <c r="C6825" s="18">
        <f t="shared" si="106"/>
        <v>1</v>
      </c>
      <c r="D6825" t="s">
        <v>196</v>
      </c>
      <c r="E6825">
        <v>4872205</v>
      </c>
      <c r="F6825" t="s">
        <v>8</v>
      </c>
      <c r="G6825" t="s">
        <v>203</v>
      </c>
      <c r="H6825" t="s">
        <v>245</v>
      </c>
      <c r="I6825" s="4">
        <v>100638.28079999999</v>
      </c>
      <c r="J6825" s="4">
        <v>2012765.6159999999</v>
      </c>
      <c r="K6825" s="4">
        <v>-90461.376000000004</v>
      </c>
      <c r="L6825" s="4">
        <v>20</v>
      </c>
    </row>
    <row r="6826" spans="1:12">
      <c r="A6826" t="s">
        <v>264</v>
      </c>
      <c r="B6826" s="10">
        <v>45297</v>
      </c>
      <c r="C6826" s="18">
        <f t="shared" si="106"/>
        <v>1</v>
      </c>
      <c r="D6826" t="s">
        <v>196</v>
      </c>
      <c r="E6826">
        <v>4872205</v>
      </c>
      <c r="F6826" t="s">
        <v>8</v>
      </c>
      <c r="G6826" t="s">
        <v>203</v>
      </c>
      <c r="H6826" t="s">
        <v>243</v>
      </c>
      <c r="I6826" s="4">
        <v>100638.28079999999</v>
      </c>
      <c r="J6826" s="4">
        <v>2012765.6159999999</v>
      </c>
      <c r="K6826" s="4">
        <v>-90461.376000000004</v>
      </c>
      <c r="L6826" s="4">
        <v>20</v>
      </c>
    </row>
    <row r="6827" spans="1:12">
      <c r="A6827" t="s">
        <v>264</v>
      </c>
      <c r="B6827" s="10">
        <v>45297</v>
      </c>
      <c r="C6827" s="18">
        <f t="shared" si="106"/>
        <v>1</v>
      </c>
      <c r="D6827" t="s">
        <v>196</v>
      </c>
      <c r="E6827">
        <v>4872205</v>
      </c>
      <c r="F6827" t="s">
        <v>8</v>
      </c>
      <c r="G6827" t="s">
        <v>203</v>
      </c>
      <c r="H6827" t="s">
        <v>240</v>
      </c>
      <c r="I6827" s="4">
        <v>100638.28079999999</v>
      </c>
      <c r="J6827" s="4">
        <v>2012765.6159999999</v>
      </c>
      <c r="K6827" s="4">
        <v>-90461.376000000004</v>
      </c>
      <c r="L6827" s="4">
        <v>20</v>
      </c>
    </row>
    <row r="6828" spans="1:12">
      <c r="A6828" t="s">
        <v>264</v>
      </c>
      <c r="B6828" s="10">
        <v>45297</v>
      </c>
      <c r="C6828" s="18">
        <f t="shared" si="106"/>
        <v>1</v>
      </c>
      <c r="D6828" t="s">
        <v>196</v>
      </c>
      <c r="E6828">
        <v>4872205</v>
      </c>
      <c r="F6828" t="s">
        <v>8</v>
      </c>
      <c r="G6828" t="s">
        <v>203</v>
      </c>
      <c r="H6828" t="s">
        <v>236</v>
      </c>
      <c r="I6828" s="4">
        <v>100638.28079999999</v>
      </c>
      <c r="J6828" s="4">
        <v>2012765.6159999999</v>
      </c>
      <c r="K6828" s="4">
        <v>-90461.376000000004</v>
      </c>
      <c r="L6828" s="4">
        <v>20</v>
      </c>
    </row>
    <row r="6829" spans="1:12">
      <c r="A6829" t="s">
        <v>264</v>
      </c>
      <c r="B6829" s="10">
        <v>45297</v>
      </c>
      <c r="C6829" s="18">
        <f t="shared" si="106"/>
        <v>1</v>
      </c>
      <c r="D6829" t="s">
        <v>196</v>
      </c>
      <c r="E6829">
        <v>4872205</v>
      </c>
      <c r="F6829" t="s">
        <v>8</v>
      </c>
      <c r="G6829" t="s">
        <v>203</v>
      </c>
      <c r="H6829" t="s">
        <v>234</v>
      </c>
      <c r="I6829" s="4">
        <v>100638.28079999999</v>
      </c>
      <c r="J6829" s="4">
        <v>2012765.6159999999</v>
      </c>
      <c r="K6829" s="4">
        <v>-90461.376000000004</v>
      </c>
      <c r="L6829" s="4">
        <v>20</v>
      </c>
    </row>
    <row r="6830" spans="1:12">
      <c r="A6830" t="s">
        <v>264</v>
      </c>
      <c r="B6830" s="10">
        <v>45297</v>
      </c>
      <c r="C6830" s="18">
        <f t="shared" si="106"/>
        <v>1</v>
      </c>
      <c r="D6830" t="s">
        <v>196</v>
      </c>
      <c r="E6830">
        <v>4872205</v>
      </c>
      <c r="F6830" t="s">
        <v>8</v>
      </c>
      <c r="G6830" t="s">
        <v>203</v>
      </c>
      <c r="H6830" t="s">
        <v>244</v>
      </c>
      <c r="I6830" s="4">
        <v>125766.4408</v>
      </c>
      <c r="J6830" s="4">
        <v>628832.20400000003</v>
      </c>
      <c r="K6830" s="4">
        <v>-29211.486000000001</v>
      </c>
      <c r="L6830" s="4">
        <v>5</v>
      </c>
    </row>
    <row r="6831" spans="1:12">
      <c r="A6831" t="s">
        <v>264</v>
      </c>
      <c r="B6831" s="10">
        <v>45297</v>
      </c>
      <c r="C6831" s="18">
        <f t="shared" si="106"/>
        <v>1</v>
      </c>
      <c r="D6831" t="s">
        <v>196</v>
      </c>
      <c r="E6831">
        <v>4872205</v>
      </c>
      <c r="F6831" t="s">
        <v>8</v>
      </c>
      <c r="G6831" t="s">
        <v>203</v>
      </c>
      <c r="H6831" t="s">
        <v>241</v>
      </c>
      <c r="I6831" s="4">
        <v>125766.4408</v>
      </c>
      <c r="J6831" s="4">
        <v>628832.20400000003</v>
      </c>
      <c r="K6831" s="4">
        <v>-29211.486000000001</v>
      </c>
      <c r="L6831" s="4">
        <v>5</v>
      </c>
    </row>
    <row r="6832" spans="1:12">
      <c r="A6832" t="s">
        <v>264</v>
      </c>
      <c r="B6832" s="10">
        <v>45297</v>
      </c>
      <c r="C6832" s="18">
        <f t="shared" si="106"/>
        <v>1</v>
      </c>
      <c r="D6832" t="s">
        <v>196</v>
      </c>
      <c r="E6832">
        <v>4872205</v>
      </c>
      <c r="F6832" t="s">
        <v>8</v>
      </c>
      <c r="G6832" t="s">
        <v>203</v>
      </c>
      <c r="H6832" t="s">
        <v>239</v>
      </c>
      <c r="I6832" s="4">
        <v>125766.4408</v>
      </c>
      <c r="J6832" s="4">
        <v>628832.20400000003</v>
      </c>
      <c r="K6832" s="4">
        <v>-29211.486000000001</v>
      </c>
      <c r="L6832" s="4">
        <v>5</v>
      </c>
    </row>
    <row r="6833" spans="1:12">
      <c r="A6833" t="s">
        <v>264</v>
      </c>
      <c r="B6833" s="10">
        <v>45297</v>
      </c>
      <c r="C6833" s="18">
        <f t="shared" si="106"/>
        <v>1</v>
      </c>
      <c r="D6833" t="s">
        <v>196</v>
      </c>
      <c r="E6833">
        <v>4872205</v>
      </c>
      <c r="F6833" t="s">
        <v>8</v>
      </c>
      <c r="G6833" t="s">
        <v>203</v>
      </c>
      <c r="H6833" t="s">
        <v>237</v>
      </c>
      <c r="I6833" s="4">
        <v>125766.4408</v>
      </c>
      <c r="J6833" s="4">
        <v>628832.20400000003</v>
      </c>
      <c r="K6833" s="4">
        <v>-29211.486000000001</v>
      </c>
      <c r="L6833" s="4">
        <v>5</v>
      </c>
    </row>
    <row r="6834" spans="1:12">
      <c r="A6834" t="s">
        <v>264</v>
      </c>
      <c r="B6834" s="10">
        <v>45297</v>
      </c>
      <c r="C6834" s="18">
        <f t="shared" si="106"/>
        <v>1</v>
      </c>
      <c r="D6834" t="s">
        <v>196</v>
      </c>
      <c r="E6834">
        <v>4872205</v>
      </c>
      <c r="F6834" t="s">
        <v>8</v>
      </c>
      <c r="G6834" t="s">
        <v>203</v>
      </c>
      <c r="H6834" t="s">
        <v>235</v>
      </c>
      <c r="I6834" s="4">
        <v>125766.4408</v>
      </c>
      <c r="J6834" s="4">
        <v>628832.20400000003</v>
      </c>
      <c r="K6834" s="4">
        <v>-29211.486000000001</v>
      </c>
      <c r="L6834" s="4">
        <v>5</v>
      </c>
    </row>
    <row r="6835" spans="1:12">
      <c r="A6835" t="s">
        <v>264</v>
      </c>
      <c r="B6835" s="10">
        <v>45298</v>
      </c>
      <c r="C6835" s="18">
        <f t="shared" si="106"/>
        <v>1</v>
      </c>
      <c r="D6835" t="s">
        <v>196</v>
      </c>
      <c r="E6835">
        <v>4878874</v>
      </c>
      <c r="F6835" t="s">
        <v>8</v>
      </c>
      <c r="G6835" t="s">
        <v>206</v>
      </c>
      <c r="H6835" t="s">
        <v>209</v>
      </c>
      <c r="I6835" s="4">
        <v>17715.352800000001</v>
      </c>
      <c r="J6835" s="4">
        <v>407453.11440000002</v>
      </c>
      <c r="K6835" s="4">
        <v>-20228.168799999999</v>
      </c>
      <c r="L6835" s="4">
        <v>23</v>
      </c>
    </row>
    <row r="6836" spans="1:12">
      <c r="A6836" t="s">
        <v>264</v>
      </c>
      <c r="B6836" s="10">
        <v>45298</v>
      </c>
      <c r="C6836" s="18">
        <f t="shared" si="106"/>
        <v>1</v>
      </c>
      <c r="D6836" t="s">
        <v>196</v>
      </c>
      <c r="E6836">
        <v>4874006</v>
      </c>
      <c r="F6836" t="s">
        <v>8</v>
      </c>
      <c r="G6836" t="s">
        <v>203</v>
      </c>
      <c r="H6836" t="s">
        <v>240</v>
      </c>
      <c r="I6836" s="4">
        <v>100638.28079999999</v>
      </c>
      <c r="J6836" s="4">
        <v>603829.68479999993</v>
      </c>
      <c r="K6836" s="4">
        <v>-27138.412800000002</v>
      </c>
      <c r="L6836" s="4">
        <v>6</v>
      </c>
    </row>
    <row r="6837" spans="1:12">
      <c r="A6837" t="s">
        <v>264</v>
      </c>
      <c r="B6837" s="10">
        <v>45298</v>
      </c>
      <c r="C6837" s="18">
        <f t="shared" si="106"/>
        <v>1</v>
      </c>
      <c r="D6837" t="s">
        <v>196</v>
      </c>
      <c r="E6837">
        <v>4874006</v>
      </c>
      <c r="F6837" t="s">
        <v>8</v>
      </c>
      <c r="G6837" t="s">
        <v>203</v>
      </c>
      <c r="H6837" t="s">
        <v>233</v>
      </c>
      <c r="I6837" s="4">
        <v>120735.78316800001</v>
      </c>
      <c r="J6837" s="4">
        <v>1207357.8316800001</v>
      </c>
      <c r="K6837" s="4">
        <v>-58422.972000000002</v>
      </c>
      <c r="L6837" s="4">
        <v>10</v>
      </c>
    </row>
    <row r="6838" spans="1:12">
      <c r="A6838" t="s">
        <v>264</v>
      </c>
      <c r="B6838" s="10">
        <v>45298</v>
      </c>
      <c r="C6838" s="18">
        <f t="shared" si="106"/>
        <v>1</v>
      </c>
      <c r="D6838" t="s">
        <v>196</v>
      </c>
      <c r="E6838">
        <v>4872156</v>
      </c>
      <c r="F6838" t="s">
        <v>8</v>
      </c>
      <c r="G6838" t="s">
        <v>204</v>
      </c>
      <c r="H6838" t="s">
        <v>218</v>
      </c>
      <c r="I6838" s="4">
        <v>71740.896800000002</v>
      </c>
      <c r="J6838" s="4">
        <v>717408.96799999999</v>
      </c>
      <c r="K6838" s="4">
        <v>-38948.648000000001</v>
      </c>
      <c r="L6838" s="4">
        <v>10</v>
      </c>
    </row>
    <row r="6839" spans="1:12">
      <c r="A6839" t="s">
        <v>264</v>
      </c>
      <c r="B6839" s="10">
        <v>45298</v>
      </c>
      <c r="C6839" s="18">
        <f t="shared" si="106"/>
        <v>1</v>
      </c>
      <c r="D6839" t="s">
        <v>196</v>
      </c>
      <c r="E6839">
        <v>4872156</v>
      </c>
      <c r="F6839" t="s">
        <v>8</v>
      </c>
      <c r="G6839" t="s">
        <v>204</v>
      </c>
      <c r="H6839" t="s">
        <v>217</v>
      </c>
      <c r="I6839" s="4">
        <v>78022.936799999996</v>
      </c>
      <c r="J6839" s="4">
        <v>780229.36800000002</v>
      </c>
      <c r="K6839" s="4">
        <v>-38948.648000000001</v>
      </c>
      <c r="L6839" s="4">
        <v>10</v>
      </c>
    </row>
    <row r="6840" spans="1:12">
      <c r="A6840" t="s">
        <v>264</v>
      </c>
      <c r="B6840" s="10">
        <v>45298</v>
      </c>
      <c r="C6840" s="18">
        <f t="shared" si="106"/>
        <v>1</v>
      </c>
      <c r="D6840" t="s">
        <v>196</v>
      </c>
      <c r="E6840">
        <v>4872156</v>
      </c>
      <c r="F6840" t="s">
        <v>8</v>
      </c>
      <c r="G6840" t="s">
        <v>204</v>
      </c>
      <c r="H6840" t="s">
        <v>216</v>
      </c>
      <c r="I6840" s="4">
        <v>113202.36079999999</v>
      </c>
      <c r="J6840" s="4">
        <v>1132023.608</v>
      </c>
      <c r="K6840" s="4">
        <v>-60935.787999999993</v>
      </c>
      <c r="L6840" s="4">
        <v>10</v>
      </c>
    </row>
    <row r="6841" spans="1:12">
      <c r="A6841" t="s">
        <v>264</v>
      </c>
      <c r="B6841" s="10">
        <v>45298</v>
      </c>
      <c r="C6841" s="18">
        <f t="shared" si="106"/>
        <v>1</v>
      </c>
      <c r="D6841" t="s">
        <v>196</v>
      </c>
      <c r="E6841">
        <v>4872156</v>
      </c>
      <c r="F6841" t="s">
        <v>8</v>
      </c>
      <c r="G6841" t="s">
        <v>204</v>
      </c>
      <c r="H6841" t="s">
        <v>215</v>
      </c>
      <c r="I6841" s="4">
        <v>75510.12079999999</v>
      </c>
      <c r="J6841" s="4">
        <v>755101.20799999987</v>
      </c>
      <c r="K6841" s="4">
        <v>-43974.28</v>
      </c>
      <c r="L6841" s="4">
        <v>10</v>
      </c>
    </row>
    <row r="6842" spans="1:12">
      <c r="A6842" t="s">
        <v>264</v>
      </c>
      <c r="B6842" s="10">
        <v>45298</v>
      </c>
      <c r="C6842" s="18">
        <f t="shared" si="106"/>
        <v>1</v>
      </c>
      <c r="D6842" t="s">
        <v>196</v>
      </c>
      <c r="E6842">
        <v>4876759</v>
      </c>
      <c r="F6842" t="s">
        <v>8</v>
      </c>
      <c r="G6842" t="s">
        <v>203</v>
      </c>
      <c r="H6842" t="s">
        <v>243</v>
      </c>
      <c r="I6842" s="4">
        <v>100638.28079999999</v>
      </c>
      <c r="J6842" s="4">
        <v>1006382.808</v>
      </c>
      <c r="K6842" s="4">
        <v>-45230.688000000002</v>
      </c>
      <c r="L6842" s="4">
        <v>10</v>
      </c>
    </row>
    <row r="6843" spans="1:12">
      <c r="A6843" t="s">
        <v>264</v>
      </c>
      <c r="B6843" s="10">
        <v>45298</v>
      </c>
      <c r="C6843" s="18">
        <f t="shared" si="106"/>
        <v>1</v>
      </c>
      <c r="D6843" t="s">
        <v>196</v>
      </c>
      <c r="E6843">
        <v>4876759</v>
      </c>
      <c r="F6843" t="s">
        <v>8</v>
      </c>
      <c r="G6843" t="s">
        <v>203</v>
      </c>
      <c r="H6843" t="s">
        <v>230</v>
      </c>
      <c r="I6843" s="4">
        <v>100638.28079999999</v>
      </c>
      <c r="J6843" s="4">
        <v>1006382.808</v>
      </c>
      <c r="K6843" s="4">
        <v>-45230.688000000002</v>
      </c>
      <c r="L6843" s="4">
        <v>10</v>
      </c>
    </row>
    <row r="6844" spans="1:12">
      <c r="A6844" t="s">
        <v>264</v>
      </c>
      <c r="B6844" s="10">
        <v>45298</v>
      </c>
      <c r="C6844" s="18">
        <f t="shared" si="106"/>
        <v>1</v>
      </c>
      <c r="D6844" t="s">
        <v>196</v>
      </c>
      <c r="E6844">
        <v>4876759</v>
      </c>
      <c r="F6844" t="s">
        <v>8</v>
      </c>
      <c r="G6844" t="s">
        <v>203</v>
      </c>
      <c r="H6844" t="s">
        <v>228</v>
      </c>
      <c r="I6844" s="4">
        <v>100638.28079999999</v>
      </c>
      <c r="J6844" s="4">
        <v>1006382.808</v>
      </c>
      <c r="K6844" s="4">
        <v>-45230.688000000002</v>
      </c>
      <c r="L6844" s="4">
        <v>10</v>
      </c>
    </row>
    <row r="6845" spans="1:12">
      <c r="A6845" t="s">
        <v>264</v>
      </c>
      <c r="B6845" s="10">
        <v>45298</v>
      </c>
      <c r="C6845" s="18">
        <f t="shared" si="106"/>
        <v>1</v>
      </c>
      <c r="D6845" t="s">
        <v>196</v>
      </c>
      <c r="E6845">
        <v>4876759</v>
      </c>
      <c r="F6845" t="s">
        <v>8</v>
      </c>
      <c r="G6845" t="s">
        <v>203</v>
      </c>
      <c r="H6845" t="s">
        <v>244</v>
      </c>
      <c r="I6845" s="4">
        <v>125766.4408</v>
      </c>
      <c r="J6845" s="4">
        <v>628832.20400000003</v>
      </c>
      <c r="K6845" s="4">
        <v>-29211.486000000001</v>
      </c>
      <c r="L6845" s="4">
        <v>5</v>
      </c>
    </row>
    <row r="6846" spans="1:12">
      <c r="A6846" t="s">
        <v>264</v>
      </c>
      <c r="B6846" s="10">
        <v>45298</v>
      </c>
      <c r="C6846" s="18">
        <f t="shared" si="106"/>
        <v>1</v>
      </c>
      <c r="D6846" t="s">
        <v>196</v>
      </c>
      <c r="E6846">
        <v>4876759</v>
      </c>
      <c r="F6846" t="s">
        <v>8</v>
      </c>
      <c r="G6846" t="s">
        <v>203</v>
      </c>
      <c r="H6846" t="s">
        <v>237</v>
      </c>
      <c r="I6846" s="4">
        <v>125766.4408</v>
      </c>
      <c r="J6846" s="4">
        <v>628832.20400000003</v>
      </c>
      <c r="K6846" s="4">
        <v>-29211.486000000001</v>
      </c>
      <c r="L6846" s="4">
        <v>5</v>
      </c>
    </row>
    <row r="6847" spans="1:12">
      <c r="A6847" t="s">
        <v>264</v>
      </c>
      <c r="B6847" s="10">
        <v>45298</v>
      </c>
      <c r="C6847" s="18">
        <f t="shared" si="106"/>
        <v>1</v>
      </c>
      <c r="D6847" t="s">
        <v>196</v>
      </c>
      <c r="E6847">
        <v>4876759</v>
      </c>
      <c r="F6847" t="s">
        <v>8</v>
      </c>
      <c r="G6847" t="s">
        <v>203</v>
      </c>
      <c r="H6847" t="s">
        <v>231</v>
      </c>
      <c r="I6847" s="4">
        <v>125766.4408</v>
      </c>
      <c r="J6847" s="4">
        <v>628832.20400000003</v>
      </c>
      <c r="K6847" s="4">
        <v>-29211.486000000001</v>
      </c>
      <c r="L6847" s="4">
        <v>5</v>
      </c>
    </row>
    <row r="6848" spans="1:12">
      <c r="A6848" t="s">
        <v>264</v>
      </c>
      <c r="B6848" s="10">
        <v>45298</v>
      </c>
      <c r="C6848" s="18">
        <f t="shared" si="106"/>
        <v>1</v>
      </c>
      <c r="D6848" t="s">
        <v>196</v>
      </c>
      <c r="E6848">
        <v>4876759</v>
      </c>
      <c r="F6848" t="s">
        <v>8</v>
      </c>
      <c r="G6848" t="s">
        <v>203</v>
      </c>
      <c r="H6848" t="s">
        <v>229</v>
      </c>
      <c r="I6848" s="4">
        <v>125766.4408</v>
      </c>
      <c r="J6848" s="4">
        <v>628832.20400000003</v>
      </c>
      <c r="K6848" s="4">
        <v>-29211.486000000001</v>
      </c>
      <c r="L6848" s="4">
        <v>5</v>
      </c>
    </row>
    <row r="6849" spans="1:12">
      <c r="A6849" t="s">
        <v>264</v>
      </c>
      <c r="B6849" s="10">
        <v>45298</v>
      </c>
      <c r="C6849" s="18">
        <f t="shared" si="106"/>
        <v>1</v>
      </c>
      <c r="D6849" t="s">
        <v>196</v>
      </c>
      <c r="E6849">
        <v>4872210</v>
      </c>
      <c r="F6849" t="s">
        <v>8</v>
      </c>
      <c r="G6849" t="s">
        <v>203</v>
      </c>
      <c r="H6849" t="s">
        <v>230</v>
      </c>
      <c r="I6849" s="4">
        <v>100638.28079999999</v>
      </c>
      <c r="J6849" s="4">
        <v>2012765.6159999999</v>
      </c>
      <c r="K6849" s="4">
        <v>-90461.376000000004</v>
      </c>
      <c r="L6849" s="4">
        <v>20</v>
      </c>
    </row>
    <row r="6850" spans="1:12">
      <c r="A6850" t="s">
        <v>264</v>
      </c>
      <c r="B6850" s="10">
        <v>45298</v>
      </c>
      <c r="C6850" s="18">
        <f t="shared" ref="C6850:C6913" si="107">MONTH(B6850)</f>
        <v>1</v>
      </c>
      <c r="D6850" t="s">
        <v>196</v>
      </c>
      <c r="E6850">
        <v>4872210</v>
      </c>
      <c r="F6850" t="s">
        <v>8</v>
      </c>
      <c r="G6850" t="s">
        <v>203</v>
      </c>
      <c r="H6850" t="s">
        <v>225</v>
      </c>
      <c r="I6850" s="4">
        <v>100638.28079999999</v>
      </c>
      <c r="J6850" s="4">
        <v>2012765.6159999999</v>
      </c>
      <c r="K6850" s="4">
        <v>-90461.376000000004</v>
      </c>
      <c r="L6850" s="4">
        <v>20</v>
      </c>
    </row>
    <row r="6851" spans="1:12">
      <c r="A6851" t="s">
        <v>264</v>
      </c>
      <c r="B6851" s="10">
        <v>45298</v>
      </c>
      <c r="C6851" s="18">
        <f t="shared" si="107"/>
        <v>1</v>
      </c>
      <c r="D6851" t="s">
        <v>196</v>
      </c>
      <c r="E6851">
        <v>4872210</v>
      </c>
      <c r="F6851" t="s">
        <v>8</v>
      </c>
      <c r="G6851" t="s">
        <v>203</v>
      </c>
      <c r="H6851" t="s">
        <v>222</v>
      </c>
      <c r="I6851" s="4">
        <v>100638.28079999999</v>
      </c>
      <c r="J6851" s="4">
        <v>2012765.6159999999</v>
      </c>
      <c r="K6851" s="4">
        <v>-90461.376000000004</v>
      </c>
      <c r="L6851" s="4">
        <v>20</v>
      </c>
    </row>
    <row r="6852" spans="1:12">
      <c r="A6852" t="s">
        <v>264</v>
      </c>
      <c r="B6852" s="10">
        <v>45298</v>
      </c>
      <c r="C6852" s="18">
        <f t="shared" si="107"/>
        <v>1</v>
      </c>
      <c r="D6852" t="s">
        <v>196</v>
      </c>
      <c r="E6852">
        <v>4872210</v>
      </c>
      <c r="F6852" t="s">
        <v>8</v>
      </c>
      <c r="G6852" t="s">
        <v>203</v>
      </c>
      <c r="H6852" t="s">
        <v>229</v>
      </c>
      <c r="I6852" s="4">
        <v>125766.4408</v>
      </c>
      <c r="J6852" s="4">
        <v>2515328.8160000001</v>
      </c>
      <c r="K6852" s="4">
        <v>-116845.944</v>
      </c>
      <c r="L6852" s="4">
        <v>20</v>
      </c>
    </row>
    <row r="6853" spans="1:12">
      <c r="A6853" t="s">
        <v>264</v>
      </c>
      <c r="B6853" s="10">
        <v>45298</v>
      </c>
      <c r="C6853" s="18">
        <f t="shared" si="107"/>
        <v>1</v>
      </c>
      <c r="D6853" t="s">
        <v>196</v>
      </c>
      <c r="E6853">
        <v>4872200</v>
      </c>
      <c r="F6853" t="s">
        <v>8</v>
      </c>
      <c r="G6853" t="s">
        <v>203</v>
      </c>
      <c r="H6853" t="s">
        <v>225</v>
      </c>
      <c r="I6853" s="4">
        <v>100638.28079999999</v>
      </c>
      <c r="J6853" s="4">
        <v>2012765.6159999999</v>
      </c>
      <c r="K6853" s="4">
        <v>-90461.376000000004</v>
      </c>
      <c r="L6853" s="4">
        <v>20</v>
      </c>
    </row>
    <row r="6854" spans="1:12">
      <c r="A6854" t="s">
        <v>264</v>
      </c>
      <c r="B6854" s="10">
        <v>45298</v>
      </c>
      <c r="C6854" s="18">
        <f t="shared" si="107"/>
        <v>1</v>
      </c>
      <c r="D6854" t="s">
        <v>196</v>
      </c>
      <c r="E6854">
        <v>4872200</v>
      </c>
      <c r="F6854" t="s">
        <v>8</v>
      </c>
      <c r="G6854" t="s">
        <v>203</v>
      </c>
      <c r="H6854" t="s">
        <v>244</v>
      </c>
      <c r="I6854" s="4">
        <v>125766.4408</v>
      </c>
      <c r="J6854" s="4">
        <v>628832.20400000003</v>
      </c>
      <c r="K6854" s="4">
        <v>-29211.486000000001</v>
      </c>
      <c r="L6854" s="4">
        <v>5</v>
      </c>
    </row>
    <row r="6855" spans="1:12">
      <c r="A6855" t="s">
        <v>264</v>
      </c>
      <c r="B6855" s="10">
        <v>45299</v>
      </c>
      <c r="C6855" s="18">
        <f t="shared" si="107"/>
        <v>1</v>
      </c>
      <c r="D6855" t="s">
        <v>196</v>
      </c>
      <c r="E6855">
        <v>4872571</v>
      </c>
      <c r="F6855" t="s">
        <v>8</v>
      </c>
      <c r="G6855" t="s">
        <v>203</v>
      </c>
      <c r="H6855" t="s">
        <v>245</v>
      </c>
      <c r="I6855" s="4">
        <v>100638.28079999999</v>
      </c>
      <c r="J6855" s="4">
        <v>1006382.808</v>
      </c>
      <c r="K6855" s="4">
        <v>-45230.688000000002</v>
      </c>
      <c r="L6855" s="4">
        <v>10</v>
      </c>
    </row>
    <row r="6856" spans="1:12">
      <c r="A6856" t="s">
        <v>264</v>
      </c>
      <c r="B6856" s="10">
        <v>45299</v>
      </c>
      <c r="C6856" s="18">
        <f t="shared" si="107"/>
        <v>1</v>
      </c>
      <c r="D6856" t="s">
        <v>196</v>
      </c>
      <c r="E6856">
        <v>4872571</v>
      </c>
      <c r="F6856" t="s">
        <v>8</v>
      </c>
      <c r="G6856" t="s">
        <v>203</v>
      </c>
      <c r="H6856" t="s">
        <v>242</v>
      </c>
      <c r="I6856" s="4">
        <v>100638.28079999999</v>
      </c>
      <c r="J6856" s="4">
        <v>1408935.9312</v>
      </c>
      <c r="K6856" s="4">
        <v>-63322.963199999998</v>
      </c>
      <c r="L6856" s="4">
        <v>14</v>
      </c>
    </row>
    <row r="6857" spans="1:12">
      <c r="A6857" t="s">
        <v>264</v>
      </c>
      <c r="B6857" s="10">
        <v>45299</v>
      </c>
      <c r="C6857" s="18">
        <f t="shared" si="107"/>
        <v>1</v>
      </c>
      <c r="D6857" t="s">
        <v>196</v>
      </c>
      <c r="E6857">
        <v>4872571</v>
      </c>
      <c r="F6857" t="s">
        <v>8</v>
      </c>
      <c r="G6857" t="s">
        <v>203</v>
      </c>
      <c r="H6857" t="s">
        <v>236</v>
      </c>
      <c r="I6857" s="4">
        <v>100638.28079999999</v>
      </c>
      <c r="J6857" s="4">
        <v>1006382.808</v>
      </c>
      <c r="K6857" s="4">
        <v>-45230.688000000002</v>
      </c>
      <c r="L6857" s="4">
        <v>10</v>
      </c>
    </row>
    <row r="6858" spans="1:12">
      <c r="A6858" t="s">
        <v>264</v>
      </c>
      <c r="B6858" s="10">
        <v>45299</v>
      </c>
      <c r="C6858" s="18">
        <f t="shared" si="107"/>
        <v>1</v>
      </c>
      <c r="D6858" t="s">
        <v>196</v>
      </c>
      <c r="E6858">
        <v>4872571</v>
      </c>
      <c r="F6858" t="s">
        <v>8</v>
      </c>
      <c r="G6858" t="s">
        <v>203</v>
      </c>
      <c r="H6858" t="s">
        <v>234</v>
      </c>
      <c r="I6858" s="4">
        <v>100638.28079999999</v>
      </c>
      <c r="J6858" s="4">
        <v>1006382.808</v>
      </c>
      <c r="K6858" s="4">
        <v>-45230.688000000002</v>
      </c>
      <c r="L6858" s="4">
        <v>10</v>
      </c>
    </row>
    <row r="6859" spans="1:12">
      <c r="A6859" t="s">
        <v>264</v>
      </c>
      <c r="B6859" s="10">
        <v>45299</v>
      </c>
      <c r="C6859" s="18">
        <f t="shared" si="107"/>
        <v>1</v>
      </c>
      <c r="D6859" t="s">
        <v>196</v>
      </c>
      <c r="E6859">
        <v>4872571</v>
      </c>
      <c r="F6859" t="s">
        <v>8</v>
      </c>
      <c r="G6859" t="s">
        <v>203</v>
      </c>
      <c r="H6859" t="s">
        <v>244</v>
      </c>
      <c r="I6859" s="4">
        <v>125766.4408</v>
      </c>
      <c r="J6859" s="4">
        <v>1257664.4080000001</v>
      </c>
      <c r="K6859" s="4">
        <v>-58422.972000000002</v>
      </c>
      <c r="L6859" s="4">
        <v>10</v>
      </c>
    </row>
    <row r="6860" spans="1:12">
      <c r="A6860" t="s">
        <v>264</v>
      </c>
      <c r="B6860" s="10">
        <v>45299</v>
      </c>
      <c r="C6860" s="18">
        <f t="shared" si="107"/>
        <v>1</v>
      </c>
      <c r="D6860" t="s">
        <v>196</v>
      </c>
      <c r="E6860">
        <v>4872571</v>
      </c>
      <c r="F6860" t="s">
        <v>8</v>
      </c>
      <c r="G6860" t="s">
        <v>203</v>
      </c>
      <c r="H6860" t="s">
        <v>241</v>
      </c>
      <c r="I6860" s="4">
        <v>125766.4408</v>
      </c>
      <c r="J6860" s="4">
        <v>1257664.4080000001</v>
      </c>
      <c r="K6860" s="4">
        <v>-58422.972000000002</v>
      </c>
      <c r="L6860" s="4">
        <v>10</v>
      </c>
    </row>
    <row r="6861" spans="1:12">
      <c r="A6861" t="s">
        <v>264</v>
      </c>
      <c r="B6861" s="10">
        <v>45299</v>
      </c>
      <c r="C6861" s="18">
        <f t="shared" si="107"/>
        <v>1</v>
      </c>
      <c r="D6861" t="s">
        <v>196</v>
      </c>
      <c r="E6861">
        <v>4872571</v>
      </c>
      <c r="F6861" t="s">
        <v>8</v>
      </c>
      <c r="G6861" t="s">
        <v>203</v>
      </c>
      <c r="H6861" t="s">
        <v>235</v>
      </c>
      <c r="I6861" s="4">
        <v>125766.4408</v>
      </c>
      <c r="J6861" s="4">
        <v>1257664.4080000001</v>
      </c>
      <c r="K6861" s="4">
        <v>-58422.972000000002</v>
      </c>
      <c r="L6861" s="4">
        <v>10</v>
      </c>
    </row>
    <row r="6862" spans="1:12">
      <c r="A6862" t="s">
        <v>264</v>
      </c>
      <c r="B6862" s="10">
        <v>45299</v>
      </c>
      <c r="C6862" s="18">
        <f t="shared" si="107"/>
        <v>1</v>
      </c>
      <c r="D6862" t="s">
        <v>196</v>
      </c>
      <c r="E6862">
        <v>4872571</v>
      </c>
      <c r="F6862" t="s">
        <v>8</v>
      </c>
      <c r="G6862" t="s">
        <v>203</v>
      </c>
      <c r="H6862" t="s">
        <v>233</v>
      </c>
      <c r="I6862" s="4">
        <v>120735.78316800001</v>
      </c>
      <c r="J6862" s="4">
        <v>1207357.8316800001</v>
      </c>
      <c r="K6862" s="4">
        <v>-58422.972000000002</v>
      </c>
      <c r="L6862" s="4">
        <v>10</v>
      </c>
    </row>
    <row r="6863" spans="1:12">
      <c r="A6863" t="s">
        <v>264</v>
      </c>
      <c r="B6863" s="10">
        <v>45299</v>
      </c>
      <c r="C6863" s="18">
        <f t="shared" si="107"/>
        <v>1</v>
      </c>
      <c r="D6863" t="s">
        <v>196</v>
      </c>
      <c r="E6863">
        <v>4872571</v>
      </c>
      <c r="F6863" t="s">
        <v>8</v>
      </c>
      <c r="G6863" t="s">
        <v>204</v>
      </c>
      <c r="H6863" t="s">
        <v>219</v>
      </c>
      <c r="I6863" s="4">
        <v>44099.9208</v>
      </c>
      <c r="J6863" s="4">
        <v>1322997.6240000001</v>
      </c>
      <c r="K6863" s="4">
        <v>-65961.42</v>
      </c>
      <c r="L6863" s="4">
        <v>30</v>
      </c>
    </row>
    <row r="6864" spans="1:12">
      <c r="A6864" t="s">
        <v>264</v>
      </c>
      <c r="B6864" s="10">
        <v>45299</v>
      </c>
      <c r="C6864" s="18">
        <f t="shared" si="107"/>
        <v>1</v>
      </c>
      <c r="D6864" t="s">
        <v>196</v>
      </c>
      <c r="E6864">
        <v>4872571</v>
      </c>
      <c r="F6864" t="s">
        <v>8</v>
      </c>
      <c r="G6864" t="s">
        <v>204</v>
      </c>
      <c r="H6864" t="s">
        <v>217</v>
      </c>
      <c r="I6864" s="4">
        <v>78022.936799999996</v>
      </c>
      <c r="J6864" s="4">
        <v>2340688.1039999998</v>
      </c>
      <c r="K6864" s="4">
        <v>-116845.944</v>
      </c>
      <c r="L6864" s="4">
        <v>30</v>
      </c>
    </row>
    <row r="6865" spans="1:12">
      <c r="A6865" t="s">
        <v>264</v>
      </c>
      <c r="B6865" s="10">
        <v>45299</v>
      </c>
      <c r="C6865" s="18">
        <f t="shared" si="107"/>
        <v>1</v>
      </c>
      <c r="D6865" t="s">
        <v>196</v>
      </c>
      <c r="E6865">
        <v>4872158</v>
      </c>
      <c r="F6865" t="s">
        <v>8</v>
      </c>
      <c r="G6865" t="s">
        <v>204</v>
      </c>
      <c r="H6865" t="s">
        <v>216</v>
      </c>
      <c r="I6865" s="4">
        <v>113202.36079999999</v>
      </c>
      <c r="J6865" s="4">
        <v>2264047.216</v>
      </c>
      <c r="K6865" s="4">
        <v>-121871.57599999999</v>
      </c>
      <c r="L6865" s="4">
        <v>20</v>
      </c>
    </row>
    <row r="6866" spans="1:12">
      <c r="A6866" t="s">
        <v>264</v>
      </c>
      <c r="B6866" s="10">
        <v>45299</v>
      </c>
      <c r="C6866" s="18">
        <f t="shared" si="107"/>
        <v>1</v>
      </c>
      <c r="D6866" t="s">
        <v>196</v>
      </c>
      <c r="E6866">
        <v>4878825</v>
      </c>
      <c r="F6866" t="s">
        <v>8</v>
      </c>
      <c r="G6866" t="s">
        <v>204</v>
      </c>
      <c r="H6866" t="s">
        <v>219</v>
      </c>
      <c r="I6866" s="4">
        <v>44099.9208</v>
      </c>
      <c r="J6866" s="4">
        <v>44099.9208</v>
      </c>
      <c r="K6866" s="4">
        <v>-2198.7139999999999</v>
      </c>
      <c r="L6866" s="4">
        <v>1</v>
      </c>
    </row>
    <row r="6867" spans="1:12">
      <c r="A6867" t="s">
        <v>264</v>
      </c>
      <c r="B6867" s="10">
        <v>45299</v>
      </c>
      <c r="C6867" s="18">
        <f t="shared" si="107"/>
        <v>1</v>
      </c>
      <c r="D6867" t="s">
        <v>196</v>
      </c>
      <c r="E6867">
        <v>4878825</v>
      </c>
      <c r="F6867" t="s">
        <v>8</v>
      </c>
      <c r="G6867" t="s">
        <v>204</v>
      </c>
      <c r="H6867" t="s">
        <v>218</v>
      </c>
      <c r="I6867" s="4">
        <v>71740.896800000002</v>
      </c>
      <c r="J6867" s="4">
        <v>71740.896800000002</v>
      </c>
      <c r="K6867" s="4">
        <v>-3894.8647999999998</v>
      </c>
      <c r="L6867" s="4">
        <v>1</v>
      </c>
    </row>
    <row r="6868" spans="1:12">
      <c r="A6868" t="s">
        <v>264</v>
      </c>
      <c r="B6868" s="10">
        <v>45299</v>
      </c>
      <c r="C6868" s="18">
        <f t="shared" si="107"/>
        <v>1</v>
      </c>
      <c r="D6868" t="s">
        <v>196</v>
      </c>
      <c r="E6868">
        <v>4878825</v>
      </c>
      <c r="F6868" t="s">
        <v>8</v>
      </c>
      <c r="G6868" t="s">
        <v>204</v>
      </c>
      <c r="H6868" t="s">
        <v>216</v>
      </c>
      <c r="I6868" s="4">
        <v>113202.36079999999</v>
      </c>
      <c r="J6868" s="4">
        <v>113202.36079999999</v>
      </c>
      <c r="K6868" s="4">
        <v>-6093.5788000000002</v>
      </c>
      <c r="L6868" s="4">
        <v>1</v>
      </c>
    </row>
    <row r="6869" spans="1:12">
      <c r="A6869" t="s">
        <v>264</v>
      </c>
      <c r="B6869" s="10">
        <v>45299</v>
      </c>
      <c r="C6869" s="18">
        <f t="shared" si="107"/>
        <v>1</v>
      </c>
      <c r="D6869" t="s">
        <v>196</v>
      </c>
      <c r="E6869">
        <v>4878825</v>
      </c>
      <c r="F6869" t="s">
        <v>8</v>
      </c>
      <c r="G6869" t="s">
        <v>204</v>
      </c>
      <c r="H6869" t="s">
        <v>213</v>
      </c>
      <c r="I6869" s="4">
        <v>119484.4008</v>
      </c>
      <c r="J6869" s="4">
        <v>119484.4008</v>
      </c>
      <c r="K6869" s="4">
        <v>-5967.9380000000001</v>
      </c>
      <c r="L6869" s="4">
        <v>1</v>
      </c>
    </row>
    <row r="6870" spans="1:12">
      <c r="A6870" t="s">
        <v>264</v>
      </c>
      <c r="B6870" s="10">
        <v>45299</v>
      </c>
      <c r="C6870" s="18">
        <f t="shared" si="107"/>
        <v>1</v>
      </c>
      <c r="D6870" t="s">
        <v>196</v>
      </c>
      <c r="E6870">
        <v>4872070</v>
      </c>
      <c r="F6870" t="s">
        <v>8</v>
      </c>
      <c r="G6870" t="s">
        <v>203</v>
      </c>
      <c r="H6870" t="s">
        <v>242</v>
      </c>
      <c r="I6870" s="4">
        <v>100638.28079999999</v>
      </c>
      <c r="J6870" s="4">
        <v>201276.56159999999</v>
      </c>
      <c r="K6870" s="4">
        <v>-9046.1376</v>
      </c>
      <c r="L6870" s="4">
        <v>2</v>
      </c>
    </row>
    <row r="6871" spans="1:12">
      <c r="A6871" t="s">
        <v>264</v>
      </c>
      <c r="B6871" s="10">
        <v>45299</v>
      </c>
      <c r="C6871" s="18">
        <f t="shared" si="107"/>
        <v>1</v>
      </c>
      <c r="D6871" t="s">
        <v>196</v>
      </c>
      <c r="E6871">
        <v>4872070</v>
      </c>
      <c r="F6871" t="s">
        <v>8</v>
      </c>
      <c r="G6871" t="s">
        <v>203</v>
      </c>
      <c r="H6871" t="s">
        <v>234</v>
      </c>
      <c r="I6871" s="4">
        <v>100638.28079999999</v>
      </c>
      <c r="J6871" s="4">
        <v>201276.56159999999</v>
      </c>
      <c r="K6871" s="4">
        <v>-9046.1376</v>
      </c>
      <c r="L6871" s="4">
        <v>2</v>
      </c>
    </row>
    <row r="6872" spans="1:12">
      <c r="A6872" t="s">
        <v>264</v>
      </c>
      <c r="B6872" s="10">
        <v>45299</v>
      </c>
      <c r="C6872" s="18">
        <f t="shared" si="107"/>
        <v>1</v>
      </c>
      <c r="D6872" t="s">
        <v>196</v>
      </c>
      <c r="E6872">
        <v>4872070</v>
      </c>
      <c r="F6872" t="s">
        <v>8</v>
      </c>
      <c r="G6872" t="s">
        <v>203</v>
      </c>
      <c r="H6872" t="s">
        <v>235</v>
      </c>
      <c r="I6872" s="4">
        <v>125766.4408</v>
      </c>
      <c r="J6872" s="4">
        <v>251532.88159999999</v>
      </c>
      <c r="K6872" s="4">
        <v>-11684.5944</v>
      </c>
      <c r="L6872" s="4">
        <v>2</v>
      </c>
    </row>
    <row r="6873" spans="1:12">
      <c r="A6873" t="s">
        <v>264</v>
      </c>
      <c r="B6873" s="10">
        <v>45299</v>
      </c>
      <c r="C6873" s="18">
        <f t="shared" si="107"/>
        <v>1</v>
      </c>
      <c r="D6873" t="s">
        <v>196</v>
      </c>
      <c r="E6873">
        <v>4871657</v>
      </c>
      <c r="F6873" t="s">
        <v>8</v>
      </c>
      <c r="G6873" t="s">
        <v>202</v>
      </c>
      <c r="H6873" t="s">
        <v>261</v>
      </c>
      <c r="I6873" s="4">
        <v>41587.104800000001</v>
      </c>
      <c r="J6873" s="4">
        <v>2079355.24</v>
      </c>
      <c r="K6873" s="4">
        <v>-103653.66</v>
      </c>
      <c r="L6873" s="4">
        <v>50</v>
      </c>
    </row>
    <row r="6874" spans="1:12">
      <c r="A6874" t="s">
        <v>264</v>
      </c>
      <c r="B6874" s="10">
        <v>45299</v>
      </c>
      <c r="C6874" s="18">
        <f t="shared" si="107"/>
        <v>1</v>
      </c>
      <c r="D6874" t="s">
        <v>196</v>
      </c>
      <c r="E6874">
        <v>4871657</v>
      </c>
      <c r="F6874" t="s">
        <v>8</v>
      </c>
      <c r="G6874" t="s">
        <v>202</v>
      </c>
      <c r="H6874" t="s">
        <v>259</v>
      </c>
      <c r="I6874" s="4">
        <v>30279.432800000002</v>
      </c>
      <c r="J6874" s="4">
        <v>1513971.6400000001</v>
      </c>
      <c r="K6874" s="4">
        <v>-75384.479999999996</v>
      </c>
      <c r="L6874" s="4">
        <v>50</v>
      </c>
    </row>
    <row r="6875" spans="1:12">
      <c r="A6875" t="s">
        <v>264</v>
      </c>
      <c r="B6875" s="10">
        <v>45299</v>
      </c>
      <c r="C6875" s="18">
        <f t="shared" si="107"/>
        <v>1</v>
      </c>
      <c r="D6875" t="s">
        <v>196</v>
      </c>
      <c r="E6875">
        <v>4871657</v>
      </c>
      <c r="F6875" t="s">
        <v>8</v>
      </c>
      <c r="G6875" t="s">
        <v>202</v>
      </c>
      <c r="H6875" t="s">
        <v>258</v>
      </c>
      <c r="I6875" s="4">
        <v>37817.880799999999</v>
      </c>
      <c r="J6875" s="4">
        <v>1890894.04</v>
      </c>
      <c r="K6875" s="4">
        <v>-94230.6</v>
      </c>
      <c r="L6875" s="4">
        <v>50</v>
      </c>
    </row>
    <row r="6876" spans="1:12">
      <c r="A6876" t="s">
        <v>264</v>
      </c>
      <c r="B6876" s="10">
        <v>45299</v>
      </c>
      <c r="C6876" s="18">
        <f t="shared" si="107"/>
        <v>1</v>
      </c>
      <c r="D6876" t="s">
        <v>196</v>
      </c>
      <c r="E6876">
        <v>4871657</v>
      </c>
      <c r="F6876" t="s">
        <v>8</v>
      </c>
      <c r="G6876" t="s">
        <v>202</v>
      </c>
      <c r="H6876" t="s">
        <v>257</v>
      </c>
      <c r="I6876" s="4">
        <v>56664.000799999994</v>
      </c>
      <c r="J6876" s="4">
        <v>566640.00799999991</v>
      </c>
      <c r="K6876" s="4">
        <v>-28269.18</v>
      </c>
      <c r="L6876" s="4">
        <v>10</v>
      </c>
    </row>
    <row r="6877" spans="1:12">
      <c r="A6877" t="s">
        <v>264</v>
      </c>
      <c r="B6877" s="10">
        <v>45299</v>
      </c>
      <c r="C6877" s="18">
        <f t="shared" si="107"/>
        <v>1</v>
      </c>
      <c r="D6877" t="s">
        <v>196</v>
      </c>
      <c r="E6877">
        <v>4871657</v>
      </c>
      <c r="F6877" t="s">
        <v>8</v>
      </c>
      <c r="G6877" t="s">
        <v>202</v>
      </c>
      <c r="H6877" t="s">
        <v>256</v>
      </c>
      <c r="I6877" s="4">
        <v>64202.448800000006</v>
      </c>
      <c r="J6877" s="4">
        <v>642024.48800000001</v>
      </c>
      <c r="K6877" s="4">
        <v>-32038.403999999999</v>
      </c>
      <c r="L6877" s="4">
        <v>10</v>
      </c>
    </row>
    <row r="6878" spans="1:12">
      <c r="A6878" t="s">
        <v>264</v>
      </c>
      <c r="B6878" s="10">
        <v>45299</v>
      </c>
      <c r="C6878" s="18">
        <f t="shared" si="107"/>
        <v>1</v>
      </c>
      <c r="D6878" t="s">
        <v>196</v>
      </c>
      <c r="E6878">
        <v>4872208</v>
      </c>
      <c r="F6878" t="s">
        <v>8</v>
      </c>
      <c r="G6878" t="s">
        <v>202</v>
      </c>
      <c r="H6878" t="s">
        <v>261</v>
      </c>
      <c r="I6878" s="4">
        <v>41587.104800000001</v>
      </c>
      <c r="J6878" s="4">
        <v>665393.67680000002</v>
      </c>
      <c r="K6878" s="4">
        <v>-33169.171200000004</v>
      </c>
      <c r="L6878" s="4">
        <v>16</v>
      </c>
    </row>
    <row r="6879" spans="1:12">
      <c r="A6879" t="s">
        <v>264</v>
      </c>
      <c r="B6879" s="10">
        <v>45299</v>
      </c>
      <c r="C6879" s="18">
        <f t="shared" si="107"/>
        <v>1</v>
      </c>
      <c r="D6879" t="s">
        <v>196</v>
      </c>
      <c r="E6879">
        <v>4877306</v>
      </c>
      <c r="F6879" t="s">
        <v>8</v>
      </c>
      <c r="G6879" t="s">
        <v>203</v>
      </c>
      <c r="H6879" t="s">
        <v>245</v>
      </c>
      <c r="I6879" s="4">
        <v>100638.28079999999</v>
      </c>
      <c r="J6879" s="4">
        <v>2012765.6159999999</v>
      </c>
      <c r="K6879" s="4">
        <v>-90461.376000000004</v>
      </c>
      <c r="L6879" s="4">
        <v>20</v>
      </c>
    </row>
    <row r="6880" spans="1:12">
      <c r="A6880" t="s">
        <v>264</v>
      </c>
      <c r="B6880" s="10">
        <v>45299</v>
      </c>
      <c r="C6880" s="18">
        <f t="shared" si="107"/>
        <v>1</v>
      </c>
      <c r="D6880" t="s">
        <v>196</v>
      </c>
      <c r="E6880">
        <v>4877306</v>
      </c>
      <c r="F6880" t="s">
        <v>8</v>
      </c>
      <c r="G6880" t="s">
        <v>203</v>
      </c>
      <c r="H6880" t="s">
        <v>243</v>
      </c>
      <c r="I6880" s="4">
        <v>100638.28079999999</v>
      </c>
      <c r="J6880" s="4">
        <v>2012765.6159999999</v>
      </c>
      <c r="K6880" s="4">
        <v>-90461.376000000004</v>
      </c>
      <c r="L6880" s="4">
        <v>20</v>
      </c>
    </row>
    <row r="6881" spans="1:12">
      <c r="A6881" t="s">
        <v>264</v>
      </c>
      <c r="B6881" s="10">
        <v>45299</v>
      </c>
      <c r="C6881" s="18">
        <f t="shared" si="107"/>
        <v>1</v>
      </c>
      <c r="D6881" t="s">
        <v>196</v>
      </c>
      <c r="E6881">
        <v>4877306</v>
      </c>
      <c r="F6881" t="s">
        <v>8</v>
      </c>
      <c r="G6881" t="s">
        <v>203</v>
      </c>
      <c r="H6881" t="s">
        <v>242</v>
      </c>
      <c r="I6881" s="4">
        <v>100638.28079999999</v>
      </c>
      <c r="J6881" s="4">
        <v>2012765.6159999999</v>
      </c>
      <c r="K6881" s="4">
        <v>-90461.376000000004</v>
      </c>
      <c r="L6881" s="4">
        <v>20</v>
      </c>
    </row>
    <row r="6882" spans="1:12">
      <c r="A6882" t="s">
        <v>264</v>
      </c>
      <c r="B6882" s="10">
        <v>45299</v>
      </c>
      <c r="C6882" s="18">
        <f t="shared" si="107"/>
        <v>1</v>
      </c>
      <c r="D6882" t="s">
        <v>196</v>
      </c>
      <c r="E6882">
        <v>4877306</v>
      </c>
      <c r="F6882" t="s">
        <v>8</v>
      </c>
      <c r="G6882" t="s">
        <v>203</v>
      </c>
      <c r="H6882" t="s">
        <v>240</v>
      </c>
      <c r="I6882" s="4">
        <v>100638.28079999999</v>
      </c>
      <c r="J6882" s="4">
        <v>2012765.6159999999</v>
      </c>
      <c r="K6882" s="4">
        <v>-90461.376000000004</v>
      </c>
      <c r="L6882" s="4">
        <v>20</v>
      </c>
    </row>
    <row r="6883" spans="1:12">
      <c r="A6883" t="s">
        <v>264</v>
      </c>
      <c r="B6883" s="10">
        <v>45299</v>
      </c>
      <c r="C6883" s="18">
        <f t="shared" si="107"/>
        <v>1</v>
      </c>
      <c r="D6883" t="s">
        <v>196</v>
      </c>
      <c r="E6883">
        <v>4877306</v>
      </c>
      <c r="F6883" t="s">
        <v>8</v>
      </c>
      <c r="G6883" t="s">
        <v>203</v>
      </c>
      <c r="H6883" t="s">
        <v>238</v>
      </c>
      <c r="I6883" s="4">
        <v>95606.36675999999</v>
      </c>
      <c r="J6883" s="4">
        <v>1912127.3351999999</v>
      </c>
      <c r="K6883" s="4">
        <v>-90461.376000000004</v>
      </c>
      <c r="L6883" s="4">
        <v>20</v>
      </c>
    </row>
    <row r="6884" spans="1:12">
      <c r="A6884" t="s">
        <v>264</v>
      </c>
      <c r="B6884" s="10">
        <v>45299</v>
      </c>
      <c r="C6884" s="18">
        <f t="shared" si="107"/>
        <v>1</v>
      </c>
      <c r="D6884" t="s">
        <v>196</v>
      </c>
      <c r="E6884">
        <v>4877306</v>
      </c>
      <c r="F6884" t="s">
        <v>8</v>
      </c>
      <c r="G6884" t="s">
        <v>203</v>
      </c>
      <c r="H6884" t="s">
        <v>236</v>
      </c>
      <c r="I6884" s="4">
        <v>100638.28079999999</v>
      </c>
      <c r="J6884" s="4">
        <v>2012765.6159999999</v>
      </c>
      <c r="K6884" s="4">
        <v>-90461.376000000004</v>
      </c>
      <c r="L6884" s="4">
        <v>20</v>
      </c>
    </row>
    <row r="6885" spans="1:12">
      <c r="A6885" t="s">
        <v>264</v>
      </c>
      <c r="B6885" s="10">
        <v>45299</v>
      </c>
      <c r="C6885" s="18">
        <f t="shared" si="107"/>
        <v>1</v>
      </c>
      <c r="D6885" t="s">
        <v>196</v>
      </c>
      <c r="E6885">
        <v>4877306</v>
      </c>
      <c r="F6885" t="s">
        <v>8</v>
      </c>
      <c r="G6885" t="s">
        <v>203</v>
      </c>
      <c r="H6885" t="s">
        <v>234</v>
      </c>
      <c r="I6885" s="4">
        <v>100638.28079999999</v>
      </c>
      <c r="J6885" s="4">
        <v>2012765.6159999999</v>
      </c>
      <c r="K6885" s="4">
        <v>-90461.376000000004</v>
      </c>
      <c r="L6885" s="4">
        <v>20</v>
      </c>
    </row>
    <row r="6886" spans="1:12">
      <c r="A6886" t="s">
        <v>264</v>
      </c>
      <c r="B6886" s="10">
        <v>45299</v>
      </c>
      <c r="C6886" s="18">
        <f t="shared" si="107"/>
        <v>1</v>
      </c>
      <c r="D6886" t="s">
        <v>196</v>
      </c>
      <c r="E6886">
        <v>4877306</v>
      </c>
      <c r="F6886" t="s">
        <v>8</v>
      </c>
      <c r="G6886" t="s">
        <v>203</v>
      </c>
      <c r="H6886" t="s">
        <v>232</v>
      </c>
      <c r="I6886" s="4">
        <v>100638.28079999999</v>
      </c>
      <c r="J6886" s="4">
        <v>2012765.6159999999</v>
      </c>
      <c r="K6886" s="4">
        <v>-90461.376000000004</v>
      </c>
      <c r="L6886" s="4">
        <v>20</v>
      </c>
    </row>
    <row r="6887" spans="1:12">
      <c r="A6887" t="s">
        <v>264</v>
      </c>
      <c r="B6887" s="10">
        <v>45299</v>
      </c>
      <c r="C6887" s="18">
        <f t="shared" si="107"/>
        <v>1</v>
      </c>
      <c r="D6887" t="s">
        <v>196</v>
      </c>
      <c r="E6887">
        <v>4877306</v>
      </c>
      <c r="F6887" t="s">
        <v>8</v>
      </c>
      <c r="G6887" t="s">
        <v>203</v>
      </c>
      <c r="H6887" t="s">
        <v>228</v>
      </c>
      <c r="I6887" s="4">
        <v>100638.28079999999</v>
      </c>
      <c r="J6887" s="4">
        <v>2012765.6159999999</v>
      </c>
      <c r="K6887" s="4">
        <v>-90461.376000000004</v>
      </c>
      <c r="L6887" s="4">
        <v>20</v>
      </c>
    </row>
    <row r="6888" spans="1:12">
      <c r="A6888" t="s">
        <v>264</v>
      </c>
      <c r="B6888" s="10">
        <v>45299</v>
      </c>
      <c r="C6888" s="18">
        <f t="shared" si="107"/>
        <v>1</v>
      </c>
      <c r="D6888" t="s">
        <v>196</v>
      </c>
      <c r="E6888">
        <v>4877306</v>
      </c>
      <c r="F6888" t="s">
        <v>8</v>
      </c>
      <c r="G6888" t="s">
        <v>203</v>
      </c>
      <c r="H6888" t="s">
        <v>227</v>
      </c>
      <c r="I6888" s="4">
        <v>100638.28079999999</v>
      </c>
      <c r="J6888" s="4">
        <v>2012765.6159999999</v>
      </c>
      <c r="K6888" s="4">
        <v>-90461.376000000004</v>
      </c>
      <c r="L6888" s="4">
        <v>20</v>
      </c>
    </row>
    <row r="6889" spans="1:12">
      <c r="A6889" t="s">
        <v>264</v>
      </c>
      <c r="B6889" s="10">
        <v>45299</v>
      </c>
      <c r="C6889" s="18">
        <f t="shared" si="107"/>
        <v>1</v>
      </c>
      <c r="D6889" t="s">
        <v>196</v>
      </c>
      <c r="E6889">
        <v>4877306</v>
      </c>
      <c r="F6889" t="s">
        <v>8</v>
      </c>
      <c r="G6889" t="s">
        <v>203</v>
      </c>
      <c r="H6889" t="s">
        <v>226</v>
      </c>
      <c r="I6889" s="4">
        <v>100638.28079999999</v>
      </c>
      <c r="J6889" s="4">
        <v>2012765.6159999999</v>
      </c>
      <c r="K6889" s="4">
        <v>-90461.376000000004</v>
      </c>
      <c r="L6889" s="4">
        <v>20</v>
      </c>
    </row>
    <row r="6890" spans="1:12">
      <c r="A6890" t="s">
        <v>264</v>
      </c>
      <c r="B6890" s="10">
        <v>45299</v>
      </c>
      <c r="C6890" s="18">
        <f t="shared" si="107"/>
        <v>1</v>
      </c>
      <c r="D6890" t="s">
        <v>196</v>
      </c>
      <c r="E6890">
        <v>4877306</v>
      </c>
      <c r="F6890" t="s">
        <v>8</v>
      </c>
      <c r="G6890" t="s">
        <v>203</v>
      </c>
      <c r="H6890" t="s">
        <v>225</v>
      </c>
      <c r="I6890" s="4">
        <v>100638.28079999999</v>
      </c>
      <c r="J6890" s="4">
        <v>2012765.6159999999</v>
      </c>
      <c r="K6890" s="4">
        <v>-90461.376000000004</v>
      </c>
      <c r="L6890" s="4">
        <v>20</v>
      </c>
    </row>
    <row r="6891" spans="1:12">
      <c r="A6891" t="s">
        <v>264</v>
      </c>
      <c r="B6891" s="10">
        <v>45299</v>
      </c>
      <c r="C6891" s="18">
        <f t="shared" si="107"/>
        <v>1</v>
      </c>
      <c r="D6891" t="s">
        <v>196</v>
      </c>
      <c r="E6891">
        <v>4877306</v>
      </c>
      <c r="F6891" t="s">
        <v>8</v>
      </c>
      <c r="G6891" t="s">
        <v>203</v>
      </c>
      <c r="H6891" t="s">
        <v>224</v>
      </c>
      <c r="I6891" s="4">
        <v>100638.28079999999</v>
      </c>
      <c r="J6891" s="4">
        <v>2012765.6159999999</v>
      </c>
      <c r="K6891" s="4">
        <v>-90461.376000000004</v>
      </c>
      <c r="L6891" s="4">
        <v>20</v>
      </c>
    </row>
    <row r="6892" spans="1:12">
      <c r="A6892" t="s">
        <v>264</v>
      </c>
      <c r="B6892" s="10">
        <v>45299</v>
      </c>
      <c r="C6892" s="18">
        <f t="shared" si="107"/>
        <v>1</v>
      </c>
      <c r="D6892" t="s">
        <v>196</v>
      </c>
      <c r="E6892">
        <v>4877306</v>
      </c>
      <c r="F6892" t="s">
        <v>8</v>
      </c>
      <c r="G6892" t="s">
        <v>203</v>
      </c>
      <c r="H6892" t="s">
        <v>223</v>
      </c>
      <c r="I6892" s="4">
        <v>100638.28079999999</v>
      </c>
      <c r="J6892" s="4">
        <v>2012765.6159999999</v>
      </c>
      <c r="K6892" s="4">
        <v>-90461.376000000004</v>
      </c>
      <c r="L6892" s="4">
        <v>20</v>
      </c>
    </row>
    <row r="6893" spans="1:12">
      <c r="A6893" t="s">
        <v>264</v>
      </c>
      <c r="B6893" s="10">
        <v>45299</v>
      </c>
      <c r="C6893" s="18">
        <f t="shared" si="107"/>
        <v>1</v>
      </c>
      <c r="D6893" t="s">
        <v>196</v>
      </c>
      <c r="E6893">
        <v>4877306</v>
      </c>
      <c r="F6893" t="s">
        <v>8</v>
      </c>
      <c r="G6893" t="s">
        <v>203</v>
      </c>
      <c r="H6893" t="s">
        <v>222</v>
      </c>
      <c r="I6893" s="4">
        <v>100638.28079999999</v>
      </c>
      <c r="J6893" s="4">
        <v>2012765.6159999999</v>
      </c>
      <c r="K6893" s="4">
        <v>-90461.376000000004</v>
      </c>
      <c r="L6893" s="4">
        <v>20</v>
      </c>
    </row>
    <row r="6894" spans="1:12">
      <c r="A6894" t="s">
        <v>264</v>
      </c>
      <c r="B6894" s="10">
        <v>45299</v>
      </c>
      <c r="C6894" s="18">
        <f t="shared" si="107"/>
        <v>1</v>
      </c>
      <c r="D6894" t="s">
        <v>196</v>
      </c>
      <c r="E6894">
        <v>4877306</v>
      </c>
      <c r="F6894" t="s">
        <v>8</v>
      </c>
      <c r="G6894" t="s">
        <v>203</v>
      </c>
      <c r="H6894" t="s">
        <v>244</v>
      </c>
      <c r="I6894" s="4">
        <v>125766.4408</v>
      </c>
      <c r="J6894" s="4">
        <v>2515328.8160000001</v>
      </c>
      <c r="K6894" s="4">
        <v>-116845.944</v>
      </c>
      <c r="L6894" s="4">
        <v>20</v>
      </c>
    </row>
    <row r="6895" spans="1:12">
      <c r="A6895" t="s">
        <v>264</v>
      </c>
      <c r="B6895" s="10">
        <v>45299</v>
      </c>
      <c r="C6895" s="18">
        <f t="shared" si="107"/>
        <v>1</v>
      </c>
      <c r="D6895" t="s">
        <v>196</v>
      </c>
      <c r="E6895">
        <v>4877306</v>
      </c>
      <c r="F6895" t="s">
        <v>8</v>
      </c>
      <c r="G6895" t="s">
        <v>203</v>
      </c>
      <c r="H6895" t="s">
        <v>241</v>
      </c>
      <c r="I6895" s="4">
        <v>125766.4408</v>
      </c>
      <c r="J6895" s="4">
        <v>2515328.8160000001</v>
      </c>
      <c r="K6895" s="4">
        <v>-116845.944</v>
      </c>
      <c r="L6895" s="4">
        <v>20</v>
      </c>
    </row>
    <row r="6896" spans="1:12">
      <c r="A6896" t="s">
        <v>264</v>
      </c>
      <c r="B6896" s="10">
        <v>45299</v>
      </c>
      <c r="C6896" s="18">
        <f t="shared" si="107"/>
        <v>1</v>
      </c>
      <c r="D6896" t="s">
        <v>196</v>
      </c>
      <c r="E6896">
        <v>4877306</v>
      </c>
      <c r="F6896" t="s">
        <v>8</v>
      </c>
      <c r="G6896" t="s">
        <v>203</v>
      </c>
      <c r="H6896" t="s">
        <v>239</v>
      </c>
      <c r="I6896" s="4">
        <v>125766.4408</v>
      </c>
      <c r="J6896" s="4">
        <v>2515328.8160000001</v>
      </c>
      <c r="K6896" s="4">
        <v>-116845.944</v>
      </c>
      <c r="L6896" s="4">
        <v>20</v>
      </c>
    </row>
    <row r="6897" spans="1:12">
      <c r="A6897" t="s">
        <v>264</v>
      </c>
      <c r="B6897" s="10">
        <v>45299</v>
      </c>
      <c r="C6897" s="18">
        <f t="shared" si="107"/>
        <v>1</v>
      </c>
      <c r="D6897" t="s">
        <v>196</v>
      </c>
      <c r="E6897">
        <v>4877306</v>
      </c>
      <c r="F6897" t="s">
        <v>8</v>
      </c>
      <c r="G6897" t="s">
        <v>203</v>
      </c>
      <c r="H6897" t="s">
        <v>237</v>
      </c>
      <c r="I6897" s="4">
        <v>125766.4408</v>
      </c>
      <c r="J6897" s="4">
        <v>2515328.8160000001</v>
      </c>
      <c r="K6897" s="4">
        <v>-116845.944</v>
      </c>
      <c r="L6897" s="4">
        <v>20</v>
      </c>
    </row>
    <row r="6898" spans="1:12">
      <c r="A6898" t="s">
        <v>264</v>
      </c>
      <c r="B6898" s="10">
        <v>45299</v>
      </c>
      <c r="C6898" s="18">
        <f t="shared" si="107"/>
        <v>1</v>
      </c>
      <c r="D6898" t="s">
        <v>196</v>
      </c>
      <c r="E6898">
        <v>4877306</v>
      </c>
      <c r="F6898" t="s">
        <v>8</v>
      </c>
      <c r="G6898" t="s">
        <v>203</v>
      </c>
      <c r="H6898" t="s">
        <v>235</v>
      </c>
      <c r="I6898" s="4">
        <v>125766.4408</v>
      </c>
      <c r="J6898" s="4">
        <v>2515328.8160000001</v>
      </c>
      <c r="K6898" s="4">
        <v>-116845.944</v>
      </c>
      <c r="L6898" s="4">
        <v>20</v>
      </c>
    </row>
    <row r="6899" spans="1:12">
      <c r="A6899" t="s">
        <v>264</v>
      </c>
      <c r="B6899" s="10">
        <v>45299</v>
      </c>
      <c r="C6899" s="18">
        <f t="shared" si="107"/>
        <v>1</v>
      </c>
      <c r="D6899" t="s">
        <v>196</v>
      </c>
      <c r="E6899">
        <v>4877306</v>
      </c>
      <c r="F6899" t="s">
        <v>8</v>
      </c>
      <c r="G6899" t="s">
        <v>203</v>
      </c>
      <c r="H6899" t="s">
        <v>233</v>
      </c>
      <c r="I6899" s="4">
        <v>120735.78316800001</v>
      </c>
      <c r="J6899" s="4">
        <v>2414715.6633600001</v>
      </c>
      <c r="K6899" s="4">
        <v>-116845.944</v>
      </c>
      <c r="L6899" s="4">
        <v>20</v>
      </c>
    </row>
    <row r="6900" spans="1:12">
      <c r="A6900" t="s">
        <v>264</v>
      </c>
      <c r="B6900" s="10">
        <v>45299</v>
      </c>
      <c r="C6900" s="18">
        <f t="shared" si="107"/>
        <v>1</v>
      </c>
      <c r="D6900" t="s">
        <v>196</v>
      </c>
      <c r="E6900">
        <v>4877306</v>
      </c>
      <c r="F6900" t="s">
        <v>8</v>
      </c>
      <c r="G6900" t="s">
        <v>203</v>
      </c>
      <c r="H6900" t="s">
        <v>231</v>
      </c>
      <c r="I6900" s="4">
        <v>125766.4408</v>
      </c>
      <c r="J6900" s="4">
        <v>2515328.8160000001</v>
      </c>
      <c r="K6900" s="4">
        <v>-116845.944</v>
      </c>
      <c r="L6900" s="4">
        <v>20</v>
      </c>
    </row>
    <row r="6901" spans="1:12">
      <c r="A6901" t="s">
        <v>264</v>
      </c>
      <c r="B6901" s="10">
        <v>45299</v>
      </c>
      <c r="C6901" s="18">
        <f t="shared" si="107"/>
        <v>1</v>
      </c>
      <c r="D6901" t="s">
        <v>196</v>
      </c>
      <c r="E6901">
        <v>4877306</v>
      </c>
      <c r="F6901" t="s">
        <v>8</v>
      </c>
      <c r="G6901" t="s">
        <v>203</v>
      </c>
      <c r="H6901" t="s">
        <v>229</v>
      </c>
      <c r="I6901" s="4">
        <v>125766.4408</v>
      </c>
      <c r="J6901" s="4">
        <v>628832.20400000003</v>
      </c>
      <c r="K6901" s="4">
        <v>-29211.486000000001</v>
      </c>
      <c r="L6901" s="4">
        <v>5</v>
      </c>
    </row>
    <row r="6902" spans="1:12">
      <c r="A6902" t="s">
        <v>264</v>
      </c>
      <c r="B6902" s="10">
        <v>45300</v>
      </c>
      <c r="C6902" s="18">
        <f t="shared" si="107"/>
        <v>1</v>
      </c>
      <c r="D6902" t="s">
        <v>196</v>
      </c>
      <c r="E6902">
        <v>4872058</v>
      </c>
      <c r="F6902" t="s">
        <v>8</v>
      </c>
      <c r="G6902" t="s">
        <v>203</v>
      </c>
      <c r="H6902" t="s">
        <v>242</v>
      </c>
      <c r="I6902" s="4">
        <v>100638.28079999999</v>
      </c>
      <c r="J6902" s="4">
        <v>1006382.808</v>
      </c>
      <c r="K6902" s="4">
        <v>-45230.688000000002</v>
      </c>
      <c r="L6902" s="4">
        <v>10</v>
      </c>
    </row>
    <row r="6903" spans="1:12">
      <c r="A6903" t="s">
        <v>264</v>
      </c>
      <c r="B6903" s="10">
        <v>45300</v>
      </c>
      <c r="C6903" s="18">
        <f t="shared" si="107"/>
        <v>1</v>
      </c>
      <c r="D6903" t="s">
        <v>196</v>
      </c>
      <c r="E6903">
        <v>4872058</v>
      </c>
      <c r="F6903" t="s">
        <v>8</v>
      </c>
      <c r="G6903" t="s">
        <v>203</v>
      </c>
      <c r="H6903" t="s">
        <v>234</v>
      </c>
      <c r="I6903" s="4">
        <v>100638.28079999999</v>
      </c>
      <c r="J6903" s="4">
        <v>1006382.808</v>
      </c>
      <c r="K6903" s="4">
        <v>-45230.688000000002</v>
      </c>
      <c r="L6903" s="4">
        <v>10</v>
      </c>
    </row>
    <row r="6904" spans="1:12">
      <c r="A6904" t="s">
        <v>264</v>
      </c>
      <c r="B6904" s="10">
        <v>45300</v>
      </c>
      <c r="C6904" s="18">
        <f t="shared" si="107"/>
        <v>1</v>
      </c>
      <c r="D6904" t="s">
        <v>196</v>
      </c>
      <c r="E6904">
        <v>4872058</v>
      </c>
      <c r="F6904" t="s">
        <v>8</v>
      </c>
      <c r="G6904" t="s">
        <v>203</v>
      </c>
      <c r="H6904" t="s">
        <v>227</v>
      </c>
      <c r="I6904" s="4">
        <v>100638.28079999999</v>
      </c>
      <c r="J6904" s="4">
        <v>1006382.808</v>
      </c>
      <c r="K6904" s="4">
        <v>-45230.688000000002</v>
      </c>
      <c r="L6904" s="4">
        <v>10</v>
      </c>
    </row>
    <row r="6905" spans="1:12">
      <c r="A6905" t="s">
        <v>264</v>
      </c>
      <c r="B6905" s="10">
        <v>45300</v>
      </c>
      <c r="C6905" s="18">
        <f t="shared" si="107"/>
        <v>1</v>
      </c>
      <c r="D6905" t="s">
        <v>196</v>
      </c>
      <c r="E6905">
        <v>4872058</v>
      </c>
      <c r="F6905" t="s">
        <v>8</v>
      </c>
      <c r="G6905" t="s">
        <v>203</v>
      </c>
      <c r="H6905" t="s">
        <v>223</v>
      </c>
      <c r="I6905" s="4">
        <v>100638.28079999999</v>
      </c>
      <c r="J6905" s="4">
        <v>1006382.808</v>
      </c>
      <c r="K6905" s="4">
        <v>-45230.688000000002</v>
      </c>
      <c r="L6905" s="4">
        <v>10</v>
      </c>
    </row>
    <row r="6906" spans="1:12">
      <c r="A6906" t="s">
        <v>264</v>
      </c>
      <c r="B6906" s="10">
        <v>45300</v>
      </c>
      <c r="C6906" s="18">
        <f t="shared" si="107"/>
        <v>1</v>
      </c>
      <c r="D6906" t="s">
        <v>196</v>
      </c>
      <c r="E6906">
        <v>4872058</v>
      </c>
      <c r="F6906" t="s">
        <v>8</v>
      </c>
      <c r="G6906" t="s">
        <v>203</v>
      </c>
      <c r="H6906" t="s">
        <v>241</v>
      </c>
      <c r="I6906" s="4">
        <v>125766.4408</v>
      </c>
      <c r="J6906" s="4">
        <v>1257664.4080000001</v>
      </c>
      <c r="K6906" s="4">
        <v>-58422.972000000002</v>
      </c>
      <c r="L6906" s="4">
        <v>10</v>
      </c>
    </row>
    <row r="6907" spans="1:12">
      <c r="A6907" t="s">
        <v>264</v>
      </c>
      <c r="B6907" s="10">
        <v>45300</v>
      </c>
      <c r="C6907" s="18">
        <f t="shared" si="107"/>
        <v>1</v>
      </c>
      <c r="D6907" t="s">
        <v>196</v>
      </c>
      <c r="E6907">
        <v>4872058</v>
      </c>
      <c r="F6907" t="s">
        <v>8</v>
      </c>
      <c r="G6907" t="s">
        <v>203</v>
      </c>
      <c r="H6907" t="s">
        <v>233</v>
      </c>
      <c r="I6907" s="4">
        <v>120735.78316800001</v>
      </c>
      <c r="J6907" s="4">
        <v>1207357.8316800001</v>
      </c>
      <c r="K6907" s="4">
        <v>-58422.972000000002</v>
      </c>
      <c r="L6907" s="4">
        <v>10</v>
      </c>
    </row>
    <row r="6908" spans="1:12">
      <c r="A6908" t="s">
        <v>264</v>
      </c>
      <c r="B6908" s="10">
        <v>45300</v>
      </c>
      <c r="C6908" s="18">
        <f t="shared" si="107"/>
        <v>1</v>
      </c>
      <c r="D6908" t="s">
        <v>196</v>
      </c>
      <c r="E6908">
        <v>4872571</v>
      </c>
      <c r="F6908" t="s">
        <v>8</v>
      </c>
      <c r="G6908" t="s">
        <v>203</v>
      </c>
      <c r="H6908" t="s">
        <v>232</v>
      </c>
      <c r="I6908" s="4">
        <v>100638.28079999999</v>
      </c>
      <c r="J6908" s="4">
        <v>603829.68479999993</v>
      </c>
      <c r="K6908" s="4">
        <v>-27138.412800000002</v>
      </c>
      <c r="L6908" s="4">
        <v>6</v>
      </c>
    </row>
    <row r="6909" spans="1:12">
      <c r="A6909" t="s">
        <v>264</v>
      </c>
      <c r="B6909" s="10">
        <v>45300</v>
      </c>
      <c r="C6909" s="18">
        <f t="shared" si="107"/>
        <v>1</v>
      </c>
      <c r="D6909" t="s">
        <v>196</v>
      </c>
      <c r="E6909">
        <v>4872571</v>
      </c>
      <c r="F6909" t="s">
        <v>8</v>
      </c>
      <c r="G6909" t="s">
        <v>203</v>
      </c>
      <c r="H6909" t="s">
        <v>228</v>
      </c>
      <c r="I6909" s="4">
        <v>100638.28079999999</v>
      </c>
      <c r="J6909" s="4">
        <v>603829.68479999993</v>
      </c>
      <c r="K6909" s="4">
        <v>-27138.412800000002</v>
      </c>
      <c r="L6909" s="4">
        <v>6</v>
      </c>
    </row>
    <row r="6910" spans="1:12">
      <c r="A6910" t="s">
        <v>264</v>
      </c>
      <c r="B6910" s="10">
        <v>45300</v>
      </c>
      <c r="C6910" s="18">
        <f t="shared" si="107"/>
        <v>1</v>
      </c>
      <c r="D6910" t="s">
        <v>196</v>
      </c>
      <c r="E6910">
        <v>4872571</v>
      </c>
      <c r="F6910" t="s">
        <v>8</v>
      </c>
      <c r="G6910" t="s">
        <v>203</v>
      </c>
      <c r="H6910" t="s">
        <v>227</v>
      </c>
      <c r="I6910" s="4">
        <v>100638.28079999999</v>
      </c>
      <c r="J6910" s="4">
        <v>603829.68479999993</v>
      </c>
      <c r="K6910" s="4">
        <v>-27138.412800000002</v>
      </c>
      <c r="L6910" s="4">
        <v>6</v>
      </c>
    </row>
    <row r="6911" spans="1:12">
      <c r="A6911" t="s">
        <v>264</v>
      </c>
      <c r="B6911" s="10">
        <v>45300</v>
      </c>
      <c r="C6911" s="18">
        <f t="shared" si="107"/>
        <v>1</v>
      </c>
      <c r="D6911" t="s">
        <v>196</v>
      </c>
      <c r="E6911">
        <v>4872571</v>
      </c>
      <c r="F6911" t="s">
        <v>8</v>
      </c>
      <c r="G6911" t="s">
        <v>203</v>
      </c>
      <c r="H6911" t="s">
        <v>226</v>
      </c>
      <c r="I6911" s="4">
        <v>100638.28079999999</v>
      </c>
      <c r="J6911" s="4">
        <v>603829.68479999993</v>
      </c>
      <c r="K6911" s="4">
        <v>-27138.412800000002</v>
      </c>
      <c r="L6911" s="4">
        <v>6</v>
      </c>
    </row>
    <row r="6912" spans="1:12">
      <c r="A6912" t="s">
        <v>264</v>
      </c>
      <c r="B6912" s="10">
        <v>45300</v>
      </c>
      <c r="C6912" s="18">
        <f t="shared" si="107"/>
        <v>1</v>
      </c>
      <c r="D6912" t="s">
        <v>196</v>
      </c>
      <c r="E6912">
        <v>4872571</v>
      </c>
      <c r="F6912" t="s">
        <v>8</v>
      </c>
      <c r="G6912" t="s">
        <v>203</v>
      </c>
      <c r="H6912" t="s">
        <v>223</v>
      </c>
      <c r="I6912" s="4">
        <v>100638.28079999999</v>
      </c>
      <c r="J6912" s="4">
        <v>603829.68479999993</v>
      </c>
      <c r="K6912" s="4">
        <v>-27138.412800000002</v>
      </c>
      <c r="L6912" s="4">
        <v>6</v>
      </c>
    </row>
    <row r="6913" spans="1:12">
      <c r="A6913" t="s">
        <v>264</v>
      </c>
      <c r="B6913" s="10">
        <v>45300</v>
      </c>
      <c r="C6913" s="18">
        <f t="shared" si="107"/>
        <v>1</v>
      </c>
      <c r="D6913" t="s">
        <v>196</v>
      </c>
      <c r="E6913">
        <v>4872571</v>
      </c>
      <c r="F6913" t="s">
        <v>8</v>
      </c>
      <c r="G6913" t="s">
        <v>203</v>
      </c>
      <c r="H6913" t="s">
        <v>237</v>
      </c>
      <c r="I6913" s="4">
        <v>125766.4408</v>
      </c>
      <c r="J6913" s="4">
        <v>628832.20400000003</v>
      </c>
      <c r="K6913" s="4">
        <v>-29211.486000000001</v>
      </c>
      <c r="L6913" s="4">
        <v>5</v>
      </c>
    </row>
    <row r="6914" spans="1:12">
      <c r="A6914" t="s">
        <v>264</v>
      </c>
      <c r="B6914" s="10">
        <v>45300</v>
      </c>
      <c r="C6914" s="18">
        <f t="shared" ref="C6914:C6977" si="108">MONTH(B6914)</f>
        <v>1</v>
      </c>
      <c r="D6914" t="s">
        <v>196</v>
      </c>
      <c r="E6914">
        <v>4872571</v>
      </c>
      <c r="F6914" t="s">
        <v>8</v>
      </c>
      <c r="G6914" t="s">
        <v>203</v>
      </c>
      <c r="H6914" t="s">
        <v>235</v>
      </c>
      <c r="I6914" s="4">
        <v>125766.4408</v>
      </c>
      <c r="J6914" s="4">
        <v>628832.20400000003</v>
      </c>
      <c r="K6914" s="4">
        <v>-29211.486000000001</v>
      </c>
      <c r="L6914" s="4">
        <v>5</v>
      </c>
    </row>
    <row r="6915" spans="1:12">
      <c r="A6915" t="s">
        <v>264</v>
      </c>
      <c r="B6915" s="10">
        <v>45300</v>
      </c>
      <c r="C6915" s="18">
        <f t="shared" si="108"/>
        <v>1</v>
      </c>
      <c r="D6915" t="s">
        <v>196</v>
      </c>
      <c r="E6915">
        <v>4873921</v>
      </c>
      <c r="F6915" t="s">
        <v>8</v>
      </c>
      <c r="G6915" t="s">
        <v>204</v>
      </c>
      <c r="H6915" t="s">
        <v>214</v>
      </c>
      <c r="I6915" s="4">
        <v>119484.4008</v>
      </c>
      <c r="J6915" s="4">
        <v>238968.80160000001</v>
      </c>
      <c r="K6915" s="4">
        <v>-11935.876</v>
      </c>
      <c r="L6915" s="4">
        <v>2</v>
      </c>
    </row>
    <row r="6916" spans="1:12">
      <c r="A6916" t="s">
        <v>264</v>
      </c>
      <c r="B6916" s="10">
        <v>45300</v>
      </c>
      <c r="C6916" s="18">
        <f t="shared" si="108"/>
        <v>1</v>
      </c>
      <c r="D6916" t="s">
        <v>196</v>
      </c>
      <c r="E6916">
        <v>4872160</v>
      </c>
      <c r="F6916" t="s">
        <v>8</v>
      </c>
      <c r="G6916" t="s">
        <v>203</v>
      </c>
      <c r="H6916" t="s">
        <v>245</v>
      </c>
      <c r="I6916" s="4">
        <v>100638.28079999999</v>
      </c>
      <c r="J6916" s="4">
        <v>1006382.808</v>
      </c>
      <c r="K6916" s="4">
        <v>-45230.688000000002</v>
      </c>
      <c r="L6916" s="4">
        <v>10</v>
      </c>
    </row>
    <row r="6917" spans="1:12">
      <c r="A6917" t="s">
        <v>264</v>
      </c>
      <c r="B6917" s="10">
        <v>45300</v>
      </c>
      <c r="C6917" s="18">
        <f t="shared" si="108"/>
        <v>1</v>
      </c>
      <c r="D6917" t="s">
        <v>196</v>
      </c>
      <c r="E6917">
        <v>4872160</v>
      </c>
      <c r="F6917" t="s">
        <v>8</v>
      </c>
      <c r="G6917" t="s">
        <v>203</v>
      </c>
      <c r="H6917" t="s">
        <v>243</v>
      </c>
      <c r="I6917" s="4">
        <v>100638.28079999999</v>
      </c>
      <c r="J6917" s="4">
        <v>1006382.808</v>
      </c>
      <c r="K6917" s="4">
        <v>-45230.688000000002</v>
      </c>
      <c r="L6917" s="4">
        <v>10</v>
      </c>
    </row>
    <row r="6918" spans="1:12">
      <c r="A6918" t="s">
        <v>264</v>
      </c>
      <c r="B6918" s="10">
        <v>45300</v>
      </c>
      <c r="C6918" s="18">
        <f t="shared" si="108"/>
        <v>1</v>
      </c>
      <c r="D6918" t="s">
        <v>196</v>
      </c>
      <c r="E6918">
        <v>4872160</v>
      </c>
      <c r="F6918" t="s">
        <v>8</v>
      </c>
      <c r="G6918" t="s">
        <v>203</v>
      </c>
      <c r="H6918" t="s">
        <v>242</v>
      </c>
      <c r="I6918" s="4">
        <v>100638.28079999999</v>
      </c>
      <c r="J6918" s="4">
        <v>1006382.808</v>
      </c>
      <c r="K6918" s="4">
        <v>-45230.688000000002</v>
      </c>
      <c r="L6918" s="4">
        <v>10</v>
      </c>
    </row>
    <row r="6919" spans="1:12">
      <c r="A6919" t="s">
        <v>264</v>
      </c>
      <c r="B6919" s="10">
        <v>45300</v>
      </c>
      <c r="C6919" s="18">
        <f t="shared" si="108"/>
        <v>1</v>
      </c>
      <c r="D6919" t="s">
        <v>196</v>
      </c>
      <c r="E6919">
        <v>4872160</v>
      </c>
      <c r="F6919" t="s">
        <v>8</v>
      </c>
      <c r="G6919" t="s">
        <v>203</v>
      </c>
      <c r="H6919" t="s">
        <v>238</v>
      </c>
      <c r="I6919" s="4">
        <v>95606.36675999999</v>
      </c>
      <c r="J6919" s="4">
        <v>956063.66759999993</v>
      </c>
      <c r="K6919" s="4">
        <v>-45230.688000000002</v>
      </c>
      <c r="L6919" s="4">
        <v>10</v>
      </c>
    </row>
    <row r="6920" spans="1:12">
      <c r="A6920" t="s">
        <v>264</v>
      </c>
      <c r="B6920" s="10">
        <v>45300</v>
      </c>
      <c r="C6920" s="18">
        <f t="shared" si="108"/>
        <v>1</v>
      </c>
      <c r="D6920" t="s">
        <v>196</v>
      </c>
      <c r="E6920">
        <v>4872160</v>
      </c>
      <c r="F6920" t="s">
        <v>8</v>
      </c>
      <c r="G6920" t="s">
        <v>203</v>
      </c>
      <c r="H6920" t="s">
        <v>236</v>
      </c>
      <c r="I6920" s="4">
        <v>100638.28079999999</v>
      </c>
      <c r="J6920" s="4">
        <v>1006382.808</v>
      </c>
      <c r="K6920" s="4">
        <v>-45230.688000000002</v>
      </c>
      <c r="L6920" s="4">
        <v>10</v>
      </c>
    </row>
    <row r="6921" spans="1:12">
      <c r="A6921" t="s">
        <v>264</v>
      </c>
      <c r="B6921" s="10">
        <v>45300</v>
      </c>
      <c r="C6921" s="18">
        <f t="shared" si="108"/>
        <v>1</v>
      </c>
      <c r="D6921" t="s">
        <v>196</v>
      </c>
      <c r="E6921">
        <v>4872160</v>
      </c>
      <c r="F6921" t="s">
        <v>8</v>
      </c>
      <c r="G6921" t="s">
        <v>203</v>
      </c>
      <c r="H6921" t="s">
        <v>234</v>
      </c>
      <c r="I6921" s="4">
        <v>100638.28079999999</v>
      </c>
      <c r="J6921" s="4">
        <v>1006382.808</v>
      </c>
      <c r="K6921" s="4">
        <v>-45230.688000000002</v>
      </c>
      <c r="L6921" s="4">
        <v>10</v>
      </c>
    </row>
    <row r="6922" spans="1:12">
      <c r="A6922" t="s">
        <v>264</v>
      </c>
      <c r="B6922" s="10">
        <v>45300</v>
      </c>
      <c r="C6922" s="18">
        <f t="shared" si="108"/>
        <v>1</v>
      </c>
      <c r="D6922" t="s">
        <v>196</v>
      </c>
      <c r="E6922">
        <v>4872160</v>
      </c>
      <c r="F6922" t="s">
        <v>8</v>
      </c>
      <c r="G6922" t="s">
        <v>203</v>
      </c>
      <c r="H6922" t="s">
        <v>244</v>
      </c>
      <c r="I6922" s="4">
        <v>125766.4408</v>
      </c>
      <c r="J6922" s="4">
        <v>628832.20400000003</v>
      </c>
      <c r="K6922" s="4">
        <v>-29211.486000000001</v>
      </c>
      <c r="L6922" s="4">
        <v>5</v>
      </c>
    </row>
    <row r="6923" spans="1:12">
      <c r="A6923" t="s">
        <v>264</v>
      </c>
      <c r="B6923" s="10">
        <v>45300</v>
      </c>
      <c r="C6923" s="18">
        <f t="shared" si="108"/>
        <v>1</v>
      </c>
      <c r="D6923" t="s">
        <v>196</v>
      </c>
      <c r="E6923">
        <v>4872160</v>
      </c>
      <c r="F6923" t="s">
        <v>8</v>
      </c>
      <c r="G6923" t="s">
        <v>203</v>
      </c>
      <c r="H6923" t="s">
        <v>241</v>
      </c>
      <c r="I6923" s="4">
        <v>125766.4408</v>
      </c>
      <c r="J6923" s="4">
        <v>628832.20400000003</v>
      </c>
      <c r="K6923" s="4">
        <v>-29211.486000000001</v>
      </c>
      <c r="L6923" s="4">
        <v>5</v>
      </c>
    </row>
    <row r="6924" spans="1:12">
      <c r="A6924" t="s">
        <v>264</v>
      </c>
      <c r="B6924" s="10">
        <v>45300</v>
      </c>
      <c r="C6924" s="18">
        <f t="shared" si="108"/>
        <v>1</v>
      </c>
      <c r="D6924" t="s">
        <v>196</v>
      </c>
      <c r="E6924">
        <v>4872160</v>
      </c>
      <c r="F6924" t="s">
        <v>8</v>
      </c>
      <c r="G6924" t="s">
        <v>203</v>
      </c>
      <c r="H6924" t="s">
        <v>239</v>
      </c>
      <c r="I6924" s="4">
        <v>125766.4408</v>
      </c>
      <c r="J6924" s="4">
        <v>628832.20400000003</v>
      </c>
      <c r="K6924" s="4">
        <v>-29211.486000000001</v>
      </c>
      <c r="L6924" s="4">
        <v>5</v>
      </c>
    </row>
    <row r="6925" spans="1:12">
      <c r="A6925" t="s">
        <v>264</v>
      </c>
      <c r="B6925" s="10">
        <v>45300</v>
      </c>
      <c r="C6925" s="18">
        <f t="shared" si="108"/>
        <v>1</v>
      </c>
      <c r="D6925" t="s">
        <v>196</v>
      </c>
      <c r="E6925">
        <v>4872160</v>
      </c>
      <c r="F6925" t="s">
        <v>8</v>
      </c>
      <c r="G6925" t="s">
        <v>203</v>
      </c>
      <c r="H6925" t="s">
        <v>235</v>
      </c>
      <c r="I6925" s="4">
        <v>125766.4408</v>
      </c>
      <c r="J6925" s="4">
        <v>628832.20400000003</v>
      </c>
      <c r="K6925" s="4">
        <v>-29211.486000000001</v>
      </c>
      <c r="L6925" s="4">
        <v>5</v>
      </c>
    </row>
    <row r="6926" spans="1:12">
      <c r="A6926" t="s">
        <v>264</v>
      </c>
      <c r="B6926" s="10">
        <v>45300</v>
      </c>
      <c r="C6926" s="18">
        <f t="shared" si="108"/>
        <v>1</v>
      </c>
      <c r="D6926" t="s">
        <v>196</v>
      </c>
      <c r="E6926">
        <v>4872160</v>
      </c>
      <c r="F6926" t="s">
        <v>8</v>
      </c>
      <c r="G6926" t="s">
        <v>203</v>
      </c>
      <c r="H6926" t="s">
        <v>233</v>
      </c>
      <c r="I6926" s="4">
        <v>120735.78316800001</v>
      </c>
      <c r="J6926" s="4">
        <v>603678.91584000003</v>
      </c>
      <c r="K6926" s="4">
        <v>-29211.486000000001</v>
      </c>
      <c r="L6926" s="4">
        <v>5</v>
      </c>
    </row>
    <row r="6927" spans="1:12">
      <c r="A6927" t="s">
        <v>264</v>
      </c>
      <c r="B6927" s="10">
        <v>45300</v>
      </c>
      <c r="C6927" s="18">
        <f t="shared" si="108"/>
        <v>1</v>
      </c>
      <c r="D6927" t="s">
        <v>196</v>
      </c>
      <c r="E6927">
        <v>4871657</v>
      </c>
      <c r="F6927" t="s">
        <v>8</v>
      </c>
      <c r="G6927" t="s">
        <v>203</v>
      </c>
      <c r="H6927" t="s">
        <v>242</v>
      </c>
      <c r="I6927" s="4">
        <v>100638.28079999999</v>
      </c>
      <c r="J6927" s="4">
        <v>402553.12319999997</v>
      </c>
      <c r="K6927" s="4">
        <v>-18092.2752</v>
      </c>
      <c r="L6927" s="4">
        <v>4</v>
      </c>
    </row>
    <row r="6928" spans="1:12">
      <c r="A6928" t="s">
        <v>264</v>
      </c>
      <c r="B6928" s="10">
        <v>45300</v>
      </c>
      <c r="C6928" s="18">
        <f t="shared" si="108"/>
        <v>1</v>
      </c>
      <c r="D6928" t="s">
        <v>196</v>
      </c>
      <c r="E6928">
        <v>4871657</v>
      </c>
      <c r="F6928" t="s">
        <v>8</v>
      </c>
      <c r="G6928" t="s">
        <v>203</v>
      </c>
      <c r="H6928" t="s">
        <v>240</v>
      </c>
      <c r="I6928" s="4">
        <v>100638.28079999999</v>
      </c>
      <c r="J6928" s="4">
        <v>402553.12319999997</v>
      </c>
      <c r="K6928" s="4">
        <v>-18092.2752</v>
      </c>
      <c r="L6928" s="4">
        <v>4</v>
      </c>
    </row>
    <row r="6929" spans="1:12">
      <c r="A6929" t="s">
        <v>264</v>
      </c>
      <c r="B6929" s="10">
        <v>45300</v>
      </c>
      <c r="C6929" s="18">
        <f t="shared" si="108"/>
        <v>1</v>
      </c>
      <c r="D6929" t="s">
        <v>196</v>
      </c>
      <c r="E6929">
        <v>4874586</v>
      </c>
      <c r="F6929" t="s">
        <v>8</v>
      </c>
      <c r="G6929" t="s">
        <v>203</v>
      </c>
      <c r="H6929" t="s">
        <v>245</v>
      </c>
      <c r="I6929" s="4">
        <v>100638.28079999999</v>
      </c>
      <c r="J6929" s="4">
        <v>1006382.808</v>
      </c>
      <c r="K6929" s="4">
        <v>-45230.688000000002</v>
      </c>
      <c r="L6929" s="4">
        <v>10</v>
      </c>
    </row>
    <row r="6930" spans="1:12">
      <c r="A6930" t="s">
        <v>264</v>
      </c>
      <c r="B6930" s="10">
        <v>45300</v>
      </c>
      <c r="C6930" s="18">
        <f t="shared" si="108"/>
        <v>1</v>
      </c>
      <c r="D6930" t="s">
        <v>196</v>
      </c>
      <c r="E6930">
        <v>4874586</v>
      </c>
      <c r="F6930" t="s">
        <v>8</v>
      </c>
      <c r="G6930" t="s">
        <v>203</v>
      </c>
      <c r="H6930" t="s">
        <v>243</v>
      </c>
      <c r="I6930" s="4">
        <v>100638.28079999999</v>
      </c>
      <c r="J6930" s="4">
        <v>402553.12319999997</v>
      </c>
      <c r="K6930" s="4">
        <v>-18092.2752</v>
      </c>
      <c r="L6930" s="4">
        <v>4</v>
      </c>
    </row>
    <row r="6931" spans="1:12">
      <c r="A6931" t="s">
        <v>264</v>
      </c>
      <c r="B6931" s="10">
        <v>45300</v>
      </c>
      <c r="C6931" s="18">
        <f t="shared" si="108"/>
        <v>1</v>
      </c>
      <c r="D6931" t="s">
        <v>196</v>
      </c>
      <c r="E6931">
        <v>4874586</v>
      </c>
      <c r="F6931" t="s">
        <v>8</v>
      </c>
      <c r="G6931" t="s">
        <v>203</v>
      </c>
      <c r="H6931" t="s">
        <v>242</v>
      </c>
      <c r="I6931" s="4">
        <v>100638.28079999999</v>
      </c>
      <c r="J6931" s="4">
        <v>1006382.808</v>
      </c>
      <c r="K6931" s="4">
        <v>-45230.688000000002</v>
      </c>
      <c r="L6931" s="4">
        <v>10</v>
      </c>
    </row>
    <row r="6932" spans="1:12">
      <c r="A6932" t="s">
        <v>264</v>
      </c>
      <c r="B6932" s="10">
        <v>45300</v>
      </c>
      <c r="C6932" s="18">
        <f t="shared" si="108"/>
        <v>1</v>
      </c>
      <c r="D6932" t="s">
        <v>196</v>
      </c>
      <c r="E6932">
        <v>4874586</v>
      </c>
      <c r="F6932" t="s">
        <v>8</v>
      </c>
      <c r="G6932" t="s">
        <v>203</v>
      </c>
      <c r="H6932" t="s">
        <v>240</v>
      </c>
      <c r="I6932" s="4">
        <v>100638.28079999999</v>
      </c>
      <c r="J6932" s="4">
        <v>402553.12319999997</v>
      </c>
      <c r="K6932" s="4">
        <v>-18092.2752</v>
      </c>
      <c r="L6932" s="4">
        <v>4</v>
      </c>
    </row>
    <row r="6933" spans="1:12">
      <c r="A6933" t="s">
        <v>264</v>
      </c>
      <c r="B6933" s="10">
        <v>45300</v>
      </c>
      <c r="C6933" s="18">
        <f t="shared" si="108"/>
        <v>1</v>
      </c>
      <c r="D6933" t="s">
        <v>196</v>
      </c>
      <c r="E6933">
        <v>4874586</v>
      </c>
      <c r="F6933" t="s">
        <v>8</v>
      </c>
      <c r="G6933" t="s">
        <v>203</v>
      </c>
      <c r="H6933" t="s">
        <v>238</v>
      </c>
      <c r="I6933" s="4">
        <v>95606.36675999999</v>
      </c>
      <c r="J6933" s="4">
        <v>382425.46703999996</v>
      </c>
      <c r="K6933" s="4">
        <v>-18092.2752</v>
      </c>
      <c r="L6933" s="4">
        <v>4</v>
      </c>
    </row>
    <row r="6934" spans="1:12">
      <c r="A6934" t="s">
        <v>264</v>
      </c>
      <c r="B6934" s="10">
        <v>45300</v>
      </c>
      <c r="C6934" s="18">
        <f t="shared" si="108"/>
        <v>1</v>
      </c>
      <c r="D6934" t="s">
        <v>196</v>
      </c>
      <c r="E6934">
        <v>4874586</v>
      </c>
      <c r="F6934" t="s">
        <v>8</v>
      </c>
      <c r="G6934" t="s">
        <v>203</v>
      </c>
      <c r="H6934" t="s">
        <v>236</v>
      </c>
      <c r="I6934" s="4">
        <v>100638.28079999999</v>
      </c>
      <c r="J6934" s="4">
        <v>1006382.808</v>
      </c>
      <c r="K6934" s="4">
        <v>-45230.688000000002</v>
      </c>
      <c r="L6934" s="4">
        <v>10</v>
      </c>
    </row>
    <row r="6935" spans="1:12">
      <c r="A6935" t="s">
        <v>264</v>
      </c>
      <c r="B6935" s="10">
        <v>45300</v>
      </c>
      <c r="C6935" s="18">
        <f t="shared" si="108"/>
        <v>1</v>
      </c>
      <c r="D6935" t="s">
        <v>196</v>
      </c>
      <c r="E6935">
        <v>4874586</v>
      </c>
      <c r="F6935" t="s">
        <v>8</v>
      </c>
      <c r="G6935" t="s">
        <v>203</v>
      </c>
      <c r="H6935" t="s">
        <v>234</v>
      </c>
      <c r="I6935" s="4">
        <v>100638.28079999999</v>
      </c>
      <c r="J6935" s="4">
        <v>2012765.6159999999</v>
      </c>
      <c r="K6935" s="4">
        <v>-90461.376000000004</v>
      </c>
      <c r="L6935" s="4">
        <v>20</v>
      </c>
    </row>
    <row r="6936" spans="1:12">
      <c r="A6936" t="s">
        <v>264</v>
      </c>
      <c r="B6936" s="10">
        <v>45300</v>
      </c>
      <c r="C6936" s="18">
        <f t="shared" si="108"/>
        <v>1</v>
      </c>
      <c r="D6936" t="s">
        <v>196</v>
      </c>
      <c r="E6936">
        <v>4874586</v>
      </c>
      <c r="F6936" t="s">
        <v>8</v>
      </c>
      <c r="G6936" t="s">
        <v>203</v>
      </c>
      <c r="H6936" t="s">
        <v>227</v>
      </c>
      <c r="I6936" s="4">
        <v>100638.28079999999</v>
      </c>
      <c r="J6936" s="4">
        <v>2012765.6159999999</v>
      </c>
      <c r="K6936" s="4">
        <v>-90461.376000000004</v>
      </c>
      <c r="L6936" s="4">
        <v>20</v>
      </c>
    </row>
    <row r="6937" spans="1:12">
      <c r="A6937" t="s">
        <v>264</v>
      </c>
      <c r="B6937" s="10">
        <v>45300</v>
      </c>
      <c r="C6937" s="18">
        <f t="shared" si="108"/>
        <v>1</v>
      </c>
      <c r="D6937" t="s">
        <v>196</v>
      </c>
      <c r="E6937">
        <v>4874586</v>
      </c>
      <c r="F6937" t="s">
        <v>8</v>
      </c>
      <c r="G6937" t="s">
        <v>203</v>
      </c>
      <c r="H6937" t="s">
        <v>225</v>
      </c>
      <c r="I6937" s="4">
        <v>100638.28079999999</v>
      </c>
      <c r="J6937" s="4">
        <v>4629360.9167999998</v>
      </c>
      <c r="K6937" s="4">
        <v>-208061.16479999997</v>
      </c>
      <c r="L6937" s="4">
        <v>46</v>
      </c>
    </row>
    <row r="6938" spans="1:12">
      <c r="A6938" t="s">
        <v>264</v>
      </c>
      <c r="B6938" s="10">
        <v>45300</v>
      </c>
      <c r="C6938" s="18">
        <f t="shared" si="108"/>
        <v>1</v>
      </c>
      <c r="D6938" t="s">
        <v>196</v>
      </c>
      <c r="E6938">
        <v>4874586</v>
      </c>
      <c r="F6938" t="s">
        <v>8</v>
      </c>
      <c r="G6938" t="s">
        <v>203</v>
      </c>
      <c r="H6938" t="s">
        <v>222</v>
      </c>
      <c r="I6938" s="4">
        <v>100638.28079999999</v>
      </c>
      <c r="J6938" s="4">
        <v>4025531.2319999998</v>
      </c>
      <c r="K6938" s="4">
        <v>-180922.75200000001</v>
      </c>
      <c r="L6938" s="4">
        <v>40</v>
      </c>
    </row>
    <row r="6939" spans="1:12">
      <c r="A6939" t="s">
        <v>264</v>
      </c>
      <c r="B6939" s="10">
        <v>45300</v>
      </c>
      <c r="C6939" s="18">
        <f t="shared" si="108"/>
        <v>1</v>
      </c>
      <c r="D6939" t="s">
        <v>196</v>
      </c>
      <c r="E6939">
        <v>4875440</v>
      </c>
      <c r="F6939" t="s">
        <v>8</v>
      </c>
      <c r="G6939" t="s">
        <v>205</v>
      </c>
      <c r="H6939" t="s">
        <v>246</v>
      </c>
      <c r="I6939" s="4">
        <v>5967.9380000000001</v>
      </c>
      <c r="J6939" s="4">
        <v>119358.76000000001</v>
      </c>
      <c r="K6939" s="4">
        <v>-6282.04</v>
      </c>
      <c r="L6939" s="4">
        <v>20</v>
      </c>
    </row>
    <row r="6940" spans="1:12">
      <c r="A6940" t="s">
        <v>264</v>
      </c>
      <c r="B6940" s="10">
        <v>45300</v>
      </c>
      <c r="C6940" s="18">
        <f t="shared" si="108"/>
        <v>1</v>
      </c>
      <c r="D6940" t="s">
        <v>196</v>
      </c>
      <c r="E6940">
        <v>4875440</v>
      </c>
      <c r="F6940" t="s">
        <v>8</v>
      </c>
      <c r="G6940" t="s">
        <v>205</v>
      </c>
      <c r="H6940" t="s">
        <v>247</v>
      </c>
      <c r="I6940" s="4">
        <v>8355.1131999999998</v>
      </c>
      <c r="J6940" s="4">
        <v>167102.264</v>
      </c>
      <c r="K6940" s="4">
        <v>-8794.8559999999998</v>
      </c>
      <c r="L6940" s="4">
        <v>20</v>
      </c>
    </row>
    <row r="6941" spans="1:12">
      <c r="A6941" t="s">
        <v>264</v>
      </c>
      <c r="B6941" s="10">
        <v>45300</v>
      </c>
      <c r="C6941" s="18">
        <f t="shared" si="108"/>
        <v>1</v>
      </c>
      <c r="D6941" t="s">
        <v>196</v>
      </c>
      <c r="E6941">
        <v>4872203</v>
      </c>
      <c r="F6941" t="s">
        <v>8</v>
      </c>
      <c r="G6941" t="s">
        <v>203</v>
      </c>
      <c r="H6941" t="s">
        <v>226</v>
      </c>
      <c r="I6941" s="4">
        <v>100638.28079999999</v>
      </c>
      <c r="J6941" s="4">
        <v>3019148.4239999996</v>
      </c>
      <c r="K6941" s="4">
        <v>-135692.06400000001</v>
      </c>
      <c r="L6941" s="4">
        <v>30</v>
      </c>
    </row>
    <row r="6942" spans="1:12">
      <c r="A6942" t="s">
        <v>264</v>
      </c>
      <c r="B6942" s="10">
        <v>45300</v>
      </c>
      <c r="C6942" s="18">
        <f t="shared" si="108"/>
        <v>1</v>
      </c>
      <c r="D6942" t="s">
        <v>196</v>
      </c>
      <c r="E6942">
        <v>4872203</v>
      </c>
      <c r="F6942" t="s">
        <v>8</v>
      </c>
      <c r="G6942" t="s">
        <v>203</v>
      </c>
      <c r="H6942" t="s">
        <v>224</v>
      </c>
      <c r="I6942" s="4">
        <v>100638.28079999999</v>
      </c>
      <c r="J6942" s="4">
        <v>3019148.4239999996</v>
      </c>
      <c r="K6942" s="4">
        <v>-135692.06400000001</v>
      </c>
      <c r="L6942" s="4">
        <v>30</v>
      </c>
    </row>
    <row r="6943" spans="1:12">
      <c r="A6943" t="s">
        <v>264</v>
      </c>
      <c r="B6943" s="10">
        <v>45300</v>
      </c>
      <c r="C6943" s="18">
        <f t="shared" si="108"/>
        <v>1</v>
      </c>
      <c r="D6943" t="s">
        <v>196</v>
      </c>
      <c r="E6943">
        <v>4872203</v>
      </c>
      <c r="F6943" t="s">
        <v>8</v>
      </c>
      <c r="G6943" t="s">
        <v>203</v>
      </c>
      <c r="H6943" t="s">
        <v>235</v>
      </c>
      <c r="I6943" s="4">
        <v>125766.4408</v>
      </c>
      <c r="J6943" s="4">
        <v>3772993.2239999999</v>
      </c>
      <c r="K6943" s="4">
        <v>-175268.916</v>
      </c>
      <c r="L6943" s="4">
        <v>30</v>
      </c>
    </row>
    <row r="6944" spans="1:12">
      <c r="A6944" t="s">
        <v>264</v>
      </c>
      <c r="B6944" s="10">
        <v>45300</v>
      </c>
      <c r="C6944" s="18">
        <f t="shared" si="108"/>
        <v>1</v>
      </c>
      <c r="D6944" t="s">
        <v>196</v>
      </c>
      <c r="E6944">
        <v>4872203</v>
      </c>
      <c r="F6944" t="s">
        <v>8</v>
      </c>
      <c r="G6944" t="s">
        <v>203</v>
      </c>
      <c r="H6944" t="s">
        <v>231</v>
      </c>
      <c r="I6944" s="4">
        <v>125766.4408</v>
      </c>
      <c r="J6944" s="4">
        <v>2515328.8160000001</v>
      </c>
      <c r="K6944" s="4">
        <v>-116845.944</v>
      </c>
      <c r="L6944" s="4">
        <v>20</v>
      </c>
    </row>
    <row r="6945" spans="1:12">
      <c r="A6945" t="s">
        <v>264</v>
      </c>
      <c r="B6945" s="10">
        <v>45301</v>
      </c>
      <c r="C6945" s="18">
        <f t="shared" si="108"/>
        <v>1</v>
      </c>
      <c r="D6945" t="s">
        <v>196</v>
      </c>
      <c r="E6945">
        <v>4879074</v>
      </c>
      <c r="F6945" t="s">
        <v>8</v>
      </c>
      <c r="G6945" t="s">
        <v>203</v>
      </c>
      <c r="H6945" t="s">
        <v>232</v>
      </c>
      <c r="I6945" s="4">
        <v>100638.28079999999</v>
      </c>
      <c r="J6945" s="4">
        <v>402553.12319999997</v>
      </c>
      <c r="K6945" s="4">
        <v>-18092.2752</v>
      </c>
      <c r="L6945" s="4">
        <v>4</v>
      </c>
    </row>
    <row r="6946" spans="1:12">
      <c r="A6946" t="s">
        <v>264</v>
      </c>
      <c r="B6946" s="10">
        <v>45301</v>
      </c>
      <c r="C6946" s="18">
        <f t="shared" si="108"/>
        <v>1</v>
      </c>
      <c r="D6946" t="s">
        <v>196</v>
      </c>
      <c r="E6946">
        <v>4879074</v>
      </c>
      <c r="F6946" t="s">
        <v>8</v>
      </c>
      <c r="G6946" t="s">
        <v>203</v>
      </c>
      <c r="H6946" t="s">
        <v>228</v>
      </c>
      <c r="I6946" s="4">
        <v>100638.28079999999</v>
      </c>
      <c r="J6946" s="4">
        <v>402553.12319999997</v>
      </c>
      <c r="K6946" s="4">
        <v>-18092.2752</v>
      </c>
      <c r="L6946" s="4">
        <v>4</v>
      </c>
    </row>
    <row r="6947" spans="1:12">
      <c r="A6947" t="s">
        <v>264</v>
      </c>
      <c r="B6947" s="10">
        <v>45301</v>
      </c>
      <c r="C6947" s="18">
        <f t="shared" si="108"/>
        <v>1</v>
      </c>
      <c r="D6947" t="s">
        <v>196</v>
      </c>
      <c r="E6947">
        <v>4879074</v>
      </c>
      <c r="F6947" t="s">
        <v>8</v>
      </c>
      <c r="G6947" t="s">
        <v>203</v>
      </c>
      <c r="H6947" t="s">
        <v>235</v>
      </c>
      <c r="I6947" s="4">
        <v>125766.4408</v>
      </c>
      <c r="J6947" s="4">
        <v>503065.76319999999</v>
      </c>
      <c r="K6947" s="4">
        <v>-23369.1888</v>
      </c>
      <c r="L6947" s="4">
        <v>4</v>
      </c>
    </row>
    <row r="6948" spans="1:12">
      <c r="A6948" t="s">
        <v>264</v>
      </c>
      <c r="B6948" s="10">
        <v>45301</v>
      </c>
      <c r="C6948" s="18">
        <f t="shared" si="108"/>
        <v>1</v>
      </c>
      <c r="D6948" t="s">
        <v>196</v>
      </c>
      <c r="E6948">
        <v>4879074</v>
      </c>
      <c r="F6948" t="s">
        <v>8</v>
      </c>
      <c r="G6948" t="s">
        <v>203</v>
      </c>
      <c r="H6948" t="s">
        <v>233</v>
      </c>
      <c r="I6948" s="4">
        <v>120735.78316800001</v>
      </c>
      <c r="J6948" s="4">
        <v>482943.13267200004</v>
      </c>
      <c r="K6948" s="4">
        <v>-23369.1888</v>
      </c>
      <c r="L6948" s="4">
        <v>4</v>
      </c>
    </row>
    <row r="6949" spans="1:12">
      <c r="A6949" t="s">
        <v>264</v>
      </c>
      <c r="B6949" s="10">
        <v>45301</v>
      </c>
      <c r="C6949" s="18">
        <f t="shared" si="108"/>
        <v>1</v>
      </c>
      <c r="D6949" t="s">
        <v>196</v>
      </c>
      <c r="E6949">
        <v>4876950</v>
      </c>
      <c r="F6949" t="s">
        <v>8</v>
      </c>
      <c r="G6949" t="s">
        <v>202</v>
      </c>
      <c r="H6949" t="s">
        <v>260</v>
      </c>
      <c r="I6949" s="4">
        <v>41587.104800000001</v>
      </c>
      <c r="J6949" s="4">
        <v>1081264.7248</v>
      </c>
      <c r="K6949" s="4">
        <v>-53899.903200000001</v>
      </c>
      <c r="L6949" s="4">
        <v>26</v>
      </c>
    </row>
    <row r="6950" spans="1:12">
      <c r="A6950" t="s">
        <v>264</v>
      </c>
      <c r="B6950" s="10">
        <v>45301</v>
      </c>
      <c r="C6950" s="18">
        <f t="shared" si="108"/>
        <v>1</v>
      </c>
      <c r="D6950" t="s">
        <v>196</v>
      </c>
      <c r="E6950">
        <v>4878825</v>
      </c>
      <c r="F6950" t="s">
        <v>8</v>
      </c>
      <c r="G6950" t="s">
        <v>206</v>
      </c>
      <c r="H6950" t="s">
        <v>248</v>
      </c>
      <c r="I6950" s="4">
        <v>16207.663200000001</v>
      </c>
      <c r="J6950" s="4">
        <v>1620766.32</v>
      </c>
      <c r="K6950" s="4">
        <v>-84807.54</v>
      </c>
      <c r="L6950" s="4">
        <v>100</v>
      </c>
    </row>
    <row r="6951" spans="1:12">
      <c r="A6951" t="s">
        <v>264</v>
      </c>
      <c r="B6951" s="10">
        <v>45301</v>
      </c>
      <c r="C6951" s="18">
        <f t="shared" si="108"/>
        <v>1</v>
      </c>
      <c r="D6951" t="s">
        <v>196</v>
      </c>
      <c r="E6951">
        <v>4878825</v>
      </c>
      <c r="F6951" t="s">
        <v>8</v>
      </c>
      <c r="G6951" t="s">
        <v>206</v>
      </c>
      <c r="H6951" t="s">
        <v>250</v>
      </c>
      <c r="I6951" s="4">
        <v>17715.352800000001</v>
      </c>
      <c r="J6951" s="4">
        <v>1771535.28</v>
      </c>
      <c r="K6951" s="4">
        <v>-87948.56</v>
      </c>
      <c r="L6951" s="4">
        <v>100</v>
      </c>
    </row>
    <row r="6952" spans="1:12">
      <c r="A6952" t="s">
        <v>264</v>
      </c>
      <c r="B6952" s="10">
        <v>45301</v>
      </c>
      <c r="C6952" s="18">
        <f t="shared" si="108"/>
        <v>1</v>
      </c>
      <c r="D6952" t="s">
        <v>196</v>
      </c>
      <c r="E6952">
        <v>4878825</v>
      </c>
      <c r="F6952" t="s">
        <v>8</v>
      </c>
      <c r="G6952" t="s">
        <v>206</v>
      </c>
      <c r="H6952" t="s">
        <v>249</v>
      </c>
      <c r="I6952" s="4">
        <v>17715.352800000001</v>
      </c>
      <c r="J6952" s="4">
        <v>1771535.28</v>
      </c>
      <c r="K6952" s="4">
        <v>-87948.56</v>
      </c>
      <c r="L6952" s="4">
        <v>100</v>
      </c>
    </row>
    <row r="6953" spans="1:12">
      <c r="A6953" t="s">
        <v>264</v>
      </c>
      <c r="B6953" s="10">
        <v>45301</v>
      </c>
      <c r="C6953" s="18">
        <f t="shared" si="108"/>
        <v>1</v>
      </c>
      <c r="D6953" t="s">
        <v>196</v>
      </c>
      <c r="E6953">
        <v>4878825</v>
      </c>
      <c r="F6953" t="s">
        <v>8</v>
      </c>
      <c r="G6953" t="s">
        <v>206</v>
      </c>
      <c r="H6953" t="s">
        <v>209</v>
      </c>
      <c r="I6953" s="4">
        <v>17715.352800000001</v>
      </c>
      <c r="J6953" s="4">
        <v>1771535.28</v>
      </c>
      <c r="K6953" s="4">
        <v>-87948.56</v>
      </c>
      <c r="L6953" s="4">
        <v>100</v>
      </c>
    </row>
    <row r="6954" spans="1:12">
      <c r="A6954" t="s">
        <v>264</v>
      </c>
      <c r="B6954" s="10">
        <v>45301</v>
      </c>
      <c r="C6954" s="18">
        <f t="shared" si="108"/>
        <v>1</v>
      </c>
      <c r="D6954" t="s">
        <v>196</v>
      </c>
      <c r="E6954">
        <v>4878825</v>
      </c>
      <c r="F6954" t="s">
        <v>8</v>
      </c>
      <c r="G6954" t="s">
        <v>206</v>
      </c>
      <c r="H6954" t="s">
        <v>252</v>
      </c>
      <c r="I6954" s="4">
        <v>20102.528000000002</v>
      </c>
      <c r="J6954" s="4">
        <v>2010252.8000000003</v>
      </c>
      <c r="K6954" s="4">
        <v>-100512.64</v>
      </c>
      <c r="L6954" s="4">
        <v>100</v>
      </c>
    </row>
    <row r="6955" spans="1:12">
      <c r="A6955" t="s">
        <v>264</v>
      </c>
      <c r="B6955" s="10">
        <v>45301</v>
      </c>
      <c r="C6955" s="18">
        <f t="shared" si="108"/>
        <v>1</v>
      </c>
      <c r="D6955" t="s">
        <v>196</v>
      </c>
      <c r="E6955">
        <v>4878825</v>
      </c>
      <c r="F6955" t="s">
        <v>8</v>
      </c>
      <c r="G6955" t="s">
        <v>206</v>
      </c>
      <c r="H6955" t="s">
        <v>251</v>
      </c>
      <c r="I6955" s="4">
        <v>19223.042399999998</v>
      </c>
      <c r="J6955" s="4">
        <v>1922304.2399999998</v>
      </c>
      <c r="K6955" s="4">
        <v>-100512.64</v>
      </c>
      <c r="L6955" s="4">
        <v>100</v>
      </c>
    </row>
    <row r="6956" spans="1:12">
      <c r="A6956" t="s">
        <v>264</v>
      </c>
      <c r="B6956" s="10">
        <v>45301</v>
      </c>
      <c r="C6956" s="18">
        <f t="shared" si="108"/>
        <v>1</v>
      </c>
      <c r="D6956" t="s">
        <v>196</v>
      </c>
      <c r="E6956">
        <v>4872203</v>
      </c>
      <c r="F6956" t="s">
        <v>8</v>
      </c>
      <c r="G6956" t="s">
        <v>204</v>
      </c>
      <c r="H6956" t="s">
        <v>219</v>
      </c>
      <c r="I6956" s="4">
        <v>44099.9208</v>
      </c>
      <c r="J6956" s="4">
        <v>4409992.08</v>
      </c>
      <c r="K6956" s="4">
        <v>-219871.4</v>
      </c>
      <c r="L6956" s="4">
        <v>100</v>
      </c>
    </row>
    <row r="6957" spans="1:12">
      <c r="A6957" t="s">
        <v>264</v>
      </c>
      <c r="B6957" s="10">
        <v>45301</v>
      </c>
      <c r="C6957" s="18">
        <f t="shared" si="108"/>
        <v>1</v>
      </c>
      <c r="D6957" t="s">
        <v>196</v>
      </c>
      <c r="E6957">
        <v>4872203</v>
      </c>
      <c r="F6957" t="s">
        <v>8</v>
      </c>
      <c r="G6957" t="s">
        <v>204</v>
      </c>
      <c r="H6957" t="s">
        <v>217</v>
      </c>
      <c r="I6957" s="4">
        <v>78022.936799999996</v>
      </c>
      <c r="J6957" s="4">
        <v>7802293.6799999997</v>
      </c>
      <c r="K6957" s="4">
        <v>-389486.48</v>
      </c>
      <c r="L6957" s="4">
        <v>100</v>
      </c>
    </row>
    <row r="6958" spans="1:12">
      <c r="A6958" t="s">
        <v>264</v>
      </c>
      <c r="B6958" s="10">
        <v>45301</v>
      </c>
      <c r="C6958" s="18">
        <f t="shared" si="108"/>
        <v>1</v>
      </c>
      <c r="D6958" t="s">
        <v>196</v>
      </c>
      <c r="E6958">
        <v>4872203</v>
      </c>
      <c r="F6958" t="s">
        <v>8</v>
      </c>
      <c r="G6958" t="s">
        <v>204</v>
      </c>
      <c r="H6958" t="s">
        <v>216</v>
      </c>
      <c r="I6958" s="4">
        <v>113202.36079999999</v>
      </c>
      <c r="J6958" s="4">
        <v>3396070.824</v>
      </c>
      <c r="K6958" s="4">
        <v>-182807.364</v>
      </c>
      <c r="L6958" s="4">
        <v>30</v>
      </c>
    </row>
    <row r="6959" spans="1:12">
      <c r="A6959" t="s">
        <v>264</v>
      </c>
      <c r="B6959" s="10">
        <v>45301</v>
      </c>
      <c r="C6959" s="18">
        <f t="shared" si="108"/>
        <v>1</v>
      </c>
      <c r="D6959" t="s">
        <v>196</v>
      </c>
      <c r="E6959">
        <v>4872203</v>
      </c>
      <c r="F6959" t="s">
        <v>8</v>
      </c>
      <c r="G6959" t="s">
        <v>204</v>
      </c>
      <c r="H6959" t="s">
        <v>215</v>
      </c>
      <c r="I6959" s="4">
        <v>75510.12079999999</v>
      </c>
      <c r="J6959" s="4">
        <v>3775506.0399999996</v>
      </c>
      <c r="K6959" s="4">
        <v>-219871.4</v>
      </c>
      <c r="L6959" s="4">
        <v>50</v>
      </c>
    </row>
    <row r="6960" spans="1:12">
      <c r="A6960" t="s">
        <v>264</v>
      </c>
      <c r="B6960" s="10">
        <v>45301</v>
      </c>
      <c r="C6960" s="18">
        <f t="shared" si="108"/>
        <v>1</v>
      </c>
      <c r="D6960" t="s">
        <v>196</v>
      </c>
      <c r="E6960">
        <v>4872203</v>
      </c>
      <c r="F6960" t="s">
        <v>8</v>
      </c>
      <c r="G6960" t="s">
        <v>204</v>
      </c>
      <c r="H6960" t="s">
        <v>221</v>
      </c>
      <c r="I6960" s="4">
        <v>25253.800799999997</v>
      </c>
      <c r="J6960" s="4">
        <v>5050760.1599999992</v>
      </c>
      <c r="K6960" s="4">
        <v>-251281.6</v>
      </c>
      <c r="L6960" s="4">
        <v>200</v>
      </c>
    </row>
    <row r="6961" spans="1:12">
      <c r="A6961" t="s">
        <v>264</v>
      </c>
      <c r="B6961" s="10">
        <v>45301</v>
      </c>
      <c r="C6961" s="18">
        <f t="shared" si="108"/>
        <v>1</v>
      </c>
      <c r="D6961" t="s">
        <v>196</v>
      </c>
      <c r="E6961">
        <v>4872203</v>
      </c>
      <c r="F6961" t="s">
        <v>8</v>
      </c>
      <c r="G6961" t="s">
        <v>204</v>
      </c>
      <c r="H6961" t="s">
        <v>212</v>
      </c>
      <c r="I6961" s="4">
        <v>62946.040799999995</v>
      </c>
      <c r="J6961" s="4">
        <v>12589208.159999998</v>
      </c>
      <c r="K6961" s="4">
        <v>-376922.4</v>
      </c>
      <c r="L6961" s="4">
        <v>200</v>
      </c>
    </row>
    <row r="6962" spans="1:12">
      <c r="A6962" t="s">
        <v>264</v>
      </c>
      <c r="B6962" s="10">
        <v>45301</v>
      </c>
      <c r="C6962" s="18">
        <f t="shared" si="108"/>
        <v>1</v>
      </c>
      <c r="D6962" t="s">
        <v>196</v>
      </c>
      <c r="E6962">
        <v>4875372</v>
      </c>
      <c r="F6962" t="s">
        <v>8</v>
      </c>
      <c r="G6962" t="s">
        <v>202</v>
      </c>
      <c r="H6962" t="s">
        <v>259</v>
      </c>
      <c r="I6962" s="4">
        <v>30279.432800000002</v>
      </c>
      <c r="J6962" s="4">
        <v>3027943.2800000003</v>
      </c>
      <c r="K6962" s="4">
        <v>-150768.95999999999</v>
      </c>
      <c r="L6962" s="4">
        <v>100</v>
      </c>
    </row>
    <row r="6963" spans="1:12">
      <c r="A6963" t="s">
        <v>264</v>
      </c>
      <c r="B6963" s="10">
        <v>45302</v>
      </c>
      <c r="C6963" s="18">
        <f t="shared" si="108"/>
        <v>1</v>
      </c>
      <c r="D6963" t="s">
        <v>196</v>
      </c>
      <c r="E6963">
        <v>4871600</v>
      </c>
      <c r="F6963" t="s">
        <v>8</v>
      </c>
      <c r="G6963" t="s">
        <v>204</v>
      </c>
      <c r="H6963" t="s">
        <v>221</v>
      </c>
      <c r="I6963" s="4">
        <v>25253.800799999997</v>
      </c>
      <c r="J6963" s="4">
        <v>50507.601599999995</v>
      </c>
      <c r="K6963" s="4">
        <v>-2512.8160000000003</v>
      </c>
      <c r="L6963" s="4">
        <v>2</v>
      </c>
    </row>
    <row r="6964" spans="1:12">
      <c r="A6964" t="s">
        <v>264</v>
      </c>
      <c r="B6964" s="10">
        <v>45302</v>
      </c>
      <c r="C6964" s="18">
        <f t="shared" si="108"/>
        <v>1</v>
      </c>
      <c r="D6964" t="s">
        <v>196</v>
      </c>
      <c r="E6964">
        <v>4878874</v>
      </c>
      <c r="F6964" t="s">
        <v>8</v>
      </c>
      <c r="G6964" t="s">
        <v>206</v>
      </c>
      <c r="H6964" t="s">
        <v>249</v>
      </c>
      <c r="I6964" s="4">
        <v>17715.352800000001</v>
      </c>
      <c r="J6964" s="4">
        <v>3543070.56</v>
      </c>
      <c r="K6964" s="4">
        <v>-175897.12</v>
      </c>
      <c r="L6964" s="4">
        <v>200</v>
      </c>
    </row>
    <row r="6965" spans="1:12">
      <c r="A6965" t="s">
        <v>264</v>
      </c>
      <c r="B6965" s="10">
        <v>45302</v>
      </c>
      <c r="C6965" s="18">
        <f t="shared" si="108"/>
        <v>1</v>
      </c>
      <c r="D6965" t="s">
        <v>196</v>
      </c>
      <c r="E6965">
        <v>4872068</v>
      </c>
      <c r="F6965" t="s">
        <v>8</v>
      </c>
      <c r="G6965" t="s">
        <v>203</v>
      </c>
      <c r="H6965" t="s">
        <v>224</v>
      </c>
      <c r="I6965" s="4">
        <v>100638.28079999999</v>
      </c>
      <c r="J6965" s="4">
        <v>2012765.6159999999</v>
      </c>
      <c r="K6965" s="4">
        <v>-90461.376000000004</v>
      </c>
      <c r="L6965" s="4">
        <v>20</v>
      </c>
    </row>
    <row r="6966" spans="1:12">
      <c r="A6966" t="s">
        <v>264</v>
      </c>
      <c r="B6966" s="10">
        <v>45302</v>
      </c>
      <c r="C6966" s="18">
        <f t="shared" si="108"/>
        <v>1</v>
      </c>
      <c r="D6966" t="s">
        <v>196</v>
      </c>
      <c r="E6966">
        <v>4872068</v>
      </c>
      <c r="F6966" t="s">
        <v>8</v>
      </c>
      <c r="G6966" t="s">
        <v>203</v>
      </c>
      <c r="H6966" t="s">
        <v>223</v>
      </c>
      <c r="I6966" s="4">
        <v>100638.28079999999</v>
      </c>
      <c r="J6966" s="4">
        <v>2012765.6159999999</v>
      </c>
      <c r="K6966" s="4">
        <v>-90461.376000000004</v>
      </c>
      <c r="L6966" s="4">
        <v>20</v>
      </c>
    </row>
    <row r="6967" spans="1:12">
      <c r="A6967" t="s">
        <v>264</v>
      </c>
      <c r="B6967" s="10">
        <v>45302</v>
      </c>
      <c r="C6967" s="18">
        <f t="shared" si="108"/>
        <v>1</v>
      </c>
      <c r="D6967" t="s">
        <v>196</v>
      </c>
      <c r="E6967">
        <v>4872571</v>
      </c>
      <c r="F6967" t="s">
        <v>8</v>
      </c>
      <c r="G6967" t="s">
        <v>203</v>
      </c>
      <c r="H6967" t="s">
        <v>245</v>
      </c>
      <c r="I6967" s="4">
        <v>100638.28079999999</v>
      </c>
      <c r="J6967" s="4">
        <v>1006382.808</v>
      </c>
      <c r="K6967" s="4">
        <v>-45230.688000000002</v>
      </c>
      <c r="L6967" s="4">
        <v>10</v>
      </c>
    </row>
    <row r="6968" spans="1:12">
      <c r="A6968" t="s">
        <v>264</v>
      </c>
      <c r="B6968" s="10">
        <v>45302</v>
      </c>
      <c r="C6968" s="18">
        <f t="shared" si="108"/>
        <v>1</v>
      </c>
      <c r="D6968" t="s">
        <v>196</v>
      </c>
      <c r="E6968">
        <v>4872571</v>
      </c>
      <c r="F6968" t="s">
        <v>8</v>
      </c>
      <c r="G6968" t="s">
        <v>203</v>
      </c>
      <c r="H6968" t="s">
        <v>243</v>
      </c>
      <c r="I6968" s="4">
        <v>100638.28079999999</v>
      </c>
      <c r="J6968" s="4">
        <v>1207659.3695999999</v>
      </c>
      <c r="K6968" s="4">
        <v>-54276.825600000004</v>
      </c>
      <c r="L6968" s="4">
        <v>12</v>
      </c>
    </row>
    <row r="6969" spans="1:12">
      <c r="A6969" t="s">
        <v>264</v>
      </c>
      <c r="B6969" s="10">
        <v>45302</v>
      </c>
      <c r="C6969" s="18">
        <f t="shared" si="108"/>
        <v>1</v>
      </c>
      <c r="D6969" t="s">
        <v>196</v>
      </c>
      <c r="E6969">
        <v>4872571</v>
      </c>
      <c r="F6969" t="s">
        <v>8</v>
      </c>
      <c r="G6969" t="s">
        <v>203</v>
      </c>
      <c r="H6969" t="s">
        <v>242</v>
      </c>
      <c r="I6969" s="4">
        <v>100638.28079999999</v>
      </c>
      <c r="J6969" s="4">
        <v>1006382.808</v>
      </c>
      <c r="K6969" s="4">
        <v>-45230.688000000002</v>
      </c>
      <c r="L6969" s="4">
        <v>10</v>
      </c>
    </row>
    <row r="6970" spans="1:12">
      <c r="A6970" t="s">
        <v>264</v>
      </c>
      <c r="B6970" s="10">
        <v>45302</v>
      </c>
      <c r="C6970" s="18">
        <f t="shared" si="108"/>
        <v>1</v>
      </c>
      <c r="D6970" t="s">
        <v>196</v>
      </c>
      <c r="E6970">
        <v>4872571</v>
      </c>
      <c r="F6970" t="s">
        <v>8</v>
      </c>
      <c r="G6970" t="s">
        <v>203</v>
      </c>
      <c r="H6970" t="s">
        <v>228</v>
      </c>
      <c r="I6970" s="4">
        <v>100638.28079999999</v>
      </c>
      <c r="J6970" s="4">
        <v>201276.56159999999</v>
      </c>
      <c r="K6970" s="4">
        <v>-9046.1376</v>
      </c>
      <c r="L6970" s="4">
        <v>2</v>
      </c>
    </row>
    <row r="6971" spans="1:12">
      <c r="A6971" t="s">
        <v>264</v>
      </c>
      <c r="B6971" s="10">
        <v>45302</v>
      </c>
      <c r="C6971" s="18">
        <f t="shared" si="108"/>
        <v>1</v>
      </c>
      <c r="D6971" t="s">
        <v>196</v>
      </c>
      <c r="E6971">
        <v>4872571</v>
      </c>
      <c r="F6971" t="s">
        <v>8</v>
      </c>
      <c r="G6971" t="s">
        <v>203</v>
      </c>
      <c r="H6971" t="s">
        <v>226</v>
      </c>
      <c r="I6971" s="4">
        <v>100638.28079999999</v>
      </c>
      <c r="J6971" s="4">
        <v>805106.24639999995</v>
      </c>
      <c r="K6971" s="4">
        <v>-36184.5504</v>
      </c>
      <c r="L6971" s="4">
        <v>8</v>
      </c>
    </row>
    <row r="6972" spans="1:12">
      <c r="A6972" t="s">
        <v>264</v>
      </c>
      <c r="B6972" s="10">
        <v>45302</v>
      </c>
      <c r="C6972" s="18">
        <f t="shared" si="108"/>
        <v>1</v>
      </c>
      <c r="D6972" t="s">
        <v>196</v>
      </c>
      <c r="E6972">
        <v>4872571</v>
      </c>
      <c r="F6972" t="s">
        <v>8</v>
      </c>
      <c r="G6972" t="s">
        <v>203</v>
      </c>
      <c r="H6972" t="s">
        <v>222</v>
      </c>
      <c r="I6972" s="4">
        <v>100638.28079999999</v>
      </c>
      <c r="J6972" s="4">
        <v>805106.24639999995</v>
      </c>
      <c r="K6972" s="4">
        <v>-36184.5504</v>
      </c>
      <c r="L6972" s="4">
        <v>8</v>
      </c>
    </row>
    <row r="6973" spans="1:12">
      <c r="A6973" t="s">
        <v>264</v>
      </c>
      <c r="B6973" s="10">
        <v>45302</v>
      </c>
      <c r="C6973" s="18">
        <f t="shared" si="108"/>
        <v>1</v>
      </c>
      <c r="D6973" t="s">
        <v>196</v>
      </c>
      <c r="E6973">
        <v>4875980</v>
      </c>
      <c r="F6973" t="s">
        <v>8</v>
      </c>
      <c r="G6973" t="s">
        <v>203</v>
      </c>
      <c r="H6973" t="s">
        <v>243</v>
      </c>
      <c r="I6973" s="4">
        <v>100638.28079999999</v>
      </c>
      <c r="J6973" s="4">
        <v>603829.68479999993</v>
      </c>
      <c r="K6973" s="4">
        <v>-27138.412800000002</v>
      </c>
      <c r="L6973" s="4">
        <v>6</v>
      </c>
    </row>
    <row r="6974" spans="1:12">
      <c r="A6974" t="s">
        <v>264</v>
      </c>
      <c r="B6974" s="10">
        <v>45302</v>
      </c>
      <c r="C6974" s="18">
        <f t="shared" si="108"/>
        <v>1</v>
      </c>
      <c r="D6974" t="s">
        <v>196</v>
      </c>
      <c r="E6974">
        <v>4873621</v>
      </c>
      <c r="F6974" t="s">
        <v>8</v>
      </c>
      <c r="G6974" t="s">
        <v>203</v>
      </c>
      <c r="H6974" t="s">
        <v>243</v>
      </c>
      <c r="I6974" s="4">
        <v>100638.28079999999</v>
      </c>
      <c r="J6974" s="4">
        <v>603829.68479999993</v>
      </c>
      <c r="K6974" s="4">
        <v>-27138.412800000002</v>
      </c>
      <c r="L6974" s="4">
        <v>6</v>
      </c>
    </row>
    <row r="6975" spans="1:12">
      <c r="A6975" t="s">
        <v>264</v>
      </c>
      <c r="B6975" s="10">
        <v>45302</v>
      </c>
      <c r="C6975" s="18">
        <f t="shared" si="108"/>
        <v>1</v>
      </c>
      <c r="D6975" t="s">
        <v>196</v>
      </c>
      <c r="E6975">
        <v>4873621</v>
      </c>
      <c r="F6975" t="s">
        <v>8</v>
      </c>
      <c r="G6975" t="s">
        <v>203</v>
      </c>
      <c r="H6975" t="s">
        <v>240</v>
      </c>
      <c r="I6975" s="4">
        <v>100638.28079999999</v>
      </c>
      <c r="J6975" s="4">
        <v>603829.68479999993</v>
      </c>
      <c r="K6975" s="4">
        <v>-27138.412800000002</v>
      </c>
      <c r="L6975" s="4">
        <v>6</v>
      </c>
    </row>
    <row r="6976" spans="1:12">
      <c r="A6976" t="s">
        <v>264</v>
      </c>
      <c r="B6976" s="10">
        <v>45302</v>
      </c>
      <c r="C6976" s="18">
        <f t="shared" si="108"/>
        <v>1</v>
      </c>
      <c r="D6976" t="s">
        <v>196</v>
      </c>
      <c r="E6976">
        <v>4873621</v>
      </c>
      <c r="F6976" t="s">
        <v>8</v>
      </c>
      <c r="G6976" t="s">
        <v>203</v>
      </c>
      <c r="H6976" t="s">
        <v>238</v>
      </c>
      <c r="I6976" s="4">
        <v>95606.36675999999</v>
      </c>
      <c r="J6976" s="4">
        <v>573638.20055999991</v>
      </c>
      <c r="K6976" s="4">
        <v>-27138.412800000002</v>
      </c>
      <c r="L6976" s="4">
        <v>6</v>
      </c>
    </row>
    <row r="6977" spans="1:12">
      <c r="A6977" t="s">
        <v>264</v>
      </c>
      <c r="B6977" s="10">
        <v>45302</v>
      </c>
      <c r="C6977" s="18">
        <f t="shared" si="108"/>
        <v>1</v>
      </c>
      <c r="D6977" t="s">
        <v>196</v>
      </c>
      <c r="E6977">
        <v>4877269</v>
      </c>
      <c r="F6977" t="s">
        <v>8</v>
      </c>
      <c r="G6977" t="s">
        <v>204</v>
      </c>
      <c r="H6977" t="s">
        <v>216</v>
      </c>
      <c r="I6977" s="4">
        <v>113202.36079999999</v>
      </c>
      <c r="J6977" s="4">
        <v>1471630.6904</v>
      </c>
      <c r="K6977" s="4">
        <v>-79216.524399999995</v>
      </c>
      <c r="L6977" s="4">
        <v>13</v>
      </c>
    </row>
    <row r="6978" spans="1:12">
      <c r="A6978" t="s">
        <v>264</v>
      </c>
      <c r="B6978" s="10">
        <v>45302</v>
      </c>
      <c r="C6978" s="18">
        <f t="shared" ref="C6978:C7041" si="109">MONTH(B6978)</f>
        <v>1</v>
      </c>
      <c r="D6978" t="s">
        <v>196</v>
      </c>
      <c r="E6978">
        <v>4871863</v>
      </c>
      <c r="F6978" t="s">
        <v>8</v>
      </c>
      <c r="G6978" t="s">
        <v>204</v>
      </c>
      <c r="H6978" t="s">
        <v>215</v>
      </c>
      <c r="I6978" s="4">
        <v>75510.12079999999</v>
      </c>
      <c r="J6978" s="4">
        <v>453060.72479999997</v>
      </c>
      <c r="K6978" s="4">
        <v>-26384.567999999999</v>
      </c>
      <c r="L6978" s="4">
        <v>6</v>
      </c>
    </row>
    <row r="6979" spans="1:12">
      <c r="A6979" t="s">
        <v>264</v>
      </c>
      <c r="B6979" s="10">
        <v>45302</v>
      </c>
      <c r="C6979" s="18">
        <f t="shared" si="109"/>
        <v>1</v>
      </c>
      <c r="D6979" t="s">
        <v>196</v>
      </c>
      <c r="E6979">
        <v>4871863</v>
      </c>
      <c r="F6979" t="s">
        <v>8</v>
      </c>
      <c r="G6979" t="s">
        <v>204</v>
      </c>
      <c r="H6979" t="s">
        <v>221</v>
      </c>
      <c r="I6979" s="4">
        <v>25253.800799999997</v>
      </c>
      <c r="J6979" s="4">
        <v>101015.20319999999</v>
      </c>
      <c r="K6979" s="4">
        <v>-5025.6320000000005</v>
      </c>
      <c r="L6979" s="4">
        <v>4</v>
      </c>
    </row>
    <row r="6980" spans="1:12">
      <c r="A6980" t="s">
        <v>264</v>
      </c>
      <c r="B6980" s="10">
        <v>45302</v>
      </c>
      <c r="C6980" s="18">
        <f t="shared" si="109"/>
        <v>1</v>
      </c>
      <c r="D6980" t="s">
        <v>196</v>
      </c>
      <c r="E6980">
        <v>4873723</v>
      </c>
      <c r="F6980" t="s">
        <v>8</v>
      </c>
      <c r="G6980" t="s">
        <v>204</v>
      </c>
      <c r="H6980" t="s">
        <v>218</v>
      </c>
      <c r="I6980" s="4">
        <v>71740.896800000002</v>
      </c>
      <c r="J6980" s="4">
        <v>143481.7936</v>
      </c>
      <c r="K6980" s="4">
        <v>-7789.7295999999997</v>
      </c>
      <c r="L6980" s="4">
        <v>2</v>
      </c>
    </row>
    <row r="6981" spans="1:12">
      <c r="A6981" t="s">
        <v>264</v>
      </c>
      <c r="B6981" s="10">
        <v>45303</v>
      </c>
      <c r="C6981" s="18">
        <f t="shared" si="109"/>
        <v>1</v>
      </c>
      <c r="D6981" t="s">
        <v>196</v>
      </c>
      <c r="E6981">
        <v>4871600</v>
      </c>
      <c r="F6981" t="s">
        <v>8</v>
      </c>
      <c r="G6981" t="s">
        <v>202</v>
      </c>
      <c r="H6981" t="s">
        <v>259</v>
      </c>
      <c r="I6981" s="4">
        <v>30279.432800000002</v>
      </c>
      <c r="J6981" s="4">
        <v>30279.432800000002</v>
      </c>
      <c r="K6981" s="4">
        <v>-1507.6895999999999</v>
      </c>
      <c r="L6981" s="4">
        <v>1</v>
      </c>
    </row>
    <row r="6982" spans="1:12">
      <c r="A6982" t="s">
        <v>264</v>
      </c>
      <c r="B6982" s="10">
        <v>45303</v>
      </c>
      <c r="C6982" s="18">
        <f t="shared" si="109"/>
        <v>1</v>
      </c>
      <c r="D6982" t="s">
        <v>196</v>
      </c>
      <c r="E6982">
        <v>4871600</v>
      </c>
      <c r="F6982" t="s">
        <v>8</v>
      </c>
      <c r="G6982" t="s">
        <v>202</v>
      </c>
      <c r="H6982" t="s">
        <v>258</v>
      </c>
      <c r="I6982" s="4">
        <v>37817.880799999999</v>
      </c>
      <c r="J6982" s="4">
        <v>113453.6424</v>
      </c>
      <c r="K6982" s="4">
        <v>-5653.8360000000002</v>
      </c>
      <c r="L6982" s="4">
        <v>3</v>
      </c>
    </row>
    <row r="6983" spans="1:12">
      <c r="A6983" t="s">
        <v>264</v>
      </c>
      <c r="B6983" s="10">
        <v>45303</v>
      </c>
      <c r="C6983" s="18">
        <f t="shared" si="109"/>
        <v>1</v>
      </c>
      <c r="D6983" t="s">
        <v>196</v>
      </c>
      <c r="E6983">
        <v>4873921</v>
      </c>
      <c r="F6983" t="s">
        <v>8</v>
      </c>
      <c r="G6983" t="s">
        <v>202</v>
      </c>
      <c r="H6983" t="s">
        <v>259</v>
      </c>
      <c r="I6983" s="4">
        <v>30279.432800000002</v>
      </c>
      <c r="J6983" s="4">
        <v>181676.5968</v>
      </c>
      <c r="K6983" s="4">
        <v>-9046.1376</v>
      </c>
      <c r="L6983" s="4">
        <v>6</v>
      </c>
    </row>
    <row r="6984" spans="1:12">
      <c r="A6984" t="s">
        <v>264</v>
      </c>
      <c r="B6984" s="10">
        <v>45303</v>
      </c>
      <c r="C6984" s="18">
        <f t="shared" si="109"/>
        <v>1</v>
      </c>
      <c r="D6984" t="s">
        <v>196</v>
      </c>
      <c r="E6984">
        <v>4873921</v>
      </c>
      <c r="F6984" t="s">
        <v>8</v>
      </c>
      <c r="G6984" t="s">
        <v>202</v>
      </c>
      <c r="H6984" t="s">
        <v>256</v>
      </c>
      <c r="I6984" s="4">
        <v>64202.448800000006</v>
      </c>
      <c r="J6984" s="4">
        <v>898834.28320000006</v>
      </c>
      <c r="K6984" s="4">
        <v>-44853.765599999999</v>
      </c>
      <c r="L6984" s="4">
        <v>14</v>
      </c>
    </row>
    <row r="6985" spans="1:12">
      <c r="A6985" t="s">
        <v>264</v>
      </c>
      <c r="B6985" s="10">
        <v>45303</v>
      </c>
      <c r="C6985" s="18">
        <f t="shared" si="109"/>
        <v>1</v>
      </c>
      <c r="D6985" t="s">
        <v>196</v>
      </c>
      <c r="E6985">
        <v>4874586</v>
      </c>
      <c r="F6985" t="s">
        <v>8</v>
      </c>
      <c r="G6985" t="s">
        <v>203</v>
      </c>
      <c r="H6985" t="s">
        <v>232</v>
      </c>
      <c r="I6985" s="4">
        <v>100638.28079999999</v>
      </c>
      <c r="J6985" s="4">
        <v>1006382.808</v>
      </c>
      <c r="K6985" s="4">
        <v>-45230.688000000002</v>
      </c>
      <c r="L6985" s="4">
        <v>10</v>
      </c>
    </row>
    <row r="6986" spans="1:12">
      <c r="A6986" t="s">
        <v>264</v>
      </c>
      <c r="B6986" s="10">
        <v>45303</v>
      </c>
      <c r="C6986" s="18">
        <f t="shared" si="109"/>
        <v>1</v>
      </c>
      <c r="D6986" t="s">
        <v>196</v>
      </c>
      <c r="E6986">
        <v>4874586</v>
      </c>
      <c r="F6986" t="s">
        <v>8</v>
      </c>
      <c r="G6986" t="s">
        <v>203</v>
      </c>
      <c r="H6986" t="s">
        <v>230</v>
      </c>
      <c r="I6986" s="4">
        <v>100638.28079999999</v>
      </c>
      <c r="J6986" s="4">
        <v>1006382.808</v>
      </c>
      <c r="K6986" s="4">
        <v>-45230.688000000002</v>
      </c>
      <c r="L6986" s="4">
        <v>10</v>
      </c>
    </row>
    <row r="6987" spans="1:12">
      <c r="A6987" t="s">
        <v>264</v>
      </c>
      <c r="B6987" s="10">
        <v>45303</v>
      </c>
      <c r="C6987" s="18">
        <f t="shared" si="109"/>
        <v>1</v>
      </c>
      <c r="D6987" t="s">
        <v>196</v>
      </c>
      <c r="E6987">
        <v>4874586</v>
      </c>
      <c r="F6987" t="s">
        <v>8</v>
      </c>
      <c r="G6987" t="s">
        <v>203</v>
      </c>
      <c r="H6987" t="s">
        <v>226</v>
      </c>
      <c r="I6987" s="4">
        <v>100638.28079999999</v>
      </c>
      <c r="J6987" s="4">
        <v>1006382.808</v>
      </c>
      <c r="K6987" s="4">
        <v>-45230.688000000002</v>
      </c>
      <c r="L6987" s="4">
        <v>10</v>
      </c>
    </row>
    <row r="6988" spans="1:12">
      <c r="A6988" t="s">
        <v>264</v>
      </c>
      <c r="B6988" s="10">
        <v>45303</v>
      </c>
      <c r="C6988" s="18">
        <f t="shared" si="109"/>
        <v>1</v>
      </c>
      <c r="D6988" t="s">
        <v>196</v>
      </c>
      <c r="E6988">
        <v>4874586</v>
      </c>
      <c r="F6988" t="s">
        <v>8</v>
      </c>
      <c r="G6988" t="s">
        <v>203</v>
      </c>
      <c r="H6988" t="s">
        <v>224</v>
      </c>
      <c r="I6988" s="4">
        <v>100638.28079999999</v>
      </c>
      <c r="J6988" s="4">
        <v>1006382.808</v>
      </c>
      <c r="K6988" s="4">
        <v>-45230.688000000002</v>
      </c>
      <c r="L6988" s="4">
        <v>10</v>
      </c>
    </row>
    <row r="6989" spans="1:12">
      <c r="A6989" t="s">
        <v>264</v>
      </c>
      <c r="B6989" s="10">
        <v>45303</v>
      </c>
      <c r="C6989" s="18">
        <f t="shared" si="109"/>
        <v>1</v>
      </c>
      <c r="D6989" t="s">
        <v>196</v>
      </c>
      <c r="E6989">
        <v>4874586</v>
      </c>
      <c r="F6989" t="s">
        <v>8</v>
      </c>
      <c r="G6989" t="s">
        <v>203</v>
      </c>
      <c r="H6989" t="s">
        <v>223</v>
      </c>
      <c r="I6989" s="4">
        <v>100638.28079999999</v>
      </c>
      <c r="J6989" s="4">
        <v>1006382.808</v>
      </c>
      <c r="K6989" s="4">
        <v>-45230.688000000002</v>
      </c>
      <c r="L6989" s="4">
        <v>10</v>
      </c>
    </row>
    <row r="6990" spans="1:12">
      <c r="A6990" t="s">
        <v>264</v>
      </c>
      <c r="B6990" s="10">
        <v>45303</v>
      </c>
      <c r="C6990" s="18">
        <f t="shared" si="109"/>
        <v>1</v>
      </c>
      <c r="D6990" t="s">
        <v>196</v>
      </c>
      <c r="E6990">
        <v>4874586</v>
      </c>
      <c r="F6990" t="s">
        <v>8</v>
      </c>
      <c r="G6990" t="s">
        <v>203</v>
      </c>
      <c r="H6990" t="s">
        <v>244</v>
      </c>
      <c r="I6990" s="4">
        <v>125766.4408</v>
      </c>
      <c r="J6990" s="4">
        <v>628832.20400000003</v>
      </c>
      <c r="K6990" s="4">
        <v>-29211.486000000001</v>
      </c>
      <c r="L6990" s="4">
        <v>5</v>
      </c>
    </row>
    <row r="6991" spans="1:12">
      <c r="A6991" t="s">
        <v>264</v>
      </c>
      <c r="B6991" s="10">
        <v>45303</v>
      </c>
      <c r="C6991" s="18">
        <f t="shared" si="109"/>
        <v>1</v>
      </c>
      <c r="D6991" t="s">
        <v>196</v>
      </c>
      <c r="E6991">
        <v>4874586</v>
      </c>
      <c r="F6991" t="s">
        <v>8</v>
      </c>
      <c r="G6991" t="s">
        <v>203</v>
      </c>
      <c r="H6991" t="s">
        <v>241</v>
      </c>
      <c r="I6991" s="4">
        <v>125766.4408</v>
      </c>
      <c r="J6991" s="4">
        <v>628832.20400000003</v>
      </c>
      <c r="K6991" s="4">
        <v>-29211.486000000001</v>
      </c>
      <c r="L6991" s="4">
        <v>5</v>
      </c>
    </row>
    <row r="6992" spans="1:12">
      <c r="A6992" t="s">
        <v>264</v>
      </c>
      <c r="B6992" s="10">
        <v>45303</v>
      </c>
      <c r="C6992" s="18">
        <f t="shared" si="109"/>
        <v>1</v>
      </c>
      <c r="D6992" t="s">
        <v>196</v>
      </c>
      <c r="E6992">
        <v>4874586</v>
      </c>
      <c r="F6992" t="s">
        <v>8</v>
      </c>
      <c r="G6992" t="s">
        <v>203</v>
      </c>
      <c r="H6992" t="s">
        <v>239</v>
      </c>
      <c r="I6992" s="4">
        <v>125766.4408</v>
      </c>
      <c r="J6992" s="4">
        <v>628832.20400000003</v>
      </c>
      <c r="K6992" s="4">
        <v>-29211.486000000001</v>
      </c>
      <c r="L6992" s="4">
        <v>5</v>
      </c>
    </row>
    <row r="6993" spans="1:12">
      <c r="A6993" t="s">
        <v>264</v>
      </c>
      <c r="B6993" s="10">
        <v>45303</v>
      </c>
      <c r="C6993" s="18">
        <f t="shared" si="109"/>
        <v>1</v>
      </c>
      <c r="D6993" t="s">
        <v>196</v>
      </c>
      <c r="E6993">
        <v>4874586</v>
      </c>
      <c r="F6993" t="s">
        <v>8</v>
      </c>
      <c r="G6993" t="s">
        <v>203</v>
      </c>
      <c r="H6993" t="s">
        <v>235</v>
      </c>
      <c r="I6993" s="4">
        <v>125766.4408</v>
      </c>
      <c r="J6993" s="4">
        <v>628832.20400000003</v>
      </c>
      <c r="K6993" s="4">
        <v>-29211.486000000001</v>
      </c>
      <c r="L6993" s="4">
        <v>5</v>
      </c>
    </row>
    <row r="6994" spans="1:12">
      <c r="A6994" t="s">
        <v>264</v>
      </c>
      <c r="B6994" s="10">
        <v>45303</v>
      </c>
      <c r="C6994" s="18">
        <f t="shared" si="109"/>
        <v>1</v>
      </c>
      <c r="D6994" t="s">
        <v>196</v>
      </c>
      <c r="E6994">
        <v>4874586</v>
      </c>
      <c r="F6994" t="s">
        <v>8</v>
      </c>
      <c r="G6994" t="s">
        <v>203</v>
      </c>
      <c r="H6994" t="s">
        <v>233</v>
      </c>
      <c r="I6994" s="4">
        <v>120735.78316800001</v>
      </c>
      <c r="J6994" s="4">
        <v>603678.91584000003</v>
      </c>
      <c r="K6994" s="4">
        <v>-29211.486000000001</v>
      </c>
      <c r="L6994" s="4">
        <v>5</v>
      </c>
    </row>
    <row r="6995" spans="1:12">
      <c r="A6995" t="s">
        <v>264</v>
      </c>
      <c r="B6995" s="10">
        <v>45303</v>
      </c>
      <c r="C6995" s="18">
        <f t="shared" si="109"/>
        <v>1</v>
      </c>
      <c r="D6995" t="s">
        <v>196</v>
      </c>
      <c r="E6995">
        <v>4874586</v>
      </c>
      <c r="F6995" t="s">
        <v>8</v>
      </c>
      <c r="G6995" t="s">
        <v>203</v>
      </c>
      <c r="H6995" t="s">
        <v>231</v>
      </c>
      <c r="I6995" s="4">
        <v>125766.4408</v>
      </c>
      <c r="J6995" s="4">
        <v>628832.20400000003</v>
      </c>
      <c r="K6995" s="4">
        <v>-29211.486000000001</v>
      </c>
      <c r="L6995" s="4">
        <v>5</v>
      </c>
    </row>
    <row r="6996" spans="1:12">
      <c r="A6996" t="s">
        <v>264</v>
      </c>
      <c r="B6996" s="10">
        <v>45303</v>
      </c>
      <c r="C6996" s="18">
        <f t="shared" si="109"/>
        <v>1</v>
      </c>
      <c r="D6996" t="s">
        <v>196</v>
      </c>
      <c r="E6996">
        <v>4874586</v>
      </c>
      <c r="F6996" t="s">
        <v>8</v>
      </c>
      <c r="G6996" t="s">
        <v>204</v>
      </c>
      <c r="H6996" t="s">
        <v>221</v>
      </c>
      <c r="I6996" s="4">
        <v>25253.800799999997</v>
      </c>
      <c r="J6996" s="4">
        <v>1262690.0399999998</v>
      </c>
      <c r="K6996" s="4">
        <v>-62820.4</v>
      </c>
      <c r="L6996" s="4">
        <v>50</v>
      </c>
    </row>
    <row r="6997" spans="1:12">
      <c r="A6997" t="s">
        <v>264</v>
      </c>
      <c r="B6997" s="10">
        <v>45303</v>
      </c>
      <c r="C6997" s="18">
        <f t="shared" si="109"/>
        <v>1</v>
      </c>
      <c r="D6997" t="s">
        <v>196</v>
      </c>
      <c r="E6997">
        <v>4874586</v>
      </c>
      <c r="F6997" t="s">
        <v>8</v>
      </c>
      <c r="G6997" t="s">
        <v>204</v>
      </c>
      <c r="H6997" t="s">
        <v>220</v>
      </c>
      <c r="I6997" s="4">
        <v>37817.880799999999</v>
      </c>
      <c r="J6997" s="4">
        <v>1890894.04</v>
      </c>
      <c r="K6997" s="4">
        <v>-72243.460000000006</v>
      </c>
      <c r="L6997" s="4">
        <v>50</v>
      </c>
    </row>
    <row r="6998" spans="1:12">
      <c r="A6998" t="s">
        <v>264</v>
      </c>
      <c r="B6998" s="10">
        <v>45304</v>
      </c>
      <c r="C6998" s="18">
        <f t="shared" si="109"/>
        <v>1</v>
      </c>
      <c r="D6998" t="s">
        <v>196</v>
      </c>
      <c r="E6998">
        <v>4874586</v>
      </c>
      <c r="F6998" t="s">
        <v>8</v>
      </c>
      <c r="G6998" t="s">
        <v>203</v>
      </c>
      <c r="H6998" t="s">
        <v>245</v>
      </c>
      <c r="I6998" s="4">
        <v>100638.28079999999</v>
      </c>
      <c r="J6998" s="4">
        <v>3622978.1087999996</v>
      </c>
      <c r="K6998" s="4">
        <v>-162830.4768</v>
      </c>
      <c r="L6998" s="4">
        <v>36</v>
      </c>
    </row>
    <row r="6999" spans="1:12">
      <c r="A6999" t="s">
        <v>264</v>
      </c>
      <c r="B6999" s="10">
        <v>45304</v>
      </c>
      <c r="C6999" s="18">
        <f t="shared" si="109"/>
        <v>1</v>
      </c>
      <c r="D6999" t="s">
        <v>196</v>
      </c>
      <c r="E6999">
        <v>4874586</v>
      </c>
      <c r="F6999" t="s">
        <v>8</v>
      </c>
      <c r="G6999" t="s">
        <v>203</v>
      </c>
      <c r="H6999" t="s">
        <v>240</v>
      </c>
      <c r="I6999" s="4">
        <v>100638.28079999999</v>
      </c>
      <c r="J6999" s="4">
        <v>2012765.6159999999</v>
      </c>
      <c r="K6999" s="4">
        <v>-90461.376000000004</v>
      </c>
      <c r="L6999" s="4">
        <v>20</v>
      </c>
    </row>
    <row r="7000" spans="1:12">
      <c r="A7000" t="s">
        <v>264</v>
      </c>
      <c r="B7000" s="10">
        <v>45304</v>
      </c>
      <c r="C7000" s="18">
        <f t="shared" si="109"/>
        <v>1</v>
      </c>
      <c r="D7000" t="s">
        <v>196</v>
      </c>
      <c r="E7000">
        <v>4874586</v>
      </c>
      <c r="F7000" t="s">
        <v>8</v>
      </c>
      <c r="G7000" t="s">
        <v>203</v>
      </c>
      <c r="H7000" t="s">
        <v>223</v>
      </c>
      <c r="I7000" s="4">
        <v>100638.28079999999</v>
      </c>
      <c r="J7000" s="4">
        <v>6038296.8479999993</v>
      </c>
      <c r="K7000" s="4">
        <v>-271384.12800000003</v>
      </c>
      <c r="L7000" s="4">
        <v>60</v>
      </c>
    </row>
    <row r="7001" spans="1:12">
      <c r="A7001" t="s">
        <v>264</v>
      </c>
      <c r="B7001" s="10">
        <v>45304</v>
      </c>
      <c r="C7001" s="18">
        <f t="shared" si="109"/>
        <v>1</v>
      </c>
      <c r="D7001" t="s">
        <v>196</v>
      </c>
      <c r="E7001">
        <v>4872135</v>
      </c>
      <c r="F7001" t="s">
        <v>8</v>
      </c>
      <c r="G7001" t="s">
        <v>203</v>
      </c>
      <c r="H7001" t="s">
        <v>240</v>
      </c>
      <c r="I7001" s="4">
        <v>100638.28079999999</v>
      </c>
      <c r="J7001" s="4">
        <v>1006382.808</v>
      </c>
      <c r="K7001" s="4">
        <v>-45230.688000000002</v>
      </c>
      <c r="L7001" s="4">
        <v>10</v>
      </c>
    </row>
    <row r="7002" spans="1:12">
      <c r="A7002" t="s">
        <v>264</v>
      </c>
      <c r="B7002" s="10">
        <v>45304</v>
      </c>
      <c r="C7002" s="18">
        <f t="shared" si="109"/>
        <v>1</v>
      </c>
      <c r="D7002" t="s">
        <v>196</v>
      </c>
      <c r="E7002">
        <v>4872135</v>
      </c>
      <c r="F7002" t="s">
        <v>8</v>
      </c>
      <c r="G7002" t="s">
        <v>203</v>
      </c>
      <c r="H7002" t="s">
        <v>236</v>
      </c>
      <c r="I7002" s="4">
        <v>100638.28079999999</v>
      </c>
      <c r="J7002" s="4">
        <v>1006382.808</v>
      </c>
      <c r="K7002" s="4">
        <v>-45230.688000000002</v>
      </c>
      <c r="L7002" s="4">
        <v>10</v>
      </c>
    </row>
    <row r="7003" spans="1:12">
      <c r="A7003" t="s">
        <v>264</v>
      </c>
      <c r="B7003" s="10">
        <v>45304</v>
      </c>
      <c r="C7003" s="18">
        <f t="shared" si="109"/>
        <v>1</v>
      </c>
      <c r="D7003" t="s">
        <v>196</v>
      </c>
      <c r="E7003">
        <v>4872135</v>
      </c>
      <c r="F7003" t="s">
        <v>8</v>
      </c>
      <c r="G7003" t="s">
        <v>203</v>
      </c>
      <c r="H7003" t="s">
        <v>232</v>
      </c>
      <c r="I7003" s="4">
        <v>100638.28079999999</v>
      </c>
      <c r="J7003" s="4">
        <v>1006382.808</v>
      </c>
      <c r="K7003" s="4">
        <v>-45230.688000000002</v>
      </c>
      <c r="L7003" s="4">
        <v>10</v>
      </c>
    </row>
    <row r="7004" spans="1:12">
      <c r="A7004" t="s">
        <v>264</v>
      </c>
      <c r="B7004" s="10">
        <v>45304</v>
      </c>
      <c r="C7004" s="18">
        <f t="shared" si="109"/>
        <v>1</v>
      </c>
      <c r="D7004" t="s">
        <v>196</v>
      </c>
      <c r="E7004">
        <v>4872135</v>
      </c>
      <c r="F7004" t="s">
        <v>8</v>
      </c>
      <c r="G7004" t="s">
        <v>203</v>
      </c>
      <c r="H7004" t="s">
        <v>227</v>
      </c>
      <c r="I7004" s="4">
        <v>100638.28079999999</v>
      </c>
      <c r="J7004" s="4">
        <v>1006382.808</v>
      </c>
      <c r="K7004" s="4">
        <v>-45230.688000000002</v>
      </c>
      <c r="L7004" s="4">
        <v>10</v>
      </c>
    </row>
    <row r="7005" spans="1:12">
      <c r="A7005" t="s">
        <v>264</v>
      </c>
      <c r="B7005" s="10">
        <v>45304</v>
      </c>
      <c r="C7005" s="18">
        <f t="shared" si="109"/>
        <v>1</v>
      </c>
      <c r="D7005" t="s">
        <v>196</v>
      </c>
      <c r="E7005">
        <v>4872135</v>
      </c>
      <c r="F7005" t="s">
        <v>8</v>
      </c>
      <c r="G7005" t="s">
        <v>203</v>
      </c>
      <c r="H7005" t="s">
        <v>225</v>
      </c>
      <c r="I7005" s="4">
        <v>100638.28079999999</v>
      </c>
      <c r="J7005" s="4">
        <v>1006382.808</v>
      </c>
      <c r="K7005" s="4">
        <v>-45230.688000000002</v>
      </c>
      <c r="L7005" s="4">
        <v>10</v>
      </c>
    </row>
    <row r="7006" spans="1:12">
      <c r="A7006" t="s">
        <v>264</v>
      </c>
      <c r="B7006" s="10">
        <v>45304</v>
      </c>
      <c r="C7006" s="18">
        <f t="shared" si="109"/>
        <v>1</v>
      </c>
      <c r="D7006" t="s">
        <v>196</v>
      </c>
      <c r="E7006">
        <v>4872193</v>
      </c>
      <c r="F7006" t="s">
        <v>8</v>
      </c>
      <c r="G7006" t="s">
        <v>203</v>
      </c>
      <c r="H7006" t="s">
        <v>232</v>
      </c>
      <c r="I7006" s="4">
        <v>100638.28079999999</v>
      </c>
      <c r="J7006" s="4">
        <v>1006382.808</v>
      </c>
      <c r="K7006" s="4">
        <v>-45230.688000000002</v>
      </c>
      <c r="L7006" s="4">
        <v>10</v>
      </c>
    </row>
    <row r="7007" spans="1:12">
      <c r="A7007" t="s">
        <v>264</v>
      </c>
      <c r="B7007" s="10">
        <v>45304</v>
      </c>
      <c r="C7007" s="18">
        <f t="shared" si="109"/>
        <v>1</v>
      </c>
      <c r="D7007" t="s">
        <v>196</v>
      </c>
      <c r="E7007">
        <v>4872193</v>
      </c>
      <c r="F7007" t="s">
        <v>8</v>
      </c>
      <c r="G7007" t="s">
        <v>203</v>
      </c>
      <c r="H7007" t="s">
        <v>230</v>
      </c>
      <c r="I7007" s="4">
        <v>100638.28079999999</v>
      </c>
      <c r="J7007" s="4">
        <v>2817871.8624</v>
      </c>
      <c r="K7007" s="4">
        <v>-126645.9264</v>
      </c>
      <c r="L7007" s="4">
        <v>28</v>
      </c>
    </row>
    <row r="7008" spans="1:12">
      <c r="A7008" t="s">
        <v>264</v>
      </c>
      <c r="B7008" s="10">
        <v>45304</v>
      </c>
      <c r="C7008" s="18">
        <f t="shared" si="109"/>
        <v>1</v>
      </c>
      <c r="D7008" t="s">
        <v>196</v>
      </c>
      <c r="E7008">
        <v>4872193</v>
      </c>
      <c r="F7008" t="s">
        <v>8</v>
      </c>
      <c r="G7008" t="s">
        <v>203</v>
      </c>
      <c r="H7008" t="s">
        <v>228</v>
      </c>
      <c r="I7008" s="4">
        <v>100638.28079999999</v>
      </c>
      <c r="J7008" s="4">
        <v>2012765.6159999999</v>
      </c>
      <c r="K7008" s="4">
        <v>-90461.376000000004</v>
      </c>
      <c r="L7008" s="4">
        <v>20</v>
      </c>
    </row>
    <row r="7009" spans="1:12">
      <c r="A7009" t="s">
        <v>264</v>
      </c>
      <c r="B7009" s="10">
        <v>45304</v>
      </c>
      <c r="C7009" s="18">
        <f t="shared" si="109"/>
        <v>1</v>
      </c>
      <c r="D7009" t="s">
        <v>196</v>
      </c>
      <c r="E7009">
        <v>4872193</v>
      </c>
      <c r="F7009" t="s">
        <v>8</v>
      </c>
      <c r="G7009" t="s">
        <v>203</v>
      </c>
      <c r="H7009" t="s">
        <v>226</v>
      </c>
      <c r="I7009" s="4">
        <v>100638.28079999999</v>
      </c>
      <c r="J7009" s="4">
        <v>4226807.7935999995</v>
      </c>
      <c r="K7009" s="4">
        <v>-189968.88959999999</v>
      </c>
      <c r="L7009" s="4">
        <v>42</v>
      </c>
    </row>
    <row r="7010" spans="1:12">
      <c r="A7010" t="s">
        <v>264</v>
      </c>
      <c r="B7010" s="10">
        <v>45304</v>
      </c>
      <c r="C7010" s="18">
        <f t="shared" si="109"/>
        <v>1</v>
      </c>
      <c r="D7010" t="s">
        <v>196</v>
      </c>
      <c r="E7010">
        <v>4872193</v>
      </c>
      <c r="F7010" t="s">
        <v>8</v>
      </c>
      <c r="G7010" t="s">
        <v>203</v>
      </c>
      <c r="H7010" t="s">
        <v>235</v>
      </c>
      <c r="I7010" s="4">
        <v>125766.4408</v>
      </c>
      <c r="J7010" s="4">
        <v>1257664.4080000001</v>
      </c>
      <c r="K7010" s="4">
        <v>-58422.972000000002</v>
      </c>
      <c r="L7010" s="4">
        <v>10</v>
      </c>
    </row>
    <row r="7011" spans="1:12">
      <c r="A7011" t="s">
        <v>264</v>
      </c>
      <c r="B7011" s="10">
        <v>45304</v>
      </c>
      <c r="C7011" s="18">
        <f t="shared" si="109"/>
        <v>1</v>
      </c>
      <c r="D7011" t="s">
        <v>196</v>
      </c>
      <c r="E7011">
        <v>4872193</v>
      </c>
      <c r="F7011" t="s">
        <v>8</v>
      </c>
      <c r="G7011" t="s">
        <v>203</v>
      </c>
      <c r="H7011" t="s">
        <v>231</v>
      </c>
      <c r="I7011" s="4">
        <v>125766.4408</v>
      </c>
      <c r="J7011" s="4">
        <v>1257664.4080000001</v>
      </c>
      <c r="K7011" s="4">
        <v>-58422.972000000002</v>
      </c>
      <c r="L7011" s="4">
        <v>10</v>
      </c>
    </row>
    <row r="7012" spans="1:12">
      <c r="A7012" t="s">
        <v>264</v>
      </c>
      <c r="B7012" s="10">
        <v>45304</v>
      </c>
      <c r="C7012" s="18">
        <f t="shared" si="109"/>
        <v>1</v>
      </c>
      <c r="D7012" t="s">
        <v>196</v>
      </c>
      <c r="E7012">
        <v>4875451</v>
      </c>
      <c r="F7012" t="s">
        <v>8</v>
      </c>
      <c r="G7012" t="s">
        <v>204</v>
      </c>
      <c r="H7012" t="s">
        <v>219</v>
      </c>
      <c r="I7012" s="4">
        <v>44099.9208</v>
      </c>
      <c r="J7012" s="4">
        <v>4409992.08</v>
      </c>
      <c r="K7012" s="4">
        <v>-219871.4</v>
      </c>
      <c r="L7012" s="4">
        <v>100</v>
      </c>
    </row>
    <row r="7013" spans="1:12">
      <c r="A7013" t="s">
        <v>264</v>
      </c>
      <c r="B7013" s="10">
        <v>45304</v>
      </c>
      <c r="C7013" s="18">
        <f t="shared" si="109"/>
        <v>1</v>
      </c>
      <c r="D7013" t="s">
        <v>196</v>
      </c>
      <c r="E7013">
        <v>4872163</v>
      </c>
      <c r="F7013" t="s">
        <v>8</v>
      </c>
      <c r="G7013" t="s">
        <v>203</v>
      </c>
      <c r="H7013" t="s">
        <v>241</v>
      </c>
      <c r="I7013" s="4">
        <v>125766.4408</v>
      </c>
      <c r="J7013" s="4">
        <v>1257664.4080000001</v>
      </c>
      <c r="K7013" s="4">
        <v>-58422.972000000002</v>
      </c>
      <c r="L7013" s="4">
        <v>10</v>
      </c>
    </row>
    <row r="7014" spans="1:12">
      <c r="A7014" t="s">
        <v>264</v>
      </c>
      <c r="B7014" s="10">
        <v>45304</v>
      </c>
      <c r="C7014" s="18">
        <f t="shared" si="109"/>
        <v>1</v>
      </c>
      <c r="D7014" t="s">
        <v>196</v>
      </c>
      <c r="E7014">
        <v>4872163</v>
      </c>
      <c r="F7014" t="s">
        <v>8</v>
      </c>
      <c r="G7014" t="s">
        <v>203</v>
      </c>
      <c r="H7014" t="s">
        <v>231</v>
      </c>
      <c r="I7014" s="4">
        <v>125766.4408</v>
      </c>
      <c r="J7014" s="4">
        <v>1257664.4080000001</v>
      </c>
      <c r="K7014" s="4">
        <v>-58422.972000000002</v>
      </c>
      <c r="L7014" s="4">
        <v>10</v>
      </c>
    </row>
    <row r="7015" spans="1:12">
      <c r="A7015" t="s">
        <v>264</v>
      </c>
      <c r="B7015" s="10">
        <v>45304</v>
      </c>
      <c r="C7015" s="18">
        <f t="shared" si="109"/>
        <v>1</v>
      </c>
      <c r="D7015" t="s">
        <v>196</v>
      </c>
      <c r="E7015">
        <v>4872103</v>
      </c>
      <c r="F7015" t="s">
        <v>8</v>
      </c>
      <c r="G7015" t="s">
        <v>202</v>
      </c>
      <c r="H7015" t="s">
        <v>261</v>
      </c>
      <c r="I7015" s="4">
        <v>41587.104800000001</v>
      </c>
      <c r="J7015" s="4">
        <v>2079355.24</v>
      </c>
      <c r="K7015" s="4">
        <v>-103653.66</v>
      </c>
      <c r="L7015" s="4">
        <v>50</v>
      </c>
    </row>
    <row r="7016" spans="1:12">
      <c r="A7016" t="s">
        <v>264</v>
      </c>
      <c r="B7016" s="10">
        <v>45305</v>
      </c>
      <c r="C7016" s="18">
        <f t="shared" si="109"/>
        <v>1</v>
      </c>
      <c r="D7016" t="s">
        <v>196</v>
      </c>
      <c r="E7016">
        <v>4871600</v>
      </c>
      <c r="F7016" t="s">
        <v>8</v>
      </c>
      <c r="G7016" t="s">
        <v>204</v>
      </c>
      <c r="H7016" t="s">
        <v>215</v>
      </c>
      <c r="I7016" s="4">
        <v>75510.12079999999</v>
      </c>
      <c r="J7016" s="4">
        <v>226530.36239999998</v>
      </c>
      <c r="K7016" s="4">
        <v>-13192.284</v>
      </c>
      <c r="L7016" s="4">
        <v>3</v>
      </c>
    </row>
    <row r="7017" spans="1:12">
      <c r="A7017" t="s">
        <v>264</v>
      </c>
      <c r="B7017" s="10">
        <v>45305</v>
      </c>
      <c r="C7017" s="18">
        <f t="shared" si="109"/>
        <v>1</v>
      </c>
      <c r="D7017" t="s">
        <v>196</v>
      </c>
      <c r="E7017">
        <v>4872156</v>
      </c>
      <c r="F7017" t="s">
        <v>8</v>
      </c>
      <c r="G7017" t="s">
        <v>204</v>
      </c>
      <c r="H7017" t="s">
        <v>217</v>
      </c>
      <c r="I7017" s="4">
        <v>78022.936799999996</v>
      </c>
      <c r="J7017" s="4">
        <v>780229.36800000002</v>
      </c>
      <c r="K7017" s="4">
        <v>-38948.648000000001</v>
      </c>
      <c r="L7017" s="4">
        <v>10</v>
      </c>
    </row>
    <row r="7018" spans="1:12">
      <c r="A7018" t="s">
        <v>264</v>
      </c>
      <c r="B7018" s="10">
        <v>45305</v>
      </c>
      <c r="C7018" s="18">
        <f t="shared" si="109"/>
        <v>1</v>
      </c>
      <c r="D7018" t="s">
        <v>196</v>
      </c>
      <c r="E7018">
        <v>4872156</v>
      </c>
      <c r="F7018" t="s">
        <v>8</v>
      </c>
      <c r="G7018" t="s">
        <v>204</v>
      </c>
      <c r="H7018" t="s">
        <v>215</v>
      </c>
      <c r="I7018" s="4">
        <v>75510.12079999999</v>
      </c>
      <c r="J7018" s="4">
        <v>755101.20799999987</v>
      </c>
      <c r="K7018" s="4">
        <v>-43974.28</v>
      </c>
      <c r="L7018" s="4">
        <v>10</v>
      </c>
    </row>
    <row r="7019" spans="1:12">
      <c r="A7019" t="s">
        <v>264</v>
      </c>
      <c r="B7019" s="10">
        <v>45305</v>
      </c>
      <c r="C7019" s="18">
        <f t="shared" si="109"/>
        <v>1</v>
      </c>
      <c r="D7019" t="s">
        <v>196</v>
      </c>
      <c r="E7019">
        <v>4876422</v>
      </c>
      <c r="F7019" t="s">
        <v>8</v>
      </c>
      <c r="G7019" t="s">
        <v>204</v>
      </c>
      <c r="H7019" t="s">
        <v>219</v>
      </c>
      <c r="I7019" s="4">
        <v>44099.9208</v>
      </c>
      <c r="J7019" s="4">
        <v>440999.20799999998</v>
      </c>
      <c r="K7019" s="4">
        <v>-21987.14</v>
      </c>
      <c r="L7019" s="4">
        <v>10</v>
      </c>
    </row>
    <row r="7020" spans="1:12">
      <c r="A7020" t="s">
        <v>264</v>
      </c>
      <c r="B7020" s="10">
        <v>45305</v>
      </c>
      <c r="C7020" s="18">
        <f t="shared" si="109"/>
        <v>1</v>
      </c>
      <c r="D7020" t="s">
        <v>196</v>
      </c>
      <c r="E7020">
        <v>4876422</v>
      </c>
      <c r="F7020" t="s">
        <v>8</v>
      </c>
      <c r="G7020" t="s">
        <v>204</v>
      </c>
      <c r="H7020" t="s">
        <v>217</v>
      </c>
      <c r="I7020" s="4">
        <v>78022.936799999996</v>
      </c>
      <c r="J7020" s="4">
        <v>780229.36800000002</v>
      </c>
      <c r="K7020" s="4">
        <v>-38948.648000000001</v>
      </c>
      <c r="L7020" s="4">
        <v>10</v>
      </c>
    </row>
    <row r="7021" spans="1:12">
      <c r="A7021" t="s">
        <v>264</v>
      </c>
      <c r="B7021" s="10">
        <v>45305</v>
      </c>
      <c r="C7021" s="18">
        <f t="shared" si="109"/>
        <v>1</v>
      </c>
      <c r="D7021" t="s">
        <v>196</v>
      </c>
      <c r="E7021">
        <v>4876422</v>
      </c>
      <c r="F7021" t="s">
        <v>8</v>
      </c>
      <c r="G7021" t="s">
        <v>204</v>
      </c>
      <c r="H7021" t="s">
        <v>216</v>
      </c>
      <c r="I7021" s="4">
        <v>113202.36079999999</v>
      </c>
      <c r="J7021" s="4">
        <v>1132023.608</v>
      </c>
      <c r="K7021" s="4">
        <v>-60935.787999999993</v>
      </c>
      <c r="L7021" s="4">
        <v>10</v>
      </c>
    </row>
    <row r="7022" spans="1:12">
      <c r="A7022" t="s">
        <v>264</v>
      </c>
      <c r="B7022" s="10">
        <v>45305</v>
      </c>
      <c r="C7022" s="18">
        <f t="shared" si="109"/>
        <v>1</v>
      </c>
      <c r="D7022" t="s">
        <v>196</v>
      </c>
      <c r="E7022">
        <v>4876422</v>
      </c>
      <c r="F7022" t="s">
        <v>8</v>
      </c>
      <c r="G7022" t="s">
        <v>204</v>
      </c>
      <c r="H7022" t="s">
        <v>215</v>
      </c>
      <c r="I7022" s="4">
        <v>75510.12079999999</v>
      </c>
      <c r="J7022" s="4">
        <v>1510202.4159999997</v>
      </c>
      <c r="K7022" s="4">
        <v>-87948.56</v>
      </c>
      <c r="L7022" s="4">
        <v>20</v>
      </c>
    </row>
    <row r="7023" spans="1:12">
      <c r="A7023" t="s">
        <v>264</v>
      </c>
      <c r="B7023" s="10">
        <v>45305</v>
      </c>
      <c r="C7023" s="18">
        <f t="shared" si="109"/>
        <v>1</v>
      </c>
      <c r="D7023" t="s">
        <v>196</v>
      </c>
      <c r="E7023">
        <v>4876422</v>
      </c>
      <c r="F7023" t="s">
        <v>8</v>
      </c>
      <c r="G7023" t="s">
        <v>204</v>
      </c>
      <c r="H7023" t="s">
        <v>213</v>
      </c>
      <c r="I7023" s="4">
        <v>119484.4008</v>
      </c>
      <c r="J7023" s="4">
        <v>2389688.0159999998</v>
      </c>
      <c r="K7023" s="4">
        <v>-119358.76</v>
      </c>
      <c r="L7023" s="4">
        <v>20</v>
      </c>
    </row>
    <row r="7024" spans="1:12">
      <c r="A7024" t="s">
        <v>264</v>
      </c>
      <c r="B7024" s="10">
        <v>45305</v>
      </c>
      <c r="C7024" s="18">
        <f t="shared" si="109"/>
        <v>1</v>
      </c>
      <c r="D7024" t="s">
        <v>196</v>
      </c>
      <c r="E7024">
        <v>4876422</v>
      </c>
      <c r="F7024" t="s">
        <v>8</v>
      </c>
      <c r="G7024" t="s">
        <v>204</v>
      </c>
      <c r="H7024" t="s">
        <v>221</v>
      </c>
      <c r="I7024" s="4">
        <v>25253.800799999997</v>
      </c>
      <c r="J7024" s="4">
        <v>505076.01599999995</v>
      </c>
      <c r="K7024" s="4">
        <v>-25128.16</v>
      </c>
      <c r="L7024" s="4">
        <v>20</v>
      </c>
    </row>
    <row r="7025" spans="1:12">
      <c r="A7025" t="s">
        <v>264</v>
      </c>
      <c r="B7025" s="10">
        <v>45305</v>
      </c>
      <c r="C7025" s="18">
        <f t="shared" si="109"/>
        <v>1</v>
      </c>
      <c r="D7025" t="s">
        <v>196</v>
      </c>
      <c r="E7025">
        <v>4876422</v>
      </c>
      <c r="F7025" t="s">
        <v>8</v>
      </c>
      <c r="G7025" t="s">
        <v>204</v>
      </c>
      <c r="H7025" t="s">
        <v>220</v>
      </c>
      <c r="I7025" s="4">
        <v>37817.880799999999</v>
      </c>
      <c r="J7025" s="4">
        <v>756357.61599999992</v>
      </c>
      <c r="K7025" s="4">
        <v>-28897.383999999998</v>
      </c>
      <c r="L7025" s="4">
        <v>20</v>
      </c>
    </row>
    <row r="7026" spans="1:12">
      <c r="A7026" t="s">
        <v>264</v>
      </c>
      <c r="B7026" s="10">
        <v>45305</v>
      </c>
      <c r="C7026" s="18">
        <f t="shared" si="109"/>
        <v>1</v>
      </c>
      <c r="D7026" t="s">
        <v>196</v>
      </c>
      <c r="E7026">
        <v>4876422</v>
      </c>
      <c r="F7026" t="s">
        <v>8</v>
      </c>
      <c r="G7026" t="s">
        <v>204</v>
      </c>
      <c r="H7026" t="s">
        <v>212</v>
      </c>
      <c r="I7026" s="4">
        <v>62946.040799999995</v>
      </c>
      <c r="J7026" s="4">
        <v>1258920.8159999999</v>
      </c>
      <c r="K7026" s="4">
        <v>-37692.239999999998</v>
      </c>
      <c r="L7026" s="4">
        <v>20</v>
      </c>
    </row>
    <row r="7027" spans="1:12">
      <c r="A7027" t="s">
        <v>264</v>
      </c>
      <c r="B7027" s="10">
        <v>45305</v>
      </c>
      <c r="C7027" s="18">
        <f t="shared" si="109"/>
        <v>1</v>
      </c>
      <c r="D7027" t="s">
        <v>196</v>
      </c>
      <c r="E7027">
        <v>4878908</v>
      </c>
      <c r="F7027" t="s">
        <v>8</v>
      </c>
      <c r="G7027" t="s">
        <v>202</v>
      </c>
      <c r="H7027" t="s">
        <v>255</v>
      </c>
      <c r="I7027" s="4">
        <v>72489.71596799999</v>
      </c>
      <c r="J7027" s="4">
        <v>2899588.6387199997</v>
      </c>
      <c r="K7027" s="4">
        <v>-150768.95999999999</v>
      </c>
      <c r="L7027" s="4">
        <v>40</v>
      </c>
    </row>
    <row r="7028" spans="1:12">
      <c r="A7028" t="s">
        <v>264</v>
      </c>
      <c r="B7028" s="10">
        <v>45306</v>
      </c>
      <c r="C7028" s="18">
        <f t="shared" si="109"/>
        <v>1</v>
      </c>
      <c r="D7028" t="s">
        <v>196</v>
      </c>
      <c r="E7028">
        <v>4871600</v>
      </c>
      <c r="F7028" t="s">
        <v>8</v>
      </c>
      <c r="G7028" t="s">
        <v>204</v>
      </c>
      <c r="H7028" t="s">
        <v>217</v>
      </c>
      <c r="I7028" s="4">
        <v>78022.936799999996</v>
      </c>
      <c r="J7028" s="4">
        <v>390114.68400000001</v>
      </c>
      <c r="K7028" s="4">
        <v>-19474.324000000001</v>
      </c>
      <c r="L7028" s="4">
        <v>5</v>
      </c>
    </row>
    <row r="7029" spans="1:12">
      <c r="A7029" t="s">
        <v>264</v>
      </c>
      <c r="B7029" s="10">
        <v>45306</v>
      </c>
      <c r="C7029" s="18">
        <f t="shared" si="109"/>
        <v>1</v>
      </c>
      <c r="D7029" t="s">
        <v>196</v>
      </c>
      <c r="E7029">
        <v>4871600</v>
      </c>
      <c r="F7029" t="s">
        <v>8</v>
      </c>
      <c r="G7029" t="s">
        <v>205</v>
      </c>
      <c r="H7029" t="s">
        <v>246</v>
      </c>
      <c r="I7029" s="4">
        <v>5967.9380000000001</v>
      </c>
      <c r="J7029" s="4">
        <v>238717.52000000002</v>
      </c>
      <c r="K7029" s="4">
        <v>-12564.08</v>
      </c>
      <c r="L7029" s="4">
        <v>40</v>
      </c>
    </row>
    <row r="7030" spans="1:12">
      <c r="A7030" t="s">
        <v>264</v>
      </c>
      <c r="B7030" s="10">
        <v>45306</v>
      </c>
      <c r="C7030" s="18">
        <f t="shared" si="109"/>
        <v>1</v>
      </c>
      <c r="D7030" t="s">
        <v>196</v>
      </c>
      <c r="E7030">
        <v>4871600</v>
      </c>
      <c r="F7030" t="s">
        <v>8</v>
      </c>
      <c r="G7030" t="s">
        <v>205</v>
      </c>
      <c r="H7030" t="s">
        <v>247</v>
      </c>
      <c r="I7030" s="4">
        <v>8355.1131999999998</v>
      </c>
      <c r="J7030" s="4">
        <v>417755.66</v>
      </c>
      <c r="K7030" s="4">
        <v>-21987.14</v>
      </c>
      <c r="L7030" s="4">
        <v>50</v>
      </c>
    </row>
    <row r="7031" spans="1:12">
      <c r="A7031" t="s">
        <v>264</v>
      </c>
      <c r="B7031" s="10">
        <v>45306</v>
      </c>
      <c r="C7031" s="18">
        <f t="shared" si="109"/>
        <v>1</v>
      </c>
      <c r="D7031" t="s">
        <v>196</v>
      </c>
      <c r="E7031">
        <v>4873921</v>
      </c>
      <c r="F7031" t="s">
        <v>8</v>
      </c>
      <c r="G7031" t="s">
        <v>202</v>
      </c>
      <c r="H7031" t="s">
        <v>259</v>
      </c>
      <c r="I7031" s="4">
        <v>30279.432800000002</v>
      </c>
      <c r="J7031" s="4">
        <v>1211177.3120000002</v>
      </c>
      <c r="K7031" s="4">
        <v>-60307.583999999995</v>
      </c>
      <c r="L7031" s="4">
        <v>40</v>
      </c>
    </row>
    <row r="7032" spans="1:12">
      <c r="A7032" t="s">
        <v>264</v>
      </c>
      <c r="B7032" s="10">
        <v>45306</v>
      </c>
      <c r="C7032" s="18">
        <f t="shared" si="109"/>
        <v>1</v>
      </c>
      <c r="D7032" t="s">
        <v>196</v>
      </c>
      <c r="E7032">
        <v>4872156</v>
      </c>
      <c r="F7032" t="s">
        <v>8</v>
      </c>
      <c r="G7032" t="s">
        <v>202</v>
      </c>
      <c r="H7032" t="s">
        <v>256</v>
      </c>
      <c r="I7032" s="4">
        <v>64202.448800000006</v>
      </c>
      <c r="J7032" s="4">
        <v>1926073.4640000002</v>
      </c>
      <c r="K7032" s="4">
        <v>-96115.212</v>
      </c>
      <c r="L7032" s="4">
        <v>30</v>
      </c>
    </row>
    <row r="7033" spans="1:12">
      <c r="A7033" t="s">
        <v>264</v>
      </c>
      <c r="B7033" s="10">
        <v>45306</v>
      </c>
      <c r="C7033" s="18">
        <f t="shared" si="109"/>
        <v>1</v>
      </c>
      <c r="D7033" t="s">
        <v>196</v>
      </c>
      <c r="E7033">
        <v>4871863</v>
      </c>
      <c r="F7033" t="s">
        <v>8</v>
      </c>
      <c r="G7033" t="s">
        <v>204</v>
      </c>
      <c r="H7033" t="s">
        <v>217</v>
      </c>
      <c r="I7033" s="4">
        <v>78022.936799999996</v>
      </c>
      <c r="J7033" s="4">
        <v>1248366.9887999999</v>
      </c>
      <c r="K7033" s="4">
        <v>-62317.836799999997</v>
      </c>
      <c r="L7033" s="4">
        <v>16</v>
      </c>
    </row>
    <row r="7034" spans="1:12">
      <c r="A7034" t="s">
        <v>264</v>
      </c>
      <c r="B7034" s="10">
        <v>45306</v>
      </c>
      <c r="C7034" s="18">
        <f t="shared" si="109"/>
        <v>1</v>
      </c>
      <c r="D7034" t="s">
        <v>196</v>
      </c>
      <c r="E7034">
        <v>4871863</v>
      </c>
      <c r="F7034" t="s">
        <v>8</v>
      </c>
      <c r="G7034" t="s">
        <v>204</v>
      </c>
      <c r="H7034" t="s">
        <v>221</v>
      </c>
      <c r="I7034" s="4">
        <v>25253.800799999997</v>
      </c>
      <c r="J7034" s="4">
        <v>50507.601599999995</v>
      </c>
      <c r="K7034" s="4">
        <v>-2512.8160000000003</v>
      </c>
      <c r="L7034" s="4">
        <v>2</v>
      </c>
    </row>
    <row r="7035" spans="1:12">
      <c r="A7035" t="s">
        <v>264</v>
      </c>
      <c r="B7035" s="10">
        <v>45306</v>
      </c>
      <c r="C7035" s="18">
        <f t="shared" si="109"/>
        <v>1</v>
      </c>
      <c r="D7035" t="s">
        <v>196</v>
      </c>
      <c r="E7035">
        <v>4875736</v>
      </c>
      <c r="F7035" t="s">
        <v>8</v>
      </c>
      <c r="G7035" t="s">
        <v>205</v>
      </c>
      <c r="H7035" t="s">
        <v>210</v>
      </c>
      <c r="I7035" s="4">
        <v>7538.4479999999994</v>
      </c>
      <c r="J7035" s="4">
        <v>3769223.9999999995</v>
      </c>
      <c r="K7035" s="4">
        <v>-188461.2</v>
      </c>
      <c r="L7035" s="4">
        <v>500</v>
      </c>
    </row>
    <row r="7036" spans="1:12">
      <c r="A7036" t="s">
        <v>264</v>
      </c>
      <c r="B7036" s="10">
        <v>45306</v>
      </c>
      <c r="C7036" s="18">
        <f t="shared" si="109"/>
        <v>1</v>
      </c>
      <c r="D7036" t="s">
        <v>196</v>
      </c>
      <c r="E7036">
        <v>4875736</v>
      </c>
      <c r="F7036" t="s">
        <v>8</v>
      </c>
      <c r="G7036" t="s">
        <v>205</v>
      </c>
      <c r="H7036" t="s">
        <v>211</v>
      </c>
      <c r="I7036" s="4">
        <v>5151.2727999999997</v>
      </c>
      <c r="J7036" s="4">
        <v>2575636.4</v>
      </c>
      <c r="K7036" s="4">
        <v>-125640.8</v>
      </c>
      <c r="L7036" s="4">
        <v>500</v>
      </c>
    </row>
    <row r="7037" spans="1:12">
      <c r="A7037" t="s">
        <v>264</v>
      </c>
      <c r="B7037" s="10">
        <v>45306</v>
      </c>
      <c r="C7037" s="18">
        <f t="shared" si="109"/>
        <v>1</v>
      </c>
      <c r="D7037" t="s">
        <v>196</v>
      </c>
      <c r="E7037">
        <v>4872203</v>
      </c>
      <c r="F7037" t="s">
        <v>8</v>
      </c>
      <c r="G7037" t="s">
        <v>203</v>
      </c>
      <c r="H7037" t="s">
        <v>228</v>
      </c>
      <c r="I7037" s="4">
        <v>100638.28079999999</v>
      </c>
      <c r="J7037" s="4">
        <v>5031914.04</v>
      </c>
      <c r="K7037" s="4">
        <v>-226153.44</v>
      </c>
      <c r="L7037" s="4">
        <v>50</v>
      </c>
    </row>
    <row r="7038" spans="1:12">
      <c r="A7038" t="s">
        <v>264</v>
      </c>
      <c r="B7038" s="10">
        <v>45306</v>
      </c>
      <c r="C7038" s="18">
        <f t="shared" si="109"/>
        <v>1</v>
      </c>
      <c r="D7038" t="s">
        <v>196</v>
      </c>
      <c r="E7038">
        <v>4872203</v>
      </c>
      <c r="F7038" t="s">
        <v>8</v>
      </c>
      <c r="G7038" t="s">
        <v>203</v>
      </c>
      <c r="H7038" t="s">
        <v>223</v>
      </c>
      <c r="I7038" s="4">
        <v>100638.28079999999</v>
      </c>
      <c r="J7038" s="4">
        <v>5031914.04</v>
      </c>
      <c r="K7038" s="4">
        <v>-226153.44</v>
      </c>
      <c r="L7038" s="4">
        <v>50</v>
      </c>
    </row>
    <row r="7039" spans="1:12">
      <c r="A7039" t="s">
        <v>264</v>
      </c>
      <c r="B7039" s="10">
        <v>45307</v>
      </c>
      <c r="C7039" s="18">
        <f t="shared" si="109"/>
        <v>1</v>
      </c>
      <c r="D7039" t="s">
        <v>196</v>
      </c>
      <c r="E7039">
        <v>4871600</v>
      </c>
      <c r="F7039" t="s">
        <v>8</v>
      </c>
      <c r="G7039" t="s">
        <v>204</v>
      </c>
      <c r="H7039" t="s">
        <v>215</v>
      </c>
      <c r="I7039" s="4">
        <v>75510.12079999999</v>
      </c>
      <c r="J7039" s="4">
        <v>226530.36239999998</v>
      </c>
      <c r="K7039" s="4">
        <v>-13192.284</v>
      </c>
      <c r="L7039" s="4">
        <v>3</v>
      </c>
    </row>
    <row r="7040" spans="1:12">
      <c r="A7040" t="s">
        <v>264</v>
      </c>
      <c r="B7040" s="10">
        <v>45307</v>
      </c>
      <c r="C7040" s="18">
        <f t="shared" si="109"/>
        <v>1</v>
      </c>
      <c r="D7040" t="s">
        <v>196</v>
      </c>
      <c r="E7040">
        <v>4872068</v>
      </c>
      <c r="F7040" t="s">
        <v>8</v>
      </c>
      <c r="G7040" t="s">
        <v>203</v>
      </c>
      <c r="H7040" t="s">
        <v>240</v>
      </c>
      <c r="I7040" s="4">
        <v>100638.28079999999</v>
      </c>
      <c r="J7040" s="4">
        <v>1006382.808</v>
      </c>
      <c r="K7040" s="4">
        <v>-45230.688000000002</v>
      </c>
      <c r="L7040" s="4">
        <v>10</v>
      </c>
    </row>
    <row r="7041" spans="1:12">
      <c r="A7041" t="s">
        <v>264</v>
      </c>
      <c r="B7041" s="10">
        <v>45307</v>
      </c>
      <c r="C7041" s="18">
        <f t="shared" si="109"/>
        <v>1</v>
      </c>
      <c r="D7041" t="s">
        <v>196</v>
      </c>
      <c r="E7041">
        <v>4872068</v>
      </c>
      <c r="F7041" t="s">
        <v>8</v>
      </c>
      <c r="G7041" t="s">
        <v>203</v>
      </c>
      <c r="H7041" t="s">
        <v>238</v>
      </c>
      <c r="I7041" s="4">
        <v>95606.36675999999</v>
      </c>
      <c r="J7041" s="4">
        <v>956063.66759999993</v>
      </c>
      <c r="K7041" s="4">
        <v>-45230.688000000002</v>
      </c>
      <c r="L7041" s="4">
        <v>10</v>
      </c>
    </row>
    <row r="7042" spans="1:12">
      <c r="A7042" t="s">
        <v>264</v>
      </c>
      <c r="B7042" s="10">
        <v>45307</v>
      </c>
      <c r="C7042" s="18">
        <f t="shared" ref="C7042:C7105" si="110">MONTH(B7042)</f>
        <v>1</v>
      </c>
      <c r="D7042" t="s">
        <v>196</v>
      </c>
      <c r="E7042">
        <v>4872068</v>
      </c>
      <c r="F7042" t="s">
        <v>8</v>
      </c>
      <c r="G7042" t="s">
        <v>203</v>
      </c>
      <c r="H7042" t="s">
        <v>230</v>
      </c>
      <c r="I7042" s="4">
        <v>100638.28079999999</v>
      </c>
      <c r="J7042" s="4">
        <v>1006382.808</v>
      </c>
      <c r="K7042" s="4">
        <v>-45230.688000000002</v>
      </c>
      <c r="L7042" s="4">
        <v>10</v>
      </c>
    </row>
    <row r="7043" spans="1:12">
      <c r="A7043" t="s">
        <v>264</v>
      </c>
      <c r="B7043" s="10">
        <v>45307</v>
      </c>
      <c r="C7043" s="18">
        <f t="shared" si="110"/>
        <v>1</v>
      </c>
      <c r="D7043" t="s">
        <v>196</v>
      </c>
      <c r="E7043">
        <v>4872571</v>
      </c>
      <c r="F7043" t="s">
        <v>8</v>
      </c>
      <c r="G7043" t="s">
        <v>205</v>
      </c>
      <c r="H7043" t="s">
        <v>210</v>
      </c>
      <c r="I7043" s="4">
        <v>7538.4479999999994</v>
      </c>
      <c r="J7043" s="4">
        <v>753844.79999999993</v>
      </c>
      <c r="K7043" s="4">
        <v>-37692.239999999998</v>
      </c>
      <c r="L7043" s="4">
        <v>100</v>
      </c>
    </row>
    <row r="7044" spans="1:12">
      <c r="A7044" t="s">
        <v>264</v>
      </c>
      <c r="B7044" s="10">
        <v>45307</v>
      </c>
      <c r="C7044" s="18">
        <f t="shared" si="110"/>
        <v>1</v>
      </c>
      <c r="D7044" t="s">
        <v>196</v>
      </c>
      <c r="E7044">
        <v>4872571</v>
      </c>
      <c r="F7044" t="s">
        <v>8</v>
      </c>
      <c r="G7044" t="s">
        <v>205</v>
      </c>
      <c r="H7044" t="s">
        <v>211</v>
      </c>
      <c r="I7044" s="4">
        <v>5151.2727999999997</v>
      </c>
      <c r="J7044" s="4">
        <v>515127.27999999997</v>
      </c>
      <c r="K7044" s="4">
        <v>-25128.16</v>
      </c>
      <c r="L7044" s="4">
        <v>100</v>
      </c>
    </row>
    <row r="7045" spans="1:12">
      <c r="A7045" t="s">
        <v>264</v>
      </c>
      <c r="B7045" s="10">
        <v>45307</v>
      </c>
      <c r="C7045" s="18">
        <f t="shared" si="110"/>
        <v>1</v>
      </c>
      <c r="D7045" t="s">
        <v>196</v>
      </c>
      <c r="E7045">
        <v>4872158</v>
      </c>
      <c r="F7045" t="s">
        <v>8</v>
      </c>
      <c r="G7045" t="s">
        <v>203</v>
      </c>
      <c r="H7045" t="s">
        <v>245</v>
      </c>
      <c r="I7045" s="4">
        <v>100638.28079999999</v>
      </c>
      <c r="J7045" s="4">
        <v>1006382.808</v>
      </c>
      <c r="K7045" s="4">
        <v>-45230.688000000002</v>
      </c>
      <c r="L7045" s="4">
        <v>10</v>
      </c>
    </row>
    <row r="7046" spans="1:12">
      <c r="A7046" t="s">
        <v>264</v>
      </c>
      <c r="B7046" s="10">
        <v>45307</v>
      </c>
      <c r="C7046" s="18">
        <f t="shared" si="110"/>
        <v>1</v>
      </c>
      <c r="D7046" t="s">
        <v>196</v>
      </c>
      <c r="E7046">
        <v>4872158</v>
      </c>
      <c r="F7046" t="s">
        <v>8</v>
      </c>
      <c r="G7046" t="s">
        <v>203</v>
      </c>
      <c r="H7046" t="s">
        <v>243</v>
      </c>
      <c r="I7046" s="4">
        <v>100638.28079999999</v>
      </c>
      <c r="J7046" s="4">
        <v>1006382.808</v>
      </c>
      <c r="K7046" s="4">
        <v>-45230.688000000002</v>
      </c>
      <c r="L7046" s="4">
        <v>10</v>
      </c>
    </row>
    <row r="7047" spans="1:12">
      <c r="A7047" t="s">
        <v>264</v>
      </c>
      <c r="B7047" s="10">
        <v>45307</v>
      </c>
      <c r="C7047" s="18">
        <f t="shared" si="110"/>
        <v>1</v>
      </c>
      <c r="D7047" t="s">
        <v>196</v>
      </c>
      <c r="E7047">
        <v>4872158</v>
      </c>
      <c r="F7047" t="s">
        <v>8</v>
      </c>
      <c r="G7047" t="s">
        <v>203</v>
      </c>
      <c r="H7047" t="s">
        <v>242</v>
      </c>
      <c r="I7047" s="4">
        <v>100638.28079999999</v>
      </c>
      <c r="J7047" s="4">
        <v>1006382.808</v>
      </c>
      <c r="K7047" s="4">
        <v>-45230.688000000002</v>
      </c>
      <c r="L7047" s="4">
        <v>10</v>
      </c>
    </row>
    <row r="7048" spans="1:12">
      <c r="A7048" t="s">
        <v>264</v>
      </c>
      <c r="B7048" s="10">
        <v>45307</v>
      </c>
      <c r="C7048" s="18">
        <f t="shared" si="110"/>
        <v>1</v>
      </c>
      <c r="D7048" t="s">
        <v>196</v>
      </c>
      <c r="E7048">
        <v>4872158</v>
      </c>
      <c r="F7048" t="s">
        <v>8</v>
      </c>
      <c r="G7048" t="s">
        <v>203</v>
      </c>
      <c r="H7048" t="s">
        <v>240</v>
      </c>
      <c r="I7048" s="4">
        <v>100638.28079999999</v>
      </c>
      <c r="J7048" s="4">
        <v>1006382.808</v>
      </c>
      <c r="K7048" s="4">
        <v>-45230.688000000002</v>
      </c>
      <c r="L7048" s="4">
        <v>10</v>
      </c>
    </row>
    <row r="7049" spans="1:12">
      <c r="A7049" t="s">
        <v>264</v>
      </c>
      <c r="B7049" s="10">
        <v>45307</v>
      </c>
      <c r="C7049" s="18">
        <f t="shared" si="110"/>
        <v>1</v>
      </c>
      <c r="D7049" t="s">
        <v>196</v>
      </c>
      <c r="E7049">
        <v>4872158</v>
      </c>
      <c r="F7049" t="s">
        <v>8</v>
      </c>
      <c r="G7049" t="s">
        <v>203</v>
      </c>
      <c r="H7049" t="s">
        <v>238</v>
      </c>
      <c r="I7049" s="4">
        <v>95606.36675999999</v>
      </c>
      <c r="J7049" s="4">
        <v>573638.20055999991</v>
      </c>
      <c r="K7049" s="4">
        <v>-27138.412800000002</v>
      </c>
      <c r="L7049" s="4">
        <v>6</v>
      </c>
    </row>
    <row r="7050" spans="1:12">
      <c r="A7050" t="s">
        <v>264</v>
      </c>
      <c r="B7050" s="10">
        <v>45307</v>
      </c>
      <c r="C7050" s="18">
        <f t="shared" si="110"/>
        <v>1</v>
      </c>
      <c r="D7050" t="s">
        <v>196</v>
      </c>
      <c r="E7050">
        <v>4872158</v>
      </c>
      <c r="F7050" t="s">
        <v>8</v>
      </c>
      <c r="G7050" t="s">
        <v>203</v>
      </c>
      <c r="H7050" t="s">
        <v>236</v>
      </c>
      <c r="I7050" s="4">
        <v>100638.28079999999</v>
      </c>
      <c r="J7050" s="4">
        <v>1408935.9312</v>
      </c>
      <c r="K7050" s="4">
        <v>-63322.963199999998</v>
      </c>
      <c r="L7050" s="4">
        <v>14</v>
      </c>
    </row>
    <row r="7051" spans="1:12">
      <c r="A7051" t="s">
        <v>264</v>
      </c>
      <c r="B7051" s="10">
        <v>45307</v>
      </c>
      <c r="C7051" s="18">
        <f t="shared" si="110"/>
        <v>1</v>
      </c>
      <c r="D7051" t="s">
        <v>196</v>
      </c>
      <c r="E7051">
        <v>4872158</v>
      </c>
      <c r="F7051" t="s">
        <v>8</v>
      </c>
      <c r="G7051" t="s">
        <v>203</v>
      </c>
      <c r="H7051" t="s">
        <v>234</v>
      </c>
      <c r="I7051" s="4">
        <v>100638.28079999999</v>
      </c>
      <c r="J7051" s="4">
        <v>1006382.808</v>
      </c>
      <c r="K7051" s="4">
        <v>-45230.688000000002</v>
      </c>
      <c r="L7051" s="4">
        <v>10</v>
      </c>
    </row>
    <row r="7052" spans="1:12">
      <c r="A7052" t="s">
        <v>264</v>
      </c>
      <c r="B7052" s="10">
        <v>45307</v>
      </c>
      <c r="C7052" s="18">
        <f t="shared" si="110"/>
        <v>1</v>
      </c>
      <c r="D7052" t="s">
        <v>196</v>
      </c>
      <c r="E7052">
        <v>4872158</v>
      </c>
      <c r="F7052" t="s">
        <v>8</v>
      </c>
      <c r="G7052" t="s">
        <v>203</v>
      </c>
      <c r="H7052" t="s">
        <v>232</v>
      </c>
      <c r="I7052" s="4">
        <v>100638.28079999999</v>
      </c>
      <c r="J7052" s="4">
        <v>402553.12319999997</v>
      </c>
      <c r="K7052" s="4">
        <v>-18092.2752</v>
      </c>
      <c r="L7052" s="4">
        <v>4</v>
      </c>
    </row>
    <row r="7053" spans="1:12">
      <c r="A7053" t="s">
        <v>264</v>
      </c>
      <c r="B7053" s="10">
        <v>45307</v>
      </c>
      <c r="C7053" s="18">
        <f t="shared" si="110"/>
        <v>1</v>
      </c>
      <c r="D7053" t="s">
        <v>196</v>
      </c>
      <c r="E7053">
        <v>4872158</v>
      </c>
      <c r="F7053" t="s">
        <v>8</v>
      </c>
      <c r="G7053" t="s">
        <v>203</v>
      </c>
      <c r="H7053" t="s">
        <v>230</v>
      </c>
      <c r="I7053" s="4">
        <v>100638.28079999999</v>
      </c>
      <c r="J7053" s="4">
        <v>603829.68479999993</v>
      </c>
      <c r="K7053" s="4">
        <v>-27138.412800000002</v>
      </c>
      <c r="L7053" s="4">
        <v>6</v>
      </c>
    </row>
    <row r="7054" spans="1:12">
      <c r="A7054" t="s">
        <v>264</v>
      </c>
      <c r="B7054" s="10">
        <v>45307</v>
      </c>
      <c r="C7054" s="18">
        <f t="shared" si="110"/>
        <v>1</v>
      </c>
      <c r="D7054" t="s">
        <v>196</v>
      </c>
      <c r="E7054">
        <v>4872158</v>
      </c>
      <c r="F7054" t="s">
        <v>8</v>
      </c>
      <c r="G7054" t="s">
        <v>203</v>
      </c>
      <c r="H7054" t="s">
        <v>227</v>
      </c>
      <c r="I7054" s="4">
        <v>100638.28079999999</v>
      </c>
      <c r="J7054" s="4">
        <v>1006382.808</v>
      </c>
      <c r="K7054" s="4">
        <v>-45230.688000000002</v>
      </c>
      <c r="L7054" s="4">
        <v>10</v>
      </c>
    </row>
    <row r="7055" spans="1:12">
      <c r="A7055" t="s">
        <v>264</v>
      </c>
      <c r="B7055" s="10">
        <v>45307</v>
      </c>
      <c r="C7055" s="18">
        <f t="shared" si="110"/>
        <v>1</v>
      </c>
      <c r="D7055" t="s">
        <v>196</v>
      </c>
      <c r="E7055">
        <v>4872158</v>
      </c>
      <c r="F7055" t="s">
        <v>8</v>
      </c>
      <c r="G7055" t="s">
        <v>203</v>
      </c>
      <c r="H7055" t="s">
        <v>222</v>
      </c>
      <c r="I7055" s="4">
        <v>100638.28079999999</v>
      </c>
      <c r="J7055" s="4">
        <v>1006382.808</v>
      </c>
      <c r="K7055" s="4">
        <v>-45230.688000000002</v>
      </c>
      <c r="L7055" s="4">
        <v>10</v>
      </c>
    </row>
    <row r="7056" spans="1:12">
      <c r="A7056" t="s">
        <v>264</v>
      </c>
      <c r="B7056" s="10">
        <v>45307</v>
      </c>
      <c r="C7056" s="18">
        <f t="shared" si="110"/>
        <v>1</v>
      </c>
      <c r="D7056" t="s">
        <v>196</v>
      </c>
      <c r="E7056">
        <v>4873868</v>
      </c>
      <c r="F7056" t="s">
        <v>8</v>
      </c>
      <c r="G7056" t="s">
        <v>203</v>
      </c>
      <c r="H7056" t="s">
        <v>245</v>
      </c>
      <c r="I7056" s="4">
        <v>100638.28079999999</v>
      </c>
      <c r="J7056" s="4">
        <v>201276.56159999999</v>
      </c>
      <c r="K7056" s="4">
        <v>-9046.1376</v>
      </c>
      <c r="L7056" s="4">
        <v>2</v>
      </c>
    </row>
    <row r="7057" spans="1:12">
      <c r="A7057" t="s">
        <v>264</v>
      </c>
      <c r="B7057" s="10">
        <v>45307</v>
      </c>
      <c r="C7057" s="18">
        <f t="shared" si="110"/>
        <v>1</v>
      </c>
      <c r="D7057" t="s">
        <v>196</v>
      </c>
      <c r="E7057">
        <v>4873868</v>
      </c>
      <c r="F7057" t="s">
        <v>8</v>
      </c>
      <c r="G7057" t="s">
        <v>203</v>
      </c>
      <c r="H7057" t="s">
        <v>243</v>
      </c>
      <c r="I7057" s="4">
        <v>100638.28079999999</v>
      </c>
      <c r="J7057" s="4">
        <v>201276.56159999999</v>
      </c>
      <c r="K7057" s="4">
        <v>-9046.1376</v>
      </c>
      <c r="L7057" s="4">
        <v>2</v>
      </c>
    </row>
    <row r="7058" spans="1:12">
      <c r="A7058" t="s">
        <v>264</v>
      </c>
      <c r="B7058" s="10">
        <v>45307</v>
      </c>
      <c r="C7058" s="18">
        <f t="shared" si="110"/>
        <v>1</v>
      </c>
      <c r="D7058" t="s">
        <v>196</v>
      </c>
      <c r="E7058">
        <v>4873868</v>
      </c>
      <c r="F7058" t="s">
        <v>8</v>
      </c>
      <c r="G7058" t="s">
        <v>203</v>
      </c>
      <c r="H7058" t="s">
        <v>242</v>
      </c>
      <c r="I7058" s="4">
        <v>100638.28079999999</v>
      </c>
      <c r="J7058" s="4">
        <v>201276.56159999999</v>
      </c>
      <c r="K7058" s="4">
        <v>-9046.1376</v>
      </c>
      <c r="L7058" s="4">
        <v>2</v>
      </c>
    </row>
    <row r="7059" spans="1:12">
      <c r="A7059" t="s">
        <v>264</v>
      </c>
      <c r="B7059" s="10">
        <v>45307</v>
      </c>
      <c r="C7059" s="18">
        <f t="shared" si="110"/>
        <v>1</v>
      </c>
      <c r="D7059" t="s">
        <v>196</v>
      </c>
      <c r="E7059">
        <v>4873868</v>
      </c>
      <c r="F7059" t="s">
        <v>8</v>
      </c>
      <c r="G7059" t="s">
        <v>203</v>
      </c>
      <c r="H7059" t="s">
        <v>240</v>
      </c>
      <c r="I7059" s="4">
        <v>100638.28079999999</v>
      </c>
      <c r="J7059" s="4">
        <v>201276.56159999999</v>
      </c>
      <c r="K7059" s="4">
        <v>-9046.1376</v>
      </c>
      <c r="L7059" s="4">
        <v>2</v>
      </c>
    </row>
    <row r="7060" spans="1:12">
      <c r="A7060" t="s">
        <v>264</v>
      </c>
      <c r="B7060" s="10">
        <v>45307</v>
      </c>
      <c r="C7060" s="18">
        <f t="shared" si="110"/>
        <v>1</v>
      </c>
      <c r="D7060" t="s">
        <v>196</v>
      </c>
      <c r="E7060">
        <v>4873868</v>
      </c>
      <c r="F7060" t="s">
        <v>8</v>
      </c>
      <c r="G7060" t="s">
        <v>203</v>
      </c>
      <c r="H7060" t="s">
        <v>238</v>
      </c>
      <c r="I7060" s="4">
        <v>95606.36675999999</v>
      </c>
      <c r="J7060" s="4">
        <v>191212.73351999998</v>
      </c>
      <c r="K7060" s="4">
        <v>-9046.1376</v>
      </c>
      <c r="L7060" s="4">
        <v>2</v>
      </c>
    </row>
    <row r="7061" spans="1:12">
      <c r="A7061" t="s">
        <v>264</v>
      </c>
      <c r="B7061" s="10">
        <v>45307</v>
      </c>
      <c r="C7061" s="18">
        <f t="shared" si="110"/>
        <v>1</v>
      </c>
      <c r="D7061" t="s">
        <v>196</v>
      </c>
      <c r="E7061">
        <v>4873868</v>
      </c>
      <c r="F7061" t="s">
        <v>8</v>
      </c>
      <c r="G7061" t="s">
        <v>203</v>
      </c>
      <c r="H7061" t="s">
        <v>236</v>
      </c>
      <c r="I7061" s="4">
        <v>100638.28079999999</v>
      </c>
      <c r="J7061" s="4">
        <v>201276.56159999999</v>
      </c>
      <c r="K7061" s="4">
        <v>-9046.1376</v>
      </c>
      <c r="L7061" s="4">
        <v>2</v>
      </c>
    </row>
    <row r="7062" spans="1:12">
      <c r="A7062" t="s">
        <v>264</v>
      </c>
      <c r="B7062" s="10">
        <v>45307</v>
      </c>
      <c r="C7062" s="18">
        <f t="shared" si="110"/>
        <v>1</v>
      </c>
      <c r="D7062" t="s">
        <v>196</v>
      </c>
      <c r="E7062">
        <v>4873868</v>
      </c>
      <c r="F7062" t="s">
        <v>8</v>
      </c>
      <c r="G7062" t="s">
        <v>203</v>
      </c>
      <c r="H7062" t="s">
        <v>234</v>
      </c>
      <c r="I7062" s="4">
        <v>100638.28079999999</v>
      </c>
      <c r="J7062" s="4">
        <v>201276.56159999999</v>
      </c>
      <c r="K7062" s="4">
        <v>-9046.1376</v>
      </c>
      <c r="L7062" s="4">
        <v>2</v>
      </c>
    </row>
    <row r="7063" spans="1:12">
      <c r="A7063" t="s">
        <v>264</v>
      </c>
      <c r="B7063" s="10">
        <v>45307</v>
      </c>
      <c r="C7063" s="18">
        <f t="shared" si="110"/>
        <v>1</v>
      </c>
      <c r="D7063" t="s">
        <v>196</v>
      </c>
      <c r="E7063">
        <v>4873868</v>
      </c>
      <c r="F7063" t="s">
        <v>8</v>
      </c>
      <c r="G7063" t="s">
        <v>203</v>
      </c>
      <c r="H7063" t="s">
        <v>232</v>
      </c>
      <c r="I7063" s="4">
        <v>100638.28079999999</v>
      </c>
      <c r="J7063" s="4">
        <v>201276.56159999999</v>
      </c>
      <c r="K7063" s="4">
        <v>-9046.1376</v>
      </c>
      <c r="L7063" s="4">
        <v>2</v>
      </c>
    </row>
    <row r="7064" spans="1:12">
      <c r="A7064" t="s">
        <v>264</v>
      </c>
      <c r="B7064" s="10">
        <v>45307</v>
      </c>
      <c r="C7064" s="18">
        <f t="shared" si="110"/>
        <v>1</v>
      </c>
      <c r="D7064" t="s">
        <v>196</v>
      </c>
      <c r="E7064">
        <v>4873868</v>
      </c>
      <c r="F7064" t="s">
        <v>8</v>
      </c>
      <c r="G7064" t="s">
        <v>203</v>
      </c>
      <c r="H7064" t="s">
        <v>230</v>
      </c>
      <c r="I7064" s="4">
        <v>100638.28079999999</v>
      </c>
      <c r="J7064" s="4">
        <v>201276.56159999999</v>
      </c>
      <c r="K7064" s="4">
        <v>-9046.1376</v>
      </c>
      <c r="L7064" s="4">
        <v>2</v>
      </c>
    </row>
    <row r="7065" spans="1:12">
      <c r="A7065" t="s">
        <v>264</v>
      </c>
      <c r="B7065" s="10">
        <v>45307</v>
      </c>
      <c r="C7065" s="18">
        <f t="shared" si="110"/>
        <v>1</v>
      </c>
      <c r="D7065" t="s">
        <v>196</v>
      </c>
      <c r="E7065">
        <v>4873868</v>
      </c>
      <c r="F7065" t="s">
        <v>8</v>
      </c>
      <c r="G7065" t="s">
        <v>203</v>
      </c>
      <c r="H7065" t="s">
        <v>228</v>
      </c>
      <c r="I7065" s="4">
        <v>100638.28079999999</v>
      </c>
      <c r="J7065" s="4">
        <v>201276.56159999999</v>
      </c>
      <c r="K7065" s="4">
        <v>-9046.1376</v>
      </c>
      <c r="L7065" s="4">
        <v>2</v>
      </c>
    </row>
    <row r="7066" spans="1:12">
      <c r="A7066" t="s">
        <v>264</v>
      </c>
      <c r="B7066" s="10">
        <v>45307</v>
      </c>
      <c r="C7066" s="18">
        <f t="shared" si="110"/>
        <v>1</v>
      </c>
      <c r="D7066" t="s">
        <v>196</v>
      </c>
      <c r="E7066">
        <v>4873868</v>
      </c>
      <c r="F7066" t="s">
        <v>8</v>
      </c>
      <c r="G7066" t="s">
        <v>203</v>
      </c>
      <c r="H7066" t="s">
        <v>227</v>
      </c>
      <c r="I7066" s="4">
        <v>100638.28079999999</v>
      </c>
      <c r="J7066" s="4">
        <v>201276.56159999999</v>
      </c>
      <c r="K7066" s="4">
        <v>-9046.1376</v>
      </c>
      <c r="L7066" s="4">
        <v>2</v>
      </c>
    </row>
    <row r="7067" spans="1:12">
      <c r="A7067" t="s">
        <v>264</v>
      </c>
      <c r="B7067" s="10">
        <v>45307</v>
      </c>
      <c r="C7067" s="18">
        <f t="shared" si="110"/>
        <v>1</v>
      </c>
      <c r="D7067" t="s">
        <v>196</v>
      </c>
      <c r="E7067">
        <v>4873868</v>
      </c>
      <c r="F7067" t="s">
        <v>8</v>
      </c>
      <c r="G7067" t="s">
        <v>203</v>
      </c>
      <c r="H7067" t="s">
        <v>226</v>
      </c>
      <c r="I7067" s="4">
        <v>100638.28079999999</v>
      </c>
      <c r="J7067" s="4">
        <v>201276.56159999999</v>
      </c>
      <c r="K7067" s="4">
        <v>-9046.1376</v>
      </c>
      <c r="L7067" s="4">
        <v>2</v>
      </c>
    </row>
    <row r="7068" spans="1:12">
      <c r="A7068" t="s">
        <v>264</v>
      </c>
      <c r="B7068" s="10">
        <v>45307</v>
      </c>
      <c r="C7068" s="18">
        <f t="shared" si="110"/>
        <v>1</v>
      </c>
      <c r="D7068" t="s">
        <v>196</v>
      </c>
      <c r="E7068">
        <v>4873868</v>
      </c>
      <c r="F7068" t="s">
        <v>8</v>
      </c>
      <c r="G7068" t="s">
        <v>203</v>
      </c>
      <c r="H7068" t="s">
        <v>225</v>
      </c>
      <c r="I7068" s="4">
        <v>100638.28079999999</v>
      </c>
      <c r="J7068" s="4">
        <v>201276.56159999999</v>
      </c>
      <c r="K7068" s="4">
        <v>-9046.1376</v>
      </c>
      <c r="L7068" s="4">
        <v>2</v>
      </c>
    </row>
    <row r="7069" spans="1:12">
      <c r="A7069" t="s">
        <v>264</v>
      </c>
      <c r="B7069" s="10">
        <v>45307</v>
      </c>
      <c r="C7069" s="18">
        <f t="shared" si="110"/>
        <v>1</v>
      </c>
      <c r="D7069" t="s">
        <v>196</v>
      </c>
      <c r="E7069">
        <v>4873868</v>
      </c>
      <c r="F7069" t="s">
        <v>8</v>
      </c>
      <c r="G7069" t="s">
        <v>203</v>
      </c>
      <c r="H7069" t="s">
        <v>224</v>
      </c>
      <c r="I7069" s="4">
        <v>100638.28079999999</v>
      </c>
      <c r="J7069" s="4">
        <v>201276.56159999999</v>
      </c>
      <c r="K7069" s="4">
        <v>-9046.1376</v>
      </c>
      <c r="L7069" s="4">
        <v>2</v>
      </c>
    </row>
    <row r="7070" spans="1:12">
      <c r="A7070" t="s">
        <v>264</v>
      </c>
      <c r="B7070" s="10">
        <v>45307</v>
      </c>
      <c r="C7070" s="18">
        <f t="shared" si="110"/>
        <v>1</v>
      </c>
      <c r="D7070" t="s">
        <v>196</v>
      </c>
      <c r="E7070">
        <v>4873868</v>
      </c>
      <c r="F7070" t="s">
        <v>8</v>
      </c>
      <c r="G7070" t="s">
        <v>203</v>
      </c>
      <c r="H7070" t="s">
        <v>223</v>
      </c>
      <c r="I7070" s="4">
        <v>100638.28079999999</v>
      </c>
      <c r="J7070" s="4">
        <v>201276.56159999999</v>
      </c>
      <c r="K7070" s="4">
        <v>-9046.1376</v>
      </c>
      <c r="L7070" s="4">
        <v>2</v>
      </c>
    </row>
    <row r="7071" spans="1:12">
      <c r="A7071" t="s">
        <v>264</v>
      </c>
      <c r="B7071" s="10">
        <v>45307</v>
      </c>
      <c r="C7071" s="18">
        <f t="shared" si="110"/>
        <v>1</v>
      </c>
      <c r="D7071" t="s">
        <v>196</v>
      </c>
      <c r="E7071">
        <v>4873868</v>
      </c>
      <c r="F7071" t="s">
        <v>8</v>
      </c>
      <c r="G7071" t="s">
        <v>203</v>
      </c>
      <c r="H7071" t="s">
        <v>222</v>
      </c>
      <c r="I7071" s="4">
        <v>100638.28079999999</v>
      </c>
      <c r="J7071" s="4">
        <v>201276.56159999999</v>
      </c>
      <c r="K7071" s="4">
        <v>-9046.1376</v>
      </c>
      <c r="L7071" s="4">
        <v>2</v>
      </c>
    </row>
    <row r="7072" spans="1:12">
      <c r="A7072" t="s">
        <v>264</v>
      </c>
      <c r="B7072" s="10">
        <v>45307</v>
      </c>
      <c r="C7072" s="18">
        <f t="shared" si="110"/>
        <v>1</v>
      </c>
      <c r="D7072" t="s">
        <v>196</v>
      </c>
      <c r="E7072">
        <v>4873868</v>
      </c>
      <c r="F7072" t="s">
        <v>8</v>
      </c>
      <c r="G7072" t="s">
        <v>203</v>
      </c>
      <c r="H7072" t="s">
        <v>244</v>
      </c>
      <c r="I7072" s="4">
        <v>125766.4408</v>
      </c>
      <c r="J7072" s="4">
        <v>251532.88159999999</v>
      </c>
      <c r="K7072" s="4">
        <v>-11684.5944</v>
      </c>
      <c r="L7072" s="4">
        <v>2</v>
      </c>
    </row>
    <row r="7073" spans="1:12">
      <c r="A7073" t="s">
        <v>264</v>
      </c>
      <c r="B7073" s="10">
        <v>45307</v>
      </c>
      <c r="C7073" s="18">
        <f t="shared" si="110"/>
        <v>1</v>
      </c>
      <c r="D7073" t="s">
        <v>196</v>
      </c>
      <c r="E7073">
        <v>4873868</v>
      </c>
      <c r="F7073" t="s">
        <v>8</v>
      </c>
      <c r="G7073" t="s">
        <v>203</v>
      </c>
      <c r="H7073" t="s">
        <v>241</v>
      </c>
      <c r="I7073" s="4">
        <v>125766.4408</v>
      </c>
      <c r="J7073" s="4">
        <v>251532.88159999999</v>
      </c>
      <c r="K7073" s="4">
        <v>-11684.5944</v>
      </c>
      <c r="L7073" s="4">
        <v>2</v>
      </c>
    </row>
    <row r="7074" spans="1:12">
      <c r="A7074" t="s">
        <v>264</v>
      </c>
      <c r="B7074" s="10">
        <v>45307</v>
      </c>
      <c r="C7074" s="18">
        <f t="shared" si="110"/>
        <v>1</v>
      </c>
      <c r="D7074" t="s">
        <v>196</v>
      </c>
      <c r="E7074">
        <v>4873868</v>
      </c>
      <c r="F7074" t="s">
        <v>8</v>
      </c>
      <c r="G7074" t="s">
        <v>203</v>
      </c>
      <c r="H7074" t="s">
        <v>239</v>
      </c>
      <c r="I7074" s="4">
        <v>125766.4408</v>
      </c>
      <c r="J7074" s="4">
        <v>251532.88159999999</v>
      </c>
      <c r="K7074" s="4">
        <v>-11684.5944</v>
      </c>
      <c r="L7074" s="4">
        <v>2</v>
      </c>
    </row>
    <row r="7075" spans="1:12">
      <c r="A7075" t="s">
        <v>264</v>
      </c>
      <c r="B7075" s="10">
        <v>45307</v>
      </c>
      <c r="C7075" s="18">
        <f t="shared" si="110"/>
        <v>1</v>
      </c>
      <c r="D7075" t="s">
        <v>196</v>
      </c>
      <c r="E7075">
        <v>4873868</v>
      </c>
      <c r="F7075" t="s">
        <v>8</v>
      </c>
      <c r="G7075" t="s">
        <v>203</v>
      </c>
      <c r="H7075" t="s">
        <v>235</v>
      </c>
      <c r="I7075" s="4">
        <v>125766.4408</v>
      </c>
      <c r="J7075" s="4">
        <v>251532.88159999999</v>
      </c>
      <c r="K7075" s="4">
        <v>-11684.5944</v>
      </c>
      <c r="L7075" s="4">
        <v>2</v>
      </c>
    </row>
    <row r="7076" spans="1:12">
      <c r="A7076" t="s">
        <v>264</v>
      </c>
      <c r="B7076" s="10">
        <v>45307</v>
      </c>
      <c r="C7076" s="18">
        <f t="shared" si="110"/>
        <v>1</v>
      </c>
      <c r="D7076" t="s">
        <v>196</v>
      </c>
      <c r="E7076">
        <v>4873868</v>
      </c>
      <c r="F7076" t="s">
        <v>8</v>
      </c>
      <c r="G7076" t="s">
        <v>203</v>
      </c>
      <c r="H7076" t="s">
        <v>233</v>
      </c>
      <c r="I7076" s="4">
        <v>120735.78316800001</v>
      </c>
      <c r="J7076" s="4">
        <v>241471.56633600002</v>
      </c>
      <c r="K7076" s="4">
        <v>-11684.5944</v>
      </c>
      <c r="L7076" s="4">
        <v>2</v>
      </c>
    </row>
    <row r="7077" spans="1:12">
      <c r="A7077" t="s">
        <v>264</v>
      </c>
      <c r="B7077" s="10">
        <v>45307</v>
      </c>
      <c r="C7077" s="18">
        <f t="shared" si="110"/>
        <v>1</v>
      </c>
      <c r="D7077" t="s">
        <v>196</v>
      </c>
      <c r="E7077">
        <v>4873868</v>
      </c>
      <c r="F7077" t="s">
        <v>8</v>
      </c>
      <c r="G7077" t="s">
        <v>203</v>
      </c>
      <c r="H7077" t="s">
        <v>231</v>
      </c>
      <c r="I7077" s="4">
        <v>125766.4408</v>
      </c>
      <c r="J7077" s="4">
        <v>251532.88159999999</v>
      </c>
      <c r="K7077" s="4">
        <v>-11684.5944</v>
      </c>
      <c r="L7077" s="4">
        <v>2</v>
      </c>
    </row>
    <row r="7078" spans="1:12">
      <c r="A7078" t="s">
        <v>264</v>
      </c>
      <c r="B7078" s="10">
        <v>45307</v>
      </c>
      <c r="C7078" s="18">
        <f t="shared" si="110"/>
        <v>1</v>
      </c>
      <c r="D7078" t="s">
        <v>196</v>
      </c>
      <c r="E7078">
        <v>4874586</v>
      </c>
      <c r="F7078" t="s">
        <v>8</v>
      </c>
      <c r="G7078" t="s">
        <v>203</v>
      </c>
      <c r="H7078" t="s">
        <v>243</v>
      </c>
      <c r="I7078" s="4">
        <v>100638.28079999999</v>
      </c>
      <c r="J7078" s="4">
        <v>1006382.808</v>
      </c>
      <c r="K7078" s="4">
        <v>-45230.688000000002</v>
      </c>
      <c r="L7078" s="4">
        <v>10</v>
      </c>
    </row>
    <row r="7079" spans="1:12">
      <c r="A7079" t="s">
        <v>264</v>
      </c>
      <c r="B7079" s="10">
        <v>45307</v>
      </c>
      <c r="C7079" s="18">
        <f t="shared" si="110"/>
        <v>1</v>
      </c>
      <c r="D7079" t="s">
        <v>196</v>
      </c>
      <c r="E7079">
        <v>4874586</v>
      </c>
      <c r="F7079" t="s">
        <v>8</v>
      </c>
      <c r="G7079" t="s">
        <v>203</v>
      </c>
      <c r="H7079" t="s">
        <v>242</v>
      </c>
      <c r="I7079" s="4">
        <v>100638.28079999999</v>
      </c>
      <c r="J7079" s="4">
        <v>1006382.808</v>
      </c>
      <c r="K7079" s="4">
        <v>-45230.688000000002</v>
      </c>
      <c r="L7079" s="4">
        <v>10</v>
      </c>
    </row>
    <row r="7080" spans="1:12">
      <c r="A7080" t="s">
        <v>264</v>
      </c>
      <c r="B7080" s="10">
        <v>45307</v>
      </c>
      <c r="C7080" s="18">
        <f t="shared" si="110"/>
        <v>1</v>
      </c>
      <c r="D7080" t="s">
        <v>196</v>
      </c>
      <c r="E7080">
        <v>4874586</v>
      </c>
      <c r="F7080" t="s">
        <v>8</v>
      </c>
      <c r="G7080" t="s">
        <v>203</v>
      </c>
      <c r="H7080" t="s">
        <v>238</v>
      </c>
      <c r="I7080" s="4">
        <v>95606.36675999999</v>
      </c>
      <c r="J7080" s="4">
        <v>956063.66759999993</v>
      </c>
      <c r="K7080" s="4">
        <v>-45230.688000000002</v>
      </c>
      <c r="L7080" s="4">
        <v>10</v>
      </c>
    </row>
    <row r="7081" spans="1:12">
      <c r="A7081" t="s">
        <v>264</v>
      </c>
      <c r="B7081" s="10">
        <v>45307</v>
      </c>
      <c r="C7081" s="18">
        <f t="shared" si="110"/>
        <v>1</v>
      </c>
      <c r="D7081" t="s">
        <v>196</v>
      </c>
      <c r="E7081">
        <v>4874586</v>
      </c>
      <c r="F7081" t="s">
        <v>8</v>
      </c>
      <c r="G7081" t="s">
        <v>203</v>
      </c>
      <c r="H7081" t="s">
        <v>236</v>
      </c>
      <c r="I7081" s="4">
        <v>100638.28079999999</v>
      </c>
      <c r="J7081" s="4">
        <v>1006382.808</v>
      </c>
      <c r="K7081" s="4">
        <v>-45230.688000000002</v>
      </c>
      <c r="L7081" s="4">
        <v>10</v>
      </c>
    </row>
    <row r="7082" spans="1:12">
      <c r="A7082" t="s">
        <v>264</v>
      </c>
      <c r="B7082" s="10">
        <v>45307</v>
      </c>
      <c r="C7082" s="18">
        <f t="shared" si="110"/>
        <v>1</v>
      </c>
      <c r="D7082" t="s">
        <v>196</v>
      </c>
      <c r="E7082">
        <v>4874586</v>
      </c>
      <c r="F7082" t="s">
        <v>8</v>
      </c>
      <c r="G7082" t="s">
        <v>203</v>
      </c>
      <c r="H7082" t="s">
        <v>228</v>
      </c>
      <c r="I7082" s="4">
        <v>100638.28079999999</v>
      </c>
      <c r="J7082" s="4">
        <v>1006382.808</v>
      </c>
      <c r="K7082" s="4">
        <v>-45230.688000000002</v>
      </c>
      <c r="L7082" s="4">
        <v>10</v>
      </c>
    </row>
    <row r="7083" spans="1:12">
      <c r="A7083" t="s">
        <v>264</v>
      </c>
      <c r="B7083" s="10">
        <v>45307</v>
      </c>
      <c r="C7083" s="18">
        <f t="shared" si="110"/>
        <v>1</v>
      </c>
      <c r="D7083" t="s">
        <v>196</v>
      </c>
      <c r="E7083">
        <v>4874586</v>
      </c>
      <c r="F7083" t="s">
        <v>8</v>
      </c>
      <c r="G7083" t="s">
        <v>203</v>
      </c>
      <c r="H7083" t="s">
        <v>224</v>
      </c>
      <c r="I7083" s="4">
        <v>100638.28079999999</v>
      </c>
      <c r="J7083" s="4">
        <v>1006382.808</v>
      </c>
      <c r="K7083" s="4">
        <v>-45230.688000000002</v>
      </c>
      <c r="L7083" s="4">
        <v>10</v>
      </c>
    </row>
    <row r="7084" spans="1:12">
      <c r="A7084" t="s">
        <v>264</v>
      </c>
      <c r="B7084" s="10">
        <v>45307</v>
      </c>
      <c r="C7084" s="18">
        <f t="shared" si="110"/>
        <v>1</v>
      </c>
      <c r="D7084" t="s">
        <v>196</v>
      </c>
      <c r="E7084">
        <v>4874586</v>
      </c>
      <c r="F7084" t="s">
        <v>8</v>
      </c>
      <c r="G7084" t="s">
        <v>203</v>
      </c>
      <c r="H7084" t="s">
        <v>241</v>
      </c>
      <c r="I7084" s="4">
        <v>125766.4408</v>
      </c>
      <c r="J7084" s="4">
        <v>1257664.4080000001</v>
      </c>
      <c r="K7084" s="4">
        <v>-58422.972000000002</v>
      </c>
      <c r="L7084" s="4">
        <v>10</v>
      </c>
    </row>
    <row r="7085" spans="1:12">
      <c r="A7085" t="s">
        <v>264</v>
      </c>
      <c r="B7085" s="10">
        <v>45307</v>
      </c>
      <c r="C7085" s="18">
        <f t="shared" si="110"/>
        <v>1</v>
      </c>
      <c r="D7085" t="s">
        <v>196</v>
      </c>
      <c r="E7085">
        <v>4874586</v>
      </c>
      <c r="F7085" t="s">
        <v>8</v>
      </c>
      <c r="G7085" t="s">
        <v>203</v>
      </c>
      <c r="H7085" t="s">
        <v>239</v>
      </c>
      <c r="I7085" s="4">
        <v>125766.4408</v>
      </c>
      <c r="J7085" s="4">
        <v>628832.20400000003</v>
      </c>
      <c r="K7085" s="4">
        <v>-29211.486000000001</v>
      </c>
      <c r="L7085" s="4">
        <v>5</v>
      </c>
    </row>
    <row r="7086" spans="1:12">
      <c r="A7086" t="s">
        <v>264</v>
      </c>
      <c r="B7086" s="10">
        <v>45307</v>
      </c>
      <c r="C7086" s="18">
        <f t="shared" si="110"/>
        <v>1</v>
      </c>
      <c r="D7086" t="s">
        <v>196</v>
      </c>
      <c r="E7086">
        <v>4874586</v>
      </c>
      <c r="F7086" t="s">
        <v>8</v>
      </c>
      <c r="G7086" t="s">
        <v>203</v>
      </c>
      <c r="H7086" t="s">
        <v>233</v>
      </c>
      <c r="I7086" s="4">
        <v>120735.78316800001</v>
      </c>
      <c r="J7086" s="4">
        <v>603678.91584000003</v>
      </c>
      <c r="K7086" s="4">
        <v>-29211.486000000001</v>
      </c>
      <c r="L7086" s="4">
        <v>5</v>
      </c>
    </row>
    <row r="7087" spans="1:12">
      <c r="A7087" t="s">
        <v>264</v>
      </c>
      <c r="B7087" s="10">
        <v>45307</v>
      </c>
      <c r="C7087" s="18">
        <f t="shared" si="110"/>
        <v>1</v>
      </c>
      <c r="D7087" t="s">
        <v>196</v>
      </c>
      <c r="E7087">
        <v>4874586</v>
      </c>
      <c r="F7087" t="s">
        <v>8</v>
      </c>
      <c r="G7087" t="s">
        <v>203</v>
      </c>
      <c r="H7087" t="s">
        <v>231</v>
      </c>
      <c r="I7087" s="4">
        <v>125766.4408</v>
      </c>
      <c r="J7087" s="4">
        <v>1257664.4080000001</v>
      </c>
      <c r="K7087" s="4">
        <v>-58422.972000000002</v>
      </c>
      <c r="L7087" s="4">
        <v>10</v>
      </c>
    </row>
    <row r="7088" spans="1:12">
      <c r="A7088" t="s">
        <v>264</v>
      </c>
      <c r="B7088" s="10">
        <v>45307</v>
      </c>
      <c r="C7088" s="18">
        <f t="shared" si="110"/>
        <v>1</v>
      </c>
      <c r="D7088" t="s">
        <v>196</v>
      </c>
      <c r="E7088">
        <v>4874586</v>
      </c>
      <c r="F7088" t="s">
        <v>8</v>
      </c>
      <c r="G7088" t="s">
        <v>202</v>
      </c>
      <c r="H7088" t="s">
        <v>261</v>
      </c>
      <c r="I7088" s="4">
        <v>41587.104800000001</v>
      </c>
      <c r="J7088" s="4">
        <v>2079355.24</v>
      </c>
      <c r="K7088" s="4">
        <v>-103653.66</v>
      </c>
      <c r="L7088" s="4">
        <v>50</v>
      </c>
    </row>
    <row r="7089" spans="1:12">
      <c r="A7089" t="s">
        <v>264</v>
      </c>
      <c r="B7089" s="10">
        <v>45307</v>
      </c>
      <c r="C7089" s="18">
        <f t="shared" si="110"/>
        <v>1</v>
      </c>
      <c r="D7089" t="s">
        <v>196</v>
      </c>
      <c r="E7089">
        <v>4874586</v>
      </c>
      <c r="F7089" t="s">
        <v>8</v>
      </c>
      <c r="G7089" t="s">
        <v>202</v>
      </c>
      <c r="H7089" t="s">
        <v>259</v>
      </c>
      <c r="I7089" s="4">
        <v>30279.432800000002</v>
      </c>
      <c r="J7089" s="4">
        <v>3027943.2800000003</v>
      </c>
      <c r="K7089" s="4">
        <v>-150768.95999999999</v>
      </c>
      <c r="L7089" s="4">
        <v>100</v>
      </c>
    </row>
    <row r="7090" spans="1:12">
      <c r="A7090" t="s">
        <v>264</v>
      </c>
      <c r="B7090" s="10">
        <v>45307</v>
      </c>
      <c r="C7090" s="18">
        <f t="shared" si="110"/>
        <v>1</v>
      </c>
      <c r="D7090" t="s">
        <v>196</v>
      </c>
      <c r="E7090">
        <v>4874586</v>
      </c>
      <c r="F7090" t="s">
        <v>8</v>
      </c>
      <c r="G7090" t="s">
        <v>202</v>
      </c>
      <c r="H7090" t="s">
        <v>258</v>
      </c>
      <c r="I7090" s="4">
        <v>37817.880799999999</v>
      </c>
      <c r="J7090" s="4">
        <v>1890894.04</v>
      </c>
      <c r="K7090" s="4">
        <v>-94230.6</v>
      </c>
      <c r="L7090" s="4">
        <v>50</v>
      </c>
    </row>
    <row r="7091" spans="1:12">
      <c r="A7091" t="s">
        <v>264</v>
      </c>
      <c r="B7091" s="10">
        <v>45307</v>
      </c>
      <c r="C7091" s="18">
        <f t="shared" si="110"/>
        <v>1</v>
      </c>
      <c r="D7091" t="s">
        <v>196</v>
      </c>
      <c r="E7091">
        <v>4874586</v>
      </c>
      <c r="F7091" t="s">
        <v>8</v>
      </c>
      <c r="G7091" t="s">
        <v>205</v>
      </c>
      <c r="H7091" t="s">
        <v>211</v>
      </c>
      <c r="I7091" s="4">
        <v>5151.2727999999997</v>
      </c>
      <c r="J7091" s="4">
        <v>515127.27999999997</v>
      </c>
      <c r="K7091" s="4">
        <v>-25128.16</v>
      </c>
      <c r="L7091" s="4">
        <v>100</v>
      </c>
    </row>
    <row r="7092" spans="1:12">
      <c r="A7092" t="s">
        <v>264</v>
      </c>
      <c r="B7092" s="10">
        <v>45307</v>
      </c>
      <c r="C7092" s="18">
        <f t="shared" si="110"/>
        <v>1</v>
      </c>
      <c r="D7092" t="s">
        <v>196</v>
      </c>
      <c r="E7092">
        <v>4872135</v>
      </c>
      <c r="F7092" t="s">
        <v>8</v>
      </c>
      <c r="G7092" t="s">
        <v>203</v>
      </c>
      <c r="H7092" t="s">
        <v>241</v>
      </c>
      <c r="I7092" s="4">
        <v>125766.4408</v>
      </c>
      <c r="J7092" s="4">
        <v>2515328.8160000001</v>
      </c>
      <c r="K7092" s="4">
        <v>-116845.944</v>
      </c>
      <c r="L7092" s="4">
        <v>20</v>
      </c>
    </row>
    <row r="7093" spans="1:12">
      <c r="A7093" t="s">
        <v>264</v>
      </c>
      <c r="B7093" s="10">
        <v>45307</v>
      </c>
      <c r="C7093" s="18">
        <f t="shared" si="110"/>
        <v>1</v>
      </c>
      <c r="D7093" t="s">
        <v>196</v>
      </c>
      <c r="E7093">
        <v>4872135</v>
      </c>
      <c r="F7093" t="s">
        <v>8</v>
      </c>
      <c r="G7093" t="s">
        <v>203</v>
      </c>
      <c r="H7093" t="s">
        <v>239</v>
      </c>
      <c r="I7093" s="4">
        <v>125766.4408</v>
      </c>
      <c r="J7093" s="4">
        <v>2515328.8160000001</v>
      </c>
      <c r="K7093" s="4">
        <v>-116845.944</v>
      </c>
      <c r="L7093" s="4">
        <v>20</v>
      </c>
    </row>
    <row r="7094" spans="1:12">
      <c r="A7094" t="s">
        <v>264</v>
      </c>
      <c r="B7094" s="10">
        <v>45307</v>
      </c>
      <c r="C7094" s="18">
        <f t="shared" si="110"/>
        <v>1</v>
      </c>
      <c r="D7094" t="s">
        <v>196</v>
      </c>
      <c r="E7094">
        <v>4872135</v>
      </c>
      <c r="F7094" t="s">
        <v>8</v>
      </c>
      <c r="G7094" t="s">
        <v>203</v>
      </c>
      <c r="H7094" t="s">
        <v>231</v>
      </c>
      <c r="I7094" s="4">
        <v>125766.4408</v>
      </c>
      <c r="J7094" s="4">
        <v>2515328.8160000001</v>
      </c>
      <c r="K7094" s="4">
        <v>-116845.944</v>
      </c>
      <c r="L7094" s="4">
        <v>20</v>
      </c>
    </row>
    <row r="7095" spans="1:12">
      <c r="A7095" t="s">
        <v>264</v>
      </c>
      <c r="B7095" s="10">
        <v>45307</v>
      </c>
      <c r="C7095" s="18">
        <f t="shared" si="110"/>
        <v>1</v>
      </c>
      <c r="D7095" t="s">
        <v>196</v>
      </c>
      <c r="E7095">
        <v>4875779</v>
      </c>
      <c r="F7095" t="s">
        <v>8</v>
      </c>
      <c r="G7095" t="s">
        <v>202</v>
      </c>
      <c r="H7095" t="s">
        <v>261</v>
      </c>
      <c r="I7095" s="4">
        <v>41587.104800000001</v>
      </c>
      <c r="J7095" s="4">
        <v>706980.78159999999</v>
      </c>
      <c r="K7095" s="4">
        <v>-35242.244400000003</v>
      </c>
      <c r="L7095" s="4">
        <v>17</v>
      </c>
    </row>
    <row r="7096" spans="1:12">
      <c r="A7096" t="s">
        <v>264</v>
      </c>
      <c r="B7096" s="10">
        <v>45307</v>
      </c>
      <c r="C7096" s="18">
        <f t="shared" si="110"/>
        <v>1</v>
      </c>
      <c r="D7096" t="s">
        <v>196</v>
      </c>
      <c r="E7096">
        <v>4875779</v>
      </c>
      <c r="F7096" t="s">
        <v>8</v>
      </c>
      <c r="G7096" t="s">
        <v>202</v>
      </c>
      <c r="H7096" t="s">
        <v>260</v>
      </c>
      <c r="I7096" s="4">
        <v>41587.104800000001</v>
      </c>
      <c r="J7096" s="4">
        <v>41587.104800000001</v>
      </c>
      <c r="K7096" s="4">
        <v>-2073.0732000000003</v>
      </c>
      <c r="L7096" s="4">
        <v>1</v>
      </c>
    </row>
    <row r="7097" spans="1:12">
      <c r="A7097" t="s">
        <v>264</v>
      </c>
      <c r="B7097" s="10">
        <v>45308</v>
      </c>
      <c r="C7097" s="18">
        <f t="shared" si="110"/>
        <v>1</v>
      </c>
      <c r="D7097" t="s">
        <v>196</v>
      </c>
      <c r="E7097">
        <v>4871600</v>
      </c>
      <c r="F7097" t="s">
        <v>8</v>
      </c>
      <c r="G7097" t="s">
        <v>204</v>
      </c>
      <c r="H7097" t="s">
        <v>215</v>
      </c>
      <c r="I7097" s="4">
        <v>75510.12079999999</v>
      </c>
      <c r="J7097" s="4">
        <v>226530.36239999998</v>
      </c>
      <c r="K7097" s="4">
        <v>-13192.284</v>
      </c>
      <c r="L7097" s="4">
        <v>3</v>
      </c>
    </row>
    <row r="7098" spans="1:12">
      <c r="A7098" t="s">
        <v>264</v>
      </c>
      <c r="B7098" s="10">
        <v>45308</v>
      </c>
      <c r="C7098" s="18">
        <f t="shared" si="110"/>
        <v>1</v>
      </c>
      <c r="D7098" t="s">
        <v>196</v>
      </c>
      <c r="E7098">
        <v>4873570</v>
      </c>
      <c r="F7098" t="s">
        <v>8</v>
      </c>
      <c r="G7098" t="s">
        <v>203</v>
      </c>
      <c r="H7098" t="s">
        <v>245</v>
      </c>
      <c r="I7098" s="4">
        <v>100638.28079999999</v>
      </c>
      <c r="J7098" s="4">
        <v>805106.24639999995</v>
      </c>
      <c r="K7098" s="4">
        <v>-36184.5504</v>
      </c>
      <c r="L7098" s="4">
        <v>8</v>
      </c>
    </row>
    <row r="7099" spans="1:12">
      <c r="A7099" t="s">
        <v>264</v>
      </c>
      <c r="B7099" s="10">
        <v>45308</v>
      </c>
      <c r="C7099" s="18">
        <f t="shared" si="110"/>
        <v>1</v>
      </c>
      <c r="D7099" t="s">
        <v>196</v>
      </c>
      <c r="E7099">
        <v>4873570</v>
      </c>
      <c r="F7099" t="s">
        <v>8</v>
      </c>
      <c r="G7099" t="s">
        <v>203</v>
      </c>
      <c r="H7099" t="s">
        <v>243</v>
      </c>
      <c r="I7099" s="4">
        <v>100638.28079999999</v>
      </c>
      <c r="J7099" s="4">
        <v>805106.24639999995</v>
      </c>
      <c r="K7099" s="4">
        <v>-36184.5504</v>
      </c>
      <c r="L7099" s="4">
        <v>8</v>
      </c>
    </row>
    <row r="7100" spans="1:12">
      <c r="A7100" t="s">
        <v>264</v>
      </c>
      <c r="B7100" s="10">
        <v>45308</v>
      </c>
      <c r="C7100" s="18">
        <f t="shared" si="110"/>
        <v>1</v>
      </c>
      <c r="D7100" t="s">
        <v>196</v>
      </c>
      <c r="E7100">
        <v>4873570</v>
      </c>
      <c r="F7100" t="s">
        <v>8</v>
      </c>
      <c r="G7100" t="s">
        <v>203</v>
      </c>
      <c r="H7100" t="s">
        <v>240</v>
      </c>
      <c r="I7100" s="4">
        <v>100638.28079999999</v>
      </c>
      <c r="J7100" s="4">
        <v>805106.24639999995</v>
      </c>
      <c r="K7100" s="4">
        <v>-36184.5504</v>
      </c>
      <c r="L7100" s="4">
        <v>8</v>
      </c>
    </row>
    <row r="7101" spans="1:12">
      <c r="A7101" t="s">
        <v>264</v>
      </c>
      <c r="B7101" s="10">
        <v>45308</v>
      </c>
      <c r="C7101" s="18">
        <f t="shared" si="110"/>
        <v>1</v>
      </c>
      <c r="D7101" t="s">
        <v>196</v>
      </c>
      <c r="E7101">
        <v>4873570</v>
      </c>
      <c r="F7101" t="s">
        <v>8</v>
      </c>
      <c r="G7101" t="s">
        <v>203</v>
      </c>
      <c r="H7101" t="s">
        <v>238</v>
      </c>
      <c r="I7101" s="4">
        <v>95606.36675999999</v>
      </c>
      <c r="J7101" s="4">
        <v>764850.93407999992</v>
      </c>
      <c r="K7101" s="4">
        <v>-36184.5504</v>
      </c>
      <c r="L7101" s="4">
        <v>8</v>
      </c>
    </row>
    <row r="7102" spans="1:12">
      <c r="A7102" t="s">
        <v>264</v>
      </c>
      <c r="B7102" s="10">
        <v>45308</v>
      </c>
      <c r="C7102" s="18">
        <f t="shared" si="110"/>
        <v>1</v>
      </c>
      <c r="D7102" t="s">
        <v>196</v>
      </c>
      <c r="E7102">
        <v>4873570</v>
      </c>
      <c r="F7102" t="s">
        <v>8</v>
      </c>
      <c r="G7102" t="s">
        <v>203</v>
      </c>
      <c r="H7102" t="s">
        <v>234</v>
      </c>
      <c r="I7102" s="4">
        <v>100638.28079999999</v>
      </c>
      <c r="J7102" s="4">
        <v>805106.24639999995</v>
      </c>
      <c r="K7102" s="4">
        <v>-36184.5504</v>
      </c>
      <c r="L7102" s="4">
        <v>8</v>
      </c>
    </row>
    <row r="7103" spans="1:12">
      <c r="A7103" t="s">
        <v>264</v>
      </c>
      <c r="B7103" s="10">
        <v>45308</v>
      </c>
      <c r="C7103" s="18">
        <f t="shared" si="110"/>
        <v>1</v>
      </c>
      <c r="D7103" t="s">
        <v>196</v>
      </c>
      <c r="E7103">
        <v>4873570</v>
      </c>
      <c r="F7103" t="s">
        <v>8</v>
      </c>
      <c r="G7103" t="s">
        <v>203</v>
      </c>
      <c r="H7103" t="s">
        <v>225</v>
      </c>
      <c r="I7103" s="4">
        <v>100638.28079999999</v>
      </c>
      <c r="J7103" s="4">
        <v>1006382.808</v>
      </c>
      <c r="K7103" s="4">
        <v>-45230.688000000002</v>
      </c>
      <c r="L7103" s="4">
        <v>10</v>
      </c>
    </row>
    <row r="7104" spans="1:12">
      <c r="A7104" t="s">
        <v>264</v>
      </c>
      <c r="B7104" s="10">
        <v>45308</v>
      </c>
      <c r="C7104" s="18">
        <f t="shared" si="110"/>
        <v>1</v>
      </c>
      <c r="D7104" t="s">
        <v>196</v>
      </c>
      <c r="E7104">
        <v>4873570</v>
      </c>
      <c r="F7104" t="s">
        <v>8</v>
      </c>
      <c r="G7104" t="s">
        <v>203</v>
      </c>
      <c r="H7104" t="s">
        <v>241</v>
      </c>
      <c r="I7104" s="4">
        <v>125766.4408</v>
      </c>
      <c r="J7104" s="4">
        <v>628832.20400000003</v>
      </c>
      <c r="K7104" s="4">
        <v>-29211.486000000001</v>
      </c>
      <c r="L7104" s="4">
        <v>5</v>
      </c>
    </row>
    <row r="7105" spans="1:12">
      <c r="A7105" t="s">
        <v>264</v>
      </c>
      <c r="B7105" s="10">
        <v>45308</v>
      </c>
      <c r="C7105" s="18">
        <f t="shared" si="110"/>
        <v>1</v>
      </c>
      <c r="D7105" t="s">
        <v>196</v>
      </c>
      <c r="E7105">
        <v>4873570</v>
      </c>
      <c r="F7105" t="s">
        <v>8</v>
      </c>
      <c r="G7105" t="s">
        <v>203</v>
      </c>
      <c r="H7105" t="s">
        <v>239</v>
      </c>
      <c r="I7105" s="4">
        <v>125766.4408</v>
      </c>
      <c r="J7105" s="4">
        <v>628832.20400000003</v>
      </c>
      <c r="K7105" s="4">
        <v>-29211.486000000001</v>
      </c>
      <c r="L7105" s="4">
        <v>5</v>
      </c>
    </row>
    <row r="7106" spans="1:12">
      <c r="A7106" t="s">
        <v>264</v>
      </c>
      <c r="B7106" s="10">
        <v>45308</v>
      </c>
      <c r="C7106" s="18">
        <f t="shared" ref="C7106:C7169" si="111">MONTH(B7106)</f>
        <v>1</v>
      </c>
      <c r="D7106" t="s">
        <v>196</v>
      </c>
      <c r="E7106">
        <v>4873570</v>
      </c>
      <c r="F7106" t="s">
        <v>8</v>
      </c>
      <c r="G7106" t="s">
        <v>203</v>
      </c>
      <c r="H7106" t="s">
        <v>235</v>
      </c>
      <c r="I7106" s="4">
        <v>125766.4408</v>
      </c>
      <c r="J7106" s="4">
        <v>628832.20400000003</v>
      </c>
      <c r="K7106" s="4">
        <v>-29211.486000000001</v>
      </c>
      <c r="L7106" s="4">
        <v>5</v>
      </c>
    </row>
    <row r="7107" spans="1:12">
      <c r="A7107" t="s">
        <v>264</v>
      </c>
      <c r="B7107" s="10">
        <v>45308</v>
      </c>
      <c r="C7107" s="18">
        <f t="shared" si="111"/>
        <v>1</v>
      </c>
      <c r="D7107" t="s">
        <v>196</v>
      </c>
      <c r="E7107">
        <v>4873570</v>
      </c>
      <c r="F7107" t="s">
        <v>8</v>
      </c>
      <c r="G7107" t="s">
        <v>203</v>
      </c>
      <c r="H7107" t="s">
        <v>231</v>
      </c>
      <c r="I7107" s="4">
        <v>125766.4408</v>
      </c>
      <c r="J7107" s="4">
        <v>628832.20400000003</v>
      </c>
      <c r="K7107" s="4">
        <v>-29211.486000000001</v>
      </c>
      <c r="L7107" s="4">
        <v>5</v>
      </c>
    </row>
    <row r="7108" spans="1:12">
      <c r="A7108" t="s">
        <v>264</v>
      </c>
      <c r="B7108" s="10">
        <v>45308</v>
      </c>
      <c r="C7108" s="18">
        <f t="shared" si="111"/>
        <v>1</v>
      </c>
      <c r="D7108" t="s">
        <v>196</v>
      </c>
      <c r="E7108">
        <v>4878825</v>
      </c>
      <c r="F7108" t="s">
        <v>8</v>
      </c>
      <c r="G7108" t="s">
        <v>204</v>
      </c>
      <c r="H7108" t="s">
        <v>218</v>
      </c>
      <c r="I7108" s="4">
        <v>71740.896800000002</v>
      </c>
      <c r="J7108" s="4">
        <v>573927.17440000002</v>
      </c>
      <c r="K7108" s="4">
        <v>-31158.918399999999</v>
      </c>
      <c r="L7108" s="4">
        <v>8</v>
      </c>
    </row>
    <row r="7109" spans="1:12">
      <c r="A7109" t="s">
        <v>264</v>
      </c>
      <c r="B7109" s="10">
        <v>45308</v>
      </c>
      <c r="C7109" s="18">
        <f t="shared" si="111"/>
        <v>1</v>
      </c>
      <c r="D7109" t="s">
        <v>196</v>
      </c>
      <c r="E7109">
        <v>4878825</v>
      </c>
      <c r="F7109" t="s">
        <v>8</v>
      </c>
      <c r="G7109" t="s">
        <v>204</v>
      </c>
      <c r="H7109" t="s">
        <v>221</v>
      </c>
      <c r="I7109" s="4">
        <v>25253.800799999997</v>
      </c>
      <c r="J7109" s="4">
        <v>252538.00799999997</v>
      </c>
      <c r="K7109" s="4">
        <v>-12564.08</v>
      </c>
      <c r="L7109" s="4">
        <v>10</v>
      </c>
    </row>
    <row r="7110" spans="1:12">
      <c r="A7110" t="s">
        <v>264</v>
      </c>
      <c r="B7110" s="10">
        <v>45308</v>
      </c>
      <c r="C7110" s="18">
        <f t="shared" si="111"/>
        <v>1</v>
      </c>
      <c r="D7110" t="s">
        <v>196</v>
      </c>
      <c r="E7110">
        <v>4878825</v>
      </c>
      <c r="F7110" t="s">
        <v>8</v>
      </c>
      <c r="G7110" t="s">
        <v>204</v>
      </c>
      <c r="H7110" t="s">
        <v>220</v>
      </c>
      <c r="I7110" s="4">
        <v>37817.880799999999</v>
      </c>
      <c r="J7110" s="4">
        <v>378178.80799999996</v>
      </c>
      <c r="K7110" s="4">
        <v>-14448.691999999999</v>
      </c>
      <c r="L7110" s="4">
        <v>10</v>
      </c>
    </row>
    <row r="7111" spans="1:12">
      <c r="A7111" t="s">
        <v>264</v>
      </c>
      <c r="B7111" s="10">
        <v>45308</v>
      </c>
      <c r="C7111" s="18">
        <f t="shared" si="111"/>
        <v>1</v>
      </c>
      <c r="D7111" t="s">
        <v>196</v>
      </c>
      <c r="E7111">
        <v>4875440</v>
      </c>
      <c r="F7111" t="s">
        <v>8</v>
      </c>
      <c r="G7111" t="s">
        <v>203</v>
      </c>
      <c r="H7111" t="s">
        <v>235</v>
      </c>
      <c r="I7111" s="4">
        <v>125766.4408</v>
      </c>
      <c r="J7111" s="4">
        <v>251532.88159999999</v>
      </c>
      <c r="K7111" s="4">
        <v>-11684.5944</v>
      </c>
      <c r="L7111" s="4">
        <v>2</v>
      </c>
    </row>
    <row r="7112" spans="1:12">
      <c r="A7112" t="s">
        <v>264</v>
      </c>
      <c r="B7112" s="10">
        <v>45308</v>
      </c>
      <c r="C7112" s="18">
        <f t="shared" si="111"/>
        <v>1</v>
      </c>
      <c r="D7112" t="s">
        <v>196</v>
      </c>
      <c r="E7112">
        <v>4875440</v>
      </c>
      <c r="F7112" t="s">
        <v>8</v>
      </c>
      <c r="G7112" t="s">
        <v>205</v>
      </c>
      <c r="H7112" t="s">
        <v>210</v>
      </c>
      <c r="I7112" s="4">
        <v>7538.4479999999994</v>
      </c>
      <c r="J7112" s="4">
        <v>376922.39999999997</v>
      </c>
      <c r="K7112" s="4">
        <v>-18846.12</v>
      </c>
      <c r="L7112" s="4">
        <v>50</v>
      </c>
    </row>
    <row r="7113" spans="1:12">
      <c r="A7113" t="s">
        <v>264</v>
      </c>
      <c r="B7113" s="10">
        <v>45308</v>
      </c>
      <c r="C7113" s="18">
        <f t="shared" si="111"/>
        <v>1</v>
      </c>
      <c r="D7113" t="s">
        <v>196</v>
      </c>
      <c r="E7113">
        <v>4875440</v>
      </c>
      <c r="F7113" t="s">
        <v>8</v>
      </c>
      <c r="G7113" t="s">
        <v>205</v>
      </c>
      <c r="H7113" t="s">
        <v>211</v>
      </c>
      <c r="I7113" s="4">
        <v>5151.2727999999997</v>
      </c>
      <c r="J7113" s="4">
        <v>257563.63999999998</v>
      </c>
      <c r="K7113" s="4">
        <v>-12564.08</v>
      </c>
      <c r="L7113" s="4">
        <v>50</v>
      </c>
    </row>
    <row r="7114" spans="1:12">
      <c r="A7114" t="s">
        <v>264</v>
      </c>
      <c r="B7114" s="10">
        <v>45308</v>
      </c>
      <c r="C7114" s="18">
        <f t="shared" si="111"/>
        <v>1</v>
      </c>
      <c r="D7114" t="s">
        <v>196</v>
      </c>
      <c r="E7114">
        <v>4875440</v>
      </c>
      <c r="F7114" t="s">
        <v>8</v>
      </c>
      <c r="G7114" t="s">
        <v>205</v>
      </c>
      <c r="H7114" t="s">
        <v>246</v>
      </c>
      <c r="I7114" s="4">
        <v>5967.9380000000001</v>
      </c>
      <c r="J7114" s="4">
        <v>298396.90000000002</v>
      </c>
      <c r="K7114" s="4">
        <v>-15705.1</v>
      </c>
      <c r="L7114" s="4">
        <v>50</v>
      </c>
    </row>
    <row r="7115" spans="1:12">
      <c r="A7115" t="s">
        <v>264</v>
      </c>
      <c r="B7115" s="10">
        <v>45308</v>
      </c>
      <c r="C7115" s="18">
        <f t="shared" si="111"/>
        <v>1</v>
      </c>
      <c r="D7115" t="s">
        <v>196</v>
      </c>
      <c r="E7115">
        <v>4875440</v>
      </c>
      <c r="F7115" t="s">
        <v>8</v>
      </c>
      <c r="G7115" t="s">
        <v>206</v>
      </c>
      <c r="H7115" t="s">
        <v>248</v>
      </c>
      <c r="I7115" s="4">
        <v>16207.663200000001</v>
      </c>
      <c r="J7115" s="4">
        <v>1620766.32</v>
      </c>
      <c r="K7115" s="4">
        <v>-84807.54</v>
      </c>
      <c r="L7115" s="4">
        <v>100</v>
      </c>
    </row>
    <row r="7116" spans="1:12">
      <c r="A7116" t="s">
        <v>264</v>
      </c>
      <c r="B7116" s="10">
        <v>45308</v>
      </c>
      <c r="C7116" s="18">
        <f t="shared" si="111"/>
        <v>1</v>
      </c>
      <c r="D7116" t="s">
        <v>196</v>
      </c>
      <c r="E7116">
        <v>4875440</v>
      </c>
      <c r="F7116" t="s">
        <v>8</v>
      </c>
      <c r="G7116" t="s">
        <v>206</v>
      </c>
      <c r="H7116" t="s">
        <v>250</v>
      </c>
      <c r="I7116" s="4">
        <v>17715.352800000001</v>
      </c>
      <c r="J7116" s="4">
        <v>1771535.28</v>
      </c>
      <c r="K7116" s="4">
        <v>-87948.56</v>
      </c>
      <c r="L7116" s="4">
        <v>100</v>
      </c>
    </row>
    <row r="7117" spans="1:12">
      <c r="A7117" t="s">
        <v>264</v>
      </c>
      <c r="B7117" s="10">
        <v>45308</v>
      </c>
      <c r="C7117" s="18">
        <f t="shared" si="111"/>
        <v>1</v>
      </c>
      <c r="D7117" t="s">
        <v>196</v>
      </c>
      <c r="E7117">
        <v>4875440</v>
      </c>
      <c r="F7117" t="s">
        <v>8</v>
      </c>
      <c r="G7117" t="s">
        <v>206</v>
      </c>
      <c r="H7117" t="s">
        <v>249</v>
      </c>
      <c r="I7117" s="4">
        <v>17715.352800000001</v>
      </c>
      <c r="J7117" s="4">
        <v>1771535.28</v>
      </c>
      <c r="K7117" s="4">
        <v>-87948.56</v>
      </c>
      <c r="L7117" s="4">
        <v>100</v>
      </c>
    </row>
    <row r="7118" spans="1:12">
      <c r="A7118" t="s">
        <v>264</v>
      </c>
      <c r="B7118" s="10">
        <v>45308</v>
      </c>
      <c r="C7118" s="18">
        <f t="shared" si="111"/>
        <v>1</v>
      </c>
      <c r="D7118" t="s">
        <v>196</v>
      </c>
      <c r="E7118">
        <v>4875440</v>
      </c>
      <c r="F7118" t="s">
        <v>8</v>
      </c>
      <c r="G7118" t="s">
        <v>206</v>
      </c>
      <c r="H7118" t="s">
        <v>209</v>
      </c>
      <c r="I7118" s="4">
        <v>17715.352800000001</v>
      </c>
      <c r="J7118" s="4">
        <v>1771535.28</v>
      </c>
      <c r="K7118" s="4">
        <v>-87948.56</v>
      </c>
      <c r="L7118" s="4">
        <v>100</v>
      </c>
    </row>
    <row r="7119" spans="1:12">
      <c r="A7119" t="s">
        <v>264</v>
      </c>
      <c r="B7119" s="10">
        <v>45308</v>
      </c>
      <c r="C7119" s="18">
        <f t="shared" si="111"/>
        <v>1</v>
      </c>
      <c r="D7119" t="s">
        <v>196</v>
      </c>
      <c r="E7119">
        <v>4875440</v>
      </c>
      <c r="F7119" t="s">
        <v>8</v>
      </c>
      <c r="G7119" t="s">
        <v>206</v>
      </c>
      <c r="H7119" t="s">
        <v>252</v>
      </c>
      <c r="I7119" s="4">
        <v>20102.528000000002</v>
      </c>
      <c r="J7119" s="4">
        <v>2010252.8000000003</v>
      </c>
      <c r="K7119" s="4">
        <v>-100512.64</v>
      </c>
      <c r="L7119" s="4">
        <v>100</v>
      </c>
    </row>
    <row r="7120" spans="1:12">
      <c r="A7120" t="s">
        <v>264</v>
      </c>
      <c r="B7120" s="10">
        <v>45308</v>
      </c>
      <c r="C7120" s="18">
        <f t="shared" si="111"/>
        <v>1</v>
      </c>
      <c r="D7120" t="s">
        <v>196</v>
      </c>
      <c r="E7120">
        <v>4875440</v>
      </c>
      <c r="F7120" t="s">
        <v>8</v>
      </c>
      <c r="G7120" t="s">
        <v>206</v>
      </c>
      <c r="H7120" t="s">
        <v>251</v>
      </c>
      <c r="I7120" s="4">
        <v>19223.042399999998</v>
      </c>
      <c r="J7120" s="4">
        <v>1922304.2399999998</v>
      </c>
      <c r="K7120" s="4">
        <v>-100512.64</v>
      </c>
      <c r="L7120" s="4">
        <v>100</v>
      </c>
    </row>
    <row r="7121" spans="1:12">
      <c r="A7121" t="s">
        <v>264</v>
      </c>
      <c r="B7121" s="10">
        <v>45308</v>
      </c>
      <c r="C7121" s="18">
        <f t="shared" si="111"/>
        <v>1</v>
      </c>
      <c r="D7121" t="s">
        <v>196</v>
      </c>
      <c r="E7121">
        <v>4872208</v>
      </c>
      <c r="F7121" t="s">
        <v>8</v>
      </c>
      <c r="G7121" t="s">
        <v>202</v>
      </c>
      <c r="H7121" t="s">
        <v>261</v>
      </c>
      <c r="I7121" s="4">
        <v>41587.104800000001</v>
      </c>
      <c r="J7121" s="4">
        <v>2079355.24</v>
      </c>
      <c r="K7121" s="4">
        <v>-103653.66</v>
      </c>
      <c r="L7121" s="4">
        <v>50</v>
      </c>
    </row>
    <row r="7122" spans="1:12">
      <c r="A7122" t="s">
        <v>264</v>
      </c>
      <c r="B7122" s="10">
        <v>45309</v>
      </c>
      <c r="C7122" s="18">
        <f t="shared" si="111"/>
        <v>1</v>
      </c>
      <c r="D7122" t="s">
        <v>196</v>
      </c>
      <c r="E7122">
        <v>4878952</v>
      </c>
      <c r="F7122" t="s">
        <v>8</v>
      </c>
      <c r="G7122" t="s">
        <v>202</v>
      </c>
      <c r="H7122" t="s">
        <v>258</v>
      </c>
      <c r="I7122" s="4">
        <v>37817.880799999999</v>
      </c>
      <c r="J7122" s="4">
        <v>2117801.3248000001</v>
      </c>
      <c r="K7122" s="4">
        <v>-105538.272</v>
      </c>
      <c r="L7122" s="4">
        <v>56</v>
      </c>
    </row>
    <row r="7123" spans="1:12">
      <c r="A7123" t="s">
        <v>264</v>
      </c>
      <c r="B7123" s="10">
        <v>45309</v>
      </c>
      <c r="C7123" s="18">
        <f t="shared" si="111"/>
        <v>1</v>
      </c>
      <c r="D7123" t="s">
        <v>196</v>
      </c>
      <c r="E7123">
        <v>4871600</v>
      </c>
      <c r="F7123" t="s">
        <v>8</v>
      </c>
      <c r="G7123" t="s">
        <v>204</v>
      </c>
      <c r="H7123" t="s">
        <v>221</v>
      </c>
      <c r="I7123" s="4">
        <v>25253.800799999997</v>
      </c>
      <c r="J7123" s="4">
        <v>-50507.601599999995</v>
      </c>
      <c r="K7123" s="4">
        <v>2512.8160000000003</v>
      </c>
      <c r="L7123" s="4">
        <v>-2</v>
      </c>
    </row>
    <row r="7124" spans="1:12">
      <c r="A7124" t="s">
        <v>264</v>
      </c>
      <c r="B7124" s="10">
        <v>45309</v>
      </c>
      <c r="C7124" s="18">
        <f t="shared" si="111"/>
        <v>1</v>
      </c>
      <c r="D7124" t="s">
        <v>196</v>
      </c>
      <c r="E7124">
        <v>4871600</v>
      </c>
      <c r="F7124" t="s">
        <v>8</v>
      </c>
      <c r="G7124" t="s">
        <v>202</v>
      </c>
      <c r="H7124" t="s">
        <v>260</v>
      </c>
      <c r="I7124" s="4">
        <v>41587.104800000001</v>
      </c>
      <c r="J7124" s="4">
        <v>1247613.1440000001</v>
      </c>
      <c r="K7124" s="4">
        <v>-62192.196000000004</v>
      </c>
      <c r="L7124" s="4">
        <v>30</v>
      </c>
    </row>
    <row r="7125" spans="1:12">
      <c r="A7125" t="s">
        <v>264</v>
      </c>
      <c r="B7125" s="10">
        <v>45309</v>
      </c>
      <c r="C7125" s="18">
        <f t="shared" si="111"/>
        <v>1</v>
      </c>
      <c r="D7125" t="s">
        <v>196</v>
      </c>
      <c r="E7125">
        <v>4871600</v>
      </c>
      <c r="F7125" t="s">
        <v>8</v>
      </c>
      <c r="G7125" t="s">
        <v>202</v>
      </c>
      <c r="H7125" t="s">
        <v>259</v>
      </c>
      <c r="I7125" s="4">
        <v>30279.432800000002</v>
      </c>
      <c r="J7125" s="4">
        <v>938662.41680000012</v>
      </c>
      <c r="K7125" s="4">
        <v>-46738.3776</v>
      </c>
      <c r="L7125" s="4">
        <v>31</v>
      </c>
    </row>
    <row r="7126" spans="1:12">
      <c r="A7126" t="s">
        <v>264</v>
      </c>
      <c r="B7126" s="10">
        <v>45309</v>
      </c>
      <c r="C7126" s="18">
        <f t="shared" si="111"/>
        <v>1</v>
      </c>
      <c r="D7126" t="s">
        <v>196</v>
      </c>
      <c r="E7126">
        <v>4871600</v>
      </c>
      <c r="F7126" t="s">
        <v>8</v>
      </c>
      <c r="G7126" t="s">
        <v>202</v>
      </c>
      <c r="H7126" t="s">
        <v>258</v>
      </c>
      <c r="I7126" s="4">
        <v>37817.880799999999</v>
      </c>
      <c r="J7126" s="4">
        <v>794175.49679999996</v>
      </c>
      <c r="K7126" s="4">
        <v>-39576.851999999999</v>
      </c>
      <c r="L7126" s="4">
        <v>21</v>
      </c>
    </row>
    <row r="7127" spans="1:12">
      <c r="A7127" t="s">
        <v>264</v>
      </c>
      <c r="B7127" s="10">
        <v>45309</v>
      </c>
      <c r="C7127" s="18">
        <f t="shared" si="111"/>
        <v>1</v>
      </c>
      <c r="D7127" t="s">
        <v>196</v>
      </c>
      <c r="E7127">
        <v>4874006</v>
      </c>
      <c r="F7127" t="s">
        <v>8</v>
      </c>
      <c r="G7127" t="s">
        <v>203</v>
      </c>
      <c r="H7127" t="s">
        <v>240</v>
      </c>
      <c r="I7127" s="4">
        <v>100638.28079999999</v>
      </c>
      <c r="J7127" s="4">
        <v>5031914.04</v>
      </c>
      <c r="K7127" s="4">
        <v>-226153.44</v>
      </c>
      <c r="L7127" s="4">
        <v>50</v>
      </c>
    </row>
    <row r="7128" spans="1:12">
      <c r="A7128" t="s">
        <v>264</v>
      </c>
      <c r="B7128" s="10">
        <v>45309</v>
      </c>
      <c r="C7128" s="18">
        <f t="shared" si="111"/>
        <v>1</v>
      </c>
      <c r="D7128" t="s">
        <v>196</v>
      </c>
      <c r="E7128">
        <v>4874006</v>
      </c>
      <c r="F7128" t="s">
        <v>8</v>
      </c>
      <c r="G7128" t="s">
        <v>203</v>
      </c>
      <c r="H7128" t="s">
        <v>238</v>
      </c>
      <c r="I7128" s="4">
        <v>95606.36675999999</v>
      </c>
      <c r="J7128" s="4">
        <v>4780318.3379999995</v>
      </c>
      <c r="K7128" s="4">
        <v>-226153.44</v>
      </c>
      <c r="L7128" s="4">
        <v>50</v>
      </c>
    </row>
    <row r="7129" spans="1:12">
      <c r="A7129" t="s">
        <v>264</v>
      </c>
      <c r="B7129" s="10">
        <v>45309</v>
      </c>
      <c r="C7129" s="18">
        <f t="shared" si="111"/>
        <v>1</v>
      </c>
      <c r="D7129" t="s">
        <v>196</v>
      </c>
      <c r="E7129">
        <v>4874006</v>
      </c>
      <c r="F7129" t="s">
        <v>8</v>
      </c>
      <c r="G7129" t="s">
        <v>203</v>
      </c>
      <c r="H7129" t="s">
        <v>224</v>
      </c>
      <c r="I7129" s="4">
        <v>100638.28079999999</v>
      </c>
      <c r="J7129" s="4">
        <v>5031914.04</v>
      </c>
      <c r="K7129" s="4">
        <v>-226153.44</v>
      </c>
      <c r="L7129" s="4">
        <v>50</v>
      </c>
    </row>
    <row r="7130" spans="1:12">
      <c r="A7130" t="s">
        <v>264</v>
      </c>
      <c r="B7130" s="10">
        <v>45309</v>
      </c>
      <c r="C7130" s="18">
        <f t="shared" si="111"/>
        <v>1</v>
      </c>
      <c r="D7130" t="s">
        <v>196</v>
      </c>
      <c r="E7130">
        <v>4874006</v>
      </c>
      <c r="F7130" t="s">
        <v>8</v>
      </c>
      <c r="G7130" t="s">
        <v>203</v>
      </c>
      <c r="H7130" t="s">
        <v>223</v>
      </c>
      <c r="I7130" s="4">
        <v>100638.28079999999</v>
      </c>
      <c r="J7130" s="4">
        <v>5031914.04</v>
      </c>
      <c r="K7130" s="4">
        <v>-226153.44</v>
      </c>
      <c r="L7130" s="4">
        <v>50</v>
      </c>
    </row>
    <row r="7131" spans="1:12">
      <c r="A7131" t="s">
        <v>264</v>
      </c>
      <c r="B7131" s="10">
        <v>45309</v>
      </c>
      <c r="C7131" s="18">
        <f t="shared" si="111"/>
        <v>1</v>
      </c>
      <c r="D7131" t="s">
        <v>196</v>
      </c>
      <c r="E7131">
        <v>4874006</v>
      </c>
      <c r="F7131" t="s">
        <v>8</v>
      </c>
      <c r="G7131" t="s">
        <v>203</v>
      </c>
      <c r="H7131" t="s">
        <v>222</v>
      </c>
      <c r="I7131" s="4">
        <v>100638.28079999999</v>
      </c>
      <c r="J7131" s="4">
        <v>2214042.1776000001</v>
      </c>
      <c r="K7131" s="4">
        <v>-99507.513600000006</v>
      </c>
      <c r="L7131" s="4">
        <v>22</v>
      </c>
    </row>
    <row r="7132" spans="1:12">
      <c r="A7132" t="s">
        <v>264</v>
      </c>
      <c r="B7132" s="10">
        <v>45309</v>
      </c>
      <c r="C7132" s="18">
        <f t="shared" si="111"/>
        <v>1</v>
      </c>
      <c r="D7132" t="s">
        <v>196</v>
      </c>
      <c r="E7132">
        <v>4874006</v>
      </c>
      <c r="F7132" t="s">
        <v>8</v>
      </c>
      <c r="G7132" t="s">
        <v>203</v>
      </c>
      <c r="H7132" t="s">
        <v>244</v>
      </c>
      <c r="I7132" s="4">
        <v>125766.4408</v>
      </c>
      <c r="J7132" s="4">
        <v>1886496.612</v>
      </c>
      <c r="K7132" s="4">
        <v>-87634.457999999999</v>
      </c>
      <c r="L7132" s="4">
        <v>15</v>
      </c>
    </row>
    <row r="7133" spans="1:12">
      <c r="A7133" t="s">
        <v>264</v>
      </c>
      <c r="B7133" s="10">
        <v>45309</v>
      </c>
      <c r="C7133" s="18">
        <f t="shared" si="111"/>
        <v>1</v>
      </c>
      <c r="D7133" t="s">
        <v>196</v>
      </c>
      <c r="E7133">
        <v>4874006</v>
      </c>
      <c r="F7133" t="s">
        <v>8</v>
      </c>
      <c r="G7133" t="s">
        <v>203</v>
      </c>
      <c r="H7133" t="s">
        <v>239</v>
      </c>
      <c r="I7133" s="4">
        <v>125766.4408</v>
      </c>
      <c r="J7133" s="4">
        <v>1886496.612</v>
      </c>
      <c r="K7133" s="4">
        <v>-87634.457999999999</v>
      </c>
      <c r="L7133" s="4">
        <v>15</v>
      </c>
    </row>
    <row r="7134" spans="1:12">
      <c r="A7134" t="s">
        <v>264</v>
      </c>
      <c r="B7134" s="10">
        <v>45309</v>
      </c>
      <c r="C7134" s="18">
        <f t="shared" si="111"/>
        <v>1</v>
      </c>
      <c r="D7134" t="s">
        <v>196</v>
      </c>
      <c r="E7134">
        <v>4874006</v>
      </c>
      <c r="F7134" t="s">
        <v>8</v>
      </c>
      <c r="G7134" t="s">
        <v>203</v>
      </c>
      <c r="H7134" t="s">
        <v>235</v>
      </c>
      <c r="I7134" s="4">
        <v>125766.4408</v>
      </c>
      <c r="J7134" s="4">
        <v>1886496.612</v>
      </c>
      <c r="K7134" s="4">
        <v>-87634.457999999999</v>
      </c>
      <c r="L7134" s="4">
        <v>15</v>
      </c>
    </row>
    <row r="7135" spans="1:12">
      <c r="A7135" t="s">
        <v>264</v>
      </c>
      <c r="B7135" s="10">
        <v>45309</v>
      </c>
      <c r="C7135" s="18">
        <f t="shared" si="111"/>
        <v>1</v>
      </c>
      <c r="D7135" t="s">
        <v>196</v>
      </c>
      <c r="E7135">
        <v>4874006</v>
      </c>
      <c r="F7135" t="s">
        <v>8</v>
      </c>
      <c r="G7135" t="s">
        <v>204</v>
      </c>
      <c r="H7135" t="s">
        <v>219</v>
      </c>
      <c r="I7135" s="4">
        <v>44099.9208</v>
      </c>
      <c r="J7135" s="4">
        <v>2204996.04</v>
      </c>
      <c r="K7135" s="4">
        <v>-109935.7</v>
      </c>
      <c r="L7135" s="4">
        <v>50</v>
      </c>
    </row>
    <row r="7136" spans="1:12">
      <c r="A7136" t="s">
        <v>264</v>
      </c>
      <c r="B7136" s="10">
        <v>45309</v>
      </c>
      <c r="C7136" s="18">
        <f t="shared" si="111"/>
        <v>1</v>
      </c>
      <c r="D7136" t="s">
        <v>196</v>
      </c>
      <c r="E7136">
        <v>4877269</v>
      </c>
      <c r="F7136" t="s">
        <v>8</v>
      </c>
      <c r="G7136" t="s">
        <v>204</v>
      </c>
      <c r="H7136" t="s">
        <v>218</v>
      </c>
      <c r="I7136" s="4">
        <v>71740.896800000002</v>
      </c>
      <c r="J7136" s="4">
        <v>286963.58720000001</v>
      </c>
      <c r="K7136" s="4">
        <v>-15579.459199999999</v>
      </c>
      <c r="L7136" s="4">
        <v>4</v>
      </c>
    </row>
    <row r="7137" spans="1:12">
      <c r="A7137" t="s">
        <v>264</v>
      </c>
      <c r="B7137" s="10">
        <v>45309</v>
      </c>
      <c r="C7137" s="18">
        <f t="shared" si="111"/>
        <v>1</v>
      </c>
      <c r="D7137" t="s">
        <v>196</v>
      </c>
      <c r="E7137">
        <v>4877269</v>
      </c>
      <c r="F7137" t="s">
        <v>8</v>
      </c>
      <c r="G7137" t="s">
        <v>202</v>
      </c>
      <c r="H7137" t="s">
        <v>261</v>
      </c>
      <c r="I7137" s="4">
        <v>41587.104800000001</v>
      </c>
      <c r="J7137" s="4">
        <v>166348.4192</v>
      </c>
      <c r="K7137" s="4">
        <v>-8292.2928000000011</v>
      </c>
      <c r="L7137" s="4">
        <v>4</v>
      </c>
    </row>
    <row r="7138" spans="1:12">
      <c r="A7138" t="s">
        <v>264</v>
      </c>
      <c r="B7138" s="10">
        <v>45309</v>
      </c>
      <c r="C7138" s="18">
        <f t="shared" si="111"/>
        <v>1</v>
      </c>
      <c r="D7138" t="s">
        <v>196</v>
      </c>
      <c r="E7138">
        <v>4871845</v>
      </c>
      <c r="F7138" t="s">
        <v>8</v>
      </c>
      <c r="G7138" t="s">
        <v>203</v>
      </c>
      <c r="H7138" t="s">
        <v>243</v>
      </c>
      <c r="I7138" s="4">
        <v>100638.28079999999</v>
      </c>
      <c r="J7138" s="4">
        <v>201276.56159999999</v>
      </c>
      <c r="K7138" s="4">
        <v>-9046.1376</v>
      </c>
      <c r="L7138" s="4">
        <v>2</v>
      </c>
    </row>
    <row r="7139" spans="1:12">
      <c r="A7139" t="s">
        <v>264</v>
      </c>
      <c r="B7139" s="10">
        <v>45309</v>
      </c>
      <c r="C7139" s="18">
        <f t="shared" si="111"/>
        <v>1</v>
      </c>
      <c r="D7139" t="s">
        <v>196</v>
      </c>
      <c r="E7139">
        <v>4871845</v>
      </c>
      <c r="F7139" t="s">
        <v>8</v>
      </c>
      <c r="G7139" t="s">
        <v>203</v>
      </c>
      <c r="H7139" t="s">
        <v>238</v>
      </c>
      <c r="I7139" s="4">
        <v>95606.36675999999</v>
      </c>
      <c r="J7139" s="4">
        <v>191212.73351999998</v>
      </c>
      <c r="K7139" s="4">
        <v>-9046.1376</v>
      </c>
      <c r="L7139" s="4">
        <v>2</v>
      </c>
    </row>
    <row r="7140" spans="1:12">
      <c r="A7140" t="s">
        <v>264</v>
      </c>
      <c r="B7140" s="10">
        <v>45309</v>
      </c>
      <c r="C7140" s="18">
        <f t="shared" si="111"/>
        <v>1</v>
      </c>
      <c r="D7140" t="s">
        <v>196</v>
      </c>
      <c r="E7140">
        <v>4871845</v>
      </c>
      <c r="F7140" t="s">
        <v>8</v>
      </c>
      <c r="G7140" t="s">
        <v>203</v>
      </c>
      <c r="H7140" t="s">
        <v>230</v>
      </c>
      <c r="I7140" s="4">
        <v>100638.28079999999</v>
      </c>
      <c r="J7140" s="4">
        <v>201276.56159999999</v>
      </c>
      <c r="K7140" s="4">
        <v>-9046.1376</v>
      </c>
      <c r="L7140" s="4">
        <v>2</v>
      </c>
    </row>
    <row r="7141" spans="1:12">
      <c r="A7141" t="s">
        <v>264</v>
      </c>
      <c r="B7141" s="10">
        <v>45309</v>
      </c>
      <c r="C7141" s="18">
        <f t="shared" si="111"/>
        <v>1</v>
      </c>
      <c r="D7141" t="s">
        <v>196</v>
      </c>
      <c r="E7141">
        <v>4871845</v>
      </c>
      <c r="F7141" t="s">
        <v>8</v>
      </c>
      <c r="G7141" t="s">
        <v>203</v>
      </c>
      <c r="H7141" t="s">
        <v>226</v>
      </c>
      <c r="I7141" s="4">
        <v>100638.28079999999</v>
      </c>
      <c r="J7141" s="4">
        <v>201276.56159999999</v>
      </c>
      <c r="K7141" s="4">
        <v>-9046.1376</v>
      </c>
      <c r="L7141" s="4">
        <v>2</v>
      </c>
    </row>
    <row r="7142" spans="1:12">
      <c r="A7142" t="s">
        <v>264</v>
      </c>
      <c r="B7142" s="10">
        <v>45309</v>
      </c>
      <c r="C7142" s="18">
        <f t="shared" si="111"/>
        <v>1</v>
      </c>
      <c r="D7142" t="s">
        <v>196</v>
      </c>
      <c r="E7142">
        <v>4871845</v>
      </c>
      <c r="F7142" t="s">
        <v>8</v>
      </c>
      <c r="G7142" t="s">
        <v>203</v>
      </c>
      <c r="H7142" t="s">
        <v>222</v>
      </c>
      <c r="I7142" s="4">
        <v>100638.28079999999</v>
      </c>
      <c r="J7142" s="4">
        <v>201276.56159999999</v>
      </c>
      <c r="K7142" s="4">
        <v>-9046.1376</v>
      </c>
      <c r="L7142" s="4">
        <v>2</v>
      </c>
    </row>
    <row r="7143" spans="1:12">
      <c r="A7143" t="s">
        <v>264</v>
      </c>
      <c r="B7143" s="10">
        <v>45309</v>
      </c>
      <c r="C7143" s="18">
        <f t="shared" si="111"/>
        <v>1</v>
      </c>
      <c r="D7143" t="s">
        <v>196</v>
      </c>
      <c r="E7143">
        <v>4871845</v>
      </c>
      <c r="F7143" t="s">
        <v>8</v>
      </c>
      <c r="G7143" t="s">
        <v>203</v>
      </c>
      <c r="H7143" t="s">
        <v>244</v>
      </c>
      <c r="I7143" s="4">
        <v>125766.4408</v>
      </c>
      <c r="J7143" s="4">
        <v>125766.4408</v>
      </c>
      <c r="K7143" s="4">
        <v>-5842.2972</v>
      </c>
      <c r="L7143" s="4">
        <v>1</v>
      </c>
    </row>
    <row r="7144" spans="1:12">
      <c r="A7144" t="s">
        <v>264</v>
      </c>
      <c r="B7144" s="10">
        <v>45309</v>
      </c>
      <c r="C7144" s="18">
        <f t="shared" si="111"/>
        <v>1</v>
      </c>
      <c r="D7144" t="s">
        <v>196</v>
      </c>
      <c r="E7144">
        <v>4871845</v>
      </c>
      <c r="F7144" t="s">
        <v>8</v>
      </c>
      <c r="G7144" t="s">
        <v>203</v>
      </c>
      <c r="H7144" t="s">
        <v>239</v>
      </c>
      <c r="I7144" s="4">
        <v>125766.4408</v>
      </c>
      <c r="J7144" s="4">
        <v>125766.4408</v>
      </c>
      <c r="K7144" s="4">
        <v>-5842.2972</v>
      </c>
      <c r="L7144" s="4">
        <v>1</v>
      </c>
    </row>
    <row r="7145" spans="1:12">
      <c r="A7145" t="s">
        <v>264</v>
      </c>
      <c r="B7145" s="10">
        <v>45309</v>
      </c>
      <c r="C7145" s="18">
        <f t="shared" si="111"/>
        <v>1</v>
      </c>
      <c r="D7145" t="s">
        <v>196</v>
      </c>
      <c r="E7145">
        <v>4872203</v>
      </c>
      <c r="F7145" t="s">
        <v>8</v>
      </c>
      <c r="G7145" t="s">
        <v>203</v>
      </c>
      <c r="H7145" t="s">
        <v>238</v>
      </c>
      <c r="I7145" s="4">
        <v>95606.36675999999</v>
      </c>
      <c r="J7145" s="4">
        <v>-95606.36675999999</v>
      </c>
      <c r="K7145" s="4">
        <v>4523.0688</v>
      </c>
      <c r="L7145" s="4">
        <v>-1</v>
      </c>
    </row>
    <row r="7146" spans="1:12">
      <c r="A7146" t="s">
        <v>264</v>
      </c>
      <c r="B7146" s="10">
        <v>45309</v>
      </c>
      <c r="C7146" s="18">
        <f t="shared" si="111"/>
        <v>1</v>
      </c>
      <c r="D7146" t="s">
        <v>196</v>
      </c>
      <c r="E7146">
        <v>4872685</v>
      </c>
      <c r="F7146" t="s">
        <v>8</v>
      </c>
      <c r="G7146" t="s">
        <v>202</v>
      </c>
      <c r="H7146" t="s">
        <v>261</v>
      </c>
      <c r="I7146" s="4">
        <v>41587.104800000001</v>
      </c>
      <c r="J7146" s="4">
        <v>457458.15280000004</v>
      </c>
      <c r="K7146" s="4">
        <v>-22803.805199999999</v>
      </c>
      <c r="L7146" s="4">
        <v>11</v>
      </c>
    </row>
    <row r="7147" spans="1:12">
      <c r="A7147" t="s">
        <v>264</v>
      </c>
      <c r="B7147" s="10">
        <v>45309</v>
      </c>
      <c r="C7147" s="18">
        <f t="shared" si="111"/>
        <v>1</v>
      </c>
      <c r="D7147" t="s">
        <v>196</v>
      </c>
      <c r="E7147">
        <v>4872200</v>
      </c>
      <c r="F7147" t="s">
        <v>8</v>
      </c>
      <c r="G7147" t="s">
        <v>203</v>
      </c>
      <c r="H7147" t="s">
        <v>230</v>
      </c>
      <c r="I7147" s="4">
        <v>100638.28079999999</v>
      </c>
      <c r="J7147" s="4">
        <v>2012765.6159999999</v>
      </c>
      <c r="K7147" s="4">
        <v>-90461.376000000004</v>
      </c>
      <c r="L7147" s="4">
        <v>20</v>
      </c>
    </row>
    <row r="7148" spans="1:12">
      <c r="A7148" t="s">
        <v>264</v>
      </c>
      <c r="B7148" s="10">
        <v>45309</v>
      </c>
      <c r="C7148" s="18">
        <f t="shared" si="111"/>
        <v>1</v>
      </c>
      <c r="D7148" t="s">
        <v>196</v>
      </c>
      <c r="E7148">
        <v>4872200</v>
      </c>
      <c r="F7148" t="s">
        <v>8</v>
      </c>
      <c r="G7148" t="s">
        <v>203</v>
      </c>
      <c r="H7148" t="s">
        <v>225</v>
      </c>
      <c r="I7148" s="4">
        <v>100638.28079999999</v>
      </c>
      <c r="J7148" s="4">
        <v>5031914.04</v>
      </c>
      <c r="K7148" s="4">
        <v>-226153.44</v>
      </c>
      <c r="L7148" s="4">
        <v>50</v>
      </c>
    </row>
    <row r="7149" spans="1:12">
      <c r="A7149" t="s">
        <v>264</v>
      </c>
      <c r="B7149" s="10">
        <v>45309</v>
      </c>
      <c r="C7149" s="18">
        <f t="shared" si="111"/>
        <v>1</v>
      </c>
      <c r="D7149" t="s">
        <v>196</v>
      </c>
      <c r="E7149">
        <v>4872200</v>
      </c>
      <c r="F7149" t="s">
        <v>8</v>
      </c>
      <c r="G7149" t="s">
        <v>203</v>
      </c>
      <c r="H7149" t="s">
        <v>222</v>
      </c>
      <c r="I7149" s="4">
        <v>100638.28079999999</v>
      </c>
      <c r="J7149" s="4">
        <v>3019148.4239999996</v>
      </c>
      <c r="K7149" s="4">
        <v>-135692.06400000001</v>
      </c>
      <c r="L7149" s="4">
        <v>30</v>
      </c>
    </row>
    <row r="7150" spans="1:12">
      <c r="A7150" t="s">
        <v>264</v>
      </c>
      <c r="B7150" s="10">
        <v>45310</v>
      </c>
      <c r="C7150" s="18">
        <f t="shared" si="111"/>
        <v>1</v>
      </c>
      <c r="D7150" t="s">
        <v>196</v>
      </c>
      <c r="E7150">
        <v>4871600</v>
      </c>
      <c r="F7150" t="s">
        <v>8</v>
      </c>
      <c r="G7150" t="s">
        <v>204</v>
      </c>
      <c r="H7150" t="s">
        <v>214</v>
      </c>
      <c r="I7150" s="4">
        <v>119484.4008</v>
      </c>
      <c r="J7150" s="4">
        <v>716906.40480000002</v>
      </c>
      <c r="K7150" s="4">
        <v>-35807.628000000004</v>
      </c>
      <c r="L7150" s="4">
        <v>6</v>
      </c>
    </row>
    <row r="7151" spans="1:12">
      <c r="A7151" t="s">
        <v>264</v>
      </c>
      <c r="B7151" s="10">
        <v>45310</v>
      </c>
      <c r="C7151" s="18">
        <f t="shared" si="111"/>
        <v>1</v>
      </c>
      <c r="D7151" t="s">
        <v>196</v>
      </c>
      <c r="E7151">
        <v>4871600</v>
      </c>
      <c r="F7151" t="s">
        <v>8</v>
      </c>
      <c r="G7151" t="s">
        <v>204</v>
      </c>
      <c r="H7151" t="s">
        <v>221</v>
      </c>
      <c r="I7151" s="4">
        <v>25253.800799999997</v>
      </c>
      <c r="J7151" s="4">
        <v>101015.20319999999</v>
      </c>
      <c r="K7151" s="4">
        <v>-5025.6320000000005</v>
      </c>
      <c r="L7151" s="4">
        <v>4</v>
      </c>
    </row>
    <row r="7152" spans="1:12">
      <c r="A7152" t="s">
        <v>264</v>
      </c>
      <c r="B7152" s="10">
        <v>45310</v>
      </c>
      <c r="C7152" s="18">
        <f t="shared" si="111"/>
        <v>1</v>
      </c>
      <c r="D7152" t="s">
        <v>196</v>
      </c>
      <c r="E7152">
        <v>4871600</v>
      </c>
      <c r="F7152" t="s">
        <v>8</v>
      </c>
      <c r="G7152" t="s">
        <v>205</v>
      </c>
      <c r="H7152" t="s">
        <v>210</v>
      </c>
      <c r="I7152" s="4">
        <v>7538.4479999999994</v>
      </c>
      <c r="J7152" s="4">
        <v>37692.239999999998</v>
      </c>
      <c r="K7152" s="4">
        <v>-1884.6119999999999</v>
      </c>
      <c r="L7152" s="4">
        <v>5</v>
      </c>
    </row>
    <row r="7153" spans="1:12">
      <c r="A7153" t="s">
        <v>264</v>
      </c>
      <c r="B7153" s="10">
        <v>45310</v>
      </c>
      <c r="C7153" s="18">
        <f t="shared" si="111"/>
        <v>1</v>
      </c>
      <c r="D7153" t="s">
        <v>196</v>
      </c>
      <c r="E7153">
        <v>4871600</v>
      </c>
      <c r="F7153" t="s">
        <v>8</v>
      </c>
      <c r="G7153" t="s">
        <v>205</v>
      </c>
      <c r="H7153" t="s">
        <v>211</v>
      </c>
      <c r="I7153" s="4">
        <v>5151.2727999999997</v>
      </c>
      <c r="J7153" s="4">
        <v>25756.363999999998</v>
      </c>
      <c r="K7153" s="4">
        <v>-1256.4080000000001</v>
      </c>
      <c r="L7153" s="4">
        <v>5</v>
      </c>
    </row>
    <row r="7154" spans="1:12">
      <c r="A7154" t="s">
        <v>264</v>
      </c>
      <c r="B7154" s="10">
        <v>45310</v>
      </c>
      <c r="C7154" s="18">
        <f t="shared" si="111"/>
        <v>1</v>
      </c>
      <c r="D7154" t="s">
        <v>196</v>
      </c>
      <c r="E7154">
        <v>4871600</v>
      </c>
      <c r="F7154" t="s">
        <v>8</v>
      </c>
      <c r="G7154" t="s">
        <v>205</v>
      </c>
      <c r="H7154" t="s">
        <v>246</v>
      </c>
      <c r="I7154" s="4">
        <v>5967.9380000000001</v>
      </c>
      <c r="J7154" s="4">
        <v>29839.690000000002</v>
      </c>
      <c r="K7154" s="4">
        <v>-1570.51</v>
      </c>
      <c r="L7154" s="4">
        <v>5</v>
      </c>
    </row>
    <row r="7155" spans="1:12">
      <c r="A7155" t="s">
        <v>264</v>
      </c>
      <c r="B7155" s="10">
        <v>45310</v>
      </c>
      <c r="C7155" s="18">
        <f t="shared" si="111"/>
        <v>1</v>
      </c>
      <c r="D7155" t="s">
        <v>196</v>
      </c>
      <c r="E7155">
        <v>4871600</v>
      </c>
      <c r="F7155" t="s">
        <v>8</v>
      </c>
      <c r="G7155" t="s">
        <v>205</v>
      </c>
      <c r="H7155" t="s">
        <v>247</v>
      </c>
      <c r="I7155" s="4">
        <v>8355.1131999999998</v>
      </c>
      <c r="J7155" s="4">
        <v>41775.565999999999</v>
      </c>
      <c r="K7155" s="4">
        <v>-2198.7139999999999</v>
      </c>
      <c r="L7155" s="4">
        <v>5</v>
      </c>
    </row>
    <row r="7156" spans="1:12">
      <c r="A7156" t="s">
        <v>264</v>
      </c>
      <c r="B7156" s="10">
        <v>45310</v>
      </c>
      <c r="C7156" s="18">
        <f t="shared" si="111"/>
        <v>1</v>
      </c>
      <c r="D7156" t="s">
        <v>196</v>
      </c>
      <c r="E7156">
        <v>4874006</v>
      </c>
      <c r="F7156" t="s">
        <v>8</v>
      </c>
      <c r="G7156" t="s">
        <v>203</v>
      </c>
      <c r="H7156" t="s">
        <v>245</v>
      </c>
      <c r="I7156" s="4">
        <v>100638.28079999999</v>
      </c>
      <c r="J7156" s="4">
        <v>1207659.3695999999</v>
      </c>
      <c r="K7156" s="4">
        <v>-54276.825600000004</v>
      </c>
      <c r="L7156" s="4">
        <v>12</v>
      </c>
    </row>
    <row r="7157" spans="1:12">
      <c r="A7157" t="s">
        <v>264</v>
      </c>
      <c r="B7157" s="10">
        <v>45310</v>
      </c>
      <c r="C7157" s="18">
        <f t="shared" si="111"/>
        <v>1</v>
      </c>
      <c r="D7157" t="s">
        <v>196</v>
      </c>
      <c r="E7157">
        <v>4874006</v>
      </c>
      <c r="F7157" t="s">
        <v>8</v>
      </c>
      <c r="G7157" t="s">
        <v>203</v>
      </c>
      <c r="H7157" t="s">
        <v>242</v>
      </c>
      <c r="I7157" s="4">
        <v>100638.28079999999</v>
      </c>
      <c r="J7157" s="4">
        <v>805106.24639999995</v>
      </c>
      <c r="K7157" s="4">
        <v>-36184.5504</v>
      </c>
      <c r="L7157" s="4">
        <v>8</v>
      </c>
    </row>
    <row r="7158" spans="1:12">
      <c r="A7158" t="s">
        <v>264</v>
      </c>
      <c r="B7158" s="10">
        <v>45310</v>
      </c>
      <c r="C7158" s="18">
        <f t="shared" si="111"/>
        <v>1</v>
      </c>
      <c r="D7158" t="s">
        <v>196</v>
      </c>
      <c r="E7158">
        <v>4874006</v>
      </c>
      <c r="F7158" t="s">
        <v>8</v>
      </c>
      <c r="G7158" t="s">
        <v>203</v>
      </c>
      <c r="H7158" t="s">
        <v>234</v>
      </c>
      <c r="I7158" s="4">
        <v>100638.28079999999</v>
      </c>
      <c r="J7158" s="4">
        <v>1207659.3695999999</v>
      </c>
      <c r="K7158" s="4">
        <v>-54276.825600000004</v>
      </c>
      <c r="L7158" s="4">
        <v>12</v>
      </c>
    </row>
    <row r="7159" spans="1:12">
      <c r="A7159" t="s">
        <v>264</v>
      </c>
      <c r="B7159" s="10">
        <v>45310</v>
      </c>
      <c r="C7159" s="18">
        <f t="shared" si="111"/>
        <v>1</v>
      </c>
      <c r="D7159" t="s">
        <v>196</v>
      </c>
      <c r="E7159">
        <v>4874006</v>
      </c>
      <c r="F7159" t="s">
        <v>8</v>
      </c>
      <c r="G7159" t="s">
        <v>203</v>
      </c>
      <c r="H7159" t="s">
        <v>226</v>
      </c>
      <c r="I7159" s="4">
        <v>100638.28079999999</v>
      </c>
      <c r="J7159" s="4">
        <v>1207659.3695999999</v>
      </c>
      <c r="K7159" s="4">
        <v>-54276.825600000004</v>
      </c>
      <c r="L7159" s="4">
        <v>12</v>
      </c>
    </row>
    <row r="7160" spans="1:12">
      <c r="A7160" t="s">
        <v>264</v>
      </c>
      <c r="B7160" s="10">
        <v>45310</v>
      </c>
      <c r="C7160" s="18">
        <f t="shared" si="111"/>
        <v>1</v>
      </c>
      <c r="D7160" t="s">
        <v>196</v>
      </c>
      <c r="E7160">
        <v>4874006</v>
      </c>
      <c r="F7160" t="s">
        <v>8</v>
      </c>
      <c r="G7160" t="s">
        <v>203</v>
      </c>
      <c r="H7160" t="s">
        <v>224</v>
      </c>
      <c r="I7160" s="4">
        <v>100638.28079999999</v>
      </c>
      <c r="J7160" s="4">
        <v>1006382.808</v>
      </c>
      <c r="K7160" s="4">
        <v>-45230.688000000002</v>
      </c>
      <c r="L7160" s="4">
        <v>10</v>
      </c>
    </row>
    <row r="7161" spans="1:12">
      <c r="A7161" t="s">
        <v>264</v>
      </c>
      <c r="B7161" s="10">
        <v>45310</v>
      </c>
      <c r="C7161" s="18">
        <f t="shared" si="111"/>
        <v>1</v>
      </c>
      <c r="D7161" t="s">
        <v>196</v>
      </c>
      <c r="E7161">
        <v>4874006</v>
      </c>
      <c r="F7161" t="s">
        <v>8</v>
      </c>
      <c r="G7161" t="s">
        <v>203</v>
      </c>
      <c r="H7161" t="s">
        <v>223</v>
      </c>
      <c r="I7161" s="4">
        <v>100638.28079999999</v>
      </c>
      <c r="J7161" s="4">
        <v>1207659.3695999999</v>
      </c>
      <c r="K7161" s="4">
        <v>-54276.825600000004</v>
      </c>
      <c r="L7161" s="4">
        <v>12</v>
      </c>
    </row>
    <row r="7162" spans="1:12">
      <c r="A7162" t="s">
        <v>264</v>
      </c>
      <c r="B7162" s="10">
        <v>45310</v>
      </c>
      <c r="C7162" s="18">
        <f t="shared" si="111"/>
        <v>1</v>
      </c>
      <c r="D7162" t="s">
        <v>196</v>
      </c>
      <c r="E7162">
        <v>4874006</v>
      </c>
      <c r="F7162" t="s">
        <v>8</v>
      </c>
      <c r="G7162" t="s">
        <v>203</v>
      </c>
      <c r="H7162" t="s">
        <v>222</v>
      </c>
      <c r="I7162" s="4">
        <v>100638.28079999999</v>
      </c>
      <c r="J7162" s="4">
        <v>1006382.808</v>
      </c>
      <c r="K7162" s="4">
        <v>-45230.688000000002</v>
      </c>
      <c r="L7162" s="4">
        <v>10</v>
      </c>
    </row>
    <row r="7163" spans="1:12">
      <c r="A7163" t="s">
        <v>264</v>
      </c>
      <c r="B7163" s="10">
        <v>45310</v>
      </c>
      <c r="C7163" s="18">
        <f t="shared" si="111"/>
        <v>1</v>
      </c>
      <c r="D7163" t="s">
        <v>196</v>
      </c>
      <c r="E7163">
        <v>4872158</v>
      </c>
      <c r="F7163" t="s">
        <v>8</v>
      </c>
      <c r="G7163" t="s">
        <v>204</v>
      </c>
      <c r="H7163" t="s">
        <v>219</v>
      </c>
      <c r="I7163" s="4">
        <v>44099.9208</v>
      </c>
      <c r="J7163" s="4">
        <v>440999.20799999998</v>
      </c>
      <c r="K7163" s="4">
        <v>-21987.14</v>
      </c>
      <c r="L7163" s="4">
        <v>10</v>
      </c>
    </row>
    <row r="7164" spans="1:12">
      <c r="A7164" t="s">
        <v>264</v>
      </c>
      <c r="B7164" s="10">
        <v>45310</v>
      </c>
      <c r="C7164" s="18">
        <f t="shared" si="111"/>
        <v>1</v>
      </c>
      <c r="D7164" t="s">
        <v>196</v>
      </c>
      <c r="E7164">
        <v>4872158</v>
      </c>
      <c r="F7164" t="s">
        <v>8</v>
      </c>
      <c r="G7164" t="s">
        <v>204</v>
      </c>
      <c r="H7164" t="s">
        <v>221</v>
      </c>
      <c r="I7164" s="4">
        <v>25253.800799999997</v>
      </c>
      <c r="J7164" s="4">
        <v>126269.00399999999</v>
      </c>
      <c r="K7164" s="4">
        <v>-6282.04</v>
      </c>
      <c r="L7164" s="4">
        <v>5</v>
      </c>
    </row>
    <row r="7165" spans="1:12">
      <c r="A7165" t="s">
        <v>264</v>
      </c>
      <c r="B7165" s="10">
        <v>45310</v>
      </c>
      <c r="C7165" s="18">
        <f t="shared" si="111"/>
        <v>1</v>
      </c>
      <c r="D7165" t="s">
        <v>196</v>
      </c>
      <c r="E7165">
        <v>4873921</v>
      </c>
      <c r="F7165" t="s">
        <v>8</v>
      </c>
      <c r="G7165" t="s">
        <v>202</v>
      </c>
      <c r="H7165" t="s">
        <v>259</v>
      </c>
      <c r="I7165" s="4">
        <v>30279.432800000002</v>
      </c>
      <c r="J7165" s="4">
        <v>121117.73120000001</v>
      </c>
      <c r="K7165" s="4">
        <v>-6030.7583999999997</v>
      </c>
      <c r="L7165" s="4">
        <v>4</v>
      </c>
    </row>
    <row r="7166" spans="1:12">
      <c r="A7166" t="s">
        <v>264</v>
      </c>
      <c r="B7166" s="10">
        <v>45310</v>
      </c>
      <c r="C7166" s="18">
        <f t="shared" si="111"/>
        <v>1</v>
      </c>
      <c r="D7166" t="s">
        <v>196</v>
      </c>
      <c r="E7166">
        <v>4873921</v>
      </c>
      <c r="F7166" t="s">
        <v>8</v>
      </c>
      <c r="G7166" t="s">
        <v>202</v>
      </c>
      <c r="H7166" t="s">
        <v>258</v>
      </c>
      <c r="I7166" s="4">
        <v>37817.880799999999</v>
      </c>
      <c r="J7166" s="4">
        <v>756357.61599999992</v>
      </c>
      <c r="K7166" s="4">
        <v>-37692.239999999998</v>
      </c>
      <c r="L7166" s="4">
        <v>20</v>
      </c>
    </row>
    <row r="7167" spans="1:12">
      <c r="A7167" t="s">
        <v>264</v>
      </c>
      <c r="B7167" s="10">
        <v>45310</v>
      </c>
      <c r="C7167" s="18">
        <f t="shared" si="111"/>
        <v>1</v>
      </c>
      <c r="D7167" t="s">
        <v>196</v>
      </c>
      <c r="E7167">
        <v>4873921</v>
      </c>
      <c r="F7167" t="s">
        <v>8</v>
      </c>
      <c r="G7167" t="s">
        <v>202</v>
      </c>
      <c r="H7167" t="s">
        <v>254</v>
      </c>
      <c r="I7167" s="4">
        <v>37817.880799999999</v>
      </c>
      <c r="J7167" s="4">
        <v>75635.761599999998</v>
      </c>
      <c r="K7167" s="4">
        <v>-3769.2239999999997</v>
      </c>
      <c r="L7167" s="4">
        <v>2</v>
      </c>
    </row>
    <row r="7168" spans="1:12">
      <c r="A7168" t="s">
        <v>264</v>
      </c>
      <c r="B7168" s="10">
        <v>45310</v>
      </c>
      <c r="C7168" s="18">
        <f t="shared" si="111"/>
        <v>1</v>
      </c>
      <c r="D7168" t="s">
        <v>196</v>
      </c>
      <c r="E7168">
        <v>4872103</v>
      </c>
      <c r="F7168" t="s">
        <v>8</v>
      </c>
      <c r="G7168" t="s">
        <v>202</v>
      </c>
      <c r="H7168" t="s">
        <v>253</v>
      </c>
      <c r="I7168" s="4">
        <v>46669.275160000005</v>
      </c>
      <c r="J7168" s="4">
        <v>4666927.5160000008</v>
      </c>
      <c r="K7168" s="4">
        <v>-244999.56</v>
      </c>
      <c r="L7168" s="4">
        <v>100</v>
      </c>
    </row>
    <row r="7169" spans="1:12">
      <c r="A7169" t="s">
        <v>264</v>
      </c>
      <c r="B7169" s="10">
        <v>45310</v>
      </c>
      <c r="C7169" s="18">
        <f t="shared" si="111"/>
        <v>1</v>
      </c>
      <c r="D7169" t="s">
        <v>196</v>
      </c>
      <c r="E7169">
        <v>4872205</v>
      </c>
      <c r="F7169" t="s">
        <v>8</v>
      </c>
      <c r="G7169" t="s">
        <v>203</v>
      </c>
      <c r="H7169" t="s">
        <v>240</v>
      </c>
      <c r="I7169" s="4">
        <v>100638.28079999999</v>
      </c>
      <c r="J7169" s="4">
        <v>1006382.808</v>
      </c>
      <c r="K7169" s="4">
        <v>-45230.688000000002</v>
      </c>
      <c r="L7169" s="4">
        <v>10</v>
      </c>
    </row>
    <row r="7170" spans="1:12">
      <c r="A7170" t="s">
        <v>264</v>
      </c>
      <c r="B7170" s="10">
        <v>45310</v>
      </c>
      <c r="C7170" s="18">
        <f t="shared" ref="C7170:C7233" si="112">MONTH(B7170)</f>
        <v>1</v>
      </c>
      <c r="D7170" t="s">
        <v>196</v>
      </c>
      <c r="E7170">
        <v>4872205</v>
      </c>
      <c r="F7170" t="s">
        <v>8</v>
      </c>
      <c r="G7170" t="s">
        <v>203</v>
      </c>
      <c r="H7170" t="s">
        <v>238</v>
      </c>
      <c r="I7170" s="4">
        <v>95606.36675999999</v>
      </c>
      <c r="J7170" s="4">
        <v>956063.66759999993</v>
      </c>
      <c r="K7170" s="4">
        <v>-45230.688000000002</v>
      </c>
      <c r="L7170" s="4">
        <v>10</v>
      </c>
    </row>
    <row r="7171" spans="1:12">
      <c r="A7171" t="s">
        <v>264</v>
      </c>
      <c r="B7171" s="10">
        <v>45310</v>
      </c>
      <c r="C7171" s="18">
        <f t="shared" si="112"/>
        <v>1</v>
      </c>
      <c r="D7171" t="s">
        <v>196</v>
      </c>
      <c r="E7171">
        <v>4872205</v>
      </c>
      <c r="F7171" t="s">
        <v>8</v>
      </c>
      <c r="G7171" t="s">
        <v>203</v>
      </c>
      <c r="H7171" t="s">
        <v>234</v>
      </c>
      <c r="I7171" s="4">
        <v>100638.28079999999</v>
      </c>
      <c r="J7171" s="4">
        <v>1006382.808</v>
      </c>
      <c r="K7171" s="4">
        <v>-45230.688000000002</v>
      </c>
      <c r="L7171" s="4">
        <v>10</v>
      </c>
    </row>
    <row r="7172" spans="1:12">
      <c r="A7172" t="s">
        <v>264</v>
      </c>
      <c r="B7172" s="10">
        <v>45310</v>
      </c>
      <c r="C7172" s="18">
        <f t="shared" si="112"/>
        <v>1</v>
      </c>
      <c r="D7172" t="s">
        <v>196</v>
      </c>
      <c r="E7172">
        <v>4872205</v>
      </c>
      <c r="F7172" t="s">
        <v>8</v>
      </c>
      <c r="G7172" t="s">
        <v>203</v>
      </c>
      <c r="H7172" t="s">
        <v>232</v>
      </c>
      <c r="I7172" s="4">
        <v>100638.28079999999</v>
      </c>
      <c r="J7172" s="4">
        <v>1006382.808</v>
      </c>
      <c r="K7172" s="4">
        <v>-45230.688000000002</v>
      </c>
      <c r="L7172" s="4">
        <v>10</v>
      </c>
    </row>
    <row r="7173" spans="1:12">
      <c r="A7173" t="s">
        <v>264</v>
      </c>
      <c r="B7173" s="10">
        <v>45310</v>
      </c>
      <c r="C7173" s="18">
        <f t="shared" si="112"/>
        <v>1</v>
      </c>
      <c r="D7173" t="s">
        <v>196</v>
      </c>
      <c r="E7173">
        <v>4872205</v>
      </c>
      <c r="F7173" t="s">
        <v>8</v>
      </c>
      <c r="G7173" t="s">
        <v>203</v>
      </c>
      <c r="H7173" t="s">
        <v>230</v>
      </c>
      <c r="I7173" s="4">
        <v>100638.28079999999</v>
      </c>
      <c r="J7173" s="4">
        <v>1006382.808</v>
      </c>
      <c r="K7173" s="4">
        <v>-45230.688000000002</v>
      </c>
      <c r="L7173" s="4">
        <v>10</v>
      </c>
    </row>
    <row r="7174" spans="1:12">
      <c r="A7174" t="s">
        <v>264</v>
      </c>
      <c r="B7174" s="10">
        <v>45311</v>
      </c>
      <c r="C7174" s="18">
        <f t="shared" si="112"/>
        <v>1</v>
      </c>
      <c r="D7174" t="s">
        <v>196</v>
      </c>
      <c r="E7174">
        <v>4872246</v>
      </c>
      <c r="F7174" t="s">
        <v>8</v>
      </c>
      <c r="G7174" t="s">
        <v>205</v>
      </c>
      <c r="H7174" t="s">
        <v>210</v>
      </c>
      <c r="I7174" s="4">
        <v>7538.4479999999994</v>
      </c>
      <c r="J7174" s="4">
        <v>376922.39999999997</v>
      </c>
      <c r="K7174" s="4">
        <v>-18846.12</v>
      </c>
      <c r="L7174" s="4">
        <v>50</v>
      </c>
    </row>
    <row r="7175" spans="1:12">
      <c r="A7175" t="s">
        <v>264</v>
      </c>
      <c r="B7175" s="10">
        <v>45311</v>
      </c>
      <c r="C7175" s="18">
        <f t="shared" si="112"/>
        <v>1</v>
      </c>
      <c r="D7175" t="s">
        <v>196</v>
      </c>
      <c r="E7175">
        <v>4872246</v>
      </c>
      <c r="F7175" t="s">
        <v>8</v>
      </c>
      <c r="G7175" t="s">
        <v>205</v>
      </c>
      <c r="H7175" t="s">
        <v>211</v>
      </c>
      <c r="I7175" s="4">
        <v>5151.2727999999997</v>
      </c>
      <c r="J7175" s="4">
        <v>257563.63999999998</v>
      </c>
      <c r="K7175" s="4">
        <v>-12564.08</v>
      </c>
      <c r="L7175" s="4">
        <v>50</v>
      </c>
    </row>
    <row r="7176" spans="1:12">
      <c r="A7176" t="s">
        <v>264</v>
      </c>
      <c r="B7176" s="10">
        <v>45311</v>
      </c>
      <c r="C7176" s="18">
        <f t="shared" si="112"/>
        <v>1</v>
      </c>
      <c r="D7176" t="s">
        <v>196</v>
      </c>
      <c r="E7176">
        <v>4878825</v>
      </c>
      <c r="F7176" t="s">
        <v>8</v>
      </c>
      <c r="G7176" t="s">
        <v>202</v>
      </c>
      <c r="H7176" t="s">
        <v>261</v>
      </c>
      <c r="I7176" s="4">
        <v>41587.104800000001</v>
      </c>
      <c r="J7176" s="4">
        <v>831742.09600000002</v>
      </c>
      <c r="K7176" s="4">
        <v>-41461.464</v>
      </c>
      <c r="L7176" s="4">
        <v>20</v>
      </c>
    </row>
    <row r="7177" spans="1:12">
      <c r="A7177" t="s">
        <v>264</v>
      </c>
      <c r="B7177" s="10">
        <v>45311</v>
      </c>
      <c r="C7177" s="18">
        <f t="shared" si="112"/>
        <v>1</v>
      </c>
      <c r="D7177" t="s">
        <v>196</v>
      </c>
      <c r="E7177">
        <v>4874586</v>
      </c>
      <c r="F7177" t="s">
        <v>8</v>
      </c>
      <c r="G7177" t="s">
        <v>204</v>
      </c>
      <c r="H7177" t="s">
        <v>213</v>
      </c>
      <c r="I7177" s="4">
        <v>119484.4008</v>
      </c>
      <c r="J7177" s="4">
        <v>597422.00399999996</v>
      </c>
      <c r="K7177" s="4">
        <v>-29839.69</v>
      </c>
      <c r="L7177" s="4">
        <v>5</v>
      </c>
    </row>
    <row r="7178" spans="1:12">
      <c r="A7178" t="s">
        <v>264</v>
      </c>
      <c r="B7178" s="10">
        <v>45311</v>
      </c>
      <c r="C7178" s="18">
        <f t="shared" si="112"/>
        <v>1</v>
      </c>
      <c r="D7178" t="s">
        <v>196</v>
      </c>
      <c r="E7178">
        <v>4872233</v>
      </c>
      <c r="F7178" t="s">
        <v>8</v>
      </c>
      <c r="G7178" t="s">
        <v>202</v>
      </c>
      <c r="H7178" t="s">
        <v>256</v>
      </c>
      <c r="I7178" s="4">
        <v>64202.448800000006</v>
      </c>
      <c r="J7178" s="4">
        <v>3852146.9280000003</v>
      </c>
      <c r="K7178" s="4">
        <v>-192230.424</v>
      </c>
      <c r="L7178" s="4">
        <v>60</v>
      </c>
    </row>
    <row r="7179" spans="1:12">
      <c r="A7179" t="s">
        <v>264</v>
      </c>
      <c r="B7179" s="10">
        <v>45311</v>
      </c>
      <c r="C7179" s="18">
        <f t="shared" si="112"/>
        <v>1</v>
      </c>
      <c r="D7179" t="s">
        <v>196</v>
      </c>
      <c r="E7179">
        <v>4872200</v>
      </c>
      <c r="F7179" t="s">
        <v>8</v>
      </c>
      <c r="G7179" t="s">
        <v>203</v>
      </c>
      <c r="H7179" t="s">
        <v>245</v>
      </c>
      <c r="I7179" s="4">
        <v>100638.28079999999</v>
      </c>
      <c r="J7179" s="4">
        <v>2012765.6159999999</v>
      </c>
      <c r="K7179" s="4">
        <v>-90461.376000000004</v>
      </c>
      <c r="L7179" s="4">
        <v>20</v>
      </c>
    </row>
    <row r="7180" spans="1:12">
      <c r="A7180" t="s">
        <v>264</v>
      </c>
      <c r="B7180" s="10">
        <v>45311</v>
      </c>
      <c r="C7180" s="18">
        <f t="shared" si="112"/>
        <v>1</v>
      </c>
      <c r="D7180" t="s">
        <v>196</v>
      </c>
      <c r="E7180">
        <v>4872200</v>
      </c>
      <c r="F7180" t="s">
        <v>8</v>
      </c>
      <c r="G7180" t="s">
        <v>203</v>
      </c>
      <c r="H7180" t="s">
        <v>238</v>
      </c>
      <c r="I7180" s="4">
        <v>95606.36675999999</v>
      </c>
      <c r="J7180" s="4">
        <v>1912127.3351999999</v>
      </c>
      <c r="K7180" s="4">
        <v>-90461.376000000004</v>
      </c>
      <c r="L7180" s="4">
        <v>20</v>
      </c>
    </row>
    <row r="7181" spans="1:12">
      <c r="A7181" t="s">
        <v>264</v>
      </c>
      <c r="B7181" s="10">
        <v>45311</v>
      </c>
      <c r="C7181" s="18">
        <f t="shared" si="112"/>
        <v>1</v>
      </c>
      <c r="D7181" t="s">
        <v>196</v>
      </c>
      <c r="E7181">
        <v>4872200</v>
      </c>
      <c r="F7181" t="s">
        <v>8</v>
      </c>
      <c r="G7181" t="s">
        <v>203</v>
      </c>
      <c r="H7181" t="s">
        <v>230</v>
      </c>
      <c r="I7181" s="4">
        <v>100638.28079999999</v>
      </c>
      <c r="J7181" s="4">
        <v>2012765.6159999999</v>
      </c>
      <c r="K7181" s="4">
        <v>-90461.376000000004</v>
      </c>
      <c r="L7181" s="4">
        <v>20</v>
      </c>
    </row>
    <row r="7182" spans="1:12">
      <c r="A7182" t="s">
        <v>264</v>
      </c>
      <c r="B7182" s="10">
        <v>45311</v>
      </c>
      <c r="C7182" s="18">
        <f t="shared" si="112"/>
        <v>1</v>
      </c>
      <c r="D7182" t="s">
        <v>196</v>
      </c>
      <c r="E7182">
        <v>4872200</v>
      </c>
      <c r="F7182" t="s">
        <v>8</v>
      </c>
      <c r="G7182" t="s">
        <v>203</v>
      </c>
      <c r="H7182" t="s">
        <v>226</v>
      </c>
      <c r="I7182" s="4">
        <v>100638.28079999999</v>
      </c>
      <c r="J7182" s="4">
        <v>2012765.6159999999</v>
      </c>
      <c r="K7182" s="4">
        <v>-90461.376000000004</v>
      </c>
      <c r="L7182" s="4">
        <v>20</v>
      </c>
    </row>
    <row r="7183" spans="1:12">
      <c r="A7183" t="s">
        <v>264</v>
      </c>
      <c r="B7183" s="10">
        <v>45311</v>
      </c>
      <c r="C7183" s="18">
        <f t="shared" si="112"/>
        <v>1</v>
      </c>
      <c r="D7183" t="s">
        <v>196</v>
      </c>
      <c r="E7183">
        <v>4872200</v>
      </c>
      <c r="F7183" t="s">
        <v>8</v>
      </c>
      <c r="G7183" t="s">
        <v>203</v>
      </c>
      <c r="H7183" t="s">
        <v>225</v>
      </c>
      <c r="I7183" s="4">
        <v>100638.28079999999</v>
      </c>
      <c r="J7183" s="4">
        <v>2012765.6159999999</v>
      </c>
      <c r="K7183" s="4">
        <v>-90461.376000000004</v>
      </c>
      <c r="L7183" s="4">
        <v>20</v>
      </c>
    </row>
    <row r="7184" spans="1:12">
      <c r="A7184" t="s">
        <v>264</v>
      </c>
      <c r="B7184" s="10">
        <v>45312</v>
      </c>
      <c r="C7184" s="18">
        <f t="shared" si="112"/>
        <v>1</v>
      </c>
      <c r="D7184" t="s">
        <v>196</v>
      </c>
      <c r="E7184">
        <v>4871600</v>
      </c>
      <c r="F7184" t="s">
        <v>8</v>
      </c>
      <c r="G7184" t="s">
        <v>204</v>
      </c>
      <c r="H7184" t="s">
        <v>213</v>
      </c>
      <c r="I7184" s="4">
        <v>119484.4008</v>
      </c>
      <c r="J7184" s="4">
        <v>716906.40480000002</v>
      </c>
      <c r="K7184" s="4">
        <v>-35807.628000000004</v>
      </c>
      <c r="L7184" s="4">
        <v>6</v>
      </c>
    </row>
    <row r="7185" spans="1:12">
      <c r="A7185" t="s">
        <v>264</v>
      </c>
      <c r="B7185" s="10">
        <v>45312</v>
      </c>
      <c r="C7185" s="18">
        <f t="shared" si="112"/>
        <v>1</v>
      </c>
      <c r="D7185" t="s">
        <v>196</v>
      </c>
      <c r="E7185">
        <v>4878874</v>
      </c>
      <c r="F7185" t="s">
        <v>8</v>
      </c>
      <c r="G7185" t="s">
        <v>206</v>
      </c>
      <c r="H7185" t="s">
        <v>249</v>
      </c>
      <c r="I7185" s="4">
        <v>17715.352800000001</v>
      </c>
      <c r="J7185" s="4">
        <v>1771535.28</v>
      </c>
      <c r="K7185" s="4">
        <v>-87948.56</v>
      </c>
      <c r="L7185" s="4">
        <v>100</v>
      </c>
    </row>
    <row r="7186" spans="1:12">
      <c r="A7186" t="s">
        <v>264</v>
      </c>
      <c r="B7186" s="10">
        <v>45312</v>
      </c>
      <c r="C7186" s="18">
        <f t="shared" si="112"/>
        <v>1</v>
      </c>
      <c r="D7186" t="s">
        <v>196</v>
      </c>
      <c r="E7186">
        <v>4872156</v>
      </c>
      <c r="F7186" t="s">
        <v>8</v>
      </c>
      <c r="G7186" t="s">
        <v>204</v>
      </c>
      <c r="H7186" t="s">
        <v>213</v>
      </c>
      <c r="I7186" s="4">
        <v>119484.4008</v>
      </c>
      <c r="J7186" s="4">
        <v>1194844.0079999999</v>
      </c>
      <c r="K7186" s="4">
        <v>-59679.38</v>
      </c>
      <c r="L7186" s="4">
        <v>10</v>
      </c>
    </row>
    <row r="7187" spans="1:12">
      <c r="A7187" t="s">
        <v>264</v>
      </c>
      <c r="B7187" s="10">
        <v>45312</v>
      </c>
      <c r="C7187" s="18">
        <f t="shared" si="112"/>
        <v>1</v>
      </c>
      <c r="D7187" t="s">
        <v>196</v>
      </c>
      <c r="E7187">
        <v>4875623</v>
      </c>
      <c r="F7187" t="s">
        <v>8</v>
      </c>
      <c r="G7187" t="s">
        <v>204</v>
      </c>
      <c r="H7187" t="s">
        <v>215</v>
      </c>
      <c r="I7187" s="4">
        <v>75510.12079999999</v>
      </c>
      <c r="J7187" s="4">
        <v>75510.12079999999</v>
      </c>
      <c r="K7187" s="4">
        <v>-4397.4279999999999</v>
      </c>
      <c r="L7187" s="4">
        <v>1</v>
      </c>
    </row>
    <row r="7188" spans="1:12">
      <c r="A7188" t="s">
        <v>264</v>
      </c>
      <c r="B7188" s="10">
        <v>45312</v>
      </c>
      <c r="C7188" s="18">
        <f t="shared" si="112"/>
        <v>1</v>
      </c>
      <c r="D7188" t="s">
        <v>196</v>
      </c>
      <c r="E7188">
        <v>4875623</v>
      </c>
      <c r="F7188" t="s">
        <v>8</v>
      </c>
      <c r="G7188" t="s">
        <v>204</v>
      </c>
      <c r="H7188" t="s">
        <v>213</v>
      </c>
      <c r="I7188" s="4">
        <v>119484.4008</v>
      </c>
      <c r="J7188" s="4">
        <v>119484.4008</v>
      </c>
      <c r="K7188" s="4">
        <v>-5967.9380000000001</v>
      </c>
      <c r="L7188" s="4">
        <v>1</v>
      </c>
    </row>
    <row r="7189" spans="1:12">
      <c r="A7189" t="s">
        <v>264</v>
      </c>
      <c r="B7189" s="10">
        <v>45312</v>
      </c>
      <c r="C7189" s="18">
        <f t="shared" si="112"/>
        <v>1</v>
      </c>
      <c r="D7189" t="s">
        <v>196</v>
      </c>
      <c r="E7189">
        <v>4875623</v>
      </c>
      <c r="F7189" t="s">
        <v>8</v>
      </c>
      <c r="G7189" t="s">
        <v>204</v>
      </c>
      <c r="H7189" t="s">
        <v>221</v>
      </c>
      <c r="I7189" s="4">
        <v>25253.800799999997</v>
      </c>
      <c r="J7189" s="4">
        <v>252538.00799999997</v>
      </c>
      <c r="K7189" s="4">
        <v>-12564.08</v>
      </c>
      <c r="L7189" s="4">
        <v>10</v>
      </c>
    </row>
    <row r="7190" spans="1:12">
      <c r="A7190" t="s">
        <v>264</v>
      </c>
      <c r="B7190" s="10">
        <v>45312</v>
      </c>
      <c r="C7190" s="18">
        <f t="shared" si="112"/>
        <v>1</v>
      </c>
      <c r="D7190" t="s">
        <v>196</v>
      </c>
      <c r="E7190">
        <v>4875623</v>
      </c>
      <c r="F7190" t="s">
        <v>8</v>
      </c>
      <c r="G7190" t="s">
        <v>204</v>
      </c>
      <c r="H7190" t="s">
        <v>220</v>
      </c>
      <c r="I7190" s="4">
        <v>37817.880799999999</v>
      </c>
      <c r="J7190" s="4">
        <v>151271.5232</v>
      </c>
      <c r="K7190" s="4">
        <v>-5779.4768000000004</v>
      </c>
      <c r="L7190" s="4">
        <v>4</v>
      </c>
    </row>
    <row r="7191" spans="1:12">
      <c r="A7191" t="s">
        <v>264</v>
      </c>
      <c r="B7191" s="10">
        <v>45312</v>
      </c>
      <c r="C7191" s="18">
        <f t="shared" si="112"/>
        <v>1</v>
      </c>
      <c r="D7191" t="s">
        <v>196</v>
      </c>
      <c r="E7191">
        <v>4875623</v>
      </c>
      <c r="F7191" t="s">
        <v>8</v>
      </c>
      <c r="G7191" t="s">
        <v>204</v>
      </c>
      <c r="H7191" t="s">
        <v>212</v>
      </c>
      <c r="I7191" s="4">
        <v>62946.040799999995</v>
      </c>
      <c r="J7191" s="4">
        <v>251784.16319999998</v>
      </c>
      <c r="K7191" s="4">
        <v>-7538.4479999999994</v>
      </c>
      <c r="L7191" s="4">
        <v>4</v>
      </c>
    </row>
    <row r="7192" spans="1:12">
      <c r="A7192" t="s">
        <v>264</v>
      </c>
      <c r="B7192" s="10">
        <v>45312</v>
      </c>
      <c r="C7192" s="18">
        <f t="shared" si="112"/>
        <v>1</v>
      </c>
      <c r="D7192" t="s">
        <v>196</v>
      </c>
      <c r="E7192">
        <v>4872193</v>
      </c>
      <c r="F7192" t="s">
        <v>8</v>
      </c>
      <c r="G7192" t="s">
        <v>204</v>
      </c>
      <c r="H7192" t="s">
        <v>219</v>
      </c>
      <c r="I7192" s="4">
        <v>44099.9208</v>
      </c>
      <c r="J7192" s="4">
        <v>1763996.8319999999</v>
      </c>
      <c r="K7192" s="4">
        <v>-87948.56</v>
      </c>
      <c r="L7192" s="4">
        <v>40</v>
      </c>
    </row>
    <row r="7193" spans="1:12">
      <c r="A7193" t="s">
        <v>264</v>
      </c>
      <c r="B7193" s="10">
        <v>45312</v>
      </c>
      <c r="C7193" s="18">
        <f t="shared" si="112"/>
        <v>1</v>
      </c>
      <c r="D7193" t="s">
        <v>196</v>
      </c>
      <c r="E7193">
        <v>4876759</v>
      </c>
      <c r="F7193" t="s">
        <v>8</v>
      </c>
      <c r="G7193" t="s">
        <v>203</v>
      </c>
      <c r="H7193" t="s">
        <v>245</v>
      </c>
      <c r="I7193" s="4">
        <v>100638.28079999999</v>
      </c>
      <c r="J7193" s="4">
        <v>1006382.808</v>
      </c>
      <c r="K7193" s="4">
        <v>-45230.688000000002</v>
      </c>
      <c r="L7193" s="4">
        <v>10</v>
      </c>
    </row>
    <row r="7194" spans="1:12">
      <c r="A7194" t="s">
        <v>264</v>
      </c>
      <c r="B7194" s="10">
        <v>45312</v>
      </c>
      <c r="C7194" s="18">
        <f t="shared" si="112"/>
        <v>1</v>
      </c>
      <c r="D7194" t="s">
        <v>196</v>
      </c>
      <c r="E7194">
        <v>4876759</v>
      </c>
      <c r="F7194" t="s">
        <v>8</v>
      </c>
      <c r="G7194" t="s">
        <v>203</v>
      </c>
      <c r="H7194" t="s">
        <v>238</v>
      </c>
      <c r="I7194" s="4">
        <v>95606.36675999999</v>
      </c>
      <c r="J7194" s="4">
        <v>956063.66759999993</v>
      </c>
      <c r="K7194" s="4">
        <v>-45230.688000000002</v>
      </c>
      <c r="L7194" s="4">
        <v>10</v>
      </c>
    </row>
    <row r="7195" spans="1:12">
      <c r="A7195" t="s">
        <v>264</v>
      </c>
      <c r="B7195" s="10">
        <v>45312</v>
      </c>
      <c r="C7195" s="18">
        <f t="shared" si="112"/>
        <v>1</v>
      </c>
      <c r="D7195" t="s">
        <v>196</v>
      </c>
      <c r="E7195">
        <v>4876759</v>
      </c>
      <c r="F7195" t="s">
        <v>8</v>
      </c>
      <c r="G7195" t="s">
        <v>203</v>
      </c>
      <c r="H7195" t="s">
        <v>232</v>
      </c>
      <c r="I7195" s="4">
        <v>100638.28079999999</v>
      </c>
      <c r="J7195" s="4">
        <v>1006382.808</v>
      </c>
      <c r="K7195" s="4">
        <v>-45230.688000000002</v>
      </c>
      <c r="L7195" s="4">
        <v>10</v>
      </c>
    </row>
    <row r="7196" spans="1:12">
      <c r="A7196" t="s">
        <v>264</v>
      </c>
      <c r="B7196" s="10">
        <v>45312</v>
      </c>
      <c r="C7196" s="18">
        <f t="shared" si="112"/>
        <v>1</v>
      </c>
      <c r="D7196" t="s">
        <v>196</v>
      </c>
      <c r="E7196">
        <v>4876759</v>
      </c>
      <c r="F7196" t="s">
        <v>8</v>
      </c>
      <c r="G7196" t="s">
        <v>203</v>
      </c>
      <c r="H7196" t="s">
        <v>227</v>
      </c>
      <c r="I7196" s="4">
        <v>100638.28079999999</v>
      </c>
      <c r="J7196" s="4">
        <v>1006382.808</v>
      </c>
      <c r="K7196" s="4">
        <v>-45230.688000000002</v>
      </c>
      <c r="L7196" s="4">
        <v>10</v>
      </c>
    </row>
    <row r="7197" spans="1:12">
      <c r="A7197" t="s">
        <v>264</v>
      </c>
      <c r="B7197" s="10">
        <v>45312</v>
      </c>
      <c r="C7197" s="18">
        <f t="shared" si="112"/>
        <v>1</v>
      </c>
      <c r="D7197" t="s">
        <v>196</v>
      </c>
      <c r="E7197">
        <v>4876759</v>
      </c>
      <c r="F7197" t="s">
        <v>8</v>
      </c>
      <c r="G7197" t="s">
        <v>203</v>
      </c>
      <c r="H7197" t="s">
        <v>226</v>
      </c>
      <c r="I7197" s="4">
        <v>100638.28079999999</v>
      </c>
      <c r="J7197" s="4">
        <v>1006382.808</v>
      </c>
      <c r="K7197" s="4">
        <v>-45230.688000000002</v>
      </c>
      <c r="L7197" s="4">
        <v>10</v>
      </c>
    </row>
    <row r="7198" spans="1:12">
      <c r="A7198" t="s">
        <v>264</v>
      </c>
      <c r="B7198" s="10">
        <v>45313</v>
      </c>
      <c r="C7198" s="18">
        <f t="shared" si="112"/>
        <v>1</v>
      </c>
      <c r="D7198" t="s">
        <v>196</v>
      </c>
      <c r="E7198">
        <v>4873921</v>
      </c>
      <c r="F7198" t="s">
        <v>8</v>
      </c>
      <c r="G7198" t="s">
        <v>204</v>
      </c>
      <c r="H7198" t="s">
        <v>217</v>
      </c>
      <c r="I7198" s="4">
        <v>78022.936799999996</v>
      </c>
      <c r="J7198" s="4">
        <v>2418711.0408000001</v>
      </c>
      <c r="K7198" s="4">
        <v>-120740.8088</v>
      </c>
      <c r="L7198" s="4">
        <v>31</v>
      </c>
    </row>
    <row r="7199" spans="1:12">
      <c r="A7199" t="s">
        <v>264</v>
      </c>
      <c r="B7199" s="10">
        <v>45313</v>
      </c>
      <c r="C7199" s="18">
        <f t="shared" si="112"/>
        <v>1</v>
      </c>
      <c r="D7199" t="s">
        <v>196</v>
      </c>
      <c r="E7199">
        <v>4872254</v>
      </c>
      <c r="F7199" t="s">
        <v>8</v>
      </c>
      <c r="G7199" t="s">
        <v>205</v>
      </c>
      <c r="H7199" t="s">
        <v>210</v>
      </c>
      <c r="I7199" s="4">
        <v>7538.4479999999994</v>
      </c>
      <c r="J7199" s="4">
        <v>376922.39999999997</v>
      </c>
      <c r="K7199" s="4">
        <v>-18846.12</v>
      </c>
      <c r="L7199" s="4">
        <v>50</v>
      </c>
    </row>
    <row r="7200" spans="1:12">
      <c r="A7200" t="s">
        <v>264</v>
      </c>
      <c r="B7200" s="10">
        <v>45313</v>
      </c>
      <c r="C7200" s="18">
        <f t="shared" si="112"/>
        <v>1</v>
      </c>
      <c r="D7200" t="s">
        <v>196</v>
      </c>
      <c r="E7200">
        <v>4872254</v>
      </c>
      <c r="F7200" t="s">
        <v>8</v>
      </c>
      <c r="G7200" t="s">
        <v>205</v>
      </c>
      <c r="H7200" t="s">
        <v>211</v>
      </c>
      <c r="I7200" s="4">
        <v>5151.2727999999997</v>
      </c>
      <c r="J7200" s="4">
        <v>257563.63999999998</v>
      </c>
      <c r="K7200" s="4">
        <v>-12564.08</v>
      </c>
      <c r="L7200" s="4">
        <v>50</v>
      </c>
    </row>
    <row r="7201" spans="1:12">
      <c r="A7201" t="s">
        <v>264</v>
      </c>
      <c r="B7201" s="10">
        <v>45313</v>
      </c>
      <c r="C7201" s="18">
        <f t="shared" si="112"/>
        <v>1</v>
      </c>
      <c r="D7201" t="s">
        <v>196</v>
      </c>
      <c r="E7201">
        <v>4871657</v>
      </c>
      <c r="F7201" t="s">
        <v>8</v>
      </c>
      <c r="G7201" t="s">
        <v>203</v>
      </c>
      <c r="H7201" t="s">
        <v>236</v>
      </c>
      <c r="I7201" s="4">
        <v>100638.28079999999</v>
      </c>
      <c r="J7201" s="4">
        <v>603829.68479999993</v>
      </c>
      <c r="K7201" s="4">
        <v>-27138.412800000002</v>
      </c>
      <c r="L7201" s="4">
        <v>6</v>
      </c>
    </row>
    <row r="7202" spans="1:12">
      <c r="A7202" t="s">
        <v>264</v>
      </c>
      <c r="B7202" s="10">
        <v>45313</v>
      </c>
      <c r="C7202" s="18">
        <f t="shared" si="112"/>
        <v>1</v>
      </c>
      <c r="D7202" t="s">
        <v>196</v>
      </c>
      <c r="E7202">
        <v>4871657</v>
      </c>
      <c r="F7202" t="s">
        <v>8</v>
      </c>
      <c r="G7202" t="s">
        <v>203</v>
      </c>
      <c r="H7202" t="s">
        <v>234</v>
      </c>
      <c r="I7202" s="4">
        <v>100638.28079999999</v>
      </c>
      <c r="J7202" s="4">
        <v>603829.68479999993</v>
      </c>
      <c r="K7202" s="4">
        <v>-27138.412800000002</v>
      </c>
      <c r="L7202" s="4">
        <v>6</v>
      </c>
    </row>
    <row r="7203" spans="1:12">
      <c r="A7203" t="s">
        <v>264</v>
      </c>
      <c r="B7203" s="10">
        <v>45313</v>
      </c>
      <c r="C7203" s="18">
        <f t="shared" si="112"/>
        <v>1</v>
      </c>
      <c r="D7203" t="s">
        <v>196</v>
      </c>
      <c r="E7203">
        <v>4871657</v>
      </c>
      <c r="F7203" t="s">
        <v>8</v>
      </c>
      <c r="G7203" t="s">
        <v>203</v>
      </c>
      <c r="H7203" t="s">
        <v>232</v>
      </c>
      <c r="I7203" s="4">
        <v>100638.28079999999</v>
      </c>
      <c r="J7203" s="4">
        <v>603829.68479999993</v>
      </c>
      <c r="K7203" s="4">
        <v>-27138.412800000002</v>
      </c>
      <c r="L7203" s="4">
        <v>6</v>
      </c>
    </row>
    <row r="7204" spans="1:12">
      <c r="A7204" t="s">
        <v>264</v>
      </c>
      <c r="B7204" s="10">
        <v>45313</v>
      </c>
      <c r="C7204" s="18">
        <f t="shared" si="112"/>
        <v>1</v>
      </c>
      <c r="D7204" t="s">
        <v>196</v>
      </c>
      <c r="E7204">
        <v>4871657</v>
      </c>
      <c r="F7204" t="s">
        <v>8</v>
      </c>
      <c r="G7204" t="s">
        <v>203</v>
      </c>
      <c r="H7204" t="s">
        <v>230</v>
      </c>
      <c r="I7204" s="4">
        <v>100638.28079999999</v>
      </c>
      <c r="J7204" s="4">
        <v>603829.68479999993</v>
      </c>
      <c r="K7204" s="4">
        <v>-27138.412800000002</v>
      </c>
      <c r="L7204" s="4">
        <v>6</v>
      </c>
    </row>
    <row r="7205" spans="1:12">
      <c r="A7205" t="s">
        <v>264</v>
      </c>
      <c r="B7205" s="10">
        <v>45313</v>
      </c>
      <c r="C7205" s="18">
        <f t="shared" si="112"/>
        <v>1</v>
      </c>
      <c r="D7205" t="s">
        <v>196</v>
      </c>
      <c r="E7205">
        <v>4871657</v>
      </c>
      <c r="F7205" t="s">
        <v>8</v>
      </c>
      <c r="G7205" t="s">
        <v>203</v>
      </c>
      <c r="H7205" t="s">
        <v>228</v>
      </c>
      <c r="I7205" s="4">
        <v>100638.28079999999</v>
      </c>
      <c r="J7205" s="4">
        <v>603829.68479999993</v>
      </c>
      <c r="K7205" s="4">
        <v>-27138.412800000002</v>
      </c>
      <c r="L7205" s="4">
        <v>6</v>
      </c>
    </row>
    <row r="7206" spans="1:12">
      <c r="A7206" t="s">
        <v>264</v>
      </c>
      <c r="B7206" s="10">
        <v>45313</v>
      </c>
      <c r="C7206" s="18">
        <f t="shared" si="112"/>
        <v>1</v>
      </c>
      <c r="D7206" t="s">
        <v>196</v>
      </c>
      <c r="E7206">
        <v>4871657</v>
      </c>
      <c r="F7206" t="s">
        <v>8</v>
      </c>
      <c r="G7206" t="s">
        <v>203</v>
      </c>
      <c r="H7206" t="s">
        <v>244</v>
      </c>
      <c r="I7206" s="4">
        <v>125766.4408</v>
      </c>
      <c r="J7206" s="4">
        <v>628832.20400000003</v>
      </c>
      <c r="K7206" s="4">
        <v>-29211.486000000001</v>
      </c>
      <c r="L7206" s="4">
        <v>5</v>
      </c>
    </row>
    <row r="7207" spans="1:12">
      <c r="A7207" t="s">
        <v>264</v>
      </c>
      <c r="B7207" s="10">
        <v>45313</v>
      </c>
      <c r="C7207" s="18">
        <f t="shared" si="112"/>
        <v>1</v>
      </c>
      <c r="D7207" t="s">
        <v>196</v>
      </c>
      <c r="E7207">
        <v>4871657</v>
      </c>
      <c r="F7207" t="s">
        <v>8</v>
      </c>
      <c r="G7207" t="s">
        <v>203</v>
      </c>
      <c r="H7207" t="s">
        <v>239</v>
      </c>
      <c r="I7207" s="4">
        <v>125766.4408</v>
      </c>
      <c r="J7207" s="4">
        <v>628832.20400000003</v>
      </c>
      <c r="K7207" s="4">
        <v>-29211.486000000001</v>
      </c>
      <c r="L7207" s="4">
        <v>5</v>
      </c>
    </row>
    <row r="7208" spans="1:12">
      <c r="A7208" t="s">
        <v>264</v>
      </c>
      <c r="B7208" s="10">
        <v>45313</v>
      </c>
      <c r="C7208" s="18">
        <f t="shared" si="112"/>
        <v>1</v>
      </c>
      <c r="D7208" t="s">
        <v>196</v>
      </c>
      <c r="E7208">
        <v>4873723</v>
      </c>
      <c r="F7208" t="s">
        <v>8</v>
      </c>
      <c r="G7208" t="s">
        <v>204</v>
      </c>
      <c r="H7208" t="s">
        <v>218</v>
      </c>
      <c r="I7208" s="4">
        <v>71740.896800000002</v>
      </c>
      <c r="J7208" s="4">
        <v>1434817.936</v>
      </c>
      <c r="K7208" s="4">
        <v>-77897.296000000002</v>
      </c>
      <c r="L7208" s="4">
        <v>20</v>
      </c>
    </row>
    <row r="7209" spans="1:12">
      <c r="A7209" t="s">
        <v>264</v>
      </c>
      <c r="B7209" s="10">
        <v>45313</v>
      </c>
      <c r="C7209" s="18">
        <f t="shared" si="112"/>
        <v>1</v>
      </c>
      <c r="D7209" t="s">
        <v>196</v>
      </c>
      <c r="E7209">
        <v>4872203</v>
      </c>
      <c r="F7209" t="s">
        <v>8</v>
      </c>
      <c r="G7209" t="s">
        <v>206</v>
      </c>
      <c r="H7209" t="s">
        <v>209</v>
      </c>
      <c r="I7209" s="4">
        <v>17715.352800000001</v>
      </c>
      <c r="J7209" s="4">
        <v>1771535.28</v>
      </c>
      <c r="K7209" s="4">
        <v>-87948.56</v>
      </c>
      <c r="L7209" s="4">
        <v>100</v>
      </c>
    </row>
    <row r="7210" spans="1:12">
      <c r="A7210" t="s">
        <v>264</v>
      </c>
      <c r="B7210" s="10">
        <v>45313</v>
      </c>
      <c r="C7210" s="18">
        <f t="shared" si="112"/>
        <v>1</v>
      </c>
      <c r="D7210" t="s">
        <v>196</v>
      </c>
      <c r="E7210">
        <v>4872141</v>
      </c>
      <c r="F7210" t="s">
        <v>8</v>
      </c>
      <c r="G7210" t="s">
        <v>205</v>
      </c>
      <c r="H7210" t="s">
        <v>246</v>
      </c>
      <c r="I7210" s="4">
        <v>5967.9380000000001</v>
      </c>
      <c r="J7210" s="4">
        <v>596793.80000000005</v>
      </c>
      <c r="K7210" s="4">
        <v>-31410.2</v>
      </c>
      <c r="L7210" s="4">
        <v>100</v>
      </c>
    </row>
    <row r="7211" spans="1:12">
      <c r="A7211" t="s">
        <v>264</v>
      </c>
      <c r="B7211" s="10">
        <v>45313</v>
      </c>
      <c r="C7211" s="18">
        <f t="shared" si="112"/>
        <v>1</v>
      </c>
      <c r="D7211" t="s">
        <v>196</v>
      </c>
      <c r="E7211">
        <v>4872141</v>
      </c>
      <c r="F7211" t="s">
        <v>8</v>
      </c>
      <c r="G7211" t="s">
        <v>205</v>
      </c>
      <c r="H7211" t="s">
        <v>247</v>
      </c>
      <c r="I7211" s="4">
        <v>8355.1131999999998</v>
      </c>
      <c r="J7211" s="4">
        <v>835511.32</v>
      </c>
      <c r="K7211" s="4">
        <v>-43974.28</v>
      </c>
      <c r="L7211" s="4">
        <v>100</v>
      </c>
    </row>
    <row r="7212" spans="1:12">
      <c r="A7212" t="s">
        <v>264</v>
      </c>
      <c r="B7212" s="10">
        <v>45313</v>
      </c>
      <c r="C7212" s="18">
        <f t="shared" si="112"/>
        <v>1</v>
      </c>
      <c r="D7212" t="s">
        <v>196</v>
      </c>
      <c r="E7212">
        <v>4875779</v>
      </c>
      <c r="F7212" t="s">
        <v>8</v>
      </c>
      <c r="G7212" t="s">
        <v>202</v>
      </c>
      <c r="H7212" t="s">
        <v>255</v>
      </c>
      <c r="I7212" s="4">
        <v>72489.71596799999</v>
      </c>
      <c r="J7212" s="4">
        <v>72489.71596799999</v>
      </c>
      <c r="K7212" s="4">
        <v>-3769.2239999999997</v>
      </c>
      <c r="L7212" s="4">
        <v>1</v>
      </c>
    </row>
    <row r="7213" spans="1:12">
      <c r="A7213" t="s">
        <v>264</v>
      </c>
      <c r="B7213" s="10">
        <v>45313</v>
      </c>
      <c r="C7213" s="18">
        <f t="shared" si="112"/>
        <v>1</v>
      </c>
      <c r="D7213" t="s">
        <v>196</v>
      </c>
      <c r="E7213">
        <v>4872685</v>
      </c>
      <c r="F7213" t="s">
        <v>8</v>
      </c>
      <c r="G7213" t="s">
        <v>202</v>
      </c>
      <c r="H7213" t="s">
        <v>261</v>
      </c>
      <c r="I7213" s="4">
        <v>41587.104800000001</v>
      </c>
      <c r="J7213" s="4">
        <v>415871.04800000001</v>
      </c>
      <c r="K7213" s="4">
        <v>-20730.732</v>
      </c>
      <c r="L7213" s="4">
        <v>10</v>
      </c>
    </row>
    <row r="7214" spans="1:12">
      <c r="A7214" t="s">
        <v>264</v>
      </c>
      <c r="B7214" s="10">
        <v>45314</v>
      </c>
      <c r="C7214" s="18">
        <f t="shared" si="112"/>
        <v>1</v>
      </c>
      <c r="D7214" t="s">
        <v>196</v>
      </c>
      <c r="E7214">
        <v>4872246</v>
      </c>
      <c r="F7214" t="s">
        <v>8</v>
      </c>
      <c r="G7214" t="s">
        <v>203</v>
      </c>
      <c r="H7214" t="s">
        <v>245</v>
      </c>
      <c r="I7214" s="4">
        <v>100638.28079999999</v>
      </c>
      <c r="J7214" s="4">
        <v>603829.68479999993</v>
      </c>
      <c r="K7214" s="4">
        <v>-27138.412800000002</v>
      </c>
      <c r="L7214" s="4">
        <v>6</v>
      </c>
    </row>
    <row r="7215" spans="1:12">
      <c r="A7215" t="s">
        <v>264</v>
      </c>
      <c r="B7215" s="10">
        <v>45314</v>
      </c>
      <c r="C7215" s="18">
        <f t="shared" si="112"/>
        <v>1</v>
      </c>
      <c r="D7215" t="s">
        <v>196</v>
      </c>
      <c r="E7215">
        <v>4872246</v>
      </c>
      <c r="F7215" t="s">
        <v>8</v>
      </c>
      <c r="G7215" t="s">
        <v>203</v>
      </c>
      <c r="H7215" t="s">
        <v>234</v>
      </c>
      <c r="I7215" s="4">
        <v>100638.28079999999</v>
      </c>
      <c r="J7215" s="4">
        <v>603829.68479999993</v>
      </c>
      <c r="K7215" s="4">
        <v>-27138.412800000002</v>
      </c>
      <c r="L7215" s="4">
        <v>6</v>
      </c>
    </row>
    <row r="7216" spans="1:12">
      <c r="A7216" t="s">
        <v>264</v>
      </c>
      <c r="B7216" s="10">
        <v>45314</v>
      </c>
      <c r="C7216" s="18">
        <f t="shared" si="112"/>
        <v>1</v>
      </c>
      <c r="D7216" t="s">
        <v>196</v>
      </c>
      <c r="E7216">
        <v>4872571</v>
      </c>
      <c r="F7216" t="s">
        <v>8</v>
      </c>
      <c r="G7216" t="s">
        <v>202</v>
      </c>
      <c r="H7216" t="s">
        <v>261</v>
      </c>
      <c r="I7216" s="4">
        <v>41587.104800000001</v>
      </c>
      <c r="J7216" s="4">
        <v>2079355.24</v>
      </c>
      <c r="K7216" s="4">
        <v>-103653.66</v>
      </c>
      <c r="L7216" s="4">
        <v>50</v>
      </c>
    </row>
    <row r="7217" spans="1:12">
      <c r="A7217" t="s">
        <v>264</v>
      </c>
      <c r="B7217" s="10">
        <v>45314</v>
      </c>
      <c r="C7217" s="18">
        <f t="shared" si="112"/>
        <v>1</v>
      </c>
      <c r="D7217" t="s">
        <v>196</v>
      </c>
      <c r="E7217">
        <v>4872571</v>
      </c>
      <c r="F7217" t="s">
        <v>8</v>
      </c>
      <c r="G7217" t="s">
        <v>202</v>
      </c>
      <c r="H7217" t="s">
        <v>258</v>
      </c>
      <c r="I7217" s="4">
        <v>37817.880799999999</v>
      </c>
      <c r="J7217" s="4">
        <v>1890894.04</v>
      </c>
      <c r="K7217" s="4">
        <v>-94230.6</v>
      </c>
      <c r="L7217" s="4">
        <v>50</v>
      </c>
    </row>
    <row r="7218" spans="1:12">
      <c r="A7218" t="s">
        <v>264</v>
      </c>
      <c r="B7218" s="10">
        <v>45314</v>
      </c>
      <c r="C7218" s="18">
        <f t="shared" si="112"/>
        <v>1</v>
      </c>
      <c r="D7218" t="s">
        <v>196</v>
      </c>
      <c r="E7218">
        <v>4871657</v>
      </c>
      <c r="F7218" t="s">
        <v>8</v>
      </c>
      <c r="G7218" t="s">
        <v>203</v>
      </c>
      <c r="H7218" t="s">
        <v>230</v>
      </c>
      <c r="I7218" s="4">
        <v>100638.28079999999</v>
      </c>
      <c r="J7218" s="4">
        <v>402553.12319999997</v>
      </c>
      <c r="K7218" s="4">
        <v>-18092.2752</v>
      </c>
      <c r="L7218" s="4">
        <v>4</v>
      </c>
    </row>
    <row r="7219" spans="1:12">
      <c r="A7219" t="s">
        <v>264</v>
      </c>
      <c r="B7219" s="10">
        <v>45314</v>
      </c>
      <c r="C7219" s="18">
        <f t="shared" si="112"/>
        <v>1</v>
      </c>
      <c r="D7219" t="s">
        <v>196</v>
      </c>
      <c r="E7219">
        <v>4871657</v>
      </c>
      <c r="F7219" t="s">
        <v>8</v>
      </c>
      <c r="G7219" t="s">
        <v>203</v>
      </c>
      <c r="H7219" t="s">
        <v>228</v>
      </c>
      <c r="I7219" s="4">
        <v>100638.28079999999</v>
      </c>
      <c r="J7219" s="4">
        <v>402553.12319999997</v>
      </c>
      <c r="K7219" s="4">
        <v>-18092.2752</v>
      </c>
      <c r="L7219" s="4">
        <v>4</v>
      </c>
    </row>
    <row r="7220" spans="1:12">
      <c r="A7220" t="s">
        <v>264</v>
      </c>
      <c r="B7220" s="10">
        <v>45314</v>
      </c>
      <c r="C7220" s="18">
        <f t="shared" si="112"/>
        <v>1</v>
      </c>
      <c r="D7220" t="s">
        <v>196</v>
      </c>
      <c r="E7220">
        <v>4871657</v>
      </c>
      <c r="F7220" t="s">
        <v>8</v>
      </c>
      <c r="G7220" t="s">
        <v>203</v>
      </c>
      <c r="H7220" t="s">
        <v>227</v>
      </c>
      <c r="I7220" s="4">
        <v>100638.28079999999</v>
      </c>
      <c r="J7220" s="4">
        <v>402553.12319999997</v>
      </c>
      <c r="K7220" s="4">
        <v>-18092.2752</v>
      </c>
      <c r="L7220" s="4">
        <v>4</v>
      </c>
    </row>
    <row r="7221" spans="1:12">
      <c r="A7221" t="s">
        <v>264</v>
      </c>
      <c r="B7221" s="10">
        <v>45314</v>
      </c>
      <c r="C7221" s="18">
        <f t="shared" si="112"/>
        <v>1</v>
      </c>
      <c r="D7221" t="s">
        <v>196</v>
      </c>
      <c r="E7221">
        <v>4875779</v>
      </c>
      <c r="F7221" t="s">
        <v>8</v>
      </c>
      <c r="G7221" t="s">
        <v>202</v>
      </c>
      <c r="H7221" t="s">
        <v>255</v>
      </c>
      <c r="I7221" s="4">
        <v>72489.71596799999</v>
      </c>
      <c r="J7221" s="4">
        <v>3986934.3782399995</v>
      </c>
      <c r="K7221" s="4">
        <v>-207307.32</v>
      </c>
      <c r="L7221" s="4">
        <v>55</v>
      </c>
    </row>
    <row r="7222" spans="1:12">
      <c r="A7222" t="s">
        <v>264</v>
      </c>
      <c r="B7222" s="10">
        <v>45314</v>
      </c>
      <c r="C7222" s="18">
        <f t="shared" si="112"/>
        <v>1</v>
      </c>
      <c r="D7222" t="s">
        <v>196</v>
      </c>
      <c r="E7222">
        <v>4872210</v>
      </c>
      <c r="F7222" t="s">
        <v>8</v>
      </c>
      <c r="G7222" t="s">
        <v>203</v>
      </c>
      <c r="H7222" t="s">
        <v>225</v>
      </c>
      <c r="I7222" s="4">
        <v>100638.28079999999</v>
      </c>
      <c r="J7222" s="4">
        <v>1006382.808</v>
      </c>
      <c r="K7222" s="4">
        <v>-45230.688000000002</v>
      </c>
      <c r="L7222" s="4">
        <v>10</v>
      </c>
    </row>
    <row r="7223" spans="1:12">
      <c r="A7223" t="s">
        <v>264</v>
      </c>
      <c r="B7223" s="10">
        <v>45314</v>
      </c>
      <c r="C7223" s="18">
        <f t="shared" si="112"/>
        <v>1</v>
      </c>
      <c r="D7223" t="s">
        <v>196</v>
      </c>
      <c r="E7223">
        <v>4872210</v>
      </c>
      <c r="F7223" t="s">
        <v>8</v>
      </c>
      <c r="G7223" t="s">
        <v>203</v>
      </c>
      <c r="H7223" t="s">
        <v>222</v>
      </c>
      <c r="I7223" s="4">
        <v>100638.28079999999</v>
      </c>
      <c r="J7223" s="4">
        <v>1006382.808</v>
      </c>
      <c r="K7223" s="4">
        <v>-45230.688000000002</v>
      </c>
      <c r="L7223" s="4">
        <v>10</v>
      </c>
    </row>
    <row r="7224" spans="1:12">
      <c r="A7224" t="s">
        <v>264</v>
      </c>
      <c r="B7224" s="10">
        <v>45315</v>
      </c>
      <c r="C7224" s="18">
        <f t="shared" si="112"/>
        <v>1</v>
      </c>
      <c r="D7224" t="s">
        <v>196</v>
      </c>
      <c r="E7224">
        <v>4873921</v>
      </c>
      <c r="F7224" t="s">
        <v>8</v>
      </c>
      <c r="G7224" t="s">
        <v>204</v>
      </c>
      <c r="H7224" t="s">
        <v>214</v>
      </c>
      <c r="I7224" s="4">
        <v>119484.4008</v>
      </c>
      <c r="J7224" s="4">
        <v>1792266.0120000001</v>
      </c>
      <c r="K7224" s="4">
        <v>-89519.069999999992</v>
      </c>
      <c r="L7224" s="4">
        <v>15</v>
      </c>
    </row>
    <row r="7225" spans="1:12">
      <c r="A7225" t="s">
        <v>264</v>
      </c>
      <c r="B7225" s="10">
        <v>45315</v>
      </c>
      <c r="C7225" s="18">
        <f t="shared" si="112"/>
        <v>1</v>
      </c>
      <c r="D7225" t="s">
        <v>196</v>
      </c>
      <c r="E7225">
        <v>4871657</v>
      </c>
      <c r="F7225" t="s">
        <v>8</v>
      </c>
      <c r="G7225" t="s">
        <v>203</v>
      </c>
      <c r="H7225" t="s">
        <v>245</v>
      </c>
      <c r="I7225" s="4">
        <v>100638.28079999999</v>
      </c>
      <c r="J7225" s="4">
        <v>201276.56159999999</v>
      </c>
      <c r="K7225" s="4">
        <v>-9046.1376</v>
      </c>
      <c r="L7225" s="4">
        <v>2</v>
      </c>
    </row>
    <row r="7226" spans="1:12">
      <c r="A7226" t="s">
        <v>264</v>
      </c>
      <c r="B7226" s="10">
        <v>45315</v>
      </c>
      <c r="C7226" s="18">
        <f t="shared" si="112"/>
        <v>1</v>
      </c>
      <c r="D7226" t="s">
        <v>196</v>
      </c>
      <c r="E7226">
        <v>4871657</v>
      </c>
      <c r="F7226" t="s">
        <v>8</v>
      </c>
      <c r="G7226" t="s">
        <v>203</v>
      </c>
      <c r="H7226" t="s">
        <v>243</v>
      </c>
      <c r="I7226" s="4">
        <v>100638.28079999999</v>
      </c>
      <c r="J7226" s="4">
        <v>201276.56159999999</v>
      </c>
      <c r="K7226" s="4">
        <v>-9046.1376</v>
      </c>
      <c r="L7226" s="4">
        <v>2</v>
      </c>
    </row>
    <row r="7227" spans="1:12">
      <c r="A7227" t="s">
        <v>264</v>
      </c>
      <c r="B7227" s="10">
        <v>45315</v>
      </c>
      <c r="C7227" s="18">
        <f t="shared" si="112"/>
        <v>1</v>
      </c>
      <c r="D7227" t="s">
        <v>196</v>
      </c>
      <c r="E7227">
        <v>4871657</v>
      </c>
      <c r="F7227" t="s">
        <v>8</v>
      </c>
      <c r="G7227" t="s">
        <v>203</v>
      </c>
      <c r="H7227" t="s">
        <v>240</v>
      </c>
      <c r="I7227" s="4">
        <v>100638.28079999999</v>
      </c>
      <c r="J7227" s="4">
        <v>201276.56159999999</v>
      </c>
      <c r="K7227" s="4">
        <v>-9046.1376</v>
      </c>
      <c r="L7227" s="4">
        <v>2</v>
      </c>
    </row>
    <row r="7228" spans="1:12">
      <c r="A7228" t="s">
        <v>264</v>
      </c>
      <c r="B7228" s="10">
        <v>45315</v>
      </c>
      <c r="C7228" s="18">
        <f t="shared" si="112"/>
        <v>1</v>
      </c>
      <c r="D7228" t="s">
        <v>196</v>
      </c>
      <c r="E7228">
        <v>4871657</v>
      </c>
      <c r="F7228" t="s">
        <v>8</v>
      </c>
      <c r="G7228" t="s">
        <v>203</v>
      </c>
      <c r="H7228" t="s">
        <v>234</v>
      </c>
      <c r="I7228" s="4">
        <v>100638.28079999999</v>
      </c>
      <c r="J7228" s="4">
        <v>201276.56159999999</v>
      </c>
      <c r="K7228" s="4">
        <v>-9046.1376</v>
      </c>
      <c r="L7228" s="4">
        <v>2</v>
      </c>
    </row>
    <row r="7229" spans="1:12">
      <c r="A7229" t="s">
        <v>264</v>
      </c>
      <c r="B7229" s="10">
        <v>45315</v>
      </c>
      <c r="C7229" s="18">
        <f t="shared" si="112"/>
        <v>1</v>
      </c>
      <c r="D7229" t="s">
        <v>196</v>
      </c>
      <c r="E7229">
        <v>4871657</v>
      </c>
      <c r="F7229" t="s">
        <v>8</v>
      </c>
      <c r="G7229" t="s">
        <v>203</v>
      </c>
      <c r="H7229" t="s">
        <v>230</v>
      </c>
      <c r="I7229" s="4">
        <v>100638.28079999999</v>
      </c>
      <c r="J7229" s="4">
        <v>201276.56159999999</v>
      </c>
      <c r="K7229" s="4">
        <v>-9046.1376</v>
      </c>
      <c r="L7229" s="4">
        <v>2</v>
      </c>
    </row>
    <row r="7230" spans="1:12">
      <c r="A7230" t="s">
        <v>264</v>
      </c>
      <c r="B7230" s="10">
        <v>45315</v>
      </c>
      <c r="C7230" s="18">
        <f t="shared" si="112"/>
        <v>1</v>
      </c>
      <c r="D7230" t="s">
        <v>196</v>
      </c>
      <c r="E7230">
        <v>4871657</v>
      </c>
      <c r="F7230" t="s">
        <v>8</v>
      </c>
      <c r="G7230" t="s">
        <v>202</v>
      </c>
      <c r="H7230" t="s">
        <v>256</v>
      </c>
      <c r="I7230" s="4">
        <v>64202.448800000006</v>
      </c>
      <c r="J7230" s="4">
        <v>1540858.7712000001</v>
      </c>
      <c r="K7230" s="4">
        <v>-76892.169599999994</v>
      </c>
      <c r="L7230" s="4">
        <v>24</v>
      </c>
    </row>
    <row r="7231" spans="1:12">
      <c r="A7231" t="s">
        <v>264</v>
      </c>
      <c r="B7231" s="10">
        <v>45315</v>
      </c>
      <c r="C7231" s="18">
        <f t="shared" si="112"/>
        <v>1</v>
      </c>
      <c r="D7231" t="s">
        <v>196</v>
      </c>
      <c r="E7231">
        <v>4872193</v>
      </c>
      <c r="F7231" t="s">
        <v>8</v>
      </c>
      <c r="G7231" t="s">
        <v>204</v>
      </c>
      <c r="H7231" t="s">
        <v>219</v>
      </c>
      <c r="I7231" s="4">
        <v>44099.9208</v>
      </c>
      <c r="J7231" s="4">
        <v>1675796.9904</v>
      </c>
      <c r="K7231" s="4">
        <v>-83551.131999999998</v>
      </c>
      <c r="L7231" s="4">
        <v>38</v>
      </c>
    </row>
    <row r="7232" spans="1:12">
      <c r="A7232" t="s">
        <v>264</v>
      </c>
      <c r="B7232" s="10">
        <v>45315</v>
      </c>
      <c r="C7232" s="18">
        <f t="shared" si="112"/>
        <v>1</v>
      </c>
      <c r="D7232" t="s">
        <v>196</v>
      </c>
      <c r="E7232">
        <v>4872103</v>
      </c>
      <c r="F7232" t="s">
        <v>8</v>
      </c>
      <c r="G7232" t="s">
        <v>202</v>
      </c>
      <c r="H7232" t="s">
        <v>253</v>
      </c>
      <c r="I7232" s="4">
        <v>46669.275160000005</v>
      </c>
      <c r="J7232" s="4">
        <v>2333463.7580000004</v>
      </c>
      <c r="K7232" s="4">
        <v>-122499.78</v>
      </c>
      <c r="L7232" s="4">
        <v>50</v>
      </c>
    </row>
    <row r="7233" spans="1:12">
      <c r="A7233" t="s">
        <v>264</v>
      </c>
      <c r="B7233" s="10">
        <v>45316</v>
      </c>
      <c r="C7233" s="18">
        <f t="shared" si="112"/>
        <v>1</v>
      </c>
      <c r="D7233" t="s">
        <v>196</v>
      </c>
      <c r="E7233">
        <v>4871600</v>
      </c>
      <c r="F7233" t="s">
        <v>8</v>
      </c>
      <c r="G7233" t="s">
        <v>202</v>
      </c>
      <c r="H7233" t="s">
        <v>256</v>
      </c>
      <c r="I7233" s="4">
        <v>64202.448800000006</v>
      </c>
      <c r="J7233" s="4">
        <v>642024.48800000001</v>
      </c>
      <c r="K7233" s="4">
        <v>-32038.403999999999</v>
      </c>
      <c r="L7233" s="4">
        <v>10</v>
      </c>
    </row>
    <row r="7234" spans="1:12">
      <c r="A7234" t="s">
        <v>264</v>
      </c>
      <c r="B7234" s="10">
        <v>45316</v>
      </c>
      <c r="C7234" s="18">
        <f t="shared" ref="C7234:C7297" si="113">MONTH(B7234)</f>
        <v>1</v>
      </c>
      <c r="D7234" t="s">
        <v>196</v>
      </c>
      <c r="E7234">
        <v>4874006</v>
      </c>
      <c r="F7234" t="s">
        <v>8</v>
      </c>
      <c r="G7234" t="s">
        <v>203</v>
      </c>
      <c r="H7234" t="s">
        <v>245</v>
      </c>
      <c r="I7234" s="4">
        <v>100638.28079999999</v>
      </c>
      <c r="J7234" s="4">
        <v>201276.56159999999</v>
      </c>
      <c r="K7234" s="4">
        <v>-9046.1376</v>
      </c>
      <c r="L7234" s="4">
        <v>2</v>
      </c>
    </row>
    <row r="7235" spans="1:12">
      <c r="A7235" t="s">
        <v>264</v>
      </c>
      <c r="B7235" s="10">
        <v>45316</v>
      </c>
      <c r="C7235" s="18">
        <f t="shared" si="113"/>
        <v>1</v>
      </c>
      <c r="D7235" t="s">
        <v>196</v>
      </c>
      <c r="E7235">
        <v>4874006</v>
      </c>
      <c r="F7235" t="s">
        <v>8</v>
      </c>
      <c r="G7235" t="s">
        <v>203</v>
      </c>
      <c r="H7235" t="s">
        <v>240</v>
      </c>
      <c r="I7235" s="4">
        <v>100638.28079999999</v>
      </c>
      <c r="J7235" s="4">
        <v>201276.56159999999</v>
      </c>
      <c r="K7235" s="4">
        <v>-9046.1376</v>
      </c>
      <c r="L7235" s="4">
        <v>2</v>
      </c>
    </row>
    <row r="7236" spans="1:12">
      <c r="A7236" t="s">
        <v>264</v>
      </c>
      <c r="B7236" s="10">
        <v>45316</v>
      </c>
      <c r="C7236" s="18">
        <f t="shared" si="113"/>
        <v>1</v>
      </c>
      <c r="D7236" t="s">
        <v>196</v>
      </c>
      <c r="E7236">
        <v>4874006</v>
      </c>
      <c r="F7236" t="s">
        <v>8</v>
      </c>
      <c r="G7236" t="s">
        <v>203</v>
      </c>
      <c r="H7236" t="s">
        <v>236</v>
      </c>
      <c r="I7236" s="4">
        <v>100638.28079999999</v>
      </c>
      <c r="J7236" s="4">
        <v>201276.56159999999</v>
      </c>
      <c r="K7236" s="4">
        <v>-9046.1376</v>
      </c>
      <c r="L7236" s="4">
        <v>2</v>
      </c>
    </row>
    <row r="7237" spans="1:12">
      <c r="A7237" t="s">
        <v>264</v>
      </c>
      <c r="B7237" s="10">
        <v>45316</v>
      </c>
      <c r="C7237" s="18">
        <f t="shared" si="113"/>
        <v>1</v>
      </c>
      <c r="D7237" t="s">
        <v>196</v>
      </c>
      <c r="E7237">
        <v>4874006</v>
      </c>
      <c r="F7237" t="s">
        <v>8</v>
      </c>
      <c r="G7237" t="s">
        <v>203</v>
      </c>
      <c r="H7237" t="s">
        <v>234</v>
      </c>
      <c r="I7237" s="4">
        <v>100638.28079999999</v>
      </c>
      <c r="J7237" s="4">
        <v>201276.56159999999</v>
      </c>
      <c r="K7237" s="4">
        <v>-9046.1376</v>
      </c>
      <c r="L7237" s="4">
        <v>2</v>
      </c>
    </row>
    <row r="7238" spans="1:12">
      <c r="A7238" t="s">
        <v>264</v>
      </c>
      <c r="B7238" s="10">
        <v>45316</v>
      </c>
      <c r="C7238" s="18">
        <f t="shared" si="113"/>
        <v>1</v>
      </c>
      <c r="D7238" t="s">
        <v>196</v>
      </c>
      <c r="E7238">
        <v>4874006</v>
      </c>
      <c r="F7238" t="s">
        <v>8</v>
      </c>
      <c r="G7238" t="s">
        <v>203</v>
      </c>
      <c r="H7238" t="s">
        <v>232</v>
      </c>
      <c r="I7238" s="4">
        <v>100638.28079999999</v>
      </c>
      <c r="J7238" s="4">
        <v>201276.56159999999</v>
      </c>
      <c r="K7238" s="4">
        <v>-9046.1376</v>
      </c>
      <c r="L7238" s="4">
        <v>2</v>
      </c>
    </row>
    <row r="7239" spans="1:12">
      <c r="A7239" t="s">
        <v>264</v>
      </c>
      <c r="B7239" s="10">
        <v>45316</v>
      </c>
      <c r="C7239" s="18">
        <f t="shared" si="113"/>
        <v>1</v>
      </c>
      <c r="D7239" t="s">
        <v>196</v>
      </c>
      <c r="E7239">
        <v>4874006</v>
      </c>
      <c r="F7239" t="s">
        <v>8</v>
      </c>
      <c r="G7239" t="s">
        <v>203</v>
      </c>
      <c r="H7239" t="s">
        <v>228</v>
      </c>
      <c r="I7239" s="4">
        <v>100638.28079999999</v>
      </c>
      <c r="J7239" s="4">
        <v>201276.56159999999</v>
      </c>
      <c r="K7239" s="4">
        <v>-9046.1376</v>
      </c>
      <c r="L7239" s="4">
        <v>2</v>
      </c>
    </row>
    <row r="7240" spans="1:12">
      <c r="A7240" t="s">
        <v>264</v>
      </c>
      <c r="B7240" s="10">
        <v>45316</v>
      </c>
      <c r="C7240" s="18">
        <f t="shared" si="113"/>
        <v>1</v>
      </c>
      <c r="D7240" t="s">
        <v>196</v>
      </c>
      <c r="E7240">
        <v>4874006</v>
      </c>
      <c r="F7240" t="s">
        <v>8</v>
      </c>
      <c r="G7240" t="s">
        <v>203</v>
      </c>
      <c r="H7240" t="s">
        <v>227</v>
      </c>
      <c r="I7240" s="4">
        <v>100638.28079999999</v>
      </c>
      <c r="J7240" s="4">
        <v>201276.56159999999</v>
      </c>
      <c r="K7240" s="4">
        <v>-9046.1376</v>
      </c>
      <c r="L7240" s="4">
        <v>2</v>
      </c>
    </row>
    <row r="7241" spans="1:12">
      <c r="A7241" t="s">
        <v>264</v>
      </c>
      <c r="B7241" s="10">
        <v>45316</v>
      </c>
      <c r="C7241" s="18">
        <f t="shared" si="113"/>
        <v>1</v>
      </c>
      <c r="D7241" t="s">
        <v>196</v>
      </c>
      <c r="E7241">
        <v>4874006</v>
      </c>
      <c r="F7241" t="s">
        <v>8</v>
      </c>
      <c r="G7241" t="s">
        <v>203</v>
      </c>
      <c r="H7241" t="s">
        <v>226</v>
      </c>
      <c r="I7241" s="4">
        <v>100638.28079999999</v>
      </c>
      <c r="J7241" s="4">
        <v>201276.56159999999</v>
      </c>
      <c r="K7241" s="4">
        <v>-9046.1376</v>
      </c>
      <c r="L7241" s="4">
        <v>2</v>
      </c>
    </row>
    <row r="7242" spans="1:12">
      <c r="A7242" t="s">
        <v>264</v>
      </c>
      <c r="B7242" s="10">
        <v>45316</v>
      </c>
      <c r="C7242" s="18">
        <f t="shared" si="113"/>
        <v>1</v>
      </c>
      <c r="D7242" t="s">
        <v>196</v>
      </c>
      <c r="E7242">
        <v>4874006</v>
      </c>
      <c r="F7242" t="s">
        <v>8</v>
      </c>
      <c r="G7242" t="s">
        <v>203</v>
      </c>
      <c r="H7242" t="s">
        <v>224</v>
      </c>
      <c r="I7242" s="4">
        <v>100638.28079999999</v>
      </c>
      <c r="J7242" s="4">
        <v>201276.56159999999</v>
      </c>
      <c r="K7242" s="4">
        <v>-9046.1376</v>
      </c>
      <c r="L7242" s="4">
        <v>2</v>
      </c>
    </row>
    <row r="7243" spans="1:12">
      <c r="A7243" t="s">
        <v>264</v>
      </c>
      <c r="B7243" s="10">
        <v>45316</v>
      </c>
      <c r="C7243" s="18">
        <f t="shared" si="113"/>
        <v>1</v>
      </c>
      <c r="D7243" t="s">
        <v>196</v>
      </c>
      <c r="E7243">
        <v>4874006</v>
      </c>
      <c r="F7243" t="s">
        <v>8</v>
      </c>
      <c r="G7243" t="s">
        <v>203</v>
      </c>
      <c r="H7243" t="s">
        <v>223</v>
      </c>
      <c r="I7243" s="4">
        <v>100638.28079999999</v>
      </c>
      <c r="J7243" s="4">
        <v>201276.56159999999</v>
      </c>
      <c r="K7243" s="4">
        <v>-9046.1376</v>
      </c>
      <c r="L7243" s="4">
        <v>2</v>
      </c>
    </row>
    <row r="7244" spans="1:12">
      <c r="A7244" t="s">
        <v>264</v>
      </c>
      <c r="B7244" s="10">
        <v>45317</v>
      </c>
      <c r="C7244" s="18">
        <f t="shared" si="113"/>
        <v>1</v>
      </c>
      <c r="D7244" t="s">
        <v>196</v>
      </c>
      <c r="E7244">
        <v>4878874</v>
      </c>
      <c r="F7244" t="s">
        <v>8</v>
      </c>
      <c r="G7244" t="s">
        <v>206</v>
      </c>
      <c r="H7244" t="s">
        <v>249</v>
      </c>
      <c r="I7244" s="4">
        <v>17715.352800000001</v>
      </c>
      <c r="J7244" s="4">
        <v>2799025.7423999999</v>
      </c>
      <c r="K7244" s="4">
        <v>-138958.7248</v>
      </c>
      <c r="L7244" s="4">
        <v>158</v>
      </c>
    </row>
    <row r="7245" spans="1:12">
      <c r="A7245" t="s">
        <v>264</v>
      </c>
      <c r="B7245" s="10">
        <v>45317</v>
      </c>
      <c r="C7245" s="18">
        <f t="shared" si="113"/>
        <v>1</v>
      </c>
      <c r="D7245" t="s">
        <v>196</v>
      </c>
      <c r="E7245">
        <v>4872571</v>
      </c>
      <c r="F7245" t="s">
        <v>8</v>
      </c>
      <c r="G7245" t="s">
        <v>204</v>
      </c>
      <c r="H7245" t="s">
        <v>219</v>
      </c>
      <c r="I7245" s="4">
        <v>44099.9208</v>
      </c>
      <c r="J7245" s="4">
        <v>661498.81200000003</v>
      </c>
      <c r="K7245" s="4">
        <v>-32980.71</v>
      </c>
      <c r="L7245" s="4">
        <v>15</v>
      </c>
    </row>
    <row r="7246" spans="1:12">
      <c r="A7246" t="s">
        <v>264</v>
      </c>
      <c r="B7246" s="10">
        <v>45317</v>
      </c>
      <c r="C7246" s="18">
        <f t="shared" si="113"/>
        <v>1</v>
      </c>
      <c r="D7246" t="s">
        <v>196</v>
      </c>
      <c r="E7246">
        <v>4872571</v>
      </c>
      <c r="F7246" t="s">
        <v>8</v>
      </c>
      <c r="G7246" t="s">
        <v>204</v>
      </c>
      <c r="H7246" t="s">
        <v>218</v>
      </c>
      <c r="I7246" s="4">
        <v>71740.896800000002</v>
      </c>
      <c r="J7246" s="4">
        <v>2152226.9040000001</v>
      </c>
      <c r="K7246" s="4">
        <v>-116845.944</v>
      </c>
      <c r="L7246" s="4">
        <v>30</v>
      </c>
    </row>
    <row r="7247" spans="1:12">
      <c r="A7247" t="s">
        <v>264</v>
      </c>
      <c r="B7247" s="10">
        <v>45317</v>
      </c>
      <c r="C7247" s="18">
        <f t="shared" si="113"/>
        <v>1</v>
      </c>
      <c r="D7247" t="s">
        <v>196</v>
      </c>
      <c r="E7247">
        <v>4873921</v>
      </c>
      <c r="F7247" t="s">
        <v>8</v>
      </c>
      <c r="G7247" t="s">
        <v>202</v>
      </c>
      <c r="H7247" t="s">
        <v>258</v>
      </c>
      <c r="I7247" s="4">
        <v>37817.880799999999</v>
      </c>
      <c r="J7247" s="4">
        <v>378178.80799999996</v>
      </c>
      <c r="K7247" s="4">
        <v>-18846.12</v>
      </c>
      <c r="L7247" s="4">
        <v>10</v>
      </c>
    </row>
    <row r="7248" spans="1:12">
      <c r="A7248" t="s">
        <v>264</v>
      </c>
      <c r="B7248" s="10">
        <v>45317</v>
      </c>
      <c r="C7248" s="18">
        <f t="shared" si="113"/>
        <v>1</v>
      </c>
      <c r="D7248" t="s">
        <v>196</v>
      </c>
      <c r="E7248">
        <v>4871747</v>
      </c>
      <c r="F7248" t="s">
        <v>8</v>
      </c>
      <c r="G7248" t="s">
        <v>204</v>
      </c>
      <c r="H7248" t="s">
        <v>221</v>
      </c>
      <c r="I7248" s="4">
        <v>25253.800799999997</v>
      </c>
      <c r="J7248" s="4">
        <v>505076.01599999995</v>
      </c>
      <c r="K7248" s="4">
        <v>-25128.16</v>
      </c>
      <c r="L7248" s="4">
        <v>20</v>
      </c>
    </row>
    <row r="7249" spans="1:12">
      <c r="A7249" t="s">
        <v>264</v>
      </c>
      <c r="B7249" s="10">
        <v>45317</v>
      </c>
      <c r="C7249" s="18">
        <f t="shared" si="113"/>
        <v>1</v>
      </c>
      <c r="D7249" t="s">
        <v>196</v>
      </c>
      <c r="E7249">
        <v>4871747</v>
      </c>
      <c r="F7249" t="s">
        <v>8</v>
      </c>
      <c r="G7249" t="s">
        <v>204</v>
      </c>
      <c r="H7249" t="s">
        <v>220</v>
      </c>
      <c r="I7249" s="4">
        <v>37817.880799999999</v>
      </c>
      <c r="J7249" s="4">
        <v>756357.61599999992</v>
      </c>
      <c r="K7249" s="4">
        <v>-28897.383999999998</v>
      </c>
      <c r="L7249" s="4">
        <v>20</v>
      </c>
    </row>
    <row r="7250" spans="1:12">
      <c r="A7250" t="s">
        <v>264</v>
      </c>
      <c r="B7250" s="10">
        <v>45318</v>
      </c>
      <c r="C7250" s="18">
        <f t="shared" si="113"/>
        <v>1</v>
      </c>
      <c r="D7250" t="s">
        <v>196</v>
      </c>
      <c r="E7250">
        <v>4872246</v>
      </c>
      <c r="F7250" t="s">
        <v>8</v>
      </c>
      <c r="G7250" t="s">
        <v>203</v>
      </c>
      <c r="H7250" t="s">
        <v>244</v>
      </c>
      <c r="I7250" s="4">
        <v>125766.4408</v>
      </c>
      <c r="J7250" s="4">
        <v>628832.20400000003</v>
      </c>
      <c r="K7250" s="4">
        <v>-29211.486000000001</v>
      </c>
      <c r="L7250" s="4">
        <v>5</v>
      </c>
    </row>
    <row r="7251" spans="1:12">
      <c r="A7251" t="s">
        <v>264</v>
      </c>
      <c r="B7251" s="10">
        <v>45318</v>
      </c>
      <c r="C7251" s="18">
        <f t="shared" si="113"/>
        <v>1</v>
      </c>
      <c r="D7251" t="s">
        <v>196</v>
      </c>
      <c r="E7251">
        <v>4872246</v>
      </c>
      <c r="F7251" t="s">
        <v>8</v>
      </c>
      <c r="G7251" t="s">
        <v>203</v>
      </c>
      <c r="H7251" t="s">
        <v>237</v>
      </c>
      <c r="I7251" s="4">
        <v>125766.4408</v>
      </c>
      <c r="J7251" s="4">
        <v>377299.3224</v>
      </c>
      <c r="K7251" s="4">
        <v>-17526.891599999999</v>
      </c>
      <c r="L7251" s="4">
        <v>3</v>
      </c>
    </row>
    <row r="7252" spans="1:12">
      <c r="A7252" t="s">
        <v>264</v>
      </c>
      <c r="B7252" s="10">
        <v>45318</v>
      </c>
      <c r="C7252" s="18">
        <f t="shared" si="113"/>
        <v>1</v>
      </c>
      <c r="D7252" t="s">
        <v>196</v>
      </c>
      <c r="E7252">
        <v>4872246</v>
      </c>
      <c r="F7252" t="s">
        <v>8</v>
      </c>
      <c r="G7252" t="s">
        <v>203</v>
      </c>
      <c r="H7252" t="s">
        <v>233</v>
      </c>
      <c r="I7252" s="4">
        <v>120735.78316800001</v>
      </c>
      <c r="J7252" s="4">
        <v>603678.91584000003</v>
      </c>
      <c r="K7252" s="4">
        <v>-29211.486000000001</v>
      </c>
      <c r="L7252" s="4">
        <v>5</v>
      </c>
    </row>
    <row r="7253" spans="1:12">
      <c r="A7253" t="s">
        <v>264</v>
      </c>
      <c r="B7253" s="10">
        <v>45318</v>
      </c>
      <c r="C7253" s="18">
        <f t="shared" si="113"/>
        <v>1</v>
      </c>
      <c r="D7253" t="s">
        <v>196</v>
      </c>
      <c r="E7253">
        <v>4872246</v>
      </c>
      <c r="F7253" t="s">
        <v>8</v>
      </c>
      <c r="G7253" t="s">
        <v>203</v>
      </c>
      <c r="H7253" t="s">
        <v>231</v>
      </c>
      <c r="I7253" s="4">
        <v>125766.4408</v>
      </c>
      <c r="J7253" s="4">
        <v>377299.3224</v>
      </c>
      <c r="K7253" s="4">
        <v>-17526.891599999999</v>
      </c>
      <c r="L7253" s="4">
        <v>3</v>
      </c>
    </row>
    <row r="7254" spans="1:12">
      <c r="A7254" t="s">
        <v>264</v>
      </c>
      <c r="B7254" s="10">
        <v>45318</v>
      </c>
      <c r="C7254" s="18">
        <f t="shared" si="113"/>
        <v>1</v>
      </c>
      <c r="D7254" t="s">
        <v>196</v>
      </c>
      <c r="E7254">
        <v>4878874</v>
      </c>
      <c r="F7254" t="s">
        <v>8</v>
      </c>
      <c r="G7254" t="s">
        <v>206</v>
      </c>
      <c r="H7254" t="s">
        <v>249</v>
      </c>
      <c r="I7254" s="4">
        <v>17715.352800000001</v>
      </c>
      <c r="J7254" s="4">
        <v>3543070.56</v>
      </c>
      <c r="K7254" s="4">
        <v>-175897.12</v>
      </c>
      <c r="L7254" s="4">
        <v>200</v>
      </c>
    </row>
    <row r="7255" spans="1:12">
      <c r="A7255" t="s">
        <v>264</v>
      </c>
      <c r="B7255" s="10">
        <v>45318</v>
      </c>
      <c r="C7255" s="18">
        <f t="shared" si="113"/>
        <v>1</v>
      </c>
      <c r="D7255" t="s">
        <v>196</v>
      </c>
      <c r="E7255">
        <v>4878874</v>
      </c>
      <c r="F7255" t="s">
        <v>8</v>
      </c>
      <c r="G7255" t="s">
        <v>206</v>
      </c>
      <c r="H7255" t="s">
        <v>209</v>
      </c>
      <c r="I7255" s="4">
        <v>17715.352800000001</v>
      </c>
      <c r="J7255" s="4">
        <v>3543070.56</v>
      </c>
      <c r="K7255" s="4">
        <v>-175897.12</v>
      </c>
      <c r="L7255" s="4">
        <v>200</v>
      </c>
    </row>
    <row r="7256" spans="1:12">
      <c r="A7256" t="s">
        <v>264</v>
      </c>
      <c r="B7256" s="10">
        <v>45318</v>
      </c>
      <c r="C7256" s="18">
        <f t="shared" si="113"/>
        <v>1</v>
      </c>
      <c r="D7256" t="s">
        <v>196</v>
      </c>
      <c r="E7256">
        <v>4873921</v>
      </c>
      <c r="F7256" t="s">
        <v>8</v>
      </c>
      <c r="G7256" t="s">
        <v>204</v>
      </c>
      <c r="H7256" t="s">
        <v>218</v>
      </c>
      <c r="I7256" s="4">
        <v>71740.896800000002</v>
      </c>
      <c r="J7256" s="4">
        <v>1434817.936</v>
      </c>
      <c r="K7256" s="4">
        <v>-77897.296000000002</v>
      </c>
      <c r="L7256" s="4">
        <v>20</v>
      </c>
    </row>
    <row r="7257" spans="1:12">
      <c r="A7257" t="s">
        <v>264</v>
      </c>
      <c r="B7257" s="10">
        <v>45318</v>
      </c>
      <c r="C7257" s="18">
        <f t="shared" si="113"/>
        <v>1</v>
      </c>
      <c r="D7257" t="s">
        <v>196</v>
      </c>
      <c r="E7257">
        <v>4872156</v>
      </c>
      <c r="F7257" t="s">
        <v>8</v>
      </c>
      <c r="G7257" t="s">
        <v>202</v>
      </c>
      <c r="H7257" t="s">
        <v>260</v>
      </c>
      <c r="I7257" s="4">
        <v>41587.104800000001</v>
      </c>
      <c r="J7257" s="4">
        <v>41587.104800000001</v>
      </c>
      <c r="K7257" s="4">
        <v>-2073.0732000000003</v>
      </c>
      <c r="L7257" s="4">
        <v>1</v>
      </c>
    </row>
    <row r="7258" spans="1:12">
      <c r="A7258" t="s">
        <v>264</v>
      </c>
      <c r="B7258" s="10">
        <v>45318</v>
      </c>
      <c r="C7258" s="18">
        <f t="shared" si="113"/>
        <v>1</v>
      </c>
      <c r="D7258" t="s">
        <v>196</v>
      </c>
      <c r="E7258">
        <v>4872156</v>
      </c>
      <c r="F7258" t="s">
        <v>8</v>
      </c>
      <c r="G7258" t="s">
        <v>202</v>
      </c>
      <c r="H7258" t="s">
        <v>259</v>
      </c>
      <c r="I7258" s="4">
        <v>30279.432800000002</v>
      </c>
      <c r="J7258" s="4">
        <v>30279.432800000002</v>
      </c>
      <c r="K7258" s="4">
        <v>-1507.6895999999999</v>
      </c>
      <c r="L7258" s="4">
        <v>1</v>
      </c>
    </row>
    <row r="7259" spans="1:12">
      <c r="A7259" t="s">
        <v>264</v>
      </c>
      <c r="B7259" s="10">
        <v>45318</v>
      </c>
      <c r="C7259" s="18">
        <f t="shared" si="113"/>
        <v>1</v>
      </c>
      <c r="D7259" t="s">
        <v>196</v>
      </c>
      <c r="E7259">
        <v>4872156</v>
      </c>
      <c r="F7259" t="s">
        <v>8</v>
      </c>
      <c r="G7259" t="s">
        <v>202</v>
      </c>
      <c r="H7259" t="s">
        <v>258</v>
      </c>
      <c r="I7259" s="4">
        <v>37817.880799999999</v>
      </c>
      <c r="J7259" s="4">
        <v>37817.880799999999</v>
      </c>
      <c r="K7259" s="4">
        <v>-1884.6119999999999</v>
      </c>
      <c r="L7259" s="4">
        <v>1</v>
      </c>
    </row>
    <row r="7260" spans="1:12">
      <c r="A7260" t="s">
        <v>264</v>
      </c>
      <c r="B7260" s="10">
        <v>45318</v>
      </c>
      <c r="C7260" s="18">
        <f t="shared" si="113"/>
        <v>1</v>
      </c>
      <c r="D7260" t="s">
        <v>196</v>
      </c>
      <c r="E7260">
        <v>4872156</v>
      </c>
      <c r="F7260" t="s">
        <v>8</v>
      </c>
      <c r="G7260" t="s">
        <v>202</v>
      </c>
      <c r="H7260" t="s">
        <v>257</v>
      </c>
      <c r="I7260" s="4">
        <v>56664.000799999994</v>
      </c>
      <c r="J7260" s="4">
        <v>56664.000799999994</v>
      </c>
      <c r="K7260" s="4">
        <v>-2826.9180000000001</v>
      </c>
      <c r="L7260" s="4">
        <v>1</v>
      </c>
    </row>
    <row r="7261" spans="1:12">
      <c r="A7261" t="s">
        <v>264</v>
      </c>
      <c r="B7261" s="10">
        <v>45318</v>
      </c>
      <c r="C7261" s="18">
        <f t="shared" si="113"/>
        <v>1</v>
      </c>
      <c r="D7261" t="s">
        <v>196</v>
      </c>
      <c r="E7261">
        <v>4872156</v>
      </c>
      <c r="F7261" t="s">
        <v>8</v>
      </c>
      <c r="G7261" t="s">
        <v>202</v>
      </c>
      <c r="H7261" t="s">
        <v>256</v>
      </c>
      <c r="I7261" s="4">
        <v>64202.448800000006</v>
      </c>
      <c r="J7261" s="4">
        <v>64202.448800000006</v>
      </c>
      <c r="K7261" s="4">
        <v>-3203.8404</v>
      </c>
      <c r="L7261" s="4">
        <v>1</v>
      </c>
    </row>
    <row r="7262" spans="1:12">
      <c r="A7262" t="s">
        <v>264</v>
      </c>
      <c r="B7262" s="10">
        <v>45318</v>
      </c>
      <c r="C7262" s="18">
        <f t="shared" si="113"/>
        <v>1</v>
      </c>
      <c r="D7262" t="s">
        <v>196</v>
      </c>
      <c r="E7262">
        <v>4872156</v>
      </c>
      <c r="F7262" t="s">
        <v>8</v>
      </c>
      <c r="G7262" t="s">
        <v>202</v>
      </c>
      <c r="H7262" t="s">
        <v>254</v>
      </c>
      <c r="I7262" s="4">
        <v>37817.880799999999</v>
      </c>
      <c r="J7262" s="4">
        <v>37817.880799999999</v>
      </c>
      <c r="K7262" s="4">
        <v>-1884.6119999999999</v>
      </c>
      <c r="L7262" s="4">
        <v>1</v>
      </c>
    </row>
    <row r="7263" spans="1:12">
      <c r="A7263" t="s">
        <v>264</v>
      </c>
      <c r="B7263" s="10">
        <v>45318</v>
      </c>
      <c r="C7263" s="18">
        <f t="shared" si="113"/>
        <v>1</v>
      </c>
      <c r="D7263" t="s">
        <v>196</v>
      </c>
      <c r="E7263">
        <v>4871657</v>
      </c>
      <c r="F7263" t="s">
        <v>8</v>
      </c>
      <c r="G7263" t="s">
        <v>204</v>
      </c>
      <c r="H7263" t="s">
        <v>212</v>
      </c>
      <c r="I7263" s="4">
        <v>62946.040799999995</v>
      </c>
      <c r="J7263" s="4">
        <v>755352.48959999997</v>
      </c>
      <c r="K7263" s="4">
        <v>-22615.344000000001</v>
      </c>
      <c r="L7263" s="4">
        <v>12</v>
      </c>
    </row>
    <row r="7264" spans="1:12">
      <c r="A7264" t="s">
        <v>264</v>
      </c>
      <c r="B7264" s="10">
        <v>45319</v>
      </c>
      <c r="C7264" s="18">
        <f t="shared" si="113"/>
        <v>1</v>
      </c>
      <c r="D7264" t="s">
        <v>196</v>
      </c>
      <c r="E7264">
        <v>4873376</v>
      </c>
      <c r="F7264" t="s">
        <v>8</v>
      </c>
      <c r="G7264" t="s">
        <v>204</v>
      </c>
      <c r="H7264" t="s">
        <v>212</v>
      </c>
      <c r="I7264" s="4">
        <v>62946.040799999995</v>
      </c>
      <c r="J7264" s="4">
        <v>251784.16319999998</v>
      </c>
      <c r="K7264" s="4">
        <v>-7538.4479999999994</v>
      </c>
      <c r="L7264" s="4">
        <v>4</v>
      </c>
    </row>
    <row r="7265" spans="1:12">
      <c r="A7265" t="s">
        <v>264</v>
      </c>
      <c r="B7265" s="10">
        <v>45319</v>
      </c>
      <c r="C7265" s="18">
        <f t="shared" si="113"/>
        <v>1</v>
      </c>
      <c r="D7265" t="s">
        <v>196</v>
      </c>
      <c r="E7265">
        <v>4873376</v>
      </c>
      <c r="F7265" t="s">
        <v>8</v>
      </c>
      <c r="G7265" t="s">
        <v>202</v>
      </c>
      <c r="H7265" t="s">
        <v>261</v>
      </c>
      <c r="I7265" s="4">
        <v>41587.104800000001</v>
      </c>
      <c r="J7265" s="4">
        <v>998090.51520000002</v>
      </c>
      <c r="K7265" s="4">
        <v>-49753.756800000003</v>
      </c>
      <c r="L7265" s="4">
        <v>24</v>
      </c>
    </row>
    <row r="7266" spans="1:12">
      <c r="A7266" t="s">
        <v>264</v>
      </c>
      <c r="B7266" s="10">
        <v>45320</v>
      </c>
      <c r="C7266" s="18">
        <f t="shared" si="113"/>
        <v>1</v>
      </c>
      <c r="D7266" t="s">
        <v>196</v>
      </c>
      <c r="E7266">
        <v>4871600</v>
      </c>
      <c r="F7266" t="s">
        <v>8</v>
      </c>
      <c r="G7266" t="s">
        <v>202</v>
      </c>
      <c r="H7266" t="s">
        <v>256</v>
      </c>
      <c r="I7266" s="4">
        <v>64202.448800000006</v>
      </c>
      <c r="J7266" s="4">
        <v>1348251.4248000002</v>
      </c>
      <c r="K7266" s="4">
        <v>-67280.648400000005</v>
      </c>
      <c r="L7266" s="4">
        <v>21</v>
      </c>
    </row>
    <row r="7267" spans="1:12">
      <c r="A7267" t="s">
        <v>264</v>
      </c>
      <c r="B7267" s="10">
        <v>45320</v>
      </c>
      <c r="C7267" s="18">
        <f t="shared" si="113"/>
        <v>1</v>
      </c>
      <c r="D7267" t="s">
        <v>196</v>
      </c>
      <c r="E7267">
        <v>4876503</v>
      </c>
      <c r="F7267" t="s">
        <v>8</v>
      </c>
      <c r="G7267" t="s">
        <v>205</v>
      </c>
      <c r="H7267" t="s">
        <v>210</v>
      </c>
      <c r="I7267" s="4">
        <v>7538.4479999999994</v>
      </c>
      <c r="J7267" s="4">
        <v>226153.43999999997</v>
      </c>
      <c r="K7267" s="4">
        <v>-11307.672</v>
      </c>
      <c r="L7267" s="4">
        <v>30</v>
      </c>
    </row>
    <row r="7268" spans="1:12">
      <c r="A7268" t="s">
        <v>264</v>
      </c>
      <c r="B7268" s="10">
        <v>45320</v>
      </c>
      <c r="C7268" s="18">
        <f t="shared" si="113"/>
        <v>1</v>
      </c>
      <c r="D7268" t="s">
        <v>196</v>
      </c>
      <c r="E7268">
        <v>4876503</v>
      </c>
      <c r="F7268" t="s">
        <v>8</v>
      </c>
      <c r="G7268" t="s">
        <v>205</v>
      </c>
      <c r="H7268" t="s">
        <v>211</v>
      </c>
      <c r="I7268" s="4">
        <v>5151.2727999999997</v>
      </c>
      <c r="J7268" s="4">
        <v>154538.18399999998</v>
      </c>
      <c r="K7268" s="4">
        <v>-7538.4479999999994</v>
      </c>
      <c r="L7268" s="4">
        <v>30</v>
      </c>
    </row>
    <row r="7269" spans="1:12">
      <c r="A7269" t="s">
        <v>264</v>
      </c>
      <c r="B7269" s="10">
        <v>45320</v>
      </c>
      <c r="C7269" s="18">
        <f t="shared" si="113"/>
        <v>1</v>
      </c>
      <c r="D7269" t="s">
        <v>196</v>
      </c>
      <c r="E7269">
        <v>4876503</v>
      </c>
      <c r="F7269" t="s">
        <v>8</v>
      </c>
      <c r="G7269" t="s">
        <v>205</v>
      </c>
      <c r="H7269" t="s">
        <v>246</v>
      </c>
      <c r="I7269" s="4">
        <v>5967.9380000000001</v>
      </c>
      <c r="J7269" s="4">
        <v>179038.14</v>
      </c>
      <c r="K7269" s="4">
        <v>-9423.06</v>
      </c>
      <c r="L7269" s="4">
        <v>30</v>
      </c>
    </row>
    <row r="7270" spans="1:12">
      <c r="A7270" t="s">
        <v>264</v>
      </c>
      <c r="B7270" s="10">
        <v>45320</v>
      </c>
      <c r="C7270" s="18">
        <f t="shared" si="113"/>
        <v>1</v>
      </c>
      <c r="D7270" t="s">
        <v>196</v>
      </c>
      <c r="E7270">
        <v>4876503</v>
      </c>
      <c r="F7270" t="s">
        <v>8</v>
      </c>
      <c r="G7270" t="s">
        <v>205</v>
      </c>
      <c r="H7270" t="s">
        <v>247</v>
      </c>
      <c r="I7270" s="4">
        <v>8355.1131999999998</v>
      </c>
      <c r="J7270" s="4">
        <v>250653.39600000001</v>
      </c>
      <c r="K7270" s="4">
        <v>-13192.284</v>
      </c>
      <c r="L7270" s="4">
        <v>30</v>
      </c>
    </row>
    <row r="7271" spans="1:12">
      <c r="A7271" t="s">
        <v>264</v>
      </c>
      <c r="B7271" s="10">
        <v>45320</v>
      </c>
      <c r="C7271" s="18">
        <f t="shared" si="113"/>
        <v>1</v>
      </c>
      <c r="D7271" t="s">
        <v>196</v>
      </c>
      <c r="E7271">
        <v>4871863</v>
      </c>
      <c r="F7271" t="s">
        <v>8</v>
      </c>
      <c r="G7271" t="s">
        <v>204</v>
      </c>
      <c r="H7271" t="s">
        <v>221</v>
      </c>
      <c r="I7271" s="4">
        <v>25253.800799999997</v>
      </c>
      <c r="J7271" s="4">
        <v>50507.601599999995</v>
      </c>
      <c r="K7271" s="4">
        <v>-2512.8160000000003</v>
      </c>
      <c r="L7271" s="4">
        <v>2</v>
      </c>
    </row>
    <row r="7272" spans="1:12">
      <c r="A7272" t="s">
        <v>264</v>
      </c>
      <c r="B7272" s="10">
        <v>45320</v>
      </c>
      <c r="C7272" s="18">
        <f t="shared" si="113"/>
        <v>1</v>
      </c>
      <c r="D7272" t="s">
        <v>196</v>
      </c>
      <c r="E7272">
        <v>4875440</v>
      </c>
      <c r="F7272" t="s">
        <v>8</v>
      </c>
      <c r="G7272" t="s">
        <v>203</v>
      </c>
      <c r="H7272" t="s">
        <v>228</v>
      </c>
      <c r="I7272" s="4">
        <v>100638.28079999999</v>
      </c>
      <c r="J7272" s="4">
        <v>201276.56159999999</v>
      </c>
      <c r="K7272" s="4">
        <v>-9046.1376</v>
      </c>
      <c r="L7272" s="4">
        <v>2</v>
      </c>
    </row>
    <row r="7273" spans="1:12">
      <c r="A7273" t="s">
        <v>264</v>
      </c>
      <c r="B7273" s="10">
        <v>45320</v>
      </c>
      <c r="C7273" s="18">
        <f t="shared" si="113"/>
        <v>1</v>
      </c>
      <c r="D7273" t="s">
        <v>196</v>
      </c>
      <c r="E7273">
        <v>4875440</v>
      </c>
      <c r="F7273" t="s">
        <v>8</v>
      </c>
      <c r="G7273" t="s">
        <v>203</v>
      </c>
      <c r="H7273" t="s">
        <v>227</v>
      </c>
      <c r="I7273" s="4">
        <v>100638.28079999999</v>
      </c>
      <c r="J7273" s="4">
        <v>201276.56159999999</v>
      </c>
      <c r="K7273" s="4">
        <v>-9046.1376</v>
      </c>
      <c r="L7273" s="4">
        <v>2</v>
      </c>
    </row>
    <row r="7274" spans="1:12">
      <c r="A7274" t="s">
        <v>264</v>
      </c>
      <c r="B7274" s="10">
        <v>45320</v>
      </c>
      <c r="C7274" s="18">
        <f t="shared" si="113"/>
        <v>1</v>
      </c>
      <c r="D7274" t="s">
        <v>196</v>
      </c>
      <c r="E7274">
        <v>4875440</v>
      </c>
      <c r="F7274" t="s">
        <v>8</v>
      </c>
      <c r="G7274" t="s">
        <v>203</v>
      </c>
      <c r="H7274" t="s">
        <v>226</v>
      </c>
      <c r="I7274" s="4">
        <v>100638.28079999999</v>
      </c>
      <c r="J7274" s="4">
        <v>201276.56159999999</v>
      </c>
      <c r="K7274" s="4">
        <v>-9046.1376</v>
      </c>
      <c r="L7274" s="4">
        <v>2</v>
      </c>
    </row>
    <row r="7275" spans="1:12">
      <c r="A7275" t="s">
        <v>264</v>
      </c>
      <c r="B7275" s="10">
        <v>45320</v>
      </c>
      <c r="C7275" s="18">
        <f t="shared" si="113"/>
        <v>1</v>
      </c>
      <c r="D7275" t="s">
        <v>196</v>
      </c>
      <c r="E7275">
        <v>4875440</v>
      </c>
      <c r="F7275" t="s">
        <v>8</v>
      </c>
      <c r="G7275" t="s">
        <v>203</v>
      </c>
      <c r="H7275" t="s">
        <v>241</v>
      </c>
      <c r="I7275" s="4">
        <v>125766.4408</v>
      </c>
      <c r="J7275" s="4">
        <v>251532.88159999999</v>
      </c>
      <c r="K7275" s="4">
        <v>-11684.5944</v>
      </c>
      <c r="L7275" s="4">
        <v>2</v>
      </c>
    </row>
    <row r="7276" spans="1:12">
      <c r="A7276" t="s">
        <v>264</v>
      </c>
      <c r="B7276" s="10">
        <v>45320</v>
      </c>
      <c r="C7276" s="18">
        <f t="shared" si="113"/>
        <v>1</v>
      </c>
      <c r="D7276" t="s">
        <v>196</v>
      </c>
      <c r="E7276">
        <v>4875440</v>
      </c>
      <c r="F7276" t="s">
        <v>8</v>
      </c>
      <c r="G7276" t="s">
        <v>203</v>
      </c>
      <c r="H7276" t="s">
        <v>235</v>
      </c>
      <c r="I7276" s="4">
        <v>125766.4408</v>
      </c>
      <c r="J7276" s="4">
        <v>251532.88159999999</v>
      </c>
      <c r="K7276" s="4">
        <v>-11684.5944</v>
      </c>
      <c r="L7276" s="4">
        <v>2</v>
      </c>
    </row>
    <row r="7277" spans="1:12">
      <c r="A7277" t="s">
        <v>264</v>
      </c>
      <c r="B7277" s="10">
        <v>45320</v>
      </c>
      <c r="C7277" s="18">
        <f t="shared" si="113"/>
        <v>1</v>
      </c>
      <c r="D7277" t="s">
        <v>196</v>
      </c>
      <c r="E7277">
        <v>4875440</v>
      </c>
      <c r="F7277" t="s">
        <v>8</v>
      </c>
      <c r="G7277" t="s">
        <v>203</v>
      </c>
      <c r="H7277" t="s">
        <v>229</v>
      </c>
      <c r="I7277" s="4">
        <v>125766.4408</v>
      </c>
      <c r="J7277" s="4">
        <v>251532.88159999999</v>
      </c>
      <c r="K7277" s="4">
        <v>-11684.5944</v>
      </c>
      <c r="L7277" s="4">
        <v>2</v>
      </c>
    </row>
    <row r="7278" spans="1:12">
      <c r="A7278" t="s">
        <v>264</v>
      </c>
      <c r="B7278" s="10">
        <v>45321</v>
      </c>
      <c r="C7278" s="18">
        <f t="shared" si="113"/>
        <v>1</v>
      </c>
      <c r="D7278" t="s">
        <v>196</v>
      </c>
      <c r="E7278">
        <v>4878952</v>
      </c>
      <c r="F7278" t="s">
        <v>8</v>
      </c>
      <c r="G7278" t="s">
        <v>202</v>
      </c>
      <c r="H7278" t="s">
        <v>258</v>
      </c>
      <c r="I7278" s="4">
        <v>37817.880799999999</v>
      </c>
      <c r="J7278" s="4">
        <v>151271.5232</v>
      </c>
      <c r="K7278" s="4">
        <v>-7538.4479999999994</v>
      </c>
      <c r="L7278" s="4">
        <v>4</v>
      </c>
    </row>
    <row r="7279" spans="1:12">
      <c r="A7279" t="s">
        <v>264</v>
      </c>
      <c r="B7279" s="10">
        <v>45321</v>
      </c>
      <c r="C7279" s="18">
        <f t="shared" si="113"/>
        <v>1</v>
      </c>
      <c r="D7279" t="s">
        <v>196</v>
      </c>
      <c r="E7279">
        <v>4871600</v>
      </c>
      <c r="F7279" t="s">
        <v>8</v>
      </c>
      <c r="G7279" t="s">
        <v>203</v>
      </c>
      <c r="H7279" t="s">
        <v>232</v>
      </c>
      <c r="I7279" s="4">
        <v>100638.28079999999</v>
      </c>
      <c r="J7279" s="4">
        <v>1006382.808</v>
      </c>
      <c r="K7279" s="4">
        <v>-45230.688000000002</v>
      </c>
      <c r="L7279" s="4">
        <v>10</v>
      </c>
    </row>
    <row r="7280" spans="1:12">
      <c r="A7280" t="s">
        <v>264</v>
      </c>
      <c r="B7280" s="10">
        <v>45321</v>
      </c>
      <c r="C7280" s="18">
        <f t="shared" si="113"/>
        <v>1</v>
      </c>
      <c r="D7280" t="s">
        <v>196</v>
      </c>
      <c r="E7280">
        <v>4871600</v>
      </c>
      <c r="F7280" t="s">
        <v>8</v>
      </c>
      <c r="G7280" t="s">
        <v>203</v>
      </c>
      <c r="H7280" t="s">
        <v>231</v>
      </c>
      <c r="I7280" s="4">
        <v>125766.4408</v>
      </c>
      <c r="J7280" s="4">
        <v>1257664.4080000001</v>
      </c>
      <c r="K7280" s="4">
        <v>-58422.972000000002</v>
      </c>
      <c r="L7280" s="4">
        <v>10</v>
      </c>
    </row>
    <row r="7281" spans="1:12">
      <c r="A7281" t="s">
        <v>264</v>
      </c>
      <c r="B7281" s="10">
        <v>45321</v>
      </c>
      <c r="C7281" s="18">
        <f t="shared" si="113"/>
        <v>1</v>
      </c>
      <c r="D7281" t="s">
        <v>196</v>
      </c>
      <c r="E7281">
        <v>4872706</v>
      </c>
      <c r="F7281" t="s">
        <v>8</v>
      </c>
      <c r="G7281" t="s">
        <v>202</v>
      </c>
      <c r="H7281" t="s">
        <v>257</v>
      </c>
      <c r="I7281" s="4">
        <v>56664.000799999994</v>
      </c>
      <c r="J7281" s="4">
        <v>4533120.0639999993</v>
      </c>
      <c r="K7281" s="4">
        <v>-226153.44</v>
      </c>
      <c r="L7281" s="4">
        <v>80</v>
      </c>
    </row>
    <row r="7282" spans="1:12">
      <c r="A7282" t="s">
        <v>264</v>
      </c>
      <c r="B7282" s="10">
        <v>45321</v>
      </c>
      <c r="C7282" s="18">
        <f t="shared" si="113"/>
        <v>1</v>
      </c>
      <c r="D7282" t="s">
        <v>196</v>
      </c>
      <c r="E7282">
        <v>4872068</v>
      </c>
      <c r="F7282" t="s">
        <v>8</v>
      </c>
      <c r="G7282" t="s">
        <v>203</v>
      </c>
      <c r="H7282" t="s">
        <v>243</v>
      </c>
      <c r="I7282" s="4">
        <v>100638.28079999999</v>
      </c>
      <c r="J7282" s="4">
        <v>603829.68479999993</v>
      </c>
      <c r="K7282" s="4">
        <v>-27138.412800000002</v>
      </c>
      <c r="L7282" s="4">
        <v>6</v>
      </c>
    </row>
    <row r="7283" spans="1:12">
      <c r="A7283" t="s">
        <v>264</v>
      </c>
      <c r="B7283" s="10">
        <v>45321</v>
      </c>
      <c r="C7283" s="18">
        <f t="shared" si="113"/>
        <v>1</v>
      </c>
      <c r="D7283" t="s">
        <v>196</v>
      </c>
      <c r="E7283">
        <v>4872068</v>
      </c>
      <c r="F7283" t="s">
        <v>8</v>
      </c>
      <c r="G7283" t="s">
        <v>203</v>
      </c>
      <c r="H7283" t="s">
        <v>242</v>
      </c>
      <c r="I7283" s="4">
        <v>100638.28079999999</v>
      </c>
      <c r="J7283" s="4">
        <v>603829.68479999993</v>
      </c>
      <c r="K7283" s="4">
        <v>-27138.412800000002</v>
      </c>
      <c r="L7283" s="4">
        <v>6</v>
      </c>
    </row>
    <row r="7284" spans="1:12">
      <c r="A7284" t="s">
        <v>264</v>
      </c>
      <c r="B7284" s="10">
        <v>45321</v>
      </c>
      <c r="C7284" s="18">
        <f t="shared" si="113"/>
        <v>1</v>
      </c>
      <c r="D7284" t="s">
        <v>196</v>
      </c>
      <c r="E7284">
        <v>4872068</v>
      </c>
      <c r="F7284" t="s">
        <v>8</v>
      </c>
      <c r="G7284" t="s">
        <v>203</v>
      </c>
      <c r="H7284" t="s">
        <v>238</v>
      </c>
      <c r="I7284" s="4">
        <v>95606.36675999999</v>
      </c>
      <c r="J7284" s="4">
        <v>573638.20055999991</v>
      </c>
      <c r="K7284" s="4">
        <v>-27138.412800000002</v>
      </c>
      <c r="L7284" s="4">
        <v>6</v>
      </c>
    </row>
    <row r="7285" spans="1:12">
      <c r="A7285" t="s">
        <v>264</v>
      </c>
      <c r="B7285" s="10">
        <v>45321</v>
      </c>
      <c r="C7285" s="18">
        <f t="shared" si="113"/>
        <v>1</v>
      </c>
      <c r="D7285" t="s">
        <v>196</v>
      </c>
      <c r="E7285">
        <v>4872068</v>
      </c>
      <c r="F7285" t="s">
        <v>8</v>
      </c>
      <c r="G7285" t="s">
        <v>203</v>
      </c>
      <c r="H7285" t="s">
        <v>234</v>
      </c>
      <c r="I7285" s="4">
        <v>100638.28079999999</v>
      </c>
      <c r="J7285" s="4">
        <v>603829.68479999993</v>
      </c>
      <c r="K7285" s="4">
        <v>-27138.412800000002</v>
      </c>
      <c r="L7285" s="4">
        <v>6</v>
      </c>
    </row>
    <row r="7286" spans="1:12">
      <c r="A7286" t="s">
        <v>264</v>
      </c>
      <c r="B7286" s="10">
        <v>45321</v>
      </c>
      <c r="C7286" s="18">
        <f t="shared" si="113"/>
        <v>1</v>
      </c>
      <c r="D7286" t="s">
        <v>196</v>
      </c>
      <c r="E7286">
        <v>4872068</v>
      </c>
      <c r="F7286" t="s">
        <v>8</v>
      </c>
      <c r="G7286" t="s">
        <v>203</v>
      </c>
      <c r="H7286" t="s">
        <v>230</v>
      </c>
      <c r="I7286" s="4">
        <v>100638.28079999999</v>
      </c>
      <c r="J7286" s="4">
        <v>603829.68479999993</v>
      </c>
      <c r="K7286" s="4">
        <v>-27138.412800000002</v>
      </c>
      <c r="L7286" s="4">
        <v>6</v>
      </c>
    </row>
    <row r="7287" spans="1:12">
      <c r="A7287" t="s">
        <v>264</v>
      </c>
      <c r="B7287" s="10">
        <v>45321</v>
      </c>
      <c r="C7287" s="18">
        <f t="shared" si="113"/>
        <v>1</v>
      </c>
      <c r="D7287" t="s">
        <v>196</v>
      </c>
      <c r="E7287">
        <v>4872068</v>
      </c>
      <c r="F7287" t="s">
        <v>8</v>
      </c>
      <c r="G7287" t="s">
        <v>203</v>
      </c>
      <c r="H7287" t="s">
        <v>226</v>
      </c>
      <c r="I7287" s="4">
        <v>100638.28079999999</v>
      </c>
      <c r="J7287" s="4">
        <v>603829.68479999993</v>
      </c>
      <c r="K7287" s="4">
        <v>-27138.412800000002</v>
      </c>
      <c r="L7287" s="4">
        <v>6</v>
      </c>
    </row>
    <row r="7288" spans="1:12">
      <c r="A7288" t="s">
        <v>264</v>
      </c>
      <c r="B7288" s="10">
        <v>45321</v>
      </c>
      <c r="C7288" s="18">
        <f t="shared" si="113"/>
        <v>1</v>
      </c>
      <c r="D7288" t="s">
        <v>196</v>
      </c>
      <c r="E7288">
        <v>4872068</v>
      </c>
      <c r="F7288" t="s">
        <v>8</v>
      </c>
      <c r="G7288" t="s">
        <v>203</v>
      </c>
      <c r="H7288" t="s">
        <v>224</v>
      </c>
      <c r="I7288" s="4">
        <v>100638.28079999999</v>
      </c>
      <c r="J7288" s="4">
        <v>603829.68479999993</v>
      </c>
      <c r="K7288" s="4">
        <v>-27138.412800000002</v>
      </c>
      <c r="L7288" s="4">
        <v>6</v>
      </c>
    </row>
    <row r="7289" spans="1:12">
      <c r="A7289" t="s">
        <v>264</v>
      </c>
      <c r="B7289" s="10">
        <v>45321</v>
      </c>
      <c r="C7289" s="18">
        <f t="shared" si="113"/>
        <v>1</v>
      </c>
      <c r="D7289" t="s">
        <v>196</v>
      </c>
      <c r="E7289">
        <v>4872068</v>
      </c>
      <c r="F7289" t="s">
        <v>8</v>
      </c>
      <c r="G7289" t="s">
        <v>203</v>
      </c>
      <c r="H7289" t="s">
        <v>222</v>
      </c>
      <c r="I7289" s="4">
        <v>100638.28079999999</v>
      </c>
      <c r="J7289" s="4">
        <v>603829.68479999993</v>
      </c>
      <c r="K7289" s="4">
        <v>-27138.412800000002</v>
      </c>
      <c r="L7289" s="4">
        <v>6</v>
      </c>
    </row>
    <row r="7290" spans="1:12">
      <c r="A7290" t="s">
        <v>264</v>
      </c>
      <c r="B7290" s="10">
        <v>45321</v>
      </c>
      <c r="C7290" s="18">
        <f t="shared" si="113"/>
        <v>1</v>
      </c>
      <c r="D7290" t="s">
        <v>196</v>
      </c>
      <c r="E7290">
        <v>4872068</v>
      </c>
      <c r="F7290" t="s">
        <v>8</v>
      </c>
      <c r="G7290" t="s">
        <v>203</v>
      </c>
      <c r="H7290" t="s">
        <v>244</v>
      </c>
      <c r="I7290" s="4">
        <v>125766.4408</v>
      </c>
      <c r="J7290" s="4">
        <v>754598.64480000001</v>
      </c>
      <c r="K7290" s="4">
        <v>-35053.783199999998</v>
      </c>
      <c r="L7290" s="4">
        <v>6</v>
      </c>
    </row>
    <row r="7291" spans="1:12">
      <c r="A7291" t="s">
        <v>264</v>
      </c>
      <c r="B7291" s="10">
        <v>45321</v>
      </c>
      <c r="C7291" s="18">
        <f t="shared" si="113"/>
        <v>1</v>
      </c>
      <c r="D7291" t="s">
        <v>196</v>
      </c>
      <c r="E7291">
        <v>4872068</v>
      </c>
      <c r="F7291" t="s">
        <v>8</v>
      </c>
      <c r="G7291" t="s">
        <v>203</v>
      </c>
      <c r="H7291" t="s">
        <v>241</v>
      </c>
      <c r="I7291" s="4">
        <v>125766.4408</v>
      </c>
      <c r="J7291" s="4">
        <v>754598.64480000001</v>
      </c>
      <c r="K7291" s="4">
        <v>-35053.783199999998</v>
      </c>
      <c r="L7291" s="4">
        <v>6</v>
      </c>
    </row>
    <row r="7292" spans="1:12">
      <c r="A7292" t="s">
        <v>264</v>
      </c>
      <c r="B7292" s="10">
        <v>45321</v>
      </c>
      <c r="C7292" s="18">
        <f t="shared" si="113"/>
        <v>1</v>
      </c>
      <c r="D7292" t="s">
        <v>196</v>
      </c>
      <c r="E7292">
        <v>4872068</v>
      </c>
      <c r="F7292" t="s">
        <v>8</v>
      </c>
      <c r="G7292" t="s">
        <v>203</v>
      </c>
      <c r="H7292" t="s">
        <v>239</v>
      </c>
      <c r="I7292" s="4">
        <v>125766.4408</v>
      </c>
      <c r="J7292" s="4">
        <v>754598.64480000001</v>
      </c>
      <c r="K7292" s="4">
        <v>-35053.783199999998</v>
      </c>
      <c r="L7292" s="4">
        <v>6</v>
      </c>
    </row>
    <row r="7293" spans="1:12">
      <c r="A7293" t="s">
        <v>264</v>
      </c>
      <c r="B7293" s="10">
        <v>45321</v>
      </c>
      <c r="C7293" s="18">
        <f t="shared" si="113"/>
        <v>1</v>
      </c>
      <c r="D7293" t="s">
        <v>196</v>
      </c>
      <c r="E7293">
        <v>4872068</v>
      </c>
      <c r="F7293" t="s">
        <v>8</v>
      </c>
      <c r="G7293" t="s">
        <v>203</v>
      </c>
      <c r="H7293" t="s">
        <v>235</v>
      </c>
      <c r="I7293" s="4">
        <v>125766.4408</v>
      </c>
      <c r="J7293" s="4">
        <v>754598.64480000001</v>
      </c>
      <c r="K7293" s="4">
        <v>-35053.783199999998</v>
      </c>
      <c r="L7293" s="4">
        <v>6</v>
      </c>
    </row>
    <row r="7294" spans="1:12">
      <c r="A7294" t="s">
        <v>264</v>
      </c>
      <c r="B7294" s="10">
        <v>45321</v>
      </c>
      <c r="C7294" s="18">
        <f t="shared" si="113"/>
        <v>1</v>
      </c>
      <c r="D7294" t="s">
        <v>196</v>
      </c>
      <c r="E7294">
        <v>4872068</v>
      </c>
      <c r="F7294" t="s">
        <v>8</v>
      </c>
      <c r="G7294" t="s">
        <v>203</v>
      </c>
      <c r="H7294" t="s">
        <v>231</v>
      </c>
      <c r="I7294" s="4">
        <v>125766.4408</v>
      </c>
      <c r="J7294" s="4">
        <v>754598.64480000001</v>
      </c>
      <c r="K7294" s="4">
        <v>-35053.783199999998</v>
      </c>
      <c r="L7294" s="4">
        <v>6</v>
      </c>
    </row>
    <row r="7295" spans="1:12">
      <c r="A7295" t="s">
        <v>264</v>
      </c>
      <c r="B7295" s="10">
        <v>45321</v>
      </c>
      <c r="C7295" s="18">
        <f t="shared" si="113"/>
        <v>1</v>
      </c>
      <c r="D7295" t="s">
        <v>196</v>
      </c>
      <c r="E7295">
        <v>4872068</v>
      </c>
      <c r="F7295" t="s">
        <v>8</v>
      </c>
      <c r="G7295" t="s">
        <v>203</v>
      </c>
      <c r="H7295" t="s">
        <v>229</v>
      </c>
      <c r="I7295" s="4">
        <v>125766.4408</v>
      </c>
      <c r="J7295" s="4">
        <v>754598.64480000001</v>
      </c>
      <c r="K7295" s="4">
        <v>-35053.783199999998</v>
      </c>
      <c r="L7295" s="4">
        <v>6</v>
      </c>
    </row>
    <row r="7296" spans="1:12">
      <c r="A7296" t="s">
        <v>264</v>
      </c>
      <c r="B7296" s="10">
        <v>45321</v>
      </c>
      <c r="C7296" s="18">
        <f t="shared" si="113"/>
        <v>1</v>
      </c>
      <c r="D7296" t="s">
        <v>196</v>
      </c>
      <c r="E7296">
        <v>4872571</v>
      </c>
      <c r="F7296" t="s">
        <v>8</v>
      </c>
      <c r="G7296" t="s">
        <v>204</v>
      </c>
      <c r="H7296" t="s">
        <v>217</v>
      </c>
      <c r="I7296" s="4">
        <v>78022.936799999996</v>
      </c>
      <c r="J7296" s="4">
        <v>78022.936799999996</v>
      </c>
      <c r="K7296" s="4">
        <v>-3894.8647999999998</v>
      </c>
      <c r="L7296" s="4">
        <v>1</v>
      </c>
    </row>
    <row r="7297" spans="1:12">
      <c r="A7297" t="s">
        <v>264</v>
      </c>
      <c r="B7297" s="10">
        <v>45321</v>
      </c>
      <c r="C7297" s="18">
        <f t="shared" si="113"/>
        <v>1</v>
      </c>
      <c r="D7297" t="s">
        <v>196</v>
      </c>
      <c r="E7297">
        <v>4872571</v>
      </c>
      <c r="F7297" t="s">
        <v>8</v>
      </c>
      <c r="G7297" t="s">
        <v>204</v>
      </c>
      <c r="H7297" t="s">
        <v>216</v>
      </c>
      <c r="I7297" s="4">
        <v>113202.36079999999</v>
      </c>
      <c r="J7297" s="4">
        <v>452809.44319999998</v>
      </c>
      <c r="K7297" s="4">
        <v>-24374.315200000001</v>
      </c>
      <c r="L7297" s="4">
        <v>4</v>
      </c>
    </row>
    <row r="7298" spans="1:12">
      <c r="A7298" t="s">
        <v>264</v>
      </c>
      <c r="B7298" s="10">
        <v>45321</v>
      </c>
      <c r="C7298" s="18">
        <f t="shared" ref="C7298:C7344" si="114">MONTH(B7298)</f>
        <v>1</v>
      </c>
      <c r="D7298" t="s">
        <v>196</v>
      </c>
      <c r="E7298">
        <v>4873921</v>
      </c>
      <c r="F7298" t="s">
        <v>8</v>
      </c>
      <c r="G7298" t="s">
        <v>202</v>
      </c>
      <c r="H7298" t="s">
        <v>258</v>
      </c>
      <c r="I7298" s="4">
        <v>37817.880799999999</v>
      </c>
      <c r="J7298" s="4">
        <v>453814.56959999999</v>
      </c>
      <c r="K7298" s="4">
        <v>-22615.344000000001</v>
      </c>
      <c r="L7298" s="4">
        <v>12</v>
      </c>
    </row>
    <row r="7299" spans="1:12">
      <c r="A7299" t="s">
        <v>264</v>
      </c>
      <c r="B7299" s="10">
        <v>45321</v>
      </c>
      <c r="C7299" s="18">
        <f t="shared" si="114"/>
        <v>1</v>
      </c>
      <c r="D7299" t="s">
        <v>196</v>
      </c>
      <c r="E7299">
        <v>4871657</v>
      </c>
      <c r="F7299" t="s">
        <v>8</v>
      </c>
      <c r="G7299" t="s">
        <v>203</v>
      </c>
      <c r="H7299" t="s">
        <v>245</v>
      </c>
      <c r="I7299" s="4">
        <v>100638.28079999999</v>
      </c>
      <c r="J7299" s="4">
        <v>201276.56159999999</v>
      </c>
      <c r="K7299" s="4">
        <v>-9046.1376</v>
      </c>
      <c r="L7299" s="4">
        <v>2</v>
      </c>
    </row>
    <row r="7300" spans="1:12">
      <c r="A7300" t="s">
        <v>264</v>
      </c>
      <c r="B7300" s="10">
        <v>45321</v>
      </c>
      <c r="C7300" s="18">
        <f t="shared" si="114"/>
        <v>1</v>
      </c>
      <c r="D7300" t="s">
        <v>196</v>
      </c>
      <c r="E7300">
        <v>4871657</v>
      </c>
      <c r="F7300" t="s">
        <v>8</v>
      </c>
      <c r="G7300" t="s">
        <v>203</v>
      </c>
      <c r="H7300" t="s">
        <v>240</v>
      </c>
      <c r="I7300" s="4">
        <v>100638.28079999999</v>
      </c>
      <c r="J7300" s="4">
        <v>201276.56159999999</v>
      </c>
      <c r="K7300" s="4">
        <v>-9046.1376</v>
      </c>
      <c r="L7300" s="4">
        <v>2</v>
      </c>
    </row>
    <row r="7301" spans="1:12">
      <c r="A7301" t="s">
        <v>264</v>
      </c>
      <c r="B7301" s="10">
        <v>45321</v>
      </c>
      <c r="C7301" s="18">
        <f t="shared" si="114"/>
        <v>1</v>
      </c>
      <c r="D7301" t="s">
        <v>196</v>
      </c>
      <c r="E7301">
        <v>4871657</v>
      </c>
      <c r="F7301" t="s">
        <v>8</v>
      </c>
      <c r="G7301" t="s">
        <v>203</v>
      </c>
      <c r="H7301" t="s">
        <v>232</v>
      </c>
      <c r="I7301" s="4">
        <v>100638.28079999999</v>
      </c>
      <c r="J7301" s="4">
        <v>201276.56159999999</v>
      </c>
      <c r="K7301" s="4">
        <v>-9046.1376</v>
      </c>
      <c r="L7301" s="4">
        <v>2</v>
      </c>
    </row>
    <row r="7302" spans="1:12">
      <c r="A7302" t="s">
        <v>264</v>
      </c>
      <c r="B7302" s="10">
        <v>45321</v>
      </c>
      <c r="C7302" s="18">
        <f t="shared" si="114"/>
        <v>1</v>
      </c>
      <c r="D7302" t="s">
        <v>196</v>
      </c>
      <c r="E7302">
        <v>4872103</v>
      </c>
      <c r="F7302" t="s">
        <v>8</v>
      </c>
      <c r="G7302" t="s">
        <v>202</v>
      </c>
      <c r="H7302" t="s">
        <v>261</v>
      </c>
      <c r="I7302" s="4">
        <v>41587.104800000001</v>
      </c>
      <c r="J7302" s="4">
        <v>4158710.48</v>
      </c>
      <c r="K7302" s="4">
        <v>-207307.32</v>
      </c>
      <c r="L7302" s="4">
        <v>100</v>
      </c>
    </row>
    <row r="7303" spans="1:12">
      <c r="A7303" t="s">
        <v>264</v>
      </c>
      <c r="B7303" s="10">
        <v>45321</v>
      </c>
      <c r="C7303" s="18">
        <f t="shared" si="114"/>
        <v>1</v>
      </c>
      <c r="D7303" t="s">
        <v>196</v>
      </c>
      <c r="E7303">
        <v>4872592</v>
      </c>
      <c r="F7303" t="s">
        <v>8</v>
      </c>
      <c r="G7303" t="s">
        <v>203</v>
      </c>
      <c r="H7303" t="s">
        <v>236</v>
      </c>
      <c r="I7303" s="4">
        <v>100638.28079999999</v>
      </c>
      <c r="J7303" s="4">
        <v>4025531.2319999998</v>
      </c>
      <c r="K7303" s="4">
        <v>-180922.75200000001</v>
      </c>
      <c r="L7303" s="4">
        <v>40</v>
      </c>
    </row>
    <row r="7304" spans="1:12">
      <c r="A7304" t="s">
        <v>264</v>
      </c>
      <c r="B7304" s="10">
        <v>45321</v>
      </c>
      <c r="C7304" s="18">
        <f t="shared" si="114"/>
        <v>1</v>
      </c>
      <c r="D7304" t="s">
        <v>196</v>
      </c>
      <c r="E7304">
        <v>4872592</v>
      </c>
      <c r="F7304" t="s">
        <v>8</v>
      </c>
      <c r="G7304" t="s">
        <v>203</v>
      </c>
      <c r="H7304" t="s">
        <v>228</v>
      </c>
      <c r="I7304" s="4">
        <v>100638.28079999999</v>
      </c>
      <c r="J7304" s="4">
        <v>4025531.2319999998</v>
      </c>
      <c r="K7304" s="4">
        <v>-180922.75200000001</v>
      </c>
      <c r="L7304" s="4">
        <v>40</v>
      </c>
    </row>
    <row r="7305" spans="1:12">
      <c r="A7305" t="s">
        <v>264</v>
      </c>
      <c r="B7305" s="10">
        <v>45321</v>
      </c>
      <c r="C7305" s="18">
        <f t="shared" si="114"/>
        <v>1</v>
      </c>
      <c r="D7305" t="s">
        <v>196</v>
      </c>
      <c r="E7305">
        <v>4872592</v>
      </c>
      <c r="F7305" t="s">
        <v>8</v>
      </c>
      <c r="G7305" t="s">
        <v>203</v>
      </c>
      <c r="H7305" t="s">
        <v>239</v>
      </c>
      <c r="I7305" s="4">
        <v>125766.4408</v>
      </c>
      <c r="J7305" s="4">
        <v>2515328.8160000001</v>
      </c>
      <c r="K7305" s="4">
        <v>-116845.944</v>
      </c>
      <c r="L7305" s="4">
        <v>20</v>
      </c>
    </row>
    <row r="7306" spans="1:12">
      <c r="A7306" t="s">
        <v>264</v>
      </c>
      <c r="B7306" s="10">
        <v>45321</v>
      </c>
      <c r="C7306" s="18">
        <f t="shared" si="114"/>
        <v>1</v>
      </c>
      <c r="D7306" t="s">
        <v>196</v>
      </c>
      <c r="E7306">
        <v>4872592</v>
      </c>
      <c r="F7306" t="s">
        <v>8</v>
      </c>
      <c r="G7306" t="s">
        <v>203</v>
      </c>
      <c r="H7306" t="s">
        <v>233</v>
      </c>
      <c r="I7306" s="4">
        <v>120735.78316800001</v>
      </c>
      <c r="J7306" s="4">
        <v>2414715.6633600001</v>
      </c>
      <c r="K7306" s="4">
        <v>-116845.944</v>
      </c>
      <c r="L7306" s="4">
        <v>20</v>
      </c>
    </row>
    <row r="7307" spans="1:12">
      <c r="A7307" t="s">
        <v>264</v>
      </c>
      <c r="B7307" s="10">
        <v>45322</v>
      </c>
      <c r="C7307" s="18">
        <f t="shared" si="114"/>
        <v>1</v>
      </c>
      <c r="D7307" t="s">
        <v>196</v>
      </c>
      <c r="E7307">
        <v>4871600</v>
      </c>
      <c r="F7307" t="s">
        <v>8</v>
      </c>
      <c r="G7307" t="s">
        <v>204</v>
      </c>
      <c r="H7307" t="s">
        <v>220</v>
      </c>
      <c r="I7307" s="4">
        <v>37817.880799999999</v>
      </c>
      <c r="J7307" s="4">
        <v>151271.5232</v>
      </c>
      <c r="K7307" s="4">
        <v>-5779.4768000000004</v>
      </c>
      <c r="L7307" s="4">
        <v>4</v>
      </c>
    </row>
    <row r="7308" spans="1:12">
      <c r="A7308" t="s">
        <v>264</v>
      </c>
      <c r="B7308" s="10">
        <v>45322</v>
      </c>
      <c r="C7308" s="18">
        <f t="shared" si="114"/>
        <v>1</v>
      </c>
      <c r="D7308" t="s">
        <v>196</v>
      </c>
      <c r="E7308">
        <v>4871600</v>
      </c>
      <c r="F7308" t="s">
        <v>8</v>
      </c>
      <c r="G7308" t="s">
        <v>204</v>
      </c>
      <c r="H7308" t="s">
        <v>212</v>
      </c>
      <c r="I7308" s="4">
        <v>62946.040799999995</v>
      </c>
      <c r="J7308" s="4">
        <v>251784.16319999998</v>
      </c>
      <c r="K7308" s="4">
        <v>-7538.4479999999994</v>
      </c>
      <c r="L7308" s="4">
        <v>4</v>
      </c>
    </row>
    <row r="7309" spans="1:12">
      <c r="A7309" t="s">
        <v>264</v>
      </c>
      <c r="B7309" s="10">
        <v>45322</v>
      </c>
      <c r="C7309" s="18">
        <f t="shared" si="114"/>
        <v>1</v>
      </c>
      <c r="D7309" t="s">
        <v>196</v>
      </c>
      <c r="E7309">
        <v>4875623</v>
      </c>
      <c r="F7309" t="s">
        <v>8</v>
      </c>
      <c r="G7309" t="s">
        <v>204</v>
      </c>
      <c r="H7309" t="s">
        <v>221</v>
      </c>
      <c r="I7309" s="4">
        <v>25253.800799999997</v>
      </c>
      <c r="J7309" s="4">
        <v>378807.01199999999</v>
      </c>
      <c r="K7309" s="4">
        <v>-18846.12</v>
      </c>
      <c r="L7309" s="4">
        <v>15</v>
      </c>
    </row>
    <row r="7310" spans="1:12">
      <c r="A7310" t="s">
        <v>264</v>
      </c>
      <c r="B7310" s="10">
        <v>45322</v>
      </c>
      <c r="C7310" s="18">
        <f t="shared" si="114"/>
        <v>1</v>
      </c>
      <c r="D7310" t="s">
        <v>196</v>
      </c>
      <c r="E7310">
        <v>4873868</v>
      </c>
      <c r="F7310" t="s">
        <v>8</v>
      </c>
      <c r="G7310" t="s">
        <v>203</v>
      </c>
      <c r="H7310" t="s">
        <v>245</v>
      </c>
      <c r="I7310" s="4">
        <v>100638.28079999999</v>
      </c>
      <c r="J7310" s="4">
        <v>201276.56159999999</v>
      </c>
      <c r="K7310" s="4">
        <v>-9046.1376</v>
      </c>
      <c r="L7310" s="4">
        <v>2</v>
      </c>
    </row>
    <row r="7311" spans="1:12">
      <c r="A7311" t="s">
        <v>264</v>
      </c>
      <c r="B7311" s="10">
        <v>45322</v>
      </c>
      <c r="C7311" s="18">
        <f t="shared" si="114"/>
        <v>1</v>
      </c>
      <c r="D7311" t="s">
        <v>196</v>
      </c>
      <c r="E7311">
        <v>4873868</v>
      </c>
      <c r="F7311" t="s">
        <v>8</v>
      </c>
      <c r="G7311" t="s">
        <v>203</v>
      </c>
      <c r="H7311" t="s">
        <v>243</v>
      </c>
      <c r="I7311" s="4">
        <v>100638.28079999999</v>
      </c>
      <c r="J7311" s="4">
        <v>201276.56159999999</v>
      </c>
      <c r="K7311" s="4">
        <v>-9046.1376</v>
      </c>
      <c r="L7311" s="4">
        <v>2</v>
      </c>
    </row>
    <row r="7312" spans="1:12">
      <c r="A7312" t="s">
        <v>264</v>
      </c>
      <c r="B7312" s="10">
        <v>45322</v>
      </c>
      <c r="C7312" s="18">
        <f t="shared" si="114"/>
        <v>1</v>
      </c>
      <c r="D7312" t="s">
        <v>196</v>
      </c>
      <c r="E7312">
        <v>4873868</v>
      </c>
      <c r="F7312" t="s">
        <v>8</v>
      </c>
      <c r="G7312" t="s">
        <v>203</v>
      </c>
      <c r="H7312" t="s">
        <v>242</v>
      </c>
      <c r="I7312" s="4">
        <v>100638.28079999999</v>
      </c>
      <c r="J7312" s="4">
        <v>201276.56159999999</v>
      </c>
      <c r="K7312" s="4">
        <v>-9046.1376</v>
      </c>
      <c r="L7312" s="4">
        <v>2</v>
      </c>
    </row>
    <row r="7313" spans="1:12">
      <c r="A7313" t="s">
        <v>264</v>
      </c>
      <c r="B7313" s="10">
        <v>45322</v>
      </c>
      <c r="C7313" s="18">
        <f t="shared" si="114"/>
        <v>1</v>
      </c>
      <c r="D7313" t="s">
        <v>196</v>
      </c>
      <c r="E7313">
        <v>4873868</v>
      </c>
      <c r="F7313" t="s">
        <v>8</v>
      </c>
      <c r="G7313" t="s">
        <v>203</v>
      </c>
      <c r="H7313" t="s">
        <v>240</v>
      </c>
      <c r="I7313" s="4">
        <v>100638.28079999999</v>
      </c>
      <c r="J7313" s="4">
        <v>201276.56159999999</v>
      </c>
      <c r="K7313" s="4">
        <v>-9046.1376</v>
      </c>
      <c r="L7313" s="4">
        <v>2</v>
      </c>
    </row>
    <row r="7314" spans="1:12">
      <c r="A7314" t="s">
        <v>264</v>
      </c>
      <c r="B7314" s="10">
        <v>45322</v>
      </c>
      <c r="C7314" s="18">
        <f t="shared" si="114"/>
        <v>1</v>
      </c>
      <c r="D7314" t="s">
        <v>196</v>
      </c>
      <c r="E7314">
        <v>4873868</v>
      </c>
      <c r="F7314" t="s">
        <v>8</v>
      </c>
      <c r="G7314" t="s">
        <v>203</v>
      </c>
      <c r="H7314" t="s">
        <v>238</v>
      </c>
      <c r="I7314" s="4">
        <v>95606.36675999999</v>
      </c>
      <c r="J7314" s="4">
        <v>191212.73351999998</v>
      </c>
      <c r="K7314" s="4">
        <v>-9046.1376</v>
      </c>
      <c r="L7314" s="4">
        <v>2</v>
      </c>
    </row>
    <row r="7315" spans="1:12">
      <c r="A7315" t="s">
        <v>264</v>
      </c>
      <c r="B7315" s="10">
        <v>45322</v>
      </c>
      <c r="C7315" s="18">
        <f t="shared" si="114"/>
        <v>1</v>
      </c>
      <c r="D7315" t="s">
        <v>196</v>
      </c>
      <c r="E7315">
        <v>4873868</v>
      </c>
      <c r="F7315" t="s">
        <v>8</v>
      </c>
      <c r="G7315" t="s">
        <v>203</v>
      </c>
      <c r="H7315" t="s">
        <v>236</v>
      </c>
      <c r="I7315" s="4">
        <v>100638.28079999999</v>
      </c>
      <c r="J7315" s="4">
        <v>201276.56159999999</v>
      </c>
      <c r="K7315" s="4">
        <v>-9046.1376</v>
      </c>
      <c r="L7315" s="4">
        <v>2</v>
      </c>
    </row>
    <row r="7316" spans="1:12">
      <c r="A7316" t="s">
        <v>264</v>
      </c>
      <c r="B7316" s="10">
        <v>45322</v>
      </c>
      <c r="C7316" s="18">
        <f t="shared" si="114"/>
        <v>1</v>
      </c>
      <c r="D7316" t="s">
        <v>196</v>
      </c>
      <c r="E7316">
        <v>4873868</v>
      </c>
      <c r="F7316" t="s">
        <v>8</v>
      </c>
      <c r="G7316" t="s">
        <v>203</v>
      </c>
      <c r="H7316" t="s">
        <v>234</v>
      </c>
      <c r="I7316" s="4">
        <v>100638.28079999999</v>
      </c>
      <c r="J7316" s="4">
        <v>201276.56159999999</v>
      </c>
      <c r="K7316" s="4">
        <v>-9046.1376</v>
      </c>
      <c r="L7316" s="4">
        <v>2</v>
      </c>
    </row>
    <row r="7317" spans="1:12">
      <c r="A7317" t="s">
        <v>264</v>
      </c>
      <c r="B7317" s="10">
        <v>45322</v>
      </c>
      <c r="C7317" s="18">
        <f t="shared" si="114"/>
        <v>1</v>
      </c>
      <c r="D7317" t="s">
        <v>196</v>
      </c>
      <c r="E7317">
        <v>4873868</v>
      </c>
      <c r="F7317" t="s">
        <v>8</v>
      </c>
      <c r="G7317" t="s">
        <v>203</v>
      </c>
      <c r="H7317" t="s">
        <v>232</v>
      </c>
      <c r="I7317" s="4">
        <v>100638.28079999999</v>
      </c>
      <c r="J7317" s="4">
        <v>201276.56159999999</v>
      </c>
      <c r="K7317" s="4">
        <v>-9046.1376</v>
      </c>
      <c r="L7317" s="4">
        <v>2</v>
      </c>
    </row>
    <row r="7318" spans="1:12">
      <c r="A7318" t="s">
        <v>264</v>
      </c>
      <c r="B7318" s="10">
        <v>45322</v>
      </c>
      <c r="C7318" s="18">
        <f t="shared" si="114"/>
        <v>1</v>
      </c>
      <c r="D7318" t="s">
        <v>196</v>
      </c>
      <c r="E7318">
        <v>4873868</v>
      </c>
      <c r="F7318" t="s">
        <v>8</v>
      </c>
      <c r="G7318" t="s">
        <v>203</v>
      </c>
      <c r="H7318" t="s">
        <v>230</v>
      </c>
      <c r="I7318" s="4">
        <v>100638.28079999999</v>
      </c>
      <c r="J7318" s="4">
        <v>201276.56159999999</v>
      </c>
      <c r="K7318" s="4">
        <v>-9046.1376</v>
      </c>
      <c r="L7318" s="4">
        <v>2</v>
      </c>
    </row>
    <row r="7319" spans="1:12">
      <c r="A7319" t="s">
        <v>264</v>
      </c>
      <c r="B7319" s="10">
        <v>45322</v>
      </c>
      <c r="C7319" s="18">
        <f t="shared" si="114"/>
        <v>1</v>
      </c>
      <c r="D7319" t="s">
        <v>196</v>
      </c>
      <c r="E7319">
        <v>4873868</v>
      </c>
      <c r="F7319" t="s">
        <v>8</v>
      </c>
      <c r="G7319" t="s">
        <v>203</v>
      </c>
      <c r="H7319" t="s">
        <v>228</v>
      </c>
      <c r="I7319" s="4">
        <v>100638.28079999999</v>
      </c>
      <c r="J7319" s="4">
        <v>201276.56159999999</v>
      </c>
      <c r="K7319" s="4">
        <v>-9046.1376</v>
      </c>
      <c r="L7319" s="4">
        <v>2</v>
      </c>
    </row>
    <row r="7320" spans="1:12">
      <c r="A7320" t="s">
        <v>264</v>
      </c>
      <c r="B7320" s="10">
        <v>45322</v>
      </c>
      <c r="C7320" s="18">
        <f t="shared" si="114"/>
        <v>1</v>
      </c>
      <c r="D7320" t="s">
        <v>196</v>
      </c>
      <c r="E7320">
        <v>4873868</v>
      </c>
      <c r="F7320" t="s">
        <v>8</v>
      </c>
      <c r="G7320" t="s">
        <v>203</v>
      </c>
      <c r="H7320" t="s">
        <v>227</v>
      </c>
      <c r="I7320" s="4">
        <v>100638.28079999999</v>
      </c>
      <c r="J7320" s="4">
        <v>201276.56159999999</v>
      </c>
      <c r="K7320" s="4">
        <v>-9046.1376</v>
      </c>
      <c r="L7320" s="4">
        <v>2</v>
      </c>
    </row>
    <row r="7321" spans="1:12">
      <c r="A7321" t="s">
        <v>264</v>
      </c>
      <c r="B7321" s="10">
        <v>45322</v>
      </c>
      <c r="C7321" s="18">
        <f t="shared" si="114"/>
        <v>1</v>
      </c>
      <c r="D7321" t="s">
        <v>196</v>
      </c>
      <c r="E7321">
        <v>4873868</v>
      </c>
      <c r="F7321" t="s">
        <v>8</v>
      </c>
      <c r="G7321" t="s">
        <v>203</v>
      </c>
      <c r="H7321" t="s">
        <v>226</v>
      </c>
      <c r="I7321" s="4">
        <v>100638.28079999999</v>
      </c>
      <c r="J7321" s="4">
        <v>201276.56159999999</v>
      </c>
      <c r="K7321" s="4">
        <v>-9046.1376</v>
      </c>
      <c r="L7321" s="4">
        <v>2</v>
      </c>
    </row>
    <row r="7322" spans="1:12">
      <c r="A7322" t="s">
        <v>264</v>
      </c>
      <c r="B7322" s="10">
        <v>45322</v>
      </c>
      <c r="C7322" s="18">
        <f t="shared" si="114"/>
        <v>1</v>
      </c>
      <c r="D7322" t="s">
        <v>196</v>
      </c>
      <c r="E7322">
        <v>4873868</v>
      </c>
      <c r="F7322" t="s">
        <v>8</v>
      </c>
      <c r="G7322" t="s">
        <v>203</v>
      </c>
      <c r="H7322" t="s">
        <v>225</v>
      </c>
      <c r="I7322" s="4">
        <v>100638.28079999999</v>
      </c>
      <c r="J7322" s="4">
        <v>201276.56159999999</v>
      </c>
      <c r="K7322" s="4">
        <v>-9046.1376</v>
      </c>
      <c r="L7322" s="4">
        <v>2</v>
      </c>
    </row>
    <row r="7323" spans="1:12">
      <c r="A7323" t="s">
        <v>264</v>
      </c>
      <c r="B7323" s="10">
        <v>45322</v>
      </c>
      <c r="C7323" s="18">
        <f t="shared" si="114"/>
        <v>1</v>
      </c>
      <c r="D7323" t="s">
        <v>196</v>
      </c>
      <c r="E7323">
        <v>4873868</v>
      </c>
      <c r="F7323" t="s">
        <v>8</v>
      </c>
      <c r="G7323" t="s">
        <v>203</v>
      </c>
      <c r="H7323" t="s">
        <v>224</v>
      </c>
      <c r="I7323" s="4">
        <v>100638.28079999999</v>
      </c>
      <c r="J7323" s="4">
        <v>201276.56159999999</v>
      </c>
      <c r="K7323" s="4">
        <v>-9046.1376</v>
      </c>
      <c r="L7323" s="4">
        <v>2</v>
      </c>
    </row>
    <row r="7324" spans="1:12">
      <c r="A7324" t="s">
        <v>264</v>
      </c>
      <c r="B7324" s="10">
        <v>45322</v>
      </c>
      <c r="C7324" s="18">
        <f t="shared" si="114"/>
        <v>1</v>
      </c>
      <c r="D7324" t="s">
        <v>196</v>
      </c>
      <c r="E7324">
        <v>4873868</v>
      </c>
      <c r="F7324" t="s">
        <v>8</v>
      </c>
      <c r="G7324" t="s">
        <v>203</v>
      </c>
      <c r="H7324" t="s">
        <v>223</v>
      </c>
      <c r="I7324" s="4">
        <v>100638.28079999999</v>
      </c>
      <c r="J7324" s="4">
        <v>201276.56159999999</v>
      </c>
      <c r="K7324" s="4">
        <v>-9046.1376</v>
      </c>
      <c r="L7324" s="4">
        <v>2</v>
      </c>
    </row>
    <row r="7325" spans="1:12">
      <c r="A7325" t="s">
        <v>264</v>
      </c>
      <c r="B7325" s="10">
        <v>45322</v>
      </c>
      <c r="C7325" s="18">
        <f t="shared" si="114"/>
        <v>1</v>
      </c>
      <c r="D7325" t="s">
        <v>196</v>
      </c>
      <c r="E7325">
        <v>4873868</v>
      </c>
      <c r="F7325" t="s">
        <v>8</v>
      </c>
      <c r="G7325" t="s">
        <v>203</v>
      </c>
      <c r="H7325" t="s">
        <v>222</v>
      </c>
      <c r="I7325" s="4">
        <v>100638.28079999999</v>
      </c>
      <c r="J7325" s="4">
        <v>201276.56159999999</v>
      </c>
      <c r="K7325" s="4">
        <v>-9046.1376</v>
      </c>
      <c r="L7325" s="4">
        <v>2</v>
      </c>
    </row>
    <row r="7326" spans="1:12">
      <c r="A7326" t="s">
        <v>264</v>
      </c>
      <c r="B7326" s="10">
        <v>45322</v>
      </c>
      <c r="C7326" s="18">
        <f t="shared" si="114"/>
        <v>1</v>
      </c>
      <c r="D7326" t="s">
        <v>196</v>
      </c>
      <c r="E7326">
        <v>4873868</v>
      </c>
      <c r="F7326" t="s">
        <v>8</v>
      </c>
      <c r="G7326" t="s">
        <v>203</v>
      </c>
      <c r="H7326" t="s">
        <v>244</v>
      </c>
      <c r="I7326" s="4">
        <v>125766.4408</v>
      </c>
      <c r="J7326" s="4">
        <v>125766.4408</v>
      </c>
      <c r="K7326" s="4">
        <v>-5842.2972</v>
      </c>
      <c r="L7326" s="4">
        <v>1</v>
      </c>
    </row>
    <row r="7327" spans="1:12">
      <c r="A7327" t="s">
        <v>264</v>
      </c>
      <c r="B7327" s="10">
        <v>45322</v>
      </c>
      <c r="C7327" s="18">
        <f t="shared" si="114"/>
        <v>1</v>
      </c>
      <c r="D7327" t="s">
        <v>196</v>
      </c>
      <c r="E7327">
        <v>4873868</v>
      </c>
      <c r="F7327" t="s">
        <v>8</v>
      </c>
      <c r="G7327" t="s">
        <v>203</v>
      </c>
      <c r="H7327" t="s">
        <v>241</v>
      </c>
      <c r="I7327" s="4">
        <v>125766.4408</v>
      </c>
      <c r="J7327" s="4">
        <v>125766.4408</v>
      </c>
      <c r="K7327" s="4">
        <v>-5842.2972</v>
      </c>
      <c r="L7327" s="4">
        <v>1</v>
      </c>
    </row>
    <row r="7328" spans="1:12">
      <c r="A7328" t="s">
        <v>264</v>
      </c>
      <c r="B7328" s="10">
        <v>45322</v>
      </c>
      <c r="C7328" s="18">
        <f t="shared" si="114"/>
        <v>1</v>
      </c>
      <c r="D7328" t="s">
        <v>196</v>
      </c>
      <c r="E7328">
        <v>4873868</v>
      </c>
      <c r="F7328" t="s">
        <v>8</v>
      </c>
      <c r="G7328" t="s">
        <v>203</v>
      </c>
      <c r="H7328" t="s">
        <v>239</v>
      </c>
      <c r="I7328" s="4">
        <v>125766.4408</v>
      </c>
      <c r="J7328" s="4">
        <v>125766.4408</v>
      </c>
      <c r="K7328" s="4">
        <v>-5842.2972</v>
      </c>
      <c r="L7328" s="4">
        <v>1</v>
      </c>
    </row>
    <row r="7329" spans="1:12">
      <c r="A7329" t="s">
        <v>264</v>
      </c>
      <c r="B7329" s="10">
        <v>45322</v>
      </c>
      <c r="C7329" s="18">
        <f t="shared" si="114"/>
        <v>1</v>
      </c>
      <c r="D7329" t="s">
        <v>196</v>
      </c>
      <c r="E7329">
        <v>4873868</v>
      </c>
      <c r="F7329" t="s">
        <v>8</v>
      </c>
      <c r="G7329" t="s">
        <v>203</v>
      </c>
      <c r="H7329" t="s">
        <v>237</v>
      </c>
      <c r="I7329" s="4">
        <v>125766.4408</v>
      </c>
      <c r="J7329" s="4">
        <v>125766.4408</v>
      </c>
      <c r="K7329" s="4">
        <v>-5842.2972</v>
      </c>
      <c r="L7329" s="4">
        <v>1</v>
      </c>
    </row>
    <row r="7330" spans="1:12">
      <c r="A7330" t="s">
        <v>264</v>
      </c>
      <c r="B7330" s="10">
        <v>45322</v>
      </c>
      <c r="C7330" s="18">
        <f t="shared" si="114"/>
        <v>1</v>
      </c>
      <c r="D7330" t="s">
        <v>196</v>
      </c>
      <c r="E7330">
        <v>4873868</v>
      </c>
      <c r="F7330" t="s">
        <v>8</v>
      </c>
      <c r="G7330" t="s">
        <v>203</v>
      </c>
      <c r="H7330" t="s">
        <v>235</v>
      </c>
      <c r="I7330" s="4">
        <v>125766.4408</v>
      </c>
      <c r="J7330" s="4">
        <v>125766.4408</v>
      </c>
      <c r="K7330" s="4">
        <v>-5842.2972</v>
      </c>
      <c r="L7330" s="4">
        <v>1</v>
      </c>
    </row>
    <row r="7331" spans="1:12">
      <c r="A7331" t="s">
        <v>264</v>
      </c>
      <c r="B7331" s="10">
        <v>45322</v>
      </c>
      <c r="C7331" s="18">
        <f t="shared" si="114"/>
        <v>1</v>
      </c>
      <c r="D7331" t="s">
        <v>196</v>
      </c>
      <c r="E7331">
        <v>4873868</v>
      </c>
      <c r="F7331" t="s">
        <v>8</v>
      </c>
      <c r="G7331" t="s">
        <v>203</v>
      </c>
      <c r="H7331" t="s">
        <v>233</v>
      </c>
      <c r="I7331" s="4">
        <v>120735.78316800001</v>
      </c>
      <c r="J7331" s="4">
        <v>120735.78316800001</v>
      </c>
      <c r="K7331" s="4">
        <v>-5842.2972</v>
      </c>
      <c r="L7331" s="4">
        <v>1</v>
      </c>
    </row>
    <row r="7332" spans="1:12">
      <c r="A7332" t="s">
        <v>264</v>
      </c>
      <c r="B7332" s="10">
        <v>45322</v>
      </c>
      <c r="C7332" s="18">
        <f t="shared" si="114"/>
        <v>1</v>
      </c>
      <c r="D7332" t="s">
        <v>196</v>
      </c>
      <c r="E7332">
        <v>4873868</v>
      </c>
      <c r="F7332" t="s">
        <v>8</v>
      </c>
      <c r="G7332" t="s">
        <v>203</v>
      </c>
      <c r="H7332" t="s">
        <v>231</v>
      </c>
      <c r="I7332" s="4">
        <v>125766.4408</v>
      </c>
      <c r="J7332" s="4">
        <v>125766.4408</v>
      </c>
      <c r="K7332" s="4">
        <v>-5842.2972</v>
      </c>
      <c r="L7332" s="4">
        <v>1</v>
      </c>
    </row>
    <row r="7333" spans="1:12">
      <c r="A7333" t="s">
        <v>264</v>
      </c>
      <c r="B7333" s="10">
        <v>45322</v>
      </c>
      <c r="C7333" s="18">
        <f t="shared" si="114"/>
        <v>1</v>
      </c>
      <c r="D7333" t="s">
        <v>196</v>
      </c>
      <c r="E7333">
        <v>4873868</v>
      </c>
      <c r="F7333" t="s">
        <v>8</v>
      </c>
      <c r="G7333" t="s">
        <v>203</v>
      </c>
      <c r="H7333" t="s">
        <v>229</v>
      </c>
      <c r="I7333" s="4">
        <v>125766.4408</v>
      </c>
      <c r="J7333" s="4">
        <v>125766.4408</v>
      </c>
      <c r="K7333" s="4">
        <v>-5842.2972</v>
      </c>
      <c r="L7333" s="4">
        <v>1</v>
      </c>
    </row>
    <row r="7334" spans="1:12">
      <c r="A7334" t="s">
        <v>264</v>
      </c>
      <c r="B7334" s="10">
        <v>45322</v>
      </c>
      <c r="C7334" s="18">
        <f t="shared" si="114"/>
        <v>1</v>
      </c>
      <c r="D7334" t="s">
        <v>196</v>
      </c>
      <c r="E7334">
        <v>4875440</v>
      </c>
      <c r="F7334" t="s">
        <v>8</v>
      </c>
      <c r="G7334" t="s">
        <v>202</v>
      </c>
      <c r="H7334" t="s">
        <v>259</v>
      </c>
      <c r="I7334" s="4">
        <v>30279.432800000002</v>
      </c>
      <c r="J7334" s="4">
        <v>605588.65600000008</v>
      </c>
      <c r="K7334" s="4">
        <v>-30153.791999999998</v>
      </c>
      <c r="L7334" s="4">
        <v>20</v>
      </c>
    </row>
    <row r="7335" spans="1:12">
      <c r="A7335" t="s">
        <v>264</v>
      </c>
      <c r="B7335" s="10">
        <v>45322</v>
      </c>
      <c r="C7335" s="18">
        <f t="shared" si="114"/>
        <v>1</v>
      </c>
      <c r="D7335" t="s">
        <v>196</v>
      </c>
      <c r="E7335">
        <v>4872141</v>
      </c>
      <c r="F7335" t="s">
        <v>8</v>
      </c>
      <c r="G7335" t="s">
        <v>203</v>
      </c>
      <c r="H7335" t="s">
        <v>239</v>
      </c>
      <c r="I7335" s="4">
        <v>125766.4408</v>
      </c>
      <c r="J7335" s="4">
        <v>-125766.4408</v>
      </c>
      <c r="K7335" s="4">
        <v>5842.2972</v>
      </c>
      <c r="L7335" s="4">
        <v>-1</v>
      </c>
    </row>
    <row r="7336" spans="1:12">
      <c r="A7336" t="s">
        <v>264</v>
      </c>
      <c r="B7336" s="10">
        <v>45322</v>
      </c>
      <c r="C7336" s="18">
        <f t="shared" si="114"/>
        <v>1</v>
      </c>
      <c r="D7336" t="s">
        <v>196</v>
      </c>
      <c r="E7336">
        <v>4872141</v>
      </c>
      <c r="F7336" t="s">
        <v>8</v>
      </c>
      <c r="G7336" t="s">
        <v>203</v>
      </c>
      <c r="H7336" t="s">
        <v>233</v>
      </c>
      <c r="I7336" s="4">
        <v>120735.78316800001</v>
      </c>
      <c r="J7336" s="4">
        <v>-120735.78316800001</v>
      </c>
      <c r="K7336" s="4">
        <v>5842.2972</v>
      </c>
      <c r="L7336" s="4">
        <v>-1</v>
      </c>
    </row>
    <row r="7337" spans="1:12">
      <c r="A7337" t="s">
        <v>264</v>
      </c>
      <c r="B7337" s="10">
        <v>45322</v>
      </c>
      <c r="C7337" s="18">
        <f t="shared" si="114"/>
        <v>1</v>
      </c>
      <c r="D7337" t="s">
        <v>196</v>
      </c>
      <c r="E7337">
        <v>4872141</v>
      </c>
      <c r="F7337" t="s">
        <v>8</v>
      </c>
      <c r="G7337" t="s">
        <v>203</v>
      </c>
      <c r="H7337" t="s">
        <v>229</v>
      </c>
      <c r="I7337" s="4">
        <v>125766.4408</v>
      </c>
      <c r="J7337" s="4">
        <v>-125766.4408</v>
      </c>
      <c r="K7337" s="4">
        <v>5842.2972</v>
      </c>
      <c r="L7337" s="4">
        <v>-1</v>
      </c>
    </row>
    <row r="7338" spans="1:12">
      <c r="A7338" t="s">
        <v>264</v>
      </c>
      <c r="B7338" s="10">
        <v>45322</v>
      </c>
      <c r="C7338" s="18">
        <f t="shared" si="114"/>
        <v>1</v>
      </c>
      <c r="D7338" t="s">
        <v>196</v>
      </c>
      <c r="E7338">
        <v>4872685</v>
      </c>
      <c r="F7338" t="s">
        <v>8</v>
      </c>
      <c r="G7338" t="s">
        <v>202</v>
      </c>
      <c r="H7338" t="s">
        <v>257</v>
      </c>
      <c r="I7338" s="4">
        <v>56664.000799999994</v>
      </c>
      <c r="J7338" s="4">
        <v>566640.00799999991</v>
      </c>
      <c r="K7338" s="4">
        <v>-28269.18</v>
      </c>
      <c r="L7338" s="4">
        <v>10</v>
      </c>
    </row>
    <row r="7339" spans="1:12">
      <c r="A7339" t="s">
        <v>264</v>
      </c>
      <c r="B7339" s="10">
        <v>45322</v>
      </c>
      <c r="C7339" s="18">
        <f t="shared" si="114"/>
        <v>1</v>
      </c>
      <c r="D7339" t="s">
        <v>196</v>
      </c>
      <c r="E7339">
        <v>4872200</v>
      </c>
      <c r="F7339" t="s">
        <v>8</v>
      </c>
      <c r="G7339" t="s">
        <v>203</v>
      </c>
      <c r="H7339" t="s">
        <v>243</v>
      </c>
      <c r="I7339" s="4">
        <v>100638.28079999999</v>
      </c>
      <c r="J7339" s="4">
        <v>1006382.808</v>
      </c>
      <c r="K7339" s="4">
        <v>-45230.688000000002</v>
      </c>
      <c r="L7339" s="4">
        <v>10</v>
      </c>
    </row>
    <row r="7340" spans="1:12">
      <c r="A7340" t="s">
        <v>264</v>
      </c>
      <c r="B7340" s="10">
        <v>45322</v>
      </c>
      <c r="C7340" s="18">
        <f t="shared" si="114"/>
        <v>1</v>
      </c>
      <c r="D7340" t="s">
        <v>196</v>
      </c>
      <c r="E7340">
        <v>4872200</v>
      </c>
      <c r="F7340" t="s">
        <v>8</v>
      </c>
      <c r="G7340" t="s">
        <v>203</v>
      </c>
      <c r="H7340" t="s">
        <v>242</v>
      </c>
      <c r="I7340" s="4">
        <v>100638.28079999999</v>
      </c>
      <c r="J7340" s="4">
        <v>1006382.808</v>
      </c>
      <c r="K7340" s="4">
        <v>-45230.688000000002</v>
      </c>
      <c r="L7340" s="4">
        <v>10</v>
      </c>
    </row>
    <row r="7341" spans="1:12">
      <c r="A7341" t="s">
        <v>264</v>
      </c>
      <c r="B7341" s="10">
        <v>45322</v>
      </c>
      <c r="C7341" s="18">
        <f t="shared" si="114"/>
        <v>1</v>
      </c>
      <c r="D7341" t="s">
        <v>196</v>
      </c>
      <c r="E7341">
        <v>4872200</v>
      </c>
      <c r="F7341" t="s">
        <v>8</v>
      </c>
      <c r="G7341" t="s">
        <v>203</v>
      </c>
      <c r="H7341" t="s">
        <v>240</v>
      </c>
      <c r="I7341" s="4">
        <v>100638.28079999999</v>
      </c>
      <c r="J7341" s="4">
        <v>1006382.808</v>
      </c>
      <c r="K7341" s="4">
        <v>-45230.688000000002</v>
      </c>
      <c r="L7341" s="4">
        <v>10</v>
      </c>
    </row>
    <row r="7342" spans="1:12">
      <c r="A7342" t="s">
        <v>264</v>
      </c>
      <c r="B7342" s="10">
        <v>45322</v>
      </c>
      <c r="C7342" s="18">
        <f t="shared" si="114"/>
        <v>1</v>
      </c>
      <c r="D7342" t="s">
        <v>196</v>
      </c>
      <c r="E7342">
        <v>4872200</v>
      </c>
      <c r="F7342" t="s">
        <v>8</v>
      </c>
      <c r="G7342" t="s">
        <v>203</v>
      </c>
      <c r="H7342" t="s">
        <v>234</v>
      </c>
      <c r="I7342" s="4">
        <v>100638.28079999999</v>
      </c>
      <c r="J7342" s="4">
        <v>1006382.808</v>
      </c>
      <c r="K7342" s="4">
        <v>-45230.688000000002</v>
      </c>
      <c r="L7342" s="4">
        <v>10</v>
      </c>
    </row>
    <row r="7343" spans="1:12">
      <c r="A7343" t="s">
        <v>264</v>
      </c>
      <c r="B7343" s="10">
        <v>45322</v>
      </c>
      <c r="C7343" s="18">
        <f t="shared" si="114"/>
        <v>1</v>
      </c>
      <c r="D7343" t="s">
        <v>196</v>
      </c>
      <c r="E7343">
        <v>4872200</v>
      </c>
      <c r="F7343" t="s">
        <v>8</v>
      </c>
      <c r="G7343" t="s">
        <v>203</v>
      </c>
      <c r="H7343" t="s">
        <v>230</v>
      </c>
      <c r="I7343" s="4">
        <v>100638.28079999999</v>
      </c>
      <c r="J7343" s="4">
        <v>1006382.808</v>
      </c>
      <c r="K7343" s="4">
        <v>-45230.688000000002</v>
      </c>
      <c r="L7343" s="4">
        <v>10</v>
      </c>
    </row>
    <row r="7344" spans="1:12">
      <c r="A7344" t="s">
        <v>264</v>
      </c>
      <c r="B7344" s="10">
        <v>45322</v>
      </c>
      <c r="C7344" s="18">
        <f t="shared" si="114"/>
        <v>1</v>
      </c>
      <c r="D7344" t="s">
        <v>196</v>
      </c>
      <c r="E7344">
        <v>4872200</v>
      </c>
      <c r="F7344" t="s">
        <v>8</v>
      </c>
      <c r="G7344" t="s">
        <v>203</v>
      </c>
      <c r="H7344" t="s">
        <v>227</v>
      </c>
      <c r="I7344" s="4">
        <v>100638.28079999999</v>
      </c>
      <c r="J7344" s="4">
        <v>1006382.808</v>
      </c>
      <c r="K7344" s="4">
        <v>-45230.688000000002</v>
      </c>
      <c r="L7344" s="4">
        <v>10</v>
      </c>
    </row>
  </sheetData>
  <autoFilter ref="A1:L7344" xr:uid="{00000000-0001-0000-0000-000000000000}">
    <sortState xmlns:xlrd2="http://schemas.microsoft.com/office/spreadsheetml/2017/richdata2" ref="A2:L7344">
      <sortCondition descending="1" ref="C1:C7344"/>
    </sortState>
  </autoFilter>
  <pageMargins left="0" right="0" top="0" bottom="0"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BEA78-90A9-4001-A5BA-54058ED3137A}">
  <dimension ref="A2:O534"/>
  <sheetViews>
    <sheetView topLeftCell="A4" zoomScale="89" workbookViewId="0">
      <selection activeCell="A4" sqref="A4:N534"/>
    </sheetView>
  </sheetViews>
  <sheetFormatPr defaultRowHeight="14.4"/>
  <cols>
    <col min="1" max="1" width="10.6640625" bestFit="1" customWidth="1"/>
    <col min="2" max="2" width="11.5546875" style="10" bestFit="1" customWidth="1"/>
    <col min="3" max="3" width="10.109375" style="19" bestFit="1" customWidth="1"/>
    <col min="4" max="4" width="15.88671875" bestFit="1" customWidth="1"/>
    <col min="5" max="5" width="12.44140625" style="4" bestFit="1" customWidth="1"/>
    <col min="6" max="6" width="10.109375" bestFit="1" customWidth="1"/>
    <col min="10" max="10" width="12.33203125" bestFit="1" customWidth="1"/>
    <col min="11" max="11" width="11.33203125" bestFit="1" customWidth="1"/>
    <col min="12" max="12" width="14" customWidth="1"/>
    <col min="13" max="13" width="11.77734375" bestFit="1" customWidth="1"/>
    <col min="14" max="14" width="12.109375" bestFit="1" customWidth="1"/>
    <col min="15" max="15" width="13.88671875" bestFit="1" customWidth="1"/>
  </cols>
  <sheetData>
    <row r="2" spans="1:15">
      <c r="C2" s="47" t="s">
        <v>313</v>
      </c>
      <c r="D2" s="48"/>
      <c r="E2" s="48"/>
      <c r="F2" s="49"/>
      <c r="G2" s="50" t="s">
        <v>314</v>
      </c>
      <c r="H2" s="51"/>
      <c r="I2" s="52"/>
      <c r="J2" s="34" t="s">
        <v>304</v>
      </c>
      <c r="K2" s="34" t="s">
        <v>305</v>
      </c>
      <c r="L2" s="34" t="s">
        <v>306</v>
      </c>
      <c r="M2" s="34" t="s">
        <v>307</v>
      </c>
      <c r="N2" s="35">
        <v>45566</v>
      </c>
      <c r="O2" s="45" t="s">
        <v>315</v>
      </c>
    </row>
    <row r="3" spans="1:15">
      <c r="C3" s="20"/>
      <c r="D3" s="36">
        <f>AVERAGE(D5:D534)</f>
        <v>13.854716981132075</v>
      </c>
      <c r="E3" s="37">
        <f>AVERAGE(E4:E534)</f>
        <v>11386797.491713949</v>
      </c>
      <c r="F3" s="23"/>
      <c r="G3" s="38"/>
      <c r="H3" s="38"/>
      <c r="I3" s="38"/>
      <c r="J3">
        <f>COUNTIF(J5:J534,"TOP")</f>
        <v>20</v>
      </c>
      <c r="K3">
        <f>COUNTIF(K5:K534,"Sodiq")</f>
        <v>83</v>
      </c>
      <c r="L3">
        <f>COUNTIF(L5:L534, "Yo'qotilgan")</f>
        <v>129</v>
      </c>
      <c r="M3">
        <f>COUNTIF(M5:M534,"Yo'qotishdagi")</f>
        <v>90</v>
      </c>
      <c r="N3" s="23">
        <f>COUNTIF(N5:N534,"Yangi")</f>
        <v>57</v>
      </c>
      <c r="O3" s="46">
        <f>SUM(J3:N3)</f>
        <v>379</v>
      </c>
    </row>
    <row r="4" spans="1:15" ht="43.2">
      <c r="A4" s="39" t="s">
        <v>299</v>
      </c>
      <c r="B4" s="40" t="s">
        <v>300</v>
      </c>
      <c r="C4" s="31" t="s">
        <v>301</v>
      </c>
      <c r="D4" s="32" t="s">
        <v>302</v>
      </c>
      <c r="E4" s="33" t="s">
        <v>303</v>
      </c>
      <c r="F4" s="31">
        <v>45662</v>
      </c>
      <c r="G4" s="32" t="s">
        <v>301</v>
      </c>
      <c r="H4" s="32" t="s">
        <v>302</v>
      </c>
      <c r="I4" s="32" t="s">
        <v>303</v>
      </c>
      <c r="J4" s="41" t="s">
        <v>308</v>
      </c>
      <c r="K4" s="42" t="s">
        <v>309</v>
      </c>
      <c r="L4" s="42" t="s">
        <v>310</v>
      </c>
      <c r="M4" s="42" t="s">
        <v>311</v>
      </c>
      <c r="N4" s="43" t="s">
        <v>312</v>
      </c>
    </row>
    <row r="5" spans="1:15">
      <c r="A5" s="29" cm="1">
        <f t="array" ref="A5:A534">_xlfn.UNIQUE(Data!E2:E7344)</f>
        <v>6137985</v>
      </c>
      <c r="B5" s="10">
        <f>_xlfn.XLOOKUP(A5,Data!E:E,Data!B:B,0,0,-1)</f>
        <v>45484</v>
      </c>
      <c r="C5" s="20">
        <f>_xlfn.XLOOKUP(A5,Data!E:E,Data!B:B)</f>
        <v>45631</v>
      </c>
      <c r="D5" s="21">
        <f>COUNTIF(Data!E:E,A5)</f>
        <v>12</v>
      </c>
      <c r="E5" s="22">
        <f>SUMIF(Data!E:E,'RFM mijozlar tahlili'!A5,Data!J:J)</f>
        <v>2304490.9895199998</v>
      </c>
      <c r="F5" s="29">
        <f>ROUND(($F$4-C5)/30,0)</f>
        <v>1</v>
      </c>
      <c r="G5">
        <f>IF(F5&lt;=1,5,IF(F5=2,4,IF(F5=3,3,IF(F5=4,2,IF(F5=5,1,IF(F5&gt;5,0,0))))))</f>
        <v>5</v>
      </c>
      <c r="H5">
        <f>IF(D5&gt;=$D$3,5,IF(D5&lt;3,0,IF(D5&lt;5,1,IF(D5&lt;7,2,IF(D5&lt;9,3,IF(D5&lt;=$D$3,4,0))))))</f>
        <v>4</v>
      </c>
      <c r="I5" s="23">
        <f>IF(E5&gt;=$E$3,5,IF(E5&lt;2000000,0,IF(E5&lt;=4000000,1,IF(E5&lt;=6000000,2,IF(E5&lt;=8000000,3,IF(E5&lt;=$E$3,4))))))</f>
        <v>1</v>
      </c>
      <c r="J5" t="str">
        <f>IF(AND(G5=5,H5=5,I5=5),"TOP"," ")</f>
        <v xml:space="preserve"> </v>
      </c>
      <c r="K5" t="str">
        <f>IF(AND(G5&gt;=4,H5&gt;=4), "Sodiq", " ")</f>
        <v>Sodiq</v>
      </c>
      <c r="L5" t="str">
        <f>IF(AND(G5&lt;=1,H5&lt;=1), "Yo'qotilgan", " ")</f>
        <v xml:space="preserve"> </v>
      </c>
      <c r="M5" t="str">
        <f>IF(AND(G5&lt;=3,I5&gt;=3), "Yo'qotishdagi", " ")</f>
        <v xml:space="preserve"> </v>
      </c>
      <c r="N5" s="23" t="str">
        <f>IF(AND((B5-$N$2)&gt;0, F5&lt;=2), "Yangi", " ")</f>
        <v xml:space="preserve"> </v>
      </c>
    </row>
    <row r="6" spans="1:15">
      <c r="A6" s="29">
        <v>6080604</v>
      </c>
      <c r="B6" s="10">
        <f>_xlfn.XLOOKUP(A6,Data!E:E,Data!B:B,0,0,-1)</f>
        <v>45401</v>
      </c>
      <c r="C6" s="20">
        <f>_xlfn.XLOOKUP(A6,Data!E:E,Data!B:B)</f>
        <v>45633</v>
      </c>
      <c r="D6" s="21">
        <f>COUNTIF(Data!E:E,A6)</f>
        <v>27</v>
      </c>
      <c r="E6" s="22">
        <f>SUMIF(Data!E:E,'RFM mijozlar tahlili'!A6,Data!J:J)</f>
        <v>14673965.954399999</v>
      </c>
      <c r="F6" s="29">
        <f t="shared" ref="F6:F69" si="0">ROUND(($F$4-C6)/30,0)</f>
        <v>1</v>
      </c>
      <c r="G6">
        <f t="shared" ref="G6:G69" si="1">IF(F6&lt;=1,5,IF(F6=2,4,IF(F6=3,3,IF(F6=4,2,IF(F6=5,1,IF(F6&gt;5,0,0))))))</f>
        <v>5</v>
      </c>
      <c r="H6">
        <f t="shared" ref="H6:H69" si="2">IF(D6&gt;=$D$3,5,IF(D6&lt;3,0,IF(D6&lt;5,1,IF(D6&lt;7,2,IF(D6&lt;9,3,IF(D6&lt;=$D$3,4,0))))))</f>
        <v>5</v>
      </c>
      <c r="I6" s="23">
        <f t="shared" ref="I6:I69" si="3">IF(E6&gt;=$E$3,5,IF(E6&lt;2000000,0,IF(E6&lt;=4000000,1,IF(E6&lt;=6000000,2,IF(E6&lt;=8000000,3,IF(E6&lt;=$E$3,4))))))</f>
        <v>5</v>
      </c>
      <c r="J6" t="str">
        <f t="shared" ref="J6:J69" si="4">IF(AND(G6=5,H6=5,I6=5),"TOP"," ")</f>
        <v>TOP</v>
      </c>
      <c r="K6" t="str">
        <f t="shared" ref="K6:K69" si="5">IF(AND(G6&gt;=4,H6&gt;=4), "Sodiq", " ")</f>
        <v>Sodiq</v>
      </c>
      <c r="L6" t="str">
        <f t="shared" ref="L6:L69" si="6">IF(AND(G6&lt;=1,H6&lt;=1), "Yo'qotilgan", " ")</f>
        <v xml:space="preserve"> </v>
      </c>
      <c r="M6" t="str">
        <f t="shared" ref="M6:M69" si="7">IF(AND(G6&lt;=3,I6&gt;=3), "Yo'qotishdagi", " ")</f>
        <v xml:space="preserve"> </v>
      </c>
      <c r="N6" s="23" t="str">
        <f t="shared" ref="N6:N69" si="8">IF(AND((B6-$N$2)&gt;0, F6&lt;=2), "Yangi", " ")</f>
        <v xml:space="preserve"> </v>
      </c>
    </row>
    <row r="7" spans="1:15">
      <c r="A7" s="29">
        <v>4876516</v>
      </c>
      <c r="B7" s="10">
        <f>_xlfn.XLOOKUP(A7,Data!E:E,Data!B:B,0,0,-1)</f>
        <v>45614</v>
      </c>
      <c r="C7" s="20">
        <f>_xlfn.XLOOKUP(A7,Data!E:E,Data!B:B)</f>
        <v>45656</v>
      </c>
      <c r="D7" s="21">
        <f>COUNTIF(Data!E:E,A7)</f>
        <v>2</v>
      </c>
      <c r="E7" s="22">
        <f>SUMIF(Data!E:E,'RFM mijozlar tahlili'!A7,Data!J:J)</f>
        <v>265730.29200000002</v>
      </c>
      <c r="F7" s="29">
        <f t="shared" si="0"/>
        <v>0</v>
      </c>
      <c r="G7">
        <f t="shared" si="1"/>
        <v>5</v>
      </c>
      <c r="H7">
        <f t="shared" si="2"/>
        <v>0</v>
      </c>
      <c r="I7" s="23">
        <f t="shared" si="3"/>
        <v>0</v>
      </c>
      <c r="J7" t="str">
        <f t="shared" si="4"/>
        <v xml:space="preserve"> </v>
      </c>
      <c r="K7" t="str">
        <f t="shared" si="5"/>
        <v xml:space="preserve"> </v>
      </c>
      <c r="L7" t="str">
        <f t="shared" si="6"/>
        <v xml:space="preserve"> </v>
      </c>
      <c r="M7" t="str">
        <f t="shared" si="7"/>
        <v xml:space="preserve"> </v>
      </c>
      <c r="N7" s="23" t="str">
        <f t="shared" si="8"/>
        <v>Yangi</v>
      </c>
    </row>
    <row r="8" spans="1:15">
      <c r="A8" s="29">
        <v>4874448</v>
      </c>
      <c r="B8" s="10">
        <f>_xlfn.XLOOKUP(A8,Data!E:E,Data!B:B,0,0,-1)</f>
        <v>45525</v>
      </c>
      <c r="C8" s="20">
        <f>_xlfn.XLOOKUP(A8,Data!E:E,Data!B:B)</f>
        <v>45630</v>
      </c>
      <c r="D8" s="21">
        <f>COUNTIF(Data!E:E,A8)</f>
        <v>3</v>
      </c>
      <c r="E8" s="22">
        <f>SUMIF(Data!E:E,'RFM mijozlar tahlili'!A8,Data!J:J)</f>
        <v>3781788.08</v>
      </c>
      <c r="F8" s="29">
        <f t="shared" si="0"/>
        <v>1</v>
      </c>
      <c r="G8">
        <f t="shared" si="1"/>
        <v>5</v>
      </c>
      <c r="H8">
        <f t="shared" si="2"/>
        <v>1</v>
      </c>
      <c r="I8" s="23">
        <f t="shared" si="3"/>
        <v>1</v>
      </c>
      <c r="J8" t="str">
        <f t="shared" si="4"/>
        <v xml:space="preserve"> </v>
      </c>
      <c r="K8" t="str">
        <f t="shared" si="5"/>
        <v xml:space="preserve"> </v>
      </c>
      <c r="L8" t="str">
        <f t="shared" si="6"/>
        <v xml:space="preserve"> </v>
      </c>
      <c r="M8" t="str">
        <f t="shared" si="7"/>
        <v xml:space="preserve"> </v>
      </c>
      <c r="N8" s="23" t="str">
        <f t="shared" si="8"/>
        <v xml:space="preserve"> </v>
      </c>
    </row>
    <row r="9" spans="1:15">
      <c r="A9" s="29">
        <v>4876180</v>
      </c>
      <c r="B9" s="10">
        <f>_xlfn.XLOOKUP(A9,Data!E:E,Data!B:B,0,0,-1)</f>
        <v>45631</v>
      </c>
      <c r="C9" s="20">
        <f>_xlfn.XLOOKUP(A9,Data!E:E,Data!B:B)</f>
        <v>45631</v>
      </c>
      <c r="D9" s="21">
        <f>COUNTIF(Data!E:E,A9)</f>
        <v>2</v>
      </c>
      <c r="E9" s="22">
        <f>SUMIF(Data!E:E,'RFM mijozlar tahlili'!A9,Data!J:J)</f>
        <v>805106.24639999995</v>
      </c>
      <c r="F9" s="29">
        <f t="shared" si="0"/>
        <v>1</v>
      </c>
      <c r="G9">
        <f t="shared" si="1"/>
        <v>5</v>
      </c>
      <c r="H9">
        <f t="shared" si="2"/>
        <v>0</v>
      </c>
      <c r="I9" s="23">
        <f t="shared" si="3"/>
        <v>0</v>
      </c>
      <c r="J9" t="str">
        <f t="shared" si="4"/>
        <v xml:space="preserve"> </v>
      </c>
      <c r="K9" t="str">
        <f t="shared" si="5"/>
        <v xml:space="preserve"> </v>
      </c>
      <c r="L9" t="str">
        <f t="shared" si="6"/>
        <v xml:space="preserve"> </v>
      </c>
      <c r="M9" t="str">
        <f t="shared" si="7"/>
        <v xml:space="preserve"> </v>
      </c>
      <c r="N9" s="23" t="str">
        <f t="shared" si="8"/>
        <v>Yangi</v>
      </c>
    </row>
    <row r="10" spans="1:15">
      <c r="A10" s="29">
        <v>4876600</v>
      </c>
      <c r="B10" s="10">
        <f>_xlfn.XLOOKUP(A10,Data!E:E,Data!B:B,0,0,-1)</f>
        <v>45503</v>
      </c>
      <c r="C10" s="20">
        <f>_xlfn.XLOOKUP(A10,Data!E:E,Data!B:B)</f>
        <v>45636</v>
      </c>
      <c r="D10" s="21">
        <f>COUNTIF(Data!E:E,A10)</f>
        <v>42</v>
      </c>
      <c r="E10" s="22">
        <f>SUMIF(Data!E:E,'RFM mijozlar tahlili'!A10,Data!J:J)</f>
        <v>44252448.731200002</v>
      </c>
      <c r="F10" s="29">
        <f t="shared" si="0"/>
        <v>1</v>
      </c>
      <c r="G10">
        <f t="shared" si="1"/>
        <v>5</v>
      </c>
      <c r="H10">
        <f t="shared" si="2"/>
        <v>5</v>
      </c>
      <c r="I10" s="23">
        <f t="shared" si="3"/>
        <v>5</v>
      </c>
      <c r="J10" t="str">
        <f t="shared" si="4"/>
        <v>TOP</v>
      </c>
      <c r="K10" t="str">
        <f t="shared" si="5"/>
        <v>Sodiq</v>
      </c>
      <c r="L10" t="str">
        <f t="shared" si="6"/>
        <v xml:space="preserve"> </v>
      </c>
      <c r="M10" t="str">
        <f t="shared" si="7"/>
        <v xml:space="preserve"> </v>
      </c>
      <c r="N10" s="23" t="str">
        <f t="shared" si="8"/>
        <v xml:space="preserve"> </v>
      </c>
    </row>
    <row r="11" spans="1:15">
      <c r="A11" s="29">
        <v>4878657</v>
      </c>
      <c r="B11" s="10">
        <f>_xlfn.XLOOKUP(A11,Data!E:E,Data!B:B,0,0,-1)</f>
        <v>45595</v>
      </c>
      <c r="C11" s="20">
        <f>_xlfn.XLOOKUP(A11,Data!E:E,Data!B:B)</f>
        <v>45644</v>
      </c>
      <c r="D11" s="21">
        <f>COUNTIF(Data!E:E,A11)</f>
        <v>8</v>
      </c>
      <c r="E11" s="22">
        <f>SUMIF(Data!E:E,'RFM mijozlar tahlili'!A11,Data!J:J)</f>
        <v>4790382.1660799999</v>
      </c>
      <c r="F11" s="29">
        <f t="shared" si="0"/>
        <v>1</v>
      </c>
      <c r="G11">
        <f t="shared" si="1"/>
        <v>5</v>
      </c>
      <c r="H11">
        <f t="shared" si="2"/>
        <v>3</v>
      </c>
      <c r="I11" s="23">
        <f t="shared" si="3"/>
        <v>2</v>
      </c>
      <c r="J11" t="str">
        <f t="shared" si="4"/>
        <v xml:space="preserve"> </v>
      </c>
      <c r="K11" t="str">
        <f t="shared" si="5"/>
        <v xml:space="preserve"> </v>
      </c>
      <c r="L11" t="str">
        <f t="shared" si="6"/>
        <v xml:space="preserve"> </v>
      </c>
      <c r="M11" t="str">
        <f t="shared" si="7"/>
        <v xml:space="preserve"> </v>
      </c>
      <c r="N11" s="23" t="str">
        <f t="shared" si="8"/>
        <v>Yangi</v>
      </c>
    </row>
    <row r="12" spans="1:15">
      <c r="A12" s="29">
        <v>4876098</v>
      </c>
      <c r="B12" s="10">
        <f>_xlfn.XLOOKUP(A12,Data!E:E,Data!B:B,0,0,-1)</f>
        <v>45313</v>
      </c>
      <c r="C12" s="20">
        <f>_xlfn.XLOOKUP(A12,Data!E:E,Data!B:B)</f>
        <v>45645</v>
      </c>
      <c r="D12" s="21">
        <f>COUNTIF(Data!E:E,A12)</f>
        <v>47</v>
      </c>
      <c r="E12" s="22">
        <f>SUMIF(Data!E:E,'RFM mijozlar tahlili'!A12,Data!J:J)</f>
        <v>85212857.220799997</v>
      </c>
      <c r="F12" s="29">
        <f t="shared" si="0"/>
        <v>1</v>
      </c>
      <c r="G12">
        <f t="shared" si="1"/>
        <v>5</v>
      </c>
      <c r="H12">
        <f t="shared" si="2"/>
        <v>5</v>
      </c>
      <c r="I12" s="23">
        <f t="shared" si="3"/>
        <v>5</v>
      </c>
      <c r="J12" t="str">
        <f t="shared" si="4"/>
        <v>TOP</v>
      </c>
      <c r="K12" t="str">
        <f t="shared" si="5"/>
        <v>Sodiq</v>
      </c>
      <c r="L12" t="str">
        <f t="shared" si="6"/>
        <v xml:space="preserve"> </v>
      </c>
      <c r="M12" t="str">
        <f t="shared" si="7"/>
        <v xml:space="preserve"> </v>
      </c>
      <c r="N12" s="23" t="str">
        <f t="shared" si="8"/>
        <v xml:space="preserve"> </v>
      </c>
    </row>
    <row r="13" spans="1:15">
      <c r="A13" s="29">
        <v>4878586</v>
      </c>
      <c r="B13" s="10">
        <f>_xlfn.XLOOKUP(A13,Data!E:E,Data!B:B,0,0,-1)</f>
        <v>45377</v>
      </c>
      <c r="C13" s="20">
        <f>_xlfn.XLOOKUP(A13,Data!E:E,Data!B:B)</f>
        <v>45651</v>
      </c>
      <c r="D13" s="21">
        <f>COUNTIF(Data!E:E,A13)</f>
        <v>8</v>
      </c>
      <c r="E13" s="22">
        <f>SUMIF(Data!E:E,'RFM mijozlar tahlili'!A13,Data!J:J)</f>
        <v>1232787.5296</v>
      </c>
      <c r="F13" s="29">
        <f t="shared" si="0"/>
        <v>0</v>
      </c>
      <c r="G13">
        <f t="shared" si="1"/>
        <v>5</v>
      </c>
      <c r="H13">
        <f t="shared" si="2"/>
        <v>3</v>
      </c>
      <c r="I13" s="23">
        <f t="shared" si="3"/>
        <v>0</v>
      </c>
      <c r="J13" t="str">
        <f t="shared" si="4"/>
        <v xml:space="preserve"> </v>
      </c>
      <c r="K13" t="str">
        <f t="shared" si="5"/>
        <v xml:space="preserve"> </v>
      </c>
      <c r="L13" t="str">
        <f t="shared" si="6"/>
        <v xml:space="preserve"> </v>
      </c>
      <c r="M13" t="str">
        <f t="shared" si="7"/>
        <v xml:space="preserve"> </v>
      </c>
      <c r="N13" s="23" t="str">
        <f t="shared" si="8"/>
        <v xml:space="preserve"> </v>
      </c>
    </row>
    <row r="14" spans="1:15">
      <c r="A14" s="29">
        <v>7787121</v>
      </c>
      <c r="B14" s="10">
        <f>_xlfn.XLOOKUP(A14,Data!E:E,Data!B:B,0,0,-1)</f>
        <v>45588</v>
      </c>
      <c r="C14" s="20">
        <f>_xlfn.XLOOKUP(A14,Data!E:E,Data!B:B)</f>
        <v>45627</v>
      </c>
      <c r="D14" s="21">
        <f>COUNTIF(Data!E:E,A14)</f>
        <v>17</v>
      </c>
      <c r="E14" s="22">
        <f>SUMIF(Data!E:E,'RFM mijozlar tahlili'!A14,Data!J:J)</f>
        <v>5247626.7295200005</v>
      </c>
      <c r="F14" s="29">
        <f t="shared" si="0"/>
        <v>1</v>
      </c>
      <c r="G14">
        <f t="shared" si="1"/>
        <v>5</v>
      </c>
      <c r="H14">
        <f t="shared" si="2"/>
        <v>5</v>
      </c>
      <c r="I14" s="23">
        <f t="shared" si="3"/>
        <v>2</v>
      </c>
      <c r="J14" t="str">
        <f t="shared" si="4"/>
        <v xml:space="preserve"> </v>
      </c>
      <c r="K14" t="str">
        <f t="shared" si="5"/>
        <v>Sodiq</v>
      </c>
      <c r="L14" t="str">
        <f t="shared" si="6"/>
        <v xml:space="preserve"> </v>
      </c>
      <c r="M14" t="str">
        <f t="shared" si="7"/>
        <v xml:space="preserve"> </v>
      </c>
      <c r="N14" s="23" t="str">
        <f t="shared" si="8"/>
        <v>Yangi</v>
      </c>
    </row>
    <row r="15" spans="1:15">
      <c r="A15" s="29">
        <v>7503974</v>
      </c>
      <c r="B15" s="10">
        <f>_xlfn.XLOOKUP(A15,Data!E:E,Data!B:B,0,0,-1)</f>
        <v>45620</v>
      </c>
      <c r="C15" s="20">
        <f>_xlfn.XLOOKUP(A15,Data!E:E,Data!B:B)</f>
        <v>45627</v>
      </c>
      <c r="D15" s="21">
        <f>COUNTIF(Data!E:E,A15)</f>
        <v>7</v>
      </c>
      <c r="E15" s="22">
        <f>SUMIF(Data!E:E,'RFM mijozlar tahlili'!A15,Data!J:J)</f>
        <v>-251532.88159999999</v>
      </c>
      <c r="F15" s="29">
        <f t="shared" si="0"/>
        <v>1</v>
      </c>
      <c r="G15">
        <f t="shared" si="1"/>
        <v>5</v>
      </c>
      <c r="H15">
        <f t="shared" si="2"/>
        <v>3</v>
      </c>
      <c r="I15" s="23">
        <f t="shared" si="3"/>
        <v>0</v>
      </c>
      <c r="J15" t="str">
        <f t="shared" si="4"/>
        <v xml:space="preserve"> </v>
      </c>
      <c r="K15" t="str">
        <f t="shared" si="5"/>
        <v xml:space="preserve"> </v>
      </c>
      <c r="L15" t="str">
        <f t="shared" si="6"/>
        <v xml:space="preserve"> </v>
      </c>
      <c r="M15" t="str">
        <f t="shared" si="7"/>
        <v xml:space="preserve"> </v>
      </c>
      <c r="N15" s="23" t="str">
        <f t="shared" si="8"/>
        <v>Yangi</v>
      </c>
    </row>
    <row r="16" spans="1:15">
      <c r="A16" s="29">
        <v>7242425</v>
      </c>
      <c r="B16" s="10">
        <f>_xlfn.XLOOKUP(A16,Data!E:E,Data!B:B,0,0,-1)</f>
        <v>45631</v>
      </c>
      <c r="C16" s="20">
        <f>_xlfn.XLOOKUP(A16,Data!E:E,Data!B:B)</f>
        <v>45631</v>
      </c>
      <c r="D16" s="21">
        <f>COUNTIF(Data!E:E,A16)</f>
        <v>6</v>
      </c>
      <c r="E16" s="22">
        <f>SUMIF(Data!E:E,'RFM mijozlar tahlili'!A16,Data!J:J)</f>
        <v>2012765.6159999999</v>
      </c>
      <c r="F16" s="29">
        <f t="shared" si="0"/>
        <v>1</v>
      </c>
      <c r="G16">
        <f t="shared" si="1"/>
        <v>5</v>
      </c>
      <c r="H16">
        <f t="shared" si="2"/>
        <v>2</v>
      </c>
      <c r="I16" s="23">
        <f t="shared" si="3"/>
        <v>1</v>
      </c>
      <c r="J16" t="str">
        <f t="shared" si="4"/>
        <v xml:space="preserve"> </v>
      </c>
      <c r="K16" t="str">
        <f t="shared" si="5"/>
        <v xml:space="preserve"> </v>
      </c>
      <c r="L16" t="str">
        <f t="shared" si="6"/>
        <v xml:space="preserve"> </v>
      </c>
      <c r="M16" t="str">
        <f t="shared" si="7"/>
        <v xml:space="preserve"> </v>
      </c>
      <c r="N16" s="23" t="str">
        <f t="shared" si="8"/>
        <v>Yangi</v>
      </c>
    </row>
    <row r="17" spans="1:14">
      <c r="A17" s="29">
        <v>7241129</v>
      </c>
      <c r="B17" s="10">
        <f>_xlfn.XLOOKUP(A17,Data!E:E,Data!B:B,0,0,-1)</f>
        <v>45595</v>
      </c>
      <c r="C17" s="20">
        <f>_xlfn.XLOOKUP(A17,Data!E:E,Data!B:B)</f>
        <v>45635</v>
      </c>
      <c r="D17" s="21">
        <f>COUNTIF(Data!E:E,A17)</f>
        <v>6</v>
      </c>
      <c r="E17" s="22">
        <f>SUMIF(Data!E:E,'RFM mijozlar tahlili'!A17,Data!J:J)</f>
        <v>23067650.880000003</v>
      </c>
      <c r="F17" s="29">
        <f t="shared" si="0"/>
        <v>1</v>
      </c>
      <c r="G17">
        <f t="shared" si="1"/>
        <v>5</v>
      </c>
      <c r="H17">
        <f t="shared" si="2"/>
        <v>2</v>
      </c>
      <c r="I17" s="23">
        <f t="shared" si="3"/>
        <v>5</v>
      </c>
      <c r="J17" t="str">
        <f t="shared" si="4"/>
        <v xml:space="preserve"> </v>
      </c>
      <c r="K17" t="str">
        <f t="shared" si="5"/>
        <v xml:space="preserve"> </v>
      </c>
      <c r="L17" t="str">
        <f t="shared" si="6"/>
        <v xml:space="preserve"> </v>
      </c>
      <c r="M17" t="str">
        <f t="shared" si="7"/>
        <v xml:space="preserve"> </v>
      </c>
      <c r="N17" s="23" t="str">
        <f t="shared" si="8"/>
        <v>Yangi</v>
      </c>
    </row>
    <row r="18" spans="1:14">
      <c r="A18" s="29">
        <v>8510405</v>
      </c>
      <c r="B18" s="10">
        <f>_xlfn.XLOOKUP(A18,Data!E:E,Data!B:B,0,0,-1)</f>
        <v>45635</v>
      </c>
      <c r="C18" s="20">
        <f>_xlfn.XLOOKUP(A18,Data!E:E,Data!B:B)</f>
        <v>45635</v>
      </c>
      <c r="D18" s="21">
        <f>COUNTIF(Data!E:E,A18)</f>
        <v>1</v>
      </c>
      <c r="E18" s="22">
        <f>SUMIF(Data!E:E,'RFM mijozlar tahlili'!A18,Data!J:J)</f>
        <v>201276.56159999999</v>
      </c>
      <c r="F18" s="29">
        <f t="shared" si="0"/>
        <v>1</v>
      </c>
      <c r="G18">
        <f t="shared" si="1"/>
        <v>5</v>
      </c>
      <c r="H18">
        <f t="shared" si="2"/>
        <v>0</v>
      </c>
      <c r="I18" s="23">
        <f t="shared" si="3"/>
        <v>0</v>
      </c>
      <c r="J18" t="str">
        <f t="shared" si="4"/>
        <v xml:space="preserve"> </v>
      </c>
      <c r="K18" t="str">
        <f t="shared" si="5"/>
        <v xml:space="preserve"> </v>
      </c>
      <c r="L18" t="str">
        <f t="shared" si="6"/>
        <v xml:space="preserve"> </v>
      </c>
      <c r="M18" t="str">
        <f t="shared" si="7"/>
        <v xml:space="preserve"> </v>
      </c>
      <c r="N18" s="23" t="str">
        <f t="shared" si="8"/>
        <v>Yangi</v>
      </c>
    </row>
    <row r="19" spans="1:14">
      <c r="A19" s="29">
        <v>7907092</v>
      </c>
      <c r="B19" s="10">
        <f>_xlfn.XLOOKUP(A19,Data!E:E,Data!B:B,0,0,-1)</f>
        <v>45584</v>
      </c>
      <c r="C19" s="20">
        <f>_xlfn.XLOOKUP(A19,Data!E:E,Data!B:B)</f>
        <v>45643</v>
      </c>
      <c r="D19" s="21">
        <f>COUNTIF(Data!E:E,A19)</f>
        <v>13</v>
      </c>
      <c r="E19" s="22">
        <f>SUMIF(Data!E:E,'RFM mijozlar tahlili'!A19,Data!J:J)</f>
        <v>14445023.288639998</v>
      </c>
      <c r="F19" s="29">
        <f t="shared" si="0"/>
        <v>1</v>
      </c>
      <c r="G19">
        <f t="shared" si="1"/>
        <v>5</v>
      </c>
      <c r="H19">
        <f t="shared" si="2"/>
        <v>4</v>
      </c>
      <c r="I19" s="23">
        <f t="shared" si="3"/>
        <v>5</v>
      </c>
      <c r="J19" t="str">
        <f t="shared" si="4"/>
        <v xml:space="preserve"> </v>
      </c>
      <c r="K19" t="str">
        <f t="shared" si="5"/>
        <v>Sodiq</v>
      </c>
      <c r="L19" t="str">
        <f t="shared" si="6"/>
        <v xml:space="preserve"> </v>
      </c>
      <c r="M19" t="str">
        <f t="shared" si="7"/>
        <v xml:space="preserve"> </v>
      </c>
      <c r="N19" s="23" t="str">
        <f t="shared" si="8"/>
        <v>Yangi</v>
      </c>
    </row>
    <row r="20" spans="1:14">
      <c r="A20" s="29">
        <v>6080443</v>
      </c>
      <c r="B20" s="10">
        <f>_xlfn.XLOOKUP(A20,Data!E:E,Data!B:B,0,0,-1)</f>
        <v>45525</v>
      </c>
      <c r="C20" s="20">
        <f>_xlfn.XLOOKUP(A20,Data!E:E,Data!B:B)</f>
        <v>45627</v>
      </c>
      <c r="D20" s="21">
        <f>COUNTIF(Data!E:E,A20)</f>
        <v>7</v>
      </c>
      <c r="E20" s="22">
        <f>SUMIF(Data!E:E,'RFM mijozlar tahlili'!A20,Data!J:J)</f>
        <v>16642757.290399998</v>
      </c>
      <c r="F20" s="29">
        <f t="shared" si="0"/>
        <v>1</v>
      </c>
      <c r="G20">
        <f t="shared" si="1"/>
        <v>5</v>
      </c>
      <c r="H20">
        <f t="shared" si="2"/>
        <v>3</v>
      </c>
      <c r="I20" s="23">
        <f t="shared" si="3"/>
        <v>5</v>
      </c>
      <c r="J20" t="str">
        <f t="shared" si="4"/>
        <v xml:space="preserve"> </v>
      </c>
      <c r="K20" t="str">
        <f t="shared" si="5"/>
        <v xml:space="preserve"> </v>
      </c>
      <c r="L20" t="str">
        <f t="shared" si="6"/>
        <v xml:space="preserve"> </v>
      </c>
      <c r="M20" t="str">
        <f t="shared" si="7"/>
        <v xml:space="preserve"> </v>
      </c>
      <c r="N20" s="23" t="str">
        <f t="shared" si="8"/>
        <v xml:space="preserve"> </v>
      </c>
    </row>
    <row r="21" spans="1:14">
      <c r="A21" s="29">
        <v>6607386</v>
      </c>
      <c r="B21" s="10">
        <f>_xlfn.XLOOKUP(A21,Data!E:E,Data!B:B,0,0,-1)</f>
        <v>45622</v>
      </c>
      <c r="C21" s="20">
        <f>_xlfn.XLOOKUP(A21,Data!E:E,Data!B:B)</f>
        <v>45630</v>
      </c>
      <c r="D21" s="21">
        <f>COUNTIF(Data!E:E,A21)</f>
        <v>14</v>
      </c>
      <c r="E21" s="22">
        <f>SUMIF(Data!E:E,'RFM mijozlar tahlili'!A21,Data!J:J)</f>
        <v>3733121.1161199994</v>
      </c>
      <c r="F21" s="29">
        <f t="shared" si="0"/>
        <v>1</v>
      </c>
      <c r="G21">
        <f t="shared" si="1"/>
        <v>5</v>
      </c>
      <c r="H21">
        <f t="shared" si="2"/>
        <v>5</v>
      </c>
      <c r="I21" s="23">
        <f t="shared" si="3"/>
        <v>1</v>
      </c>
      <c r="J21" t="str">
        <f t="shared" si="4"/>
        <v xml:space="preserve"> </v>
      </c>
      <c r="K21" t="str">
        <f t="shared" si="5"/>
        <v>Sodiq</v>
      </c>
      <c r="L21" t="str">
        <f t="shared" si="6"/>
        <v xml:space="preserve"> </v>
      </c>
      <c r="M21" t="str">
        <f t="shared" si="7"/>
        <v xml:space="preserve"> </v>
      </c>
      <c r="N21" s="23" t="str">
        <f t="shared" si="8"/>
        <v>Yangi</v>
      </c>
    </row>
    <row r="22" spans="1:14">
      <c r="A22" s="29">
        <v>6536135</v>
      </c>
      <c r="B22" s="10">
        <f>_xlfn.XLOOKUP(A22,Data!E:E,Data!B:B,0,0,-1)</f>
        <v>45495</v>
      </c>
      <c r="C22" s="20">
        <f>_xlfn.XLOOKUP(A22,Data!E:E,Data!B:B)</f>
        <v>45630</v>
      </c>
      <c r="D22" s="21">
        <f>COUNTIF(Data!E:E,A22)</f>
        <v>19</v>
      </c>
      <c r="E22" s="22">
        <f>SUMIF(Data!E:E,'RFM mijozlar tahlili'!A22,Data!J:J)</f>
        <v>6817018.5263999999</v>
      </c>
      <c r="F22" s="29">
        <f t="shared" si="0"/>
        <v>1</v>
      </c>
      <c r="G22">
        <f t="shared" si="1"/>
        <v>5</v>
      </c>
      <c r="H22">
        <f t="shared" si="2"/>
        <v>5</v>
      </c>
      <c r="I22" s="23">
        <f t="shared" si="3"/>
        <v>3</v>
      </c>
      <c r="J22" t="str">
        <f t="shared" si="4"/>
        <v xml:space="preserve"> </v>
      </c>
      <c r="K22" t="str">
        <f t="shared" si="5"/>
        <v>Sodiq</v>
      </c>
      <c r="L22" t="str">
        <f t="shared" si="6"/>
        <v xml:space="preserve"> </v>
      </c>
      <c r="M22" t="str">
        <f t="shared" si="7"/>
        <v xml:space="preserve"> </v>
      </c>
      <c r="N22" s="23" t="str">
        <f t="shared" si="8"/>
        <v xml:space="preserve"> </v>
      </c>
    </row>
    <row r="23" spans="1:14">
      <c r="A23" s="29">
        <v>8479065</v>
      </c>
      <c r="B23" s="10">
        <f>_xlfn.XLOOKUP(A23,Data!E:E,Data!B:B,0,0,-1)</f>
        <v>45655</v>
      </c>
      <c r="C23" s="20">
        <f>_xlfn.XLOOKUP(A23,Data!E:E,Data!B:B)</f>
        <v>45636</v>
      </c>
      <c r="D23" s="21">
        <f>COUNTIF(Data!E:E,A23)</f>
        <v>16</v>
      </c>
      <c r="E23" s="22">
        <f>SUMIF(Data!E:E,'RFM mijozlar tahlili'!A23,Data!J:J)</f>
        <v>5922033.8773119999</v>
      </c>
      <c r="F23" s="29">
        <f t="shared" si="0"/>
        <v>1</v>
      </c>
      <c r="G23">
        <f t="shared" si="1"/>
        <v>5</v>
      </c>
      <c r="H23">
        <f t="shared" si="2"/>
        <v>5</v>
      </c>
      <c r="I23" s="23">
        <f t="shared" si="3"/>
        <v>2</v>
      </c>
      <c r="J23" t="str">
        <f t="shared" si="4"/>
        <v xml:space="preserve"> </v>
      </c>
      <c r="K23" t="str">
        <f t="shared" si="5"/>
        <v>Sodiq</v>
      </c>
      <c r="L23" t="str">
        <f t="shared" si="6"/>
        <v xml:space="preserve"> </v>
      </c>
      <c r="M23" t="str">
        <f t="shared" si="7"/>
        <v xml:space="preserve"> </v>
      </c>
      <c r="N23" s="23" t="str">
        <f t="shared" si="8"/>
        <v>Yangi</v>
      </c>
    </row>
    <row r="24" spans="1:14">
      <c r="A24" s="29">
        <v>6682776</v>
      </c>
      <c r="B24" s="10">
        <f>_xlfn.XLOOKUP(A24,Data!E:E,Data!B:B,0,0,-1)</f>
        <v>45526</v>
      </c>
      <c r="C24" s="20">
        <f>_xlfn.XLOOKUP(A24,Data!E:E,Data!B:B)</f>
        <v>45636</v>
      </c>
      <c r="D24" s="21">
        <f>COUNTIF(Data!E:E,A24)</f>
        <v>14</v>
      </c>
      <c r="E24" s="22">
        <f>SUMIF(Data!E:E,'RFM mijozlar tahlili'!A24,Data!J:J)</f>
        <v>11220263.69544</v>
      </c>
      <c r="F24" s="29">
        <f t="shared" si="0"/>
        <v>1</v>
      </c>
      <c r="G24">
        <f t="shared" si="1"/>
        <v>5</v>
      </c>
      <c r="H24">
        <f t="shared" si="2"/>
        <v>5</v>
      </c>
      <c r="I24" s="23">
        <f t="shared" si="3"/>
        <v>4</v>
      </c>
      <c r="J24" t="str">
        <f t="shared" si="4"/>
        <v xml:space="preserve"> </v>
      </c>
      <c r="K24" t="str">
        <f t="shared" si="5"/>
        <v>Sodiq</v>
      </c>
      <c r="L24" t="str">
        <f t="shared" si="6"/>
        <v xml:space="preserve"> </v>
      </c>
      <c r="M24" t="str">
        <f t="shared" si="7"/>
        <v xml:space="preserve"> </v>
      </c>
      <c r="N24" s="23" t="str">
        <f t="shared" si="8"/>
        <v xml:space="preserve"> </v>
      </c>
    </row>
    <row r="25" spans="1:14">
      <c r="A25" s="29">
        <v>6754589</v>
      </c>
      <c r="B25" s="10">
        <f>_xlfn.XLOOKUP(A25,Data!E:E,Data!B:B,0,0,-1)</f>
        <v>45571</v>
      </c>
      <c r="C25" s="20">
        <f>_xlfn.XLOOKUP(A25,Data!E:E,Data!B:B)</f>
        <v>45640</v>
      </c>
      <c r="D25" s="21">
        <f>COUNTIF(Data!E:E,A25)</f>
        <v>11</v>
      </c>
      <c r="E25" s="22">
        <f>SUMIF(Data!E:E,'RFM mijozlar tahlili'!A25,Data!J:J)</f>
        <v>-345438.07192800002</v>
      </c>
      <c r="F25" s="29">
        <f t="shared" si="0"/>
        <v>1</v>
      </c>
      <c r="G25">
        <f t="shared" si="1"/>
        <v>5</v>
      </c>
      <c r="H25">
        <f t="shared" si="2"/>
        <v>4</v>
      </c>
      <c r="I25" s="23">
        <f t="shared" si="3"/>
        <v>0</v>
      </c>
      <c r="J25" t="str">
        <f t="shared" si="4"/>
        <v xml:space="preserve"> </v>
      </c>
      <c r="K25" t="str">
        <f t="shared" si="5"/>
        <v>Sodiq</v>
      </c>
      <c r="L25" t="str">
        <f t="shared" si="6"/>
        <v xml:space="preserve"> </v>
      </c>
      <c r="M25" t="str">
        <f t="shared" si="7"/>
        <v xml:space="preserve"> </v>
      </c>
      <c r="N25" s="23" t="str">
        <f t="shared" si="8"/>
        <v>Yangi</v>
      </c>
    </row>
    <row r="26" spans="1:14">
      <c r="A26" s="29">
        <v>6499774</v>
      </c>
      <c r="B26" s="10">
        <f>_xlfn.XLOOKUP(A26,Data!E:E,Data!B:B,0,0,-1)</f>
        <v>45520</v>
      </c>
      <c r="C26" s="20">
        <f>_xlfn.XLOOKUP(A26,Data!E:E,Data!B:B)</f>
        <v>45646</v>
      </c>
      <c r="D26" s="21">
        <f>COUNTIF(Data!E:E,A26)</f>
        <v>17</v>
      </c>
      <c r="E26" s="22">
        <f>SUMIF(Data!E:E,'RFM mijozlar tahlili'!A26,Data!J:J)</f>
        <v>16930663.183600001</v>
      </c>
      <c r="F26" s="29">
        <f t="shared" si="0"/>
        <v>1</v>
      </c>
      <c r="G26">
        <f t="shared" si="1"/>
        <v>5</v>
      </c>
      <c r="H26">
        <f t="shared" si="2"/>
        <v>5</v>
      </c>
      <c r="I26" s="23">
        <f t="shared" si="3"/>
        <v>5</v>
      </c>
      <c r="J26" t="str">
        <f t="shared" si="4"/>
        <v>TOP</v>
      </c>
      <c r="K26" t="str">
        <f t="shared" si="5"/>
        <v>Sodiq</v>
      </c>
      <c r="L26" t="str">
        <f t="shared" si="6"/>
        <v xml:space="preserve"> </v>
      </c>
      <c r="M26" t="str">
        <f t="shared" si="7"/>
        <v xml:space="preserve"> </v>
      </c>
      <c r="N26" s="23" t="str">
        <f t="shared" si="8"/>
        <v xml:space="preserve"> </v>
      </c>
    </row>
    <row r="27" spans="1:14">
      <c r="A27" s="29">
        <v>6700685</v>
      </c>
      <c r="B27" s="10">
        <f>_xlfn.XLOOKUP(A27,Data!E:E,Data!B:B,0,0,-1)</f>
        <v>45655</v>
      </c>
      <c r="C27" s="20">
        <f>_xlfn.XLOOKUP(A27,Data!E:E,Data!B:B)</f>
        <v>45647</v>
      </c>
      <c r="D27" s="21">
        <f>COUNTIF(Data!E:E,A27)</f>
        <v>3</v>
      </c>
      <c r="E27" s="22">
        <f>SUMIF(Data!E:E,'RFM mijozlar tahlili'!A27,Data!J:J)</f>
        <v>467635.05759999994</v>
      </c>
      <c r="F27" s="29">
        <f t="shared" si="0"/>
        <v>1</v>
      </c>
      <c r="G27">
        <f t="shared" si="1"/>
        <v>5</v>
      </c>
      <c r="H27">
        <f t="shared" si="2"/>
        <v>1</v>
      </c>
      <c r="I27" s="23">
        <f t="shared" si="3"/>
        <v>0</v>
      </c>
      <c r="J27" t="str">
        <f t="shared" si="4"/>
        <v xml:space="preserve"> </v>
      </c>
      <c r="K27" t="str">
        <f t="shared" si="5"/>
        <v xml:space="preserve"> </v>
      </c>
      <c r="L27" t="str">
        <f t="shared" si="6"/>
        <v xml:space="preserve"> </v>
      </c>
      <c r="M27" t="str">
        <f t="shared" si="7"/>
        <v xml:space="preserve"> </v>
      </c>
      <c r="N27" s="23" t="str">
        <f t="shared" si="8"/>
        <v>Yangi</v>
      </c>
    </row>
    <row r="28" spans="1:14">
      <c r="A28" s="29">
        <v>6700754</v>
      </c>
      <c r="B28" s="10">
        <f>_xlfn.XLOOKUP(A28,Data!E:E,Data!B:B,0,0,-1)</f>
        <v>45540</v>
      </c>
      <c r="C28" s="20">
        <f>_xlfn.XLOOKUP(A28,Data!E:E,Data!B:B)</f>
        <v>45656</v>
      </c>
      <c r="D28" s="21">
        <f>COUNTIF(Data!E:E,A28)</f>
        <v>7</v>
      </c>
      <c r="E28" s="22">
        <f>SUMIF(Data!E:E,'RFM mijozlar tahlili'!A28,Data!J:J)</f>
        <v>3698174.1275999998</v>
      </c>
      <c r="F28" s="29">
        <f t="shared" si="0"/>
        <v>0</v>
      </c>
      <c r="G28">
        <f t="shared" si="1"/>
        <v>5</v>
      </c>
      <c r="H28">
        <f t="shared" si="2"/>
        <v>3</v>
      </c>
      <c r="I28" s="23">
        <f t="shared" si="3"/>
        <v>1</v>
      </c>
      <c r="J28" t="str">
        <f t="shared" si="4"/>
        <v xml:space="preserve"> </v>
      </c>
      <c r="K28" t="str">
        <f t="shared" si="5"/>
        <v xml:space="preserve"> </v>
      </c>
      <c r="L28" t="str">
        <f t="shared" si="6"/>
        <v xml:space="preserve"> </v>
      </c>
      <c r="M28" t="str">
        <f t="shared" si="7"/>
        <v xml:space="preserve"> </v>
      </c>
      <c r="N28" s="23" t="str">
        <f t="shared" si="8"/>
        <v xml:space="preserve"> </v>
      </c>
    </row>
    <row r="29" spans="1:14">
      <c r="A29" s="29">
        <v>4878925</v>
      </c>
      <c r="B29" s="10">
        <f>_xlfn.XLOOKUP(A29,Data!E:E,Data!B:B,0,0,-1)</f>
        <v>45466</v>
      </c>
      <c r="C29" s="20">
        <f>_xlfn.XLOOKUP(A29,Data!E:E,Data!B:B)</f>
        <v>45641</v>
      </c>
      <c r="D29" s="21">
        <f>COUNTIF(Data!E:E,A29)</f>
        <v>36</v>
      </c>
      <c r="E29" s="22">
        <f>SUMIF(Data!E:E,'RFM mijozlar tahlili'!A29,Data!J:J)</f>
        <v>8211586.1757119969</v>
      </c>
      <c r="F29" s="29">
        <f t="shared" si="0"/>
        <v>1</v>
      </c>
      <c r="G29">
        <f t="shared" si="1"/>
        <v>5</v>
      </c>
      <c r="H29">
        <f t="shared" si="2"/>
        <v>5</v>
      </c>
      <c r="I29" s="23">
        <f t="shared" si="3"/>
        <v>4</v>
      </c>
      <c r="J29" t="str">
        <f t="shared" si="4"/>
        <v xml:space="preserve"> </v>
      </c>
      <c r="K29" t="str">
        <f t="shared" si="5"/>
        <v>Sodiq</v>
      </c>
      <c r="L29" t="str">
        <f t="shared" si="6"/>
        <v xml:space="preserve"> </v>
      </c>
      <c r="M29" t="str">
        <f t="shared" si="7"/>
        <v xml:space="preserve"> </v>
      </c>
      <c r="N29" s="23" t="str">
        <f t="shared" si="8"/>
        <v xml:space="preserve"> </v>
      </c>
    </row>
    <row r="30" spans="1:14">
      <c r="A30" s="29">
        <v>4879013</v>
      </c>
      <c r="B30" s="10">
        <f>_xlfn.XLOOKUP(A30,Data!E:E,Data!B:B,0,0,-1)</f>
        <v>45397</v>
      </c>
      <c r="C30" s="20">
        <f>_xlfn.XLOOKUP(A30,Data!E:E,Data!B:B)</f>
        <v>45642</v>
      </c>
      <c r="D30" s="21">
        <f>COUNTIF(Data!E:E,A30)</f>
        <v>41</v>
      </c>
      <c r="E30" s="22">
        <f>SUMIF(Data!E:E,'RFM mijozlar tahlili'!A30,Data!J:J)</f>
        <v>27470971.43352</v>
      </c>
      <c r="F30" s="29">
        <f t="shared" si="0"/>
        <v>1</v>
      </c>
      <c r="G30">
        <f t="shared" si="1"/>
        <v>5</v>
      </c>
      <c r="H30">
        <f t="shared" si="2"/>
        <v>5</v>
      </c>
      <c r="I30" s="23">
        <f t="shared" si="3"/>
        <v>5</v>
      </c>
      <c r="J30" t="str">
        <f t="shared" si="4"/>
        <v>TOP</v>
      </c>
      <c r="K30" t="str">
        <f t="shared" si="5"/>
        <v>Sodiq</v>
      </c>
      <c r="L30" t="str">
        <f t="shared" si="6"/>
        <v xml:space="preserve"> </v>
      </c>
      <c r="M30" t="str">
        <f t="shared" si="7"/>
        <v xml:space="preserve"> </v>
      </c>
      <c r="N30" s="23" t="str">
        <f t="shared" si="8"/>
        <v xml:space="preserve"> </v>
      </c>
    </row>
    <row r="31" spans="1:14">
      <c r="A31" s="29">
        <v>4873700</v>
      </c>
      <c r="B31" s="10">
        <f>_xlfn.XLOOKUP(A31,Data!E:E,Data!B:B,0,0,-1)</f>
        <v>45644</v>
      </c>
      <c r="C31" s="20">
        <f>_xlfn.XLOOKUP(A31,Data!E:E,Data!B:B)</f>
        <v>45644</v>
      </c>
      <c r="D31" s="21">
        <f>COUNTIF(Data!E:E,A31)</f>
        <v>1</v>
      </c>
      <c r="E31" s="22">
        <f>SUMIF(Data!E:E,'RFM mijozlar tahlili'!A31,Data!J:J)</f>
        <v>1257664.4080000001</v>
      </c>
      <c r="F31" s="29">
        <f t="shared" si="0"/>
        <v>1</v>
      </c>
      <c r="G31">
        <f t="shared" si="1"/>
        <v>5</v>
      </c>
      <c r="H31">
        <f t="shared" si="2"/>
        <v>0</v>
      </c>
      <c r="I31" s="23">
        <f t="shared" si="3"/>
        <v>0</v>
      </c>
      <c r="J31" t="str">
        <f t="shared" si="4"/>
        <v xml:space="preserve"> </v>
      </c>
      <c r="K31" t="str">
        <f t="shared" si="5"/>
        <v xml:space="preserve"> </v>
      </c>
      <c r="L31" t="str">
        <f t="shared" si="6"/>
        <v xml:space="preserve"> </v>
      </c>
      <c r="M31" t="str">
        <f t="shared" si="7"/>
        <v xml:space="preserve"> </v>
      </c>
      <c r="N31" s="23" t="str">
        <f t="shared" si="8"/>
        <v>Yangi</v>
      </c>
    </row>
    <row r="32" spans="1:14">
      <c r="A32" s="29">
        <v>4876291</v>
      </c>
      <c r="B32" s="10">
        <f>_xlfn.XLOOKUP(A32,Data!E:E,Data!B:B,0,0,-1)</f>
        <v>45435</v>
      </c>
      <c r="C32" s="20">
        <f>_xlfn.XLOOKUP(A32,Data!E:E,Data!B:B)</f>
        <v>45630</v>
      </c>
      <c r="D32" s="21">
        <f>COUNTIF(Data!E:E,A32)</f>
        <v>46</v>
      </c>
      <c r="E32" s="22">
        <f>SUMIF(Data!E:E,'RFM mijozlar tahlili'!A32,Data!J:J)</f>
        <v>28835267.188479986</v>
      </c>
      <c r="F32" s="29">
        <f t="shared" si="0"/>
        <v>1</v>
      </c>
      <c r="G32">
        <f t="shared" si="1"/>
        <v>5</v>
      </c>
      <c r="H32">
        <f t="shared" si="2"/>
        <v>5</v>
      </c>
      <c r="I32" s="23">
        <f t="shared" si="3"/>
        <v>5</v>
      </c>
      <c r="J32" t="str">
        <f t="shared" si="4"/>
        <v>TOP</v>
      </c>
      <c r="K32" t="str">
        <f t="shared" si="5"/>
        <v>Sodiq</v>
      </c>
      <c r="L32" t="str">
        <f t="shared" si="6"/>
        <v xml:space="preserve"> </v>
      </c>
      <c r="M32" t="str">
        <f t="shared" si="7"/>
        <v xml:space="preserve"> </v>
      </c>
      <c r="N32" s="23" t="str">
        <f t="shared" si="8"/>
        <v xml:space="preserve"> </v>
      </c>
    </row>
    <row r="33" spans="1:14">
      <c r="A33" s="29">
        <v>4876004</v>
      </c>
      <c r="B33" s="10">
        <f>_xlfn.XLOOKUP(A33,Data!E:E,Data!B:B,0,0,-1)</f>
        <v>45423</v>
      </c>
      <c r="C33" s="20">
        <f>_xlfn.XLOOKUP(A33,Data!E:E,Data!B:B)</f>
        <v>45630</v>
      </c>
      <c r="D33" s="21">
        <f>COUNTIF(Data!E:E,A33)</f>
        <v>6</v>
      </c>
      <c r="E33" s="22">
        <f>SUMIF(Data!E:E,'RFM mijozlar tahlili'!A33,Data!J:J)</f>
        <v>5912027.8439999996</v>
      </c>
      <c r="F33" s="29">
        <f t="shared" si="0"/>
        <v>1</v>
      </c>
      <c r="G33">
        <f t="shared" si="1"/>
        <v>5</v>
      </c>
      <c r="H33">
        <f t="shared" si="2"/>
        <v>2</v>
      </c>
      <c r="I33" s="23">
        <f t="shared" si="3"/>
        <v>2</v>
      </c>
      <c r="J33" t="str">
        <f t="shared" si="4"/>
        <v xml:space="preserve"> </v>
      </c>
      <c r="K33" t="str">
        <f t="shared" si="5"/>
        <v xml:space="preserve"> </v>
      </c>
      <c r="L33" t="str">
        <f t="shared" si="6"/>
        <v xml:space="preserve"> </v>
      </c>
      <c r="M33" t="str">
        <f t="shared" si="7"/>
        <v xml:space="preserve"> </v>
      </c>
      <c r="N33" s="23" t="str">
        <f t="shared" si="8"/>
        <v xml:space="preserve"> </v>
      </c>
    </row>
    <row r="34" spans="1:14">
      <c r="A34" s="29">
        <v>4879054</v>
      </c>
      <c r="B34" s="10">
        <f>_xlfn.XLOOKUP(A34,Data!E:E,Data!B:B,0,0,-1)</f>
        <v>45398</v>
      </c>
      <c r="C34" s="20">
        <f>_xlfn.XLOOKUP(A34,Data!E:E,Data!B:B)</f>
        <v>45631</v>
      </c>
      <c r="D34" s="21">
        <f>COUNTIF(Data!E:E,A34)</f>
        <v>20</v>
      </c>
      <c r="E34" s="22">
        <f>SUMIF(Data!E:E,'RFM mijozlar tahlili'!A34,Data!J:J)</f>
        <v>11859442.419319995</v>
      </c>
      <c r="F34" s="29">
        <f t="shared" si="0"/>
        <v>1</v>
      </c>
      <c r="G34">
        <f t="shared" si="1"/>
        <v>5</v>
      </c>
      <c r="H34">
        <f t="shared" si="2"/>
        <v>5</v>
      </c>
      <c r="I34" s="23">
        <f t="shared" si="3"/>
        <v>5</v>
      </c>
      <c r="J34" t="str">
        <f t="shared" si="4"/>
        <v>TOP</v>
      </c>
      <c r="K34" t="str">
        <f t="shared" si="5"/>
        <v>Sodiq</v>
      </c>
      <c r="L34" t="str">
        <f t="shared" si="6"/>
        <v xml:space="preserve"> </v>
      </c>
      <c r="M34" t="str">
        <f t="shared" si="7"/>
        <v xml:space="preserve"> </v>
      </c>
      <c r="N34" s="23" t="str">
        <f t="shared" si="8"/>
        <v xml:space="preserve"> </v>
      </c>
    </row>
    <row r="35" spans="1:14">
      <c r="A35" s="29">
        <v>4875847</v>
      </c>
      <c r="B35" s="10">
        <f>_xlfn.XLOOKUP(A35,Data!E:E,Data!B:B,0,0,-1)</f>
        <v>45391</v>
      </c>
      <c r="C35" s="20">
        <f>_xlfn.XLOOKUP(A35,Data!E:E,Data!B:B)</f>
        <v>45631</v>
      </c>
      <c r="D35" s="21">
        <f>COUNTIF(Data!E:E,A35)</f>
        <v>21</v>
      </c>
      <c r="E35" s="22">
        <f>SUMIF(Data!E:E,'RFM mijozlar tahlili'!A35,Data!J:J)</f>
        <v>15321016.074399997</v>
      </c>
      <c r="F35" s="29">
        <f t="shared" si="0"/>
        <v>1</v>
      </c>
      <c r="G35">
        <f t="shared" si="1"/>
        <v>5</v>
      </c>
      <c r="H35">
        <f t="shared" si="2"/>
        <v>5</v>
      </c>
      <c r="I35" s="23">
        <f t="shared" si="3"/>
        <v>5</v>
      </c>
      <c r="J35" t="str">
        <f t="shared" si="4"/>
        <v>TOP</v>
      </c>
      <c r="K35" t="str">
        <f t="shared" si="5"/>
        <v>Sodiq</v>
      </c>
      <c r="L35" t="str">
        <f t="shared" si="6"/>
        <v xml:space="preserve"> </v>
      </c>
      <c r="M35" t="str">
        <f t="shared" si="7"/>
        <v xml:space="preserve"> </v>
      </c>
      <c r="N35" s="23" t="str">
        <f t="shared" si="8"/>
        <v xml:space="preserve"> </v>
      </c>
    </row>
    <row r="36" spans="1:14">
      <c r="A36" s="29">
        <v>4876170</v>
      </c>
      <c r="B36" s="10">
        <f>_xlfn.XLOOKUP(A36,Data!E:E,Data!B:B,0,0,-1)</f>
        <v>45501</v>
      </c>
      <c r="C36" s="20">
        <f>_xlfn.XLOOKUP(A36,Data!E:E,Data!B:B)</f>
        <v>45637</v>
      </c>
      <c r="D36" s="21">
        <f>COUNTIF(Data!E:E,A36)</f>
        <v>9</v>
      </c>
      <c r="E36" s="22">
        <f>SUMIF(Data!E:E,'RFM mijozlar tahlili'!A36,Data!J:J)</f>
        <v>7370918.5572800003</v>
      </c>
      <c r="F36" s="29">
        <f t="shared" si="0"/>
        <v>1</v>
      </c>
      <c r="G36">
        <f t="shared" si="1"/>
        <v>5</v>
      </c>
      <c r="H36">
        <f t="shared" si="2"/>
        <v>4</v>
      </c>
      <c r="I36" s="23">
        <f t="shared" si="3"/>
        <v>3</v>
      </c>
      <c r="J36" t="str">
        <f t="shared" si="4"/>
        <v xml:space="preserve"> </v>
      </c>
      <c r="K36" t="str">
        <f t="shared" si="5"/>
        <v>Sodiq</v>
      </c>
      <c r="L36" t="str">
        <f t="shared" si="6"/>
        <v xml:space="preserve"> </v>
      </c>
      <c r="M36" t="str">
        <f t="shared" si="7"/>
        <v xml:space="preserve"> </v>
      </c>
      <c r="N36" s="23" t="str">
        <f t="shared" si="8"/>
        <v xml:space="preserve"> </v>
      </c>
    </row>
    <row r="37" spans="1:14">
      <c r="A37" s="29">
        <v>4876993</v>
      </c>
      <c r="B37" s="10">
        <f>_xlfn.XLOOKUP(A37,Data!E:E,Data!B:B,0,0,-1)</f>
        <v>45638</v>
      </c>
      <c r="C37" s="20">
        <f>_xlfn.XLOOKUP(A37,Data!E:E,Data!B:B)</f>
        <v>45638</v>
      </c>
      <c r="D37" s="21">
        <f>COUNTIF(Data!E:E,A37)</f>
        <v>1</v>
      </c>
      <c r="E37" s="22">
        <f>SUMIF(Data!E:E,'RFM mijozlar tahlili'!A37,Data!J:J)</f>
        <v>201276.56159999999</v>
      </c>
      <c r="F37" s="29">
        <f t="shared" si="0"/>
        <v>1</v>
      </c>
      <c r="G37">
        <f t="shared" si="1"/>
        <v>5</v>
      </c>
      <c r="H37">
        <f t="shared" si="2"/>
        <v>0</v>
      </c>
      <c r="I37" s="23">
        <f t="shared" si="3"/>
        <v>0</v>
      </c>
      <c r="J37" t="str">
        <f t="shared" si="4"/>
        <v xml:space="preserve"> </v>
      </c>
      <c r="K37" t="str">
        <f t="shared" si="5"/>
        <v xml:space="preserve"> </v>
      </c>
      <c r="L37" t="str">
        <f t="shared" si="6"/>
        <v xml:space="preserve"> </v>
      </c>
      <c r="M37" t="str">
        <f t="shared" si="7"/>
        <v xml:space="preserve"> </v>
      </c>
      <c r="N37" s="23" t="str">
        <f t="shared" si="8"/>
        <v>Yangi</v>
      </c>
    </row>
    <row r="38" spans="1:14">
      <c r="A38" s="29">
        <v>4876125</v>
      </c>
      <c r="B38" s="10">
        <f>_xlfn.XLOOKUP(A38,Data!E:E,Data!B:B,0,0,-1)</f>
        <v>45638</v>
      </c>
      <c r="C38" s="20">
        <f>_xlfn.XLOOKUP(A38,Data!E:E,Data!B:B)</f>
        <v>45638</v>
      </c>
      <c r="D38" s="21">
        <f>COUNTIF(Data!E:E,A38)</f>
        <v>2</v>
      </c>
      <c r="E38" s="22">
        <f>SUMIF(Data!E:E,'RFM mijozlar tahlili'!A38,Data!J:J)</f>
        <v>1006382.808</v>
      </c>
      <c r="F38" s="29">
        <f t="shared" si="0"/>
        <v>1</v>
      </c>
      <c r="G38">
        <f t="shared" si="1"/>
        <v>5</v>
      </c>
      <c r="H38">
        <f t="shared" si="2"/>
        <v>0</v>
      </c>
      <c r="I38" s="23">
        <f t="shared" si="3"/>
        <v>0</v>
      </c>
      <c r="J38" t="str">
        <f t="shared" si="4"/>
        <v xml:space="preserve"> </v>
      </c>
      <c r="K38" t="str">
        <f t="shared" si="5"/>
        <v xml:space="preserve"> </v>
      </c>
      <c r="L38" t="str">
        <f t="shared" si="6"/>
        <v xml:space="preserve"> </v>
      </c>
      <c r="M38" t="str">
        <f t="shared" si="7"/>
        <v xml:space="preserve"> </v>
      </c>
      <c r="N38" s="23" t="str">
        <f t="shared" si="8"/>
        <v>Yangi</v>
      </c>
    </row>
    <row r="39" spans="1:14">
      <c r="A39" s="29">
        <v>4875967</v>
      </c>
      <c r="B39" s="10">
        <f>_xlfn.XLOOKUP(A39,Data!E:E,Data!B:B,0,0,-1)</f>
        <v>45422</v>
      </c>
      <c r="C39" s="20">
        <f>_xlfn.XLOOKUP(A39,Data!E:E,Data!B:B)</f>
        <v>45643</v>
      </c>
      <c r="D39" s="21">
        <f>COUNTIF(Data!E:E,A39)</f>
        <v>9</v>
      </c>
      <c r="E39" s="22">
        <f>SUMIF(Data!E:E,'RFM mijozlar tahlili'!A39,Data!J:J)</f>
        <v>1952194.1863199999</v>
      </c>
      <c r="F39" s="29">
        <f t="shared" si="0"/>
        <v>1</v>
      </c>
      <c r="G39">
        <f t="shared" si="1"/>
        <v>5</v>
      </c>
      <c r="H39">
        <f t="shared" si="2"/>
        <v>4</v>
      </c>
      <c r="I39" s="23">
        <f t="shared" si="3"/>
        <v>0</v>
      </c>
      <c r="J39" t="str">
        <f t="shared" si="4"/>
        <v xml:space="preserve"> </v>
      </c>
      <c r="K39" t="str">
        <f t="shared" si="5"/>
        <v>Sodiq</v>
      </c>
      <c r="L39" t="str">
        <f t="shared" si="6"/>
        <v xml:space="preserve"> </v>
      </c>
      <c r="M39" t="str">
        <f t="shared" si="7"/>
        <v xml:space="preserve"> </v>
      </c>
      <c r="N39" s="23" t="str">
        <f t="shared" si="8"/>
        <v xml:space="preserve"> </v>
      </c>
    </row>
    <row r="40" spans="1:14">
      <c r="A40" s="29">
        <v>6080862</v>
      </c>
      <c r="B40" s="10">
        <f>_xlfn.XLOOKUP(A40,Data!E:E,Data!B:B,0,0,-1)</f>
        <v>45652</v>
      </c>
      <c r="C40" s="20">
        <f>_xlfn.XLOOKUP(A40,Data!E:E,Data!B:B)</f>
        <v>45652</v>
      </c>
      <c r="D40" s="21">
        <f>COUNTIF(Data!E:E,A40)</f>
        <v>2</v>
      </c>
      <c r="E40" s="22">
        <f>SUMIF(Data!E:E,'RFM mijozlar tahlili'!A40,Data!J:J)</f>
        <v>1006382.808</v>
      </c>
      <c r="F40" s="29">
        <f t="shared" si="0"/>
        <v>0</v>
      </c>
      <c r="G40">
        <f t="shared" si="1"/>
        <v>5</v>
      </c>
      <c r="H40">
        <f t="shared" si="2"/>
        <v>0</v>
      </c>
      <c r="I40" s="23">
        <f t="shared" si="3"/>
        <v>0</v>
      </c>
      <c r="J40" t="str">
        <f t="shared" si="4"/>
        <v xml:space="preserve"> </v>
      </c>
      <c r="K40" t="str">
        <f t="shared" si="5"/>
        <v xml:space="preserve"> </v>
      </c>
      <c r="L40" t="str">
        <f t="shared" si="6"/>
        <v xml:space="preserve"> </v>
      </c>
      <c r="M40" t="str">
        <f t="shared" si="7"/>
        <v xml:space="preserve"> </v>
      </c>
      <c r="N40" s="23" t="str">
        <f t="shared" si="8"/>
        <v>Yangi</v>
      </c>
    </row>
    <row r="41" spans="1:14">
      <c r="A41" s="29">
        <v>4876215</v>
      </c>
      <c r="B41" s="10">
        <f>_xlfn.XLOOKUP(A41,Data!E:E,Data!B:B,0,0,-1)</f>
        <v>45515</v>
      </c>
      <c r="C41" s="20">
        <f>_xlfn.XLOOKUP(A41,Data!E:E,Data!B:B)</f>
        <v>45653</v>
      </c>
      <c r="D41" s="21">
        <f>COUNTIF(Data!E:E,A41)</f>
        <v>5</v>
      </c>
      <c r="E41" s="22">
        <f>SUMIF(Data!E:E,'RFM mijozlar tahlili'!A41,Data!J:J)</f>
        <v>3019148.4240000001</v>
      </c>
      <c r="F41" s="29">
        <f t="shared" si="0"/>
        <v>0</v>
      </c>
      <c r="G41">
        <f t="shared" si="1"/>
        <v>5</v>
      </c>
      <c r="H41">
        <f t="shared" si="2"/>
        <v>2</v>
      </c>
      <c r="I41" s="23">
        <f t="shared" si="3"/>
        <v>1</v>
      </c>
      <c r="J41" t="str">
        <f t="shared" si="4"/>
        <v xml:space="preserve"> </v>
      </c>
      <c r="K41" t="str">
        <f t="shared" si="5"/>
        <v xml:space="preserve"> </v>
      </c>
      <c r="L41" t="str">
        <f t="shared" si="6"/>
        <v xml:space="preserve"> </v>
      </c>
      <c r="M41" t="str">
        <f t="shared" si="7"/>
        <v xml:space="preserve"> </v>
      </c>
      <c r="N41" s="23" t="str">
        <f t="shared" si="8"/>
        <v xml:space="preserve"> </v>
      </c>
    </row>
    <row r="42" spans="1:14">
      <c r="A42" s="29">
        <v>6080791</v>
      </c>
      <c r="B42" s="10">
        <f>_xlfn.XLOOKUP(A42,Data!E:E,Data!B:B,0,0,-1)</f>
        <v>45556</v>
      </c>
      <c r="C42" s="20">
        <f>_xlfn.XLOOKUP(A42,Data!E:E,Data!B:B)</f>
        <v>45630</v>
      </c>
      <c r="D42" s="21">
        <f>COUNTIF(Data!E:E,A42)</f>
        <v>10</v>
      </c>
      <c r="E42" s="22">
        <f>SUMIF(Data!E:E,'RFM mijozlar tahlili'!A42,Data!J:J)</f>
        <v>3210078.4657199997</v>
      </c>
      <c r="F42" s="29">
        <f t="shared" si="0"/>
        <v>1</v>
      </c>
      <c r="G42">
        <f t="shared" si="1"/>
        <v>5</v>
      </c>
      <c r="H42">
        <f t="shared" si="2"/>
        <v>4</v>
      </c>
      <c r="I42" s="23">
        <f t="shared" si="3"/>
        <v>1</v>
      </c>
      <c r="J42" t="str">
        <f t="shared" si="4"/>
        <v xml:space="preserve"> </v>
      </c>
      <c r="K42" t="str">
        <f t="shared" si="5"/>
        <v>Sodiq</v>
      </c>
      <c r="L42" t="str">
        <f t="shared" si="6"/>
        <v xml:space="preserve"> </v>
      </c>
      <c r="M42" t="str">
        <f t="shared" si="7"/>
        <v xml:space="preserve"> </v>
      </c>
      <c r="N42" s="23" t="str">
        <f t="shared" si="8"/>
        <v xml:space="preserve"> </v>
      </c>
    </row>
    <row r="43" spans="1:14">
      <c r="A43" s="29">
        <v>4877018</v>
      </c>
      <c r="B43" s="10">
        <f>_xlfn.XLOOKUP(A43,Data!E:E,Data!B:B,0,0,-1)</f>
        <v>45294</v>
      </c>
      <c r="C43" s="20">
        <f>_xlfn.XLOOKUP(A43,Data!E:E,Data!B:B)</f>
        <v>45640</v>
      </c>
      <c r="D43" s="21">
        <f>COUNTIF(Data!E:E,A43)</f>
        <v>44</v>
      </c>
      <c r="E43" s="22">
        <f>SUMIF(Data!E:E,'RFM mijozlar tahlili'!A43,Data!J:J)</f>
        <v>62812603.98835998</v>
      </c>
      <c r="F43" s="29">
        <f t="shared" si="0"/>
        <v>1</v>
      </c>
      <c r="G43">
        <f t="shared" si="1"/>
        <v>5</v>
      </c>
      <c r="H43">
        <f t="shared" si="2"/>
        <v>5</v>
      </c>
      <c r="I43" s="23">
        <f t="shared" si="3"/>
        <v>5</v>
      </c>
      <c r="J43" t="str">
        <f t="shared" si="4"/>
        <v>TOP</v>
      </c>
      <c r="K43" t="str">
        <f t="shared" si="5"/>
        <v>Sodiq</v>
      </c>
      <c r="L43" t="str">
        <f t="shared" si="6"/>
        <v xml:space="preserve"> </v>
      </c>
      <c r="M43" t="str">
        <f t="shared" si="7"/>
        <v xml:space="preserve"> </v>
      </c>
      <c r="N43" s="23" t="str">
        <f t="shared" si="8"/>
        <v xml:space="preserve"> </v>
      </c>
    </row>
    <row r="44" spans="1:14">
      <c r="A44" s="29">
        <v>4877327</v>
      </c>
      <c r="B44" s="10">
        <f>_xlfn.XLOOKUP(A44,Data!E:E,Data!B:B,0,0,-1)</f>
        <v>45304</v>
      </c>
      <c r="C44" s="20">
        <f>_xlfn.XLOOKUP(A44,Data!E:E,Data!B:B)</f>
        <v>45644</v>
      </c>
      <c r="D44" s="21">
        <f>COUNTIF(Data!E:E,A44)</f>
        <v>17</v>
      </c>
      <c r="E44" s="22">
        <f>SUMIF(Data!E:E,'RFM mijozlar tahlili'!A44,Data!J:J)</f>
        <v>3497682.8210000005</v>
      </c>
      <c r="F44" s="29">
        <f t="shared" si="0"/>
        <v>1</v>
      </c>
      <c r="G44">
        <f t="shared" si="1"/>
        <v>5</v>
      </c>
      <c r="H44">
        <f t="shared" si="2"/>
        <v>5</v>
      </c>
      <c r="I44" s="23">
        <f t="shared" si="3"/>
        <v>1</v>
      </c>
      <c r="J44" t="str">
        <f t="shared" si="4"/>
        <v xml:space="preserve"> </v>
      </c>
      <c r="K44" t="str">
        <f t="shared" si="5"/>
        <v>Sodiq</v>
      </c>
      <c r="L44" t="str">
        <f t="shared" si="6"/>
        <v xml:space="preserve"> </v>
      </c>
      <c r="M44" t="str">
        <f t="shared" si="7"/>
        <v xml:space="preserve"> </v>
      </c>
      <c r="N44" s="23" t="str">
        <f t="shared" si="8"/>
        <v xml:space="preserve"> </v>
      </c>
    </row>
    <row r="45" spans="1:14">
      <c r="A45" s="29">
        <v>4876241</v>
      </c>
      <c r="B45" s="10">
        <f>_xlfn.XLOOKUP(A45,Data!E:E,Data!B:B,0,0,-1)</f>
        <v>45309</v>
      </c>
      <c r="C45" s="20">
        <f>_xlfn.XLOOKUP(A45,Data!E:E,Data!B:B)</f>
        <v>45644</v>
      </c>
      <c r="D45" s="21">
        <f>COUNTIF(Data!E:E,A45)</f>
        <v>32</v>
      </c>
      <c r="E45" s="22">
        <f>SUMIF(Data!E:E,'RFM mijozlar tahlili'!A45,Data!J:J)</f>
        <v>24655562.130799986</v>
      </c>
      <c r="F45" s="29">
        <f t="shared" si="0"/>
        <v>1</v>
      </c>
      <c r="G45">
        <f t="shared" si="1"/>
        <v>5</v>
      </c>
      <c r="H45">
        <f t="shared" si="2"/>
        <v>5</v>
      </c>
      <c r="I45" s="23">
        <f t="shared" si="3"/>
        <v>5</v>
      </c>
      <c r="J45" t="str">
        <f t="shared" si="4"/>
        <v>TOP</v>
      </c>
      <c r="K45" t="str">
        <f t="shared" si="5"/>
        <v>Sodiq</v>
      </c>
      <c r="L45" t="str">
        <f t="shared" si="6"/>
        <v xml:space="preserve"> </v>
      </c>
      <c r="M45" t="str">
        <f t="shared" si="7"/>
        <v xml:space="preserve"> </v>
      </c>
      <c r="N45" s="23" t="str">
        <f t="shared" si="8"/>
        <v xml:space="preserve"> </v>
      </c>
    </row>
    <row r="46" spans="1:14">
      <c r="A46" s="29">
        <v>4876604</v>
      </c>
      <c r="B46" s="10">
        <f>_xlfn.XLOOKUP(A46,Data!E:E,Data!B:B,0,0,-1)</f>
        <v>45334</v>
      </c>
      <c r="C46" s="20">
        <f>_xlfn.XLOOKUP(A46,Data!E:E,Data!B:B)</f>
        <v>45644</v>
      </c>
      <c r="D46" s="21">
        <f>COUNTIF(Data!E:E,A46)</f>
        <v>7</v>
      </c>
      <c r="E46" s="22">
        <f>SUMIF(Data!E:E,'RFM mijozlar tahlili'!A46,Data!J:J)</f>
        <v>2687042.09736</v>
      </c>
      <c r="F46" s="29">
        <f t="shared" si="0"/>
        <v>1</v>
      </c>
      <c r="G46">
        <f t="shared" si="1"/>
        <v>5</v>
      </c>
      <c r="H46">
        <f t="shared" si="2"/>
        <v>3</v>
      </c>
      <c r="I46" s="23">
        <f t="shared" si="3"/>
        <v>1</v>
      </c>
      <c r="J46" t="str">
        <f t="shared" si="4"/>
        <v xml:space="preserve"> </v>
      </c>
      <c r="K46" t="str">
        <f t="shared" si="5"/>
        <v xml:space="preserve"> </v>
      </c>
      <c r="L46" t="str">
        <f t="shared" si="6"/>
        <v xml:space="preserve"> </v>
      </c>
      <c r="M46" t="str">
        <f t="shared" si="7"/>
        <v xml:space="preserve"> </v>
      </c>
      <c r="N46" s="23" t="str">
        <f t="shared" si="8"/>
        <v xml:space="preserve"> </v>
      </c>
    </row>
    <row r="47" spans="1:14">
      <c r="A47" s="29">
        <v>4878866</v>
      </c>
      <c r="B47" s="10">
        <f>_xlfn.XLOOKUP(A47,Data!E:E,Data!B:B,0,0,-1)</f>
        <v>45556</v>
      </c>
      <c r="C47" s="20">
        <f>_xlfn.XLOOKUP(A47,Data!E:E,Data!B:B)</f>
        <v>45644</v>
      </c>
      <c r="D47" s="21">
        <f>COUNTIF(Data!E:E,A47)</f>
        <v>4</v>
      </c>
      <c r="E47" s="22">
        <f>SUMIF(Data!E:E,'RFM mijozlar tahlili'!A47,Data!J:J)</f>
        <v>1388808.2750399997</v>
      </c>
      <c r="F47" s="29">
        <f t="shared" si="0"/>
        <v>1</v>
      </c>
      <c r="G47">
        <f t="shared" si="1"/>
        <v>5</v>
      </c>
      <c r="H47">
        <f t="shared" si="2"/>
        <v>1</v>
      </c>
      <c r="I47" s="23">
        <f t="shared" si="3"/>
        <v>0</v>
      </c>
      <c r="J47" t="str">
        <f t="shared" si="4"/>
        <v xml:space="preserve"> </v>
      </c>
      <c r="K47" t="str">
        <f t="shared" si="5"/>
        <v xml:space="preserve"> </v>
      </c>
      <c r="L47" t="str">
        <f t="shared" si="6"/>
        <v xml:space="preserve"> </v>
      </c>
      <c r="M47" t="str">
        <f t="shared" si="7"/>
        <v xml:space="preserve"> </v>
      </c>
      <c r="N47" s="23" t="str">
        <f t="shared" si="8"/>
        <v xml:space="preserve"> </v>
      </c>
    </row>
    <row r="48" spans="1:14">
      <c r="A48" s="29">
        <v>4876393</v>
      </c>
      <c r="B48" s="10">
        <f>_xlfn.XLOOKUP(A48,Data!E:E,Data!B:B,0,0,-1)</f>
        <v>45328</v>
      </c>
      <c r="C48" s="20">
        <f>_xlfn.XLOOKUP(A48,Data!E:E,Data!B:B)</f>
        <v>45644</v>
      </c>
      <c r="D48" s="21">
        <f>COUNTIF(Data!E:E,A48)</f>
        <v>9</v>
      </c>
      <c r="E48" s="22">
        <f>SUMIF(Data!E:E,'RFM mijozlar tahlili'!A48,Data!J:J)</f>
        <v>4609233.26064</v>
      </c>
      <c r="F48" s="29">
        <f t="shared" si="0"/>
        <v>1</v>
      </c>
      <c r="G48">
        <f t="shared" si="1"/>
        <v>5</v>
      </c>
      <c r="H48">
        <f t="shared" si="2"/>
        <v>4</v>
      </c>
      <c r="I48" s="23">
        <f t="shared" si="3"/>
        <v>2</v>
      </c>
      <c r="J48" t="str">
        <f t="shared" si="4"/>
        <v xml:space="preserve"> </v>
      </c>
      <c r="K48" t="str">
        <f t="shared" si="5"/>
        <v>Sodiq</v>
      </c>
      <c r="L48" t="str">
        <f t="shared" si="6"/>
        <v xml:space="preserve"> </v>
      </c>
      <c r="M48" t="str">
        <f t="shared" si="7"/>
        <v xml:space="preserve"> </v>
      </c>
      <c r="N48" s="23" t="str">
        <f t="shared" si="8"/>
        <v xml:space="preserve"> </v>
      </c>
    </row>
    <row r="49" spans="1:14">
      <c r="A49" s="29">
        <v>4878040</v>
      </c>
      <c r="B49" s="10">
        <f>_xlfn.XLOOKUP(A49,Data!E:E,Data!B:B,0,0,-1)</f>
        <v>45314</v>
      </c>
      <c r="C49" s="20">
        <f>_xlfn.XLOOKUP(A49,Data!E:E,Data!B:B)</f>
        <v>45645</v>
      </c>
      <c r="D49" s="21">
        <f>COUNTIF(Data!E:E,A49)</f>
        <v>44</v>
      </c>
      <c r="E49" s="22">
        <f>SUMIF(Data!E:E,'RFM mijozlar tahlili'!A49,Data!J:J)</f>
        <v>9097757.1226799991</v>
      </c>
      <c r="F49" s="29">
        <f t="shared" si="0"/>
        <v>1</v>
      </c>
      <c r="G49">
        <f t="shared" si="1"/>
        <v>5</v>
      </c>
      <c r="H49">
        <f t="shared" si="2"/>
        <v>5</v>
      </c>
      <c r="I49" s="23">
        <f t="shared" si="3"/>
        <v>4</v>
      </c>
      <c r="J49" t="str">
        <f t="shared" si="4"/>
        <v xml:space="preserve"> </v>
      </c>
      <c r="K49" t="str">
        <f t="shared" si="5"/>
        <v>Sodiq</v>
      </c>
      <c r="L49" t="str">
        <f t="shared" si="6"/>
        <v xml:space="preserve"> </v>
      </c>
      <c r="M49" t="str">
        <f t="shared" si="7"/>
        <v xml:space="preserve"> </v>
      </c>
      <c r="N49" s="23" t="str">
        <f t="shared" si="8"/>
        <v xml:space="preserve"> </v>
      </c>
    </row>
    <row r="50" spans="1:14">
      <c r="A50" s="29">
        <v>6486682</v>
      </c>
      <c r="B50" s="10">
        <f>_xlfn.XLOOKUP(A50,Data!E:E,Data!B:B,0,0,-1)</f>
        <v>45641</v>
      </c>
      <c r="C50" s="20">
        <f>_xlfn.XLOOKUP(A50,Data!E:E,Data!B:B)</f>
        <v>45641</v>
      </c>
      <c r="D50" s="21">
        <f>COUNTIF(Data!E:E,A50)</f>
        <v>1</v>
      </c>
      <c r="E50" s="22">
        <f>SUMIF(Data!E:E,'RFM mijozlar tahlili'!A50,Data!J:J)</f>
        <v>1771535.28</v>
      </c>
      <c r="F50" s="29">
        <f t="shared" si="0"/>
        <v>1</v>
      </c>
      <c r="G50">
        <f t="shared" si="1"/>
        <v>5</v>
      </c>
      <c r="H50">
        <f t="shared" si="2"/>
        <v>0</v>
      </c>
      <c r="I50" s="23">
        <f t="shared" si="3"/>
        <v>0</v>
      </c>
      <c r="J50" t="str">
        <f t="shared" si="4"/>
        <v xml:space="preserve"> </v>
      </c>
      <c r="K50" t="str">
        <f t="shared" si="5"/>
        <v xml:space="preserve"> </v>
      </c>
      <c r="L50" t="str">
        <f t="shared" si="6"/>
        <v xml:space="preserve"> </v>
      </c>
      <c r="M50" t="str">
        <f t="shared" si="7"/>
        <v xml:space="preserve"> </v>
      </c>
      <c r="N50" s="23" t="str">
        <f t="shared" si="8"/>
        <v>Yangi</v>
      </c>
    </row>
    <row r="51" spans="1:14">
      <c r="A51" s="29">
        <v>6487044</v>
      </c>
      <c r="B51" s="10">
        <f>_xlfn.XLOOKUP(A51,Data!E:E,Data!B:B,0,0,-1)</f>
        <v>45649</v>
      </c>
      <c r="C51" s="20">
        <f>_xlfn.XLOOKUP(A51,Data!E:E,Data!B:B)</f>
        <v>45649</v>
      </c>
      <c r="D51" s="21">
        <f>COUNTIF(Data!E:E,A51)</f>
        <v>1</v>
      </c>
      <c r="E51" s="22">
        <f>SUMIF(Data!E:E,'RFM mijozlar tahlili'!A51,Data!J:J)</f>
        <v>1771535.28</v>
      </c>
      <c r="F51" s="29">
        <f t="shared" si="0"/>
        <v>0</v>
      </c>
      <c r="G51">
        <f t="shared" si="1"/>
        <v>5</v>
      </c>
      <c r="H51">
        <f t="shared" si="2"/>
        <v>0</v>
      </c>
      <c r="I51" s="23">
        <f t="shared" si="3"/>
        <v>0</v>
      </c>
      <c r="J51" t="str">
        <f t="shared" si="4"/>
        <v xml:space="preserve"> </v>
      </c>
      <c r="K51" t="str">
        <f t="shared" si="5"/>
        <v xml:space="preserve"> </v>
      </c>
      <c r="L51" t="str">
        <f t="shared" si="6"/>
        <v xml:space="preserve"> </v>
      </c>
      <c r="M51" t="str">
        <f t="shared" si="7"/>
        <v xml:space="preserve"> </v>
      </c>
      <c r="N51" s="23" t="str">
        <f t="shared" si="8"/>
        <v>Yangi</v>
      </c>
    </row>
    <row r="52" spans="1:14">
      <c r="A52" s="29">
        <v>6960775</v>
      </c>
      <c r="B52" s="10">
        <f>_xlfn.XLOOKUP(A52,Data!E:E,Data!B:B,0,0,-1)</f>
        <v>45639</v>
      </c>
      <c r="C52" s="20">
        <f>_xlfn.XLOOKUP(A52,Data!E:E,Data!B:B)</f>
        <v>45639</v>
      </c>
      <c r="D52" s="21">
        <f>COUNTIF(Data!E:E,A52)</f>
        <v>1</v>
      </c>
      <c r="E52" s="22">
        <f>SUMIF(Data!E:E,'RFM mijozlar tahlili'!A52,Data!J:J)</f>
        <v>252538.00799999997</v>
      </c>
      <c r="F52" s="29">
        <f t="shared" si="0"/>
        <v>1</v>
      </c>
      <c r="G52">
        <f t="shared" si="1"/>
        <v>5</v>
      </c>
      <c r="H52">
        <f t="shared" si="2"/>
        <v>0</v>
      </c>
      <c r="I52" s="23">
        <f t="shared" si="3"/>
        <v>0</v>
      </c>
      <c r="J52" t="str">
        <f t="shared" si="4"/>
        <v xml:space="preserve"> </v>
      </c>
      <c r="K52" t="str">
        <f t="shared" si="5"/>
        <v xml:space="preserve"> </v>
      </c>
      <c r="L52" t="str">
        <f t="shared" si="6"/>
        <v xml:space="preserve"> </v>
      </c>
      <c r="M52" t="str">
        <f t="shared" si="7"/>
        <v xml:space="preserve"> </v>
      </c>
      <c r="N52" s="23" t="str">
        <f t="shared" si="8"/>
        <v>Yangi</v>
      </c>
    </row>
    <row r="53" spans="1:14">
      <c r="A53" s="29">
        <v>8213369</v>
      </c>
      <c r="B53" s="10">
        <f>_xlfn.XLOOKUP(A53,Data!E:E,Data!B:B,0,0,-1)</f>
        <v>45612</v>
      </c>
      <c r="C53" s="20">
        <f>_xlfn.XLOOKUP(A53,Data!E:E,Data!B:B)</f>
        <v>45628</v>
      </c>
      <c r="D53" s="21">
        <f>COUNTIF(Data!E:E,A53)</f>
        <v>7</v>
      </c>
      <c r="E53" s="22">
        <f>SUMIF(Data!E:E,'RFM mijozlar tahlili'!A53,Data!J:J)</f>
        <v>4709494.6190399993</v>
      </c>
      <c r="F53" s="29">
        <f t="shared" si="0"/>
        <v>1</v>
      </c>
      <c r="G53">
        <f t="shared" si="1"/>
        <v>5</v>
      </c>
      <c r="H53">
        <f t="shared" si="2"/>
        <v>3</v>
      </c>
      <c r="I53" s="23">
        <f t="shared" si="3"/>
        <v>2</v>
      </c>
      <c r="J53" t="str">
        <f t="shared" si="4"/>
        <v xml:space="preserve"> </v>
      </c>
      <c r="K53" t="str">
        <f t="shared" si="5"/>
        <v xml:space="preserve"> </v>
      </c>
      <c r="L53" t="str">
        <f t="shared" si="6"/>
        <v xml:space="preserve"> </v>
      </c>
      <c r="M53" t="str">
        <f t="shared" si="7"/>
        <v xml:space="preserve"> </v>
      </c>
      <c r="N53" s="23" t="str">
        <f t="shared" si="8"/>
        <v>Yangi</v>
      </c>
    </row>
    <row r="54" spans="1:14">
      <c r="A54" s="29">
        <v>4872948</v>
      </c>
      <c r="B54" s="10">
        <f>_xlfn.XLOOKUP(A54,Data!E:E,Data!B:B,0,0,-1)</f>
        <v>45302</v>
      </c>
      <c r="C54" s="20">
        <f>_xlfn.XLOOKUP(A54,Data!E:E,Data!B:B)</f>
        <v>45630</v>
      </c>
      <c r="D54" s="21">
        <f>COUNTIF(Data!E:E,A54)</f>
        <v>80</v>
      </c>
      <c r="E54" s="22">
        <f>SUMIF(Data!E:E,'RFM mijozlar tahlili'!A54,Data!J:J)</f>
        <v>48257658.820207976</v>
      </c>
      <c r="F54" s="29">
        <f t="shared" si="0"/>
        <v>1</v>
      </c>
      <c r="G54">
        <f t="shared" si="1"/>
        <v>5</v>
      </c>
      <c r="H54">
        <f t="shared" si="2"/>
        <v>5</v>
      </c>
      <c r="I54" s="23">
        <f t="shared" si="3"/>
        <v>5</v>
      </c>
      <c r="J54" t="str">
        <f t="shared" si="4"/>
        <v>TOP</v>
      </c>
      <c r="K54" t="str">
        <f t="shared" si="5"/>
        <v>Sodiq</v>
      </c>
      <c r="L54" t="str">
        <f t="shared" si="6"/>
        <v xml:space="preserve"> </v>
      </c>
      <c r="M54" t="str">
        <f t="shared" si="7"/>
        <v xml:space="preserve"> </v>
      </c>
      <c r="N54" s="23" t="str">
        <f t="shared" si="8"/>
        <v xml:space="preserve"> </v>
      </c>
    </row>
    <row r="55" spans="1:14">
      <c r="A55" s="29">
        <v>4872947</v>
      </c>
      <c r="B55" s="10">
        <f>_xlfn.XLOOKUP(A55,Data!E:E,Data!B:B,0,0,-1)</f>
        <v>45323</v>
      </c>
      <c r="C55" s="20">
        <f>_xlfn.XLOOKUP(A55,Data!E:E,Data!B:B)</f>
        <v>45630</v>
      </c>
      <c r="D55" s="21">
        <f>COUNTIF(Data!E:E,A55)</f>
        <v>56</v>
      </c>
      <c r="E55" s="22">
        <f>SUMIF(Data!E:E,'RFM mijozlar tahlili'!A55,Data!J:J)</f>
        <v>29811747.48607998</v>
      </c>
      <c r="F55" s="29">
        <f t="shared" si="0"/>
        <v>1</v>
      </c>
      <c r="G55">
        <f t="shared" si="1"/>
        <v>5</v>
      </c>
      <c r="H55">
        <f t="shared" si="2"/>
        <v>5</v>
      </c>
      <c r="I55" s="23">
        <f t="shared" si="3"/>
        <v>5</v>
      </c>
      <c r="J55" t="str">
        <f t="shared" si="4"/>
        <v>TOP</v>
      </c>
      <c r="K55" t="str">
        <f t="shared" si="5"/>
        <v>Sodiq</v>
      </c>
      <c r="L55" t="str">
        <f t="shared" si="6"/>
        <v xml:space="preserve"> </v>
      </c>
      <c r="M55" t="str">
        <f t="shared" si="7"/>
        <v xml:space="preserve"> </v>
      </c>
      <c r="N55" s="23" t="str">
        <f t="shared" si="8"/>
        <v xml:space="preserve"> </v>
      </c>
    </row>
    <row r="56" spans="1:14">
      <c r="A56" s="29">
        <v>4872839</v>
      </c>
      <c r="B56" s="10">
        <f>_xlfn.XLOOKUP(A56,Data!E:E,Data!B:B,0,0,-1)</f>
        <v>45302</v>
      </c>
      <c r="C56" s="20">
        <f>_xlfn.XLOOKUP(A56,Data!E:E,Data!B:B)</f>
        <v>45630</v>
      </c>
      <c r="D56" s="21">
        <f>COUNTIF(Data!E:E,A56)</f>
        <v>16</v>
      </c>
      <c r="E56" s="22">
        <f>SUMIF(Data!E:E,'RFM mijozlar tahlili'!A56,Data!J:J)</f>
        <v>7673511.8599999994</v>
      </c>
      <c r="F56" s="29">
        <f t="shared" si="0"/>
        <v>1</v>
      </c>
      <c r="G56">
        <f t="shared" si="1"/>
        <v>5</v>
      </c>
      <c r="H56">
        <f t="shared" si="2"/>
        <v>5</v>
      </c>
      <c r="I56" s="23">
        <f t="shared" si="3"/>
        <v>3</v>
      </c>
      <c r="J56" t="str">
        <f t="shared" si="4"/>
        <v xml:space="preserve"> </v>
      </c>
      <c r="K56" t="str">
        <f t="shared" si="5"/>
        <v>Sodiq</v>
      </c>
      <c r="L56" t="str">
        <f t="shared" si="6"/>
        <v xml:space="preserve"> </v>
      </c>
      <c r="M56" t="str">
        <f t="shared" si="7"/>
        <v xml:space="preserve"> </v>
      </c>
      <c r="N56" s="23" t="str">
        <f t="shared" si="8"/>
        <v xml:space="preserve"> </v>
      </c>
    </row>
    <row r="57" spans="1:14">
      <c r="A57" s="29">
        <v>4872613</v>
      </c>
      <c r="B57" s="10">
        <f>_xlfn.XLOOKUP(A57,Data!E:E,Data!B:B,0,0,-1)</f>
        <v>45442</v>
      </c>
      <c r="C57" s="20">
        <f>_xlfn.XLOOKUP(A57,Data!E:E,Data!B:B)</f>
        <v>45632</v>
      </c>
      <c r="D57" s="21">
        <f>COUNTIF(Data!E:E,A57)</f>
        <v>78</v>
      </c>
      <c r="E57" s="22">
        <f>SUMIF(Data!E:E,'RFM mijozlar tahlili'!A57,Data!J:J)</f>
        <v>27863284.831519973</v>
      </c>
      <c r="F57" s="29">
        <f t="shared" si="0"/>
        <v>1</v>
      </c>
      <c r="G57">
        <f t="shared" si="1"/>
        <v>5</v>
      </c>
      <c r="H57">
        <f t="shared" si="2"/>
        <v>5</v>
      </c>
      <c r="I57" s="23">
        <f t="shared" si="3"/>
        <v>5</v>
      </c>
      <c r="J57" t="str">
        <f t="shared" si="4"/>
        <v>TOP</v>
      </c>
      <c r="K57" t="str">
        <f t="shared" si="5"/>
        <v>Sodiq</v>
      </c>
      <c r="L57" t="str">
        <f t="shared" si="6"/>
        <v xml:space="preserve"> </v>
      </c>
      <c r="M57" t="str">
        <f t="shared" si="7"/>
        <v xml:space="preserve"> </v>
      </c>
      <c r="N57" s="23" t="str">
        <f t="shared" si="8"/>
        <v xml:space="preserve"> </v>
      </c>
    </row>
    <row r="58" spans="1:14">
      <c r="A58" s="29">
        <v>4876331</v>
      </c>
      <c r="B58" s="10">
        <f>_xlfn.XLOOKUP(A58,Data!E:E,Data!B:B,0,0,-1)</f>
        <v>45308</v>
      </c>
      <c r="C58" s="20">
        <f>_xlfn.XLOOKUP(A58,Data!E:E,Data!B:B)</f>
        <v>45632</v>
      </c>
      <c r="D58" s="21">
        <f>COUNTIF(Data!E:E,A58)</f>
        <v>19</v>
      </c>
      <c r="E58" s="22">
        <f>SUMIF(Data!E:E,'RFM mijozlar tahlili'!A58,Data!J:J)</f>
        <v>13384255.603951998</v>
      </c>
      <c r="F58" s="29">
        <f t="shared" si="0"/>
        <v>1</v>
      </c>
      <c r="G58">
        <f t="shared" si="1"/>
        <v>5</v>
      </c>
      <c r="H58">
        <f t="shared" si="2"/>
        <v>5</v>
      </c>
      <c r="I58" s="23">
        <f t="shared" si="3"/>
        <v>5</v>
      </c>
      <c r="J58" t="str">
        <f t="shared" si="4"/>
        <v>TOP</v>
      </c>
      <c r="K58" t="str">
        <f t="shared" si="5"/>
        <v>Sodiq</v>
      </c>
      <c r="L58" t="str">
        <f t="shared" si="6"/>
        <v xml:space="preserve"> </v>
      </c>
      <c r="M58" t="str">
        <f t="shared" si="7"/>
        <v xml:space="preserve"> </v>
      </c>
      <c r="N58" s="23" t="str">
        <f t="shared" si="8"/>
        <v xml:space="preserve"> </v>
      </c>
    </row>
    <row r="59" spans="1:14">
      <c r="A59" s="29">
        <v>4878797</v>
      </c>
      <c r="B59" s="10">
        <f>_xlfn.XLOOKUP(A59,Data!E:E,Data!B:B,0,0,-1)</f>
        <v>45308</v>
      </c>
      <c r="C59" s="20">
        <f>_xlfn.XLOOKUP(A59,Data!E:E,Data!B:B)</f>
        <v>45635</v>
      </c>
      <c r="D59" s="21">
        <f>COUNTIF(Data!E:E,A59)</f>
        <v>66</v>
      </c>
      <c r="E59" s="22">
        <f>SUMIF(Data!E:E,'RFM mijozlar tahlili'!A59,Data!J:J)</f>
        <v>60859423.521759987</v>
      </c>
      <c r="F59" s="29">
        <f t="shared" si="0"/>
        <v>1</v>
      </c>
      <c r="G59">
        <f t="shared" si="1"/>
        <v>5</v>
      </c>
      <c r="H59">
        <f t="shared" si="2"/>
        <v>5</v>
      </c>
      <c r="I59" s="23">
        <f t="shared" si="3"/>
        <v>5</v>
      </c>
      <c r="J59" t="str">
        <f t="shared" si="4"/>
        <v>TOP</v>
      </c>
      <c r="K59" t="str">
        <f t="shared" si="5"/>
        <v>Sodiq</v>
      </c>
      <c r="L59" t="str">
        <f t="shared" si="6"/>
        <v xml:space="preserve"> </v>
      </c>
      <c r="M59" t="str">
        <f t="shared" si="7"/>
        <v xml:space="preserve"> </v>
      </c>
      <c r="N59" s="23" t="str">
        <f t="shared" si="8"/>
        <v xml:space="preserve"> </v>
      </c>
    </row>
    <row r="60" spans="1:14">
      <c r="A60" s="29">
        <v>4879076</v>
      </c>
      <c r="B60" s="10">
        <f>_xlfn.XLOOKUP(A60,Data!E:E,Data!B:B,0,0,-1)</f>
        <v>45394</v>
      </c>
      <c r="C60" s="20">
        <f>_xlfn.XLOOKUP(A60,Data!E:E,Data!B:B)</f>
        <v>45636</v>
      </c>
      <c r="D60" s="21">
        <f>COUNTIF(Data!E:E,A60)</f>
        <v>41</v>
      </c>
      <c r="E60" s="22">
        <f>SUMIF(Data!E:E,'RFM mijozlar tahlili'!A60,Data!J:J)</f>
        <v>16649607.226815993</v>
      </c>
      <c r="F60" s="29">
        <f t="shared" si="0"/>
        <v>1</v>
      </c>
      <c r="G60">
        <f t="shared" si="1"/>
        <v>5</v>
      </c>
      <c r="H60">
        <f t="shared" si="2"/>
        <v>5</v>
      </c>
      <c r="I60" s="23">
        <f t="shared" si="3"/>
        <v>5</v>
      </c>
      <c r="J60" t="str">
        <f t="shared" si="4"/>
        <v>TOP</v>
      </c>
      <c r="K60" t="str">
        <f t="shared" si="5"/>
        <v>Sodiq</v>
      </c>
      <c r="L60" t="str">
        <f t="shared" si="6"/>
        <v xml:space="preserve"> </v>
      </c>
      <c r="M60" t="str">
        <f t="shared" si="7"/>
        <v xml:space="preserve"> </v>
      </c>
      <c r="N60" s="23" t="str">
        <f t="shared" si="8"/>
        <v xml:space="preserve"> </v>
      </c>
    </row>
    <row r="61" spans="1:14">
      <c r="A61" s="29">
        <v>4872585</v>
      </c>
      <c r="B61" s="10">
        <f>_xlfn.XLOOKUP(A61,Data!E:E,Data!B:B,0,0,-1)</f>
        <v>45360</v>
      </c>
      <c r="C61" s="20">
        <f>_xlfn.XLOOKUP(A61,Data!E:E,Data!B:B)</f>
        <v>45636</v>
      </c>
      <c r="D61" s="21">
        <f>COUNTIF(Data!E:E,A61)</f>
        <v>23</v>
      </c>
      <c r="E61" s="22">
        <f>SUMIF(Data!E:E,'RFM mijozlar tahlili'!A61,Data!J:J)</f>
        <v>7511535.7406399995</v>
      </c>
      <c r="F61" s="29">
        <f t="shared" si="0"/>
        <v>1</v>
      </c>
      <c r="G61">
        <f t="shared" si="1"/>
        <v>5</v>
      </c>
      <c r="H61">
        <f t="shared" si="2"/>
        <v>5</v>
      </c>
      <c r="I61" s="23">
        <f t="shared" si="3"/>
        <v>3</v>
      </c>
      <c r="J61" t="str">
        <f t="shared" si="4"/>
        <v xml:space="preserve"> </v>
      </c>
      <c r="K61" t="str">
        <f t="shared" si="5"/>
        <v>Sodiq</v>
      </c>
      <c r="L61" t="str">
        <f t="shared" si="6"/>
        <v xml:space="preserve"> </v>
      </c>
      <c r="M61" t="str">
        <f t="shared" si="7"/>
        <v xml:space="preserve"> </v>
      </c>
      <c r="N61" s="23" t="str">
        <f t="shared" si="8"/>
        <v xml:space="preserve"> </v>
      </c>
    </row>
    <row r="62" spans="1:14">
      <c r="A62" s="29">
        <v>4872844</v>
      </c>
      <c r="B62" s="10">
        <f>_xlfn.XLOOKUP(A62,Data!E:E,Data!B:B,0,0,-1)</f>
        <v>45301</v>
      </c>
      <c r="C62" s="20">
        <f>_xlfn.XLOOKUP(A62,Data!E:E,Data!B:B)</f>
        <v>45636</v>
      </c>
      <c r="D62" s="21">
        <f>COUNTIF(Data!E:E,A62)</f>
        <v>56</v>
      </c>
      <c r="E62" s="22">
        <f>SUMIF(Data!E:E,'RFM mijozlar tahlili'!A62,Data!J:J)</f>
        <v>28352643.183439989</v>
      </c>
      <c r="F62" s="29">
        <f t="shared" si="0"/>
        <v>1</v>
      </c>
      <c r="G62">
        <f t="shared" si="1"/>
        <v>5</v>
      </c>
      <c r="H62">
        <f t="shared" si="2"/>
        <v>5</v>
      </c>
      <c r="I62" s="23">
        <f t="shared" si="3"/>
        <v>5</v>
      </c>
      <c r="J62" t="str">
        <f t="shared" si="4"/>
        <v>TOP</v>
      </c>
      <c r="K62" t="str">
        <f t="shared" si="5"/>
        <v>Sodiq</v>
      </c>
      <c r="L62" t="str">
        <f t="shared" si="6"/>
        <v xml:space="preserve"> </v>
      </c>
      <c r="M62" t="str">
        <f t="shared" si="7"/>
        <v xml:space="preserve"> </v>
      </c>
      <c r="N62" s="23" t="str">
        <f t="shared" si="8"/>
        <v xml:space="preserve"> </v>
      </c>
    </row>
    <row r="63" spans="1:14">
      <c r="A63" s="29">
        <v>6080798</v>
      </c>
      <c r="B63" s="10">
        <f>_xlfn.XLOOKUP(A63,Data!E:E,Data!B:B,0,0,-1)</f>
        <v>45427</v>
      </c>
      <c r="C63" s="20">
        <f>_xlfn.XLOOKUP(A63,Data!E:E,Data!B:B)</f>
        <v>45638</v>
      </c>
      <c r="D63" s="21">
        <f>COUNTIF(Data!E:E,A63)</f>
        <v>12</v>
      </c>
      <c r="E63" s="22">
        <f>SUMIF(Data!E:E,'RFM mijozlar tahlili'!A63,Data!J:J)</f>
        <v>8790320.3671199996</v>
      </c>
      <c r="F63" s="29">
        <f t="shared" si="0"/>
        <v>1</v>
      </c>
      <c r="G63">
        <f t="shared" si="1"/>
        <v>5</v>
      </c>
      <c r="H63">
        <f t="shared" si="2"/>
        <v>4</v>
      </c>
      <c r="I63" s="23">
        <f t="shared" si="3"/>
        <v>4</v>
      </c>
      <c r="J63" t="str">
        <f t="shared" si="4"/>
        <v xml:space="preserve"> </v>
      </c>
      <c r="K63" t="str">
        <f t="shared" si="5"/>
        <v>Sodiq</v>
      </c>
      <c r="L63" t="str">
        <f t="shared" si="6"/>
        <v xml:space="preserve"> </v>
      </c>
      <c r="M63" t="str">
        <f t="shared" si="7"/>
        <v xml:space="preserve"> </v>
      </c>
      <c r="N63" s="23" t="str">
        <f t="shared" si="8"/>
        <v xml:space="preserve"> </v>
      </c>
    </row>
    <row r="64" spans="1:14">
      <c r="A64" s="29">
        <v>4873753</v>
      </c>
      <c r="B64" s="10">
        <f>_xlfn.XLOOKUP(A64,Data!E:E,Data!B:B,0,0,-1)</f>
        <v>45443</v>
      </c>
      <c r="C64" s="20">
        <f>_xlfn.XLOOKUP(A64,Data!E:E,Data!B:B)</f>
        <v>45640</v>
      </c>
      <c r="D64" s="21">
        <f>COUNTIF(Data!E:E,A64)</f>
        <v>72</v>
      </c>
      <c r="E64" s="22">
        <f>SUMIF(Data!E:E,'RFM mijozlar tahlili'!A64,Data!J:J)</f>
        <v>57543951.270959958</v>
      </c>
      <c r="F64" s="29">
        <f t="shared" si="0"/>
        <v>1</v>
      </c>
      <c r="G64">
        <f t="shared" si="1"/>
        <v>5</v>
      </c>
      <c r="H64">
        <f t="shared" si="2"/>
        <v>5</v>
      </c>
      <c r="I64" s="23">
        <f t="shared" si="3"/>
        <v>5</v>
      </c>
      <c r="J64" t="str">
        <f t="shared" si="4"/>
        <v>TOP</v>
      </c>
      <c r="K64" t="str">
        <f t="shared" si="5"/>
        <v>Sodiq</v>
      </c>
      <c r="L64" t="str">
        <f t="shared" si="6"/>
        <v xml:space="preserve"> </v>
      </c>
      <c r="M64" t="str">
        <f t="shared" si="7"/>
        <v xml:space="preserve"> </v>
      </c>
      <c r="N64" s="23" t="str">
        <f t="shared" si="8"/>
        <v xml:space="preserve"> </v>
      </c>
    </row>
    <row r="65" spans="1:14">
      <c r="A65" s="29">
        <v>4878723</v>
      </c>
      <c r="B65" s="10">
        <f>_xlfn.XLOOKUP(A65,Data!E:E,Data!B:B,0,0,-1)</f>
        <v>45322</v>
      </c>
      <c r="C65" s="20">
        <f>_xlfn.XLOOKUP(A65,Data!E:E,Data!B:B)</f>
        <v>45651</v>
      </c>
      <c r="D65" s="21">
        <f>COUNTIF(Data!E:E,A65)</f>
        <v>39</v>
      </c>
      <c r="E65" s="22">
        <f>SUMIF(Data!E:E,'RFM mijozlar tahlili'!A65,Data!J:J)</f>
        <v>19200967.311439991</v>
      </c>
      <c r="F65" s="29">
        <f t="shared" si="0"/>
        <v>0</v>
      </c>
      <c r="G65">
        <f t="shared" si="1"/>
        <v>5</v>
      </c>
      <c r="H65">
        <f t="shared" si="2"/>
        <v>5</v>
      </c>
      <c r="I65" s="23">
        <f t="shared" si="3"/>
        <v>5</v>
      </c>
      <c r="J65" t="str">
        <f t="shared" si="4"/>
        <v>TOP</v>
      </c>
      <c r="K65" t="str">
        <f t="shared" si="5"/>
        <v>Sodiq</v>
      </c>
      <c r="L65" t="str">
        <f t="shared" si="6"/>
        <v xml:space="preserve"> </v>
      </c>
      <c r="M65" t="str">
        <f t="shared" si="7"/>
        <v xml:space="preserve"> </v>
      </c>
      <c r="N65" s="23" t="str">
        <f t="shared" si="8"/>
        <v xml:space="preserve"> </v>
      </c>
    </row>
    <row r="66" spans="1:14">
      <c r="A66" s="29">
        <v>4876376</v>
      </c>
      <c r="B66" s="10">
        <f>_xlfn.XLOOKUP(A66,Data!E:E,Data!B:B,0,0,-1)</f>
        <v>45490</v>
      </c>
      <c r="C66" s="20">
        <f>_xlfn.XLOOKUP(A66,Data!E:E,Data!B:B)</f>
        <v>45604</v>
      </c>
      <c r="D66" s="21">
        <f>COUNTIF(Data!E:E,A66)</f>
        <v>18</v>
      </c>
      <c r="E66" s="22">
        <f>SUMIF(Data!E:E,'RFM mijozlar tahlili'!A66,Data!J:J)</f>
        <v>3240396.8471680004</v>
      </c>
      <c r="F66" s="29">
        <f t="shared" si="0"/>
        <v>2</v>
      </c>
      <c r="G66">
        <f t="shared" si="1"/>
        <v>4</v>
      </c>
      <c r="H66">
        <f t="shared" si="2"/>
        <v>5</v>
      </c>
      <c r="I66" s="23">
        <f t="shared" si="3"/>
        <v>1</v>
      </c>
      <c r="J66" t="str">
        <f t="shared" si="4"/>
        <v xml:space="preserve"> </v>
      </c>
      <c r="K66" t="str">
        <f t="shared" si="5"/>
        <v>Sodiq</v>
      </c>
      <c r="L66" t="str">
        <f t="shared" si="6"/>
        <v xml:space="preserve"> </v>
      </c>
      <c r="M66" t="str">
        <f t="shared" si="7"/>
        <v xml:space="preserve"> </v>
      </c>
      <c r="N66" s="23" t="str">
        <f t="shared" si="8"/>
        <v xml:space="preserve"> </v>
      </c>
    </row>
    <row r="67" spans="1:14">
      <c r="A67" s="29">
        <v>4877196</v>
      </c>
      <c r="B67" s="10">
        <f>_xlfn.XLOOKUP(A67,Data!E:E,Data!B:B,0,0,-1)</f>
        <v>45335</v>
      </c>
      <c r="C67" s="20">
        <f>_xlfn.XLOOKUP(A67,Data!E:E,Data!B:B)</f>
        <v>45604</v>
      </c>
      <c r="D67" s="21">
        <f>COUNTIF(Data!E:E,A67)</f>
        <v>6</v>
      </c>
      <c r="E67" s="22">
        <f>SUMIF(Data!E:E,'RFM mijozlar tahlili'!A67,Data!J:J)</f>
        <v>4226807.7935999995</v>
      </c>
      <c r="F67" s="29">
        <f t="shared" si="0"/>
        <v>2</v>
      </c>
      <c r="G67">
        <f t="shared" si="1"/>
        <v>4</v>
      </c>
      <c r="H67">
        <f t="shared" si="2"/>
        <v>2</v>
      </c>
      <c r="I67" s="23">
        <f t="shared" si="3"/>
        <v>2</v>
      </c>
      <c r="J67" t="str">
        <f t="shared" si="4"/>
        <v xml:space="preserve"> </v>
      </c>
      <c r="K67" t="str">
        <f t="shared" si="5"/>
        <v xml:space="preserve"> </v>
      </c>
      <c r="L67" t="str">
        <f t="shared" si="6"/>
        <v xml:space="preserve"> </v>
      </c>
      <c r="M67" t="str">
        <f t="shared" si="7"/>
        <v xml:space="preserve"> </v>
      </c>
      <c r="N67" s="23" t="str">
        <f t="shared" si="8"/>
        <v xml:space="preserve"> </v>
      </c>
    </row>
    <row r="68" spans="1:14">
      <c r="A68" s="29">
        <v>4877187</v>
      </c>
      <c r="B68" s="10">
        <f>_xlfn.XLOOKUP(A68,Data!E:E,Data!B:B,0,0,-1)</f>
        <v>45563</v>
      </c>
      <c r="C68" s="20">
        <f>_xlfn.XLOOKUP(A68,Data!E:E,Data!B:B)</f>
        <v>45607</v>
      </c>
      <c r="D68" s="21">
        <f>COUNTIF(Data!E:E,A68)</f>
        <v>8</v>
      </c>
      <c r="E68" s="22">
        <f>SUMIF(Data!E:E,'RFM mijozlar tahlili'!A68,Data!J:J)</f>
        <v>5147252.2944</v>
      </c>
      <c r="F68" s="29">
        <f t="shared" si="0"/>
        <v>2</v>
      </c>
      <c r="G68">
        <f t="shared" si="1"/>
        <v>4</v>
      </c>
      <c r="H68">
        <f t="shared" si="2"/>
        <v>3</v>
      </c>
      <c r="I68" s="23">
        <f t="shared" si="3"/>
        <v>2</v>
      </c>
      <c r="J68" t="str">
        <f t="shared" si="4"/>
        <v xml:space="preserve"> </v>
      </c>
      <c r="K68" t="str">
        <f t="shared" si="5"/>
        <v xml:space="preserve"> </v>
      </c>
      <c r="L68" t="str">
        <f t="shared" si="6"/>
        <v xml:space="preserve"> </v>
      </c>
      <c r="M68" t="str">
        <f t="shared" si="7"/>
        <v xml:space="preserve"> </v>
      </c>
      <c r="N68" s="23" t="str">
        <f t="shared" si="8"/>
        <v xml:space="preserve"> </v>
      </c>
    </row>
    <row r="69" spans="1:14">
      <c r="A69" s="29">
        <v>4878181</v>
      </c>
      <c r="B69" s="10">
        <f>_xlfn.XLOOKUP(A69,Data!E:E,Data!B:B,0,0,-1)</f>
        <v>45548</v>
      </c>
      <c r="C69" s="20">
        <f>_xlfn.XLOOKUP(A69,Data!E:E,Data!B:B)</f>
        <v>45608</v>
      </c>
      <c r="D69" s="21">
        <f>COUNTIF(Data!E:E,A69)</f>
        <v>29</v>
      </c>
      <c r="E69" s="22">
        <f>SUMIF(Data!E:E,'RFM mijozlar tahlili'!A69,Data!J:J)</f>
        <v>6234135.6757760011</v>
      </c>
      <c r="F69" s="29">
        <f t="shared" si="0"/>
        <v>2</v>
      </c>
      <c r="G69">
        <f t="shared" si="1"/>
        <v>4</v>
      </c>
      <c r="H69">
        <f t="shared" si="2"/>
        <v>5</v>
      </c>
      <c r="I69" s="23">
        <f t="shared" si="3"/>
        <v>3</v>
      </c>
      <c r="J69" t="str">
        <f t="shared" si="4"/>
        <v xml:space="preserve"> </v>
      </c>
      <c r="K69" t="str">
        <f t="shared" si="5"/>
        <v>Sodiq</v>
      </c>
      <c r="L69" t="str">
        <f t="shared" si="6"/>
        <v xml:space="preserve"> </v>
      </c>
      <c r="M69" t="str">
        <f t="shared" si="7"/>
        <v xml:space="preserve"> </v>
      </c>
      <c r="N69" s="23" t="str">
        <f t="shared" si="8"/>
        <v xml:space="preserve"> </v>
      </c>
    </row>
    <row r="70" spans="1:14">
      <c r="A70" s="29">
        <v>4875084</v>
      </c>
      <c r="B70" s="10">
        <f>_xlfn.XLOOKUP(A70,Data!E:E,Data!B:B,0,0,-1)</f>
        <v>45306</v>
      </c>
      <c r="C70" s="20">
        <f>_xlfn.XLOOKUP(A70,Data!E:E,Data!B:B)</f>
        <v>45608</v>
      </c>
      <c r="D70" s="21">
        <f>COUNTIF(Data!E:E,A70)</f>
        <v>3</v>
      </c>
      <c r="E70" s="22">
        <f>SUMIF(Data!E:E,'RFM mijozlar tahlili'!A70,Data!J:J)</f>
        <v>593765.85671999992</v>
      </c>
      <c r="F70" s="29">
        <f t="shared" ref="F70:F133" si="9">ROUND(($F$4-C70)/30,0)</f>
        <v>2</v>
      </c>
      <c r="G70">
        <f t="shared" ref="G70:G133" si="10">IF(F70&lt;=1,5,IF(F70=2,4,IF(F70=3,3,IF(F70=4,2,IF(F70=5,1,IF(F70&gt;5,0,0))))))</f>
        <v>4</v>
      </c>
      <c r="H70">
        <f t="shared" ref="H70:H133" si="11">IF(D70&gt;=$D$3,5,IF(D70&lt;3,0,IF(D70&lt;5,1,IF(D70&lt;7,2,IF(D70&lt;9,3,IF(D70&lt;=$D$3,4,0))))))</f>
        <v>1</v>
      </c>
      <c r="I70" s="23">
        <f t="shared" ref="I70:I133" si="12">IF(E70&gt;=$E$3,5,IF(E70&lt;2000000,0,IF(E70&lt;=4000000,1,IF(E70&lt;=6000000,2,IF(E70&lt;=8000000,3,IF(E70&lt;=$E$3,4))))))</f>
        <v>0</v>
      </c>
      <c r="J70" t="str">
        <f t="shared" ref="J70:J133" si="13">IF(AND(G70=5,H70=5,I70=5),"TOP"," ")</f>
        <v xml:space="preserve"> </v>
      </c>
      <c r="K70" t="str">
        <f t="shared" ref="K70:K133" si="14">IF(AND(G70&gt;=4,H70&gt;=4), "Sodiq", " ")</f>
        <v xml:space="preserve"> </v>
      </c>
      <c r="L70" t="str">
        <f t="shared" ref="L70:L133" si="15">IF(AND(G70&lt;=1,H70&lt;=1), "Yo'qotilgan", " ")</f>
        <v xml:space="preserve"> </v>
      </c>
      <c r="M70" t="str">
        <f t="shared" ref="M70:M133" si="16">IF(AND(G70&lt;=3,I70&gt;=3), "Yo'qotishdagi", " ")</f>
        <v xml:space="preserve"> </v>
      </c>
      <c r="N70" s="23" t="str">
        <f t="shared" ref="N70:N133" si="17">IF(AND((B70-$N$2)&gt;0, F70&lt;=2), "Yangi", " ")</f>
        <v xml:space="preserve"> </v>
      </c>
    </row>
    <row r="71" spans="1:14">
      <c r="A71" s="29">
        <v>6893143</v>
      </c>
      <c r="B71" s="10">
        <f>_xlfn.XLOOKUP(A71,Data!E:E,Data!B:B,0,0,-1)</f>
        <v>45608</v>
      </c>
      <c r="C71" s="20">
        <f>_xlfn.XLOOKUP(A71,Data!E:E,Data!B:B)</f>
        <v>45608</v>
      </c>
      <c r="D71" s="21">
        <f>COUNTIF(Data!E:E,A71)</f>
        <v>8</v>
      </c>
      <c r="E71" s="22">
        <f>SUMIF(Data!E:E,'RFM mijozlar tahlili'!A71,Data!J:J)</f>
        <v>2596216.3630399997</v>
      </c>
      <c r="F71" s="29">
        <f t="shared" si="9"/>
        <v>2</v>
      </c>
      <c r="G71">
        <f t="shared" si="10"/>
        <v>4</v>
      </c>
      <c r="H71">
        <f t="shared" si="11"/>
        <v>3</v>
      </c>
      <c r="I71" s="23">
        <f t="shared" si="12"/>
        <v>1</v>
      </c>
      <c r="J71" t="str">
        <f t="shared" si="13"/>
        <v xml:space="preserve"> </v>
      </c>
      <c r="K71" t="str">
        <f t="shared" si="14"/>
        <v xml:space="preserve"> </v>
      </c>
      <c r="L71" t="str">
        <f t="shared" si="15"/>
        <v xml:space="preserve"> </v>
      </c>
      <c r="M71" t="str">
        <f t="shared" si="16"/>
        <v xml:space="preserve"> </v>
      </c>
      <c r="N71" s="23" t="str">
        <f t="shared" si="17"/>
        <v>Yangi</v>
      </c>
    </row>
    <row r="72" spans="1:14">
      <c r="A72" s="29">
        <v>4878731</v>
      </c>
      <c r="B72" s="10">
        <f>_xlfn.XLOOKUP(A72,Data!E:E,Data!B:B,0,0,-1)</f>
        <v>45586</v>
      </c>
      <c r="C72" s="20">
        <f>_xlfn.XLOOKUP(A72,Data!E:E,Data!B:B)</f>
        <v>45611</v>
      </c>
      <c r="D72" s="21">
        <f>COUNTIF(Data!E:E,A72)</f>
        <v>14</v>
      </c>
      <c r="E72" s="22">
        <f>SUMIF(Data!E:E,'RFM mijozlar tahlili'!A72,Data!J:J)</f>
        <v>2611160.0797919994</v>
      </c>
      <c r="F72" s="29">
        <f t="shared" si="9"/>
        <v>2</v>
      </c>
      <c r="G72">
        <f t="shared" si="10"/>
        <v>4</v>
      </c>
      <c r="H72">
        <f t="shared" si="11"/>
        <v>5</v>
      </c>
      <c r="I72" s="23">
        <f t="shared" si="12"/>
        <v>1</v>
      </c>
      <c r="J72" t="str">
        <f t="shared" si="13"/>
        <v xml:space="preserve"> </v>
      </c>
      <c r="K72" t="str">
        <f t="shared" si="14"/>
        <v>Sodiq</v>
      </c>
      <c r="L72" t="str">
        <f t="shared" si="15"/>
        <v xml:space="preserve"> </v>
      </c>
      <c r="M72" t="str">
        <f t="shared" si="16"/>
        <v xml:space="preserve"> </v>
      </c>
      <c r="N72" s="23" t="str">
        <f t="shared" si="17"/>
        <v>Yangi</v>
      </c>
    </row>
    <row r="73" spans="1:14">
      <c r="A73" s="29">
        <v>6992965</v>
      </c>
      <c r="B73" s="10">
        <f>_xlfn.XLOOKUP(A73,Data!E:E,Data!B:B,0,0,-1)</f>
        <v>45615</v>
      </c>
      <c r="C73" s="20">
        <f>_xlfn.XLOOKUP(A73,Data!E:E,Data!B:B)</f>
        <v>45601</v>
      </c>
      <c r="D73" s="21">
        <f>COUNTIF(Data!E:E,A73)</f>
        <v>6</v>
      </c>
      <c r="E73" s="22">
        <f>SUMIF(Data!E:E,'RFM mijozlar tahlili'!A73,Data!J:J)</f>
        <v>1760981.4527999999</v>
      </c>
      <c r="F73" s="29">
        <f t="shared" si="9"/>
        <v>2</v>
      </c>
      <c r="G73">
        <f t="shared" si="10"/>
        <v>4</v>
      </c>
      <c r="H73">
        <f t="shared" si="11"/>
        <v>2</v>
      </c>
      <c r="I73" s="23">
        <f t="shared" si="12"/>
        <v>0</v>
      </c>
      <c r="J73" t="str">
        <f t="shared" si="13"/>
        <v xml:space="preserve"> </v>
      </c>
      <c r="K73" t="str">
        <f t="shared" si="14"/>
        <v xml:space="preserve"> </v>
      </c>
      <c r="L73" t="str">
        <f t="shared" si="15"/>
        <v xml:space="preserve"> </v>
      </c>
      <c r="M73" t="str">
        <f t="shared" si="16"/>
        <v xml:space="preserve"> </v>
      </c>
      <c r="N73" s="23" t="str">
        <f t="shared" si="17"/>
        <v>Yangi</v>
      </c>
    </row>
    <row r="74" spans="1:14">
      <c r="A74" s="29">
        <v>4878172</v>
      </c>
      <c r="B74" s="10">
        <f>_xlfn.XLOOKUP(A74,Data!E:E,Data!B:B,0,0,-1)</f>
        <v>45313</v>
      </c>
      <c r="C74" s="20">
        <f>_xlfn.XLOOKUP(A74,Data!E:E,Data!B:B)</f>
        <v>45603</v>
      </c>
      <c r="D74" s="21">
        <f>COUNTIF(Data!E:E,A74)</f>
        <v>4</v>
      </c>
      <c r="E74" s="22">
        <f>SUMIF(Data!E:E,'RFM mijozlar tahlili'!A74,Data!J:J)</f>
        <v>1207659.3695999999</v>
      </c>
      <c r="F74" s="29">
        <f t="shared" si="9"/>
        <v>2</v>
      </c>
      <c r="G74">
        <f t="shared" si="10"/>
        <v>4</v>
      </c>
      <c r="H74">
        <f t="shared" si="11"/>
        <v>1</v>
      </c>
      <c r="I74" s="23">
        <f t="shared" si="12"/>
        <v>0</v>
      </c>
      <c r="J74" t="str">
        <f t="shared" si="13"/>
        <v xml:space="preserve"> </v>
      </c>
      <c r="K74" t="str">
        <f t="shared" si="14"/>
        <v xml:space="preserve"> </v>
      </c>
      <c r="L74" t="str">
        <f t="shared" si="15"/>
        <v xml:space="preserve"> </v>
      </c>
      <c r="M74" t="str">
        <f t="shared" si="16"/>
        <v xml:space="preserve"> </v>
      </c>
      <c r="N74" s="23" t="str">
        <f t="shared" si="17"/>
        <v xml:space="preserve"> </v>
      </c>
    </row>
    <row r="75" spans="1:14">
      <c r="A75" s="29">
        <v>4877603</v>
      </c>
      <c r="B75" s="10">
        <f>_xlfn.XLOOKUP(A75,Data!E:E,Data!B:B,0,0,-1)</f>
        <v>45575</v>
      </c>
      <c r="C75" s="20">
        <f>_xlfn.XLOOKUP(A75,Data!E:E,Data!B:B)</f>
        <v>45603</v>
      </c>
      <c r="D75" s="21">
        <f>COUNTIF(Data!E:E,A75)</f>
        <v>6</v>
      </c>
      <c r="E75" s="22">
        <f>SUMIF(Data!E:E,'RFM mijozlar tahlili'!A75,Data!J:J)</f>
        <v>1247851.86152</v>
      </c>
      <c r="F75" s="29">
        <f t="shared" si="9"/>
        <v>2</v>
      </c>
      <c r="G75">
        <f t="shared" si="10"/>
        <v>4</v>
      </c>
      <c r="H75">
        <f t="shared" si="11"/>
        <v>2</v>
      </c>
      <c r="I75" s="23">
        <f t="shared" si="12"/>
        <v>0</v>
      </c>
      <c r="J75" t="str">
        <f t="shared" si="13"/>
        <v xml:space="preserve"> </v>
      </c>
      <c r="K75" t="str">
        <f t="shared" si="14"/>
        <v xml:space="preserve"> </v>
      </c>
      <c r="L75" t="str">
        <f t="shared" si="15"/>
        <v xml:space="preserve"> </v>
      </c>
      <c r="M75" t="str">
        <f t="shared" si="16"/>
        <v xml:space="preserve"> </v>
      </c>
      <c r="N75" s="23" t="str">
        <f t="shared" si="17"/>
        <v>Yangi</v>
      </c>
    </row>
    <row r="76" spans="1:14">
      <c r="A76" s="29">
        <v>4877628</v>
      </c>
      <c r="B76" s="10">
        <f>_xlfn.XLOOKUP(A76,Data!E:E,Data!B:B,0,0,-1)</f>
        <v>45303</v>
      </c>
      <c r="C76" s="20">
        <f>_xlfn.XLOOKUP(A76,Data!E:E,Data!B:B)</f>
        <v>45603</v>
      </c>
      <c r="D76" s="21">
        <f>COUNTIF(Data!E:E,A76)</f>
        <v>13</v>
      </c>
      <c r="E76" s="22">
        <f>SUMIF(Data!E:E,'RFM mijozlar tahlili'!A76,Data!J:J)</f>
        <v>4407710.4430719987</v>
      </c>
      <c r="F76" s="29">
        <f t="shared" si="9"/>
        <v>2</v>
      </c>
      <c r="G76">
        <f t="shared" si="10"/>
        <v>4</v>
      </c>
      <c r="H76">
        <f t="shared" si="11"/>
        <v>4</v>
      </c>
      <c r="I76" s="23">
        <f t="shared" si="12"/>
        <v>2</v>
      </c>
      <c r="J76" t="str">
        <f t="shared" si="13"/>
        <v xml:space="preserve"> </v>
      </c>
      <c r="K76" t="str">
        <f t="shared" si="14"/>
        <v>Sodiq</v>
      </c>
      <c r="L76" t="str">
        <f t="shared" si="15"/>
        <v xml:space="preserve"> </v>
      </c>
      <c r="M76" t="str">
        <f t="shared" si="16"/>
        <v xml:space="preserve"> </v>
      </c>
      <c r="N76" s="23" t="str">
        <f t="shared" si="17"/>
        <v xml:space="preserve"> </v>
      </c>
    </row>
    <row r="77" spans="1:14">
      <c r="A77" s="29">
        <v>7675600</v>
      </c>
      <c r="B77" s="10">
        <f>_xlfn.XLOOKUP(A77,Data!E:E,Data!B:B,0,0,-1)</f>
        <v>45605</v>
      </c>
      <c r="C77" s="20">
        <f>_xlfn.XLOOKUP(A77,Data!E:E,Data!B:B)</f>
        <v>45605</v>
      </c>
      <c r="D77" s="21">
        <f>COUNTIF(Data!E:E,A77)</f>
        <v>1</v>
      </c>
      <c r="E77" s="22">
        <f>SUMIF(Data!E:E,'RFM mijozlar tahlili'!A77,Data!J:J)</f>
        <v>201276.56159999999</v>
      </c>
      <c r="F77" s="29">
        <f t="shared" si="9"/>
        <v>2</v>
      </c>
      <c r="G77">
        <f t="shared" si="10"/>
        <v>4</v>
      </c>
      <c r="H77">
        <f t="shared" si="11"/>
        <v>0</v>
      </c>
      <c r="I77" s="23">
        <f t="shared" si="12"/>
        <v>0</v>
      </c>
      <c r="J77" t="str">
        <f t="shared" si="13"/>
        <v xml:space="preserve"> </v>
      </c>
      <c r="K77" t="str">
        <f t="shared" si="14"/>
        <v xml:space="preserve"> </v>
      </c>
      <c r="L77" t="str">
        <f t="shared" si="15"/>
        <v xml:space="preserve"> </v>
      </c>
      <c r="M77" t="str">
        <f t="shared" si="16"/>
        <v xml:space="preserve"> </v>
      </c>
      <c r="N77" s="23" t="str">
        <f t="shared" si="17"/>
        <v>Yangi</v>
      </c>
    </row>
    <row r="78" spans="1:14">
      <c r="A78" s="29">
        <v>4878477</v>
      </c>
      <c r="B78" s="10">
        <f>_xlfn.XLOOKUP(A78,Data!E:E,Data!B:B,0,0,-1)</f>
        <v>45366</v>
      </c>
      <c r="C78" s="20">
        <f>_xlfn.XLOOKUP(A78,Data!E:E,Data!B:B)</f>
        <v>45605</v>
      </c>
      <c r="D78" s="21">
        <f>COUNTIF(Data!E:E,A78)</f>
        <v>18</v>
      </c>
      <c r="E78" s="22">
        <f>SUMIF(Data!E:E,'RFM mijozlar tahlili'!A78,Data!J:J)</f>
        <v>4870578.688719999</v>
      </c>
      <c r="F78" s="29">
        <f t="shared" si="9"/>
        <v>2</v>
      </c>
      <c r="G78">
        <f t="shared" si="10"/>
        <v>4</v>
      </c>
      <c r="H78">
        <f t="shared" si="11"/>
        <v>5</v>
      </c>
      <c r="I78" s="23">
        <f t="shared" si="12"/>
        <v>2</v>
      </c>
      <c r="J78" t="str">
        <f t="shared" si="13"/>
        <v xml:space="preserve"> </v>
      </c>
      <c r="K78" t="str">
        <f t="shared" si="14"/>
        <v>Sodiq</v>
      </c>
      <c r="L78" t="str">
        <f t="shared" si="15"/>
        <v xml:space="preserve"> </v>
      </c>
      <c r="M78" t="str">
        <f t="shared" si="16"/>
        <v xml:space="preserve"> </v>
      </c>
      <c r="N78" s="23" t="str">
        <f t="shared" si="17"/>
        <v xml:space="preserve"> </v>
      </c>
    </row>
    <row r="79" spans="1:14">
      <c r="A79" s="29">
        <v>4878058</v>
      </c>
      <c r="B79" s="10">
        <f>_xlfn.XLOOKUP(A79,Data!E:E,Data!B:B,0,0,-1)</f>
        <v>45332</v>
      </c>
      <c r="C79" s="20">
        <f>_xlfn.XLOOKUP(A79,Data!E:E,Data!B:B)</f>
        <v>45611</v>
      </c>
      <c r="D79" s="21">
        <f>COUNTIF(Data!E:E,A79)</f>
        <v>7</v>
      </c>
      <c r="E79" s="22">
        <f>SUMIF(Data!E:E,'RFM mijozlar tahlili'!A79,Data!J:J)</f>
        <v>1499387.2559359998</v>
      </c>
      <c r="F79" s="29">
        <f t="shared" si="9"/>
        <v>2</v>
      </c>
      <c r="G79">
        <f t="shared" si="10"/>
        <v>4</v>
      </c>
      <c r="H79">
        <f t="shared" si="11"/>
        <v>3</v>
      </c>
      <c r="I79" s="23">
        <f t="shared" si="12"/>
        <v>0</v>
      </c>
      <c r="J79" t="str">
        <f t="shared" si="13"/>
        <v xml:space="preserve"> </v>
      </c>
      <c r="K79" t="str">
        <f t="shared" si="14"/>
        <v xml:space="preserve"> </v>
      </c>
      <c r="L79" t="str">
        <f t="shared" si="15"/>
        <v xml:space="preserve"> </v>
      </c>
      <c r="M79" t="str">
        <f t="shared" si="16"/>
        <v xml:space="preserve"> </v>
      </c>
      <c r="N79" s="23" t="str">
        <f t="shared" si="17"/>
        <v xml:space="preserve"> </v>
      </c>
    </row>
    <row r="80" spans="1:14">
      <c r="A80" s="29">
        <v>4878259</v>
      </c>
      <c r="B80" s="10">
        <f>_xlfn.XLOOKUP(A80,Data!E:E,Data!B:B,0,0,-1)</f>
        <v>45300</v>
      </c>
      <c r="C80" s="20">
        <f>_xlfn.XLOOKUP(A80,Data!E:E,Data!B:B)</f>
        <v>45614</v>
      </c>
      <c r="D80" s="21">
        <f>COUNTIF(Data!E:E,A80)</f>
        <v>41</v>
      </c>
      <c r="E80" s="22">
        <f>SUMIF(Data!E:E,'RFM mijozlar tahlili'!A80,Data!J:J)</f>
        <v>7912053.4828799963</v>
      </c>
      <c r="F80" s="29">
        <f t="shared" si="9"/>
        <v>2</v>
      </c>
      <c r="G80">
        <f t="shared" si="10"/>
        <v>4</v>
      </c>
      <c r="H80">
        <f t="shared" si="11"/>
        <v>5</v>
      </c>
      <c r="I80" s="23">
        <f t="shared" si="12"/>
        <v>3</v>
      </c>
      <c r="J80" t="str">
        <f t="shared" si="13"/>
        <v xml:space="preserve"> </v>
      </c>
      <c r="K80" t="str">
        <f t="shared" si="14"/>
        <v>Sodiq</v>
      </c>
      <c r="L80" t="str">
        <f t="shared" si="15"/>
        <v xml:space="preserve"> </v>
      </c>
      <c r="M80" t="str">
        <f t="shared" si="16"/>
        <v xml:space="preserve"> </v>
      </c>
      <c r="N80" s="23" t="str">
        <f t="shared" si="17"/>
        <v xml:space="preserve"> </v>
      </c>
    </row>
    <row r="81" spans="1:14">
      <c r="A81" s="29">
        <v>6444288</v>
      </c>
      <c r="B81" s="10">
        <f>_xlfn.XLOOKUP(A81,Data!E:E,Data!B:B,0,0,-1)</f>
        <v>45586</v>
      </c>
      <c r="C81" s="20">
        <f>_xlfn.XLOOKUP(A81,Data!E:E,Data!B:B)</f>
        <v>45614</v>
      </c>
      <c r="D81" s="21">
        <f>COUNTIF(Data!E:E,A81)</f>
        <v>10</v>
      </c>
      <c r="E81" s="22">
        <f>SUMIF(Data!E:E,'RFM mijozlar tahlili'!A81,Data!J:J)</f>
        <v>2430257.4303199998</v>
      </c>
      <c r="F81" s="29">
        <f t="shared" si="9"/>
        <v>2</v>
      </c>
      <c r="G81">
        <f t="shared" si="10"/>
        <v>4</v>
      </c>
      <c r="H81">
        <f t="shared" si="11"/>
        <v>4</v>
      </c>
      <c r="I81" s="23">
        <f t="shared" si="12"/>
        <v>1</v>
      </c>
      <c r="J81" t="str">
        <f t="shared" si="13"/>
        <v xml:space="preserve"> </v>
      </c>
      <c r="K81" t="str">
        <f t="shared" si="14"/>
        <v>Sodiq</v>
      </c>
      <c r="L81" t="str">
        <f t="shared" si="15"/>
        <v xml:space="preserve"> </v>
      </c>
      <c r="M81" t="str">
        <f t="shared" si="16"/>
        <v xml:space="preserve"> </v>
      </c>
      <c r="N81" s="23" t="str">
        <f t="shared" si="17"/>
        <v>Yangi</v>
      </c>
    </row>
    <row r="82" spans="1:14">
      <c r="A82" s="29">
        <v>4877862</v>
      </c>
      <c r="B82" s="10">
        <f>_xlfn.XLOOKUP(A82,Data!E:E,Data!B:B,0,0,-1)</f>
        <v>45450</v>
      </c>
      <c r="C82" s="20">
        <f>_xlfn.XLOOKUP(A82,Data!E:E,Data!B:B)</f>
        <v>45617</v>
      </c>
      <c r="D82" s="21">
        <f>COUNTIF(Data!E:E,A82)</f>
        <v>7</v>
      </c>
      <c r="E82" s="22">
        <f>SUMIF(Data!E:E,'RFM mijozlar tahlili'!A82,Data!J:J)</f>
        <v>2012765.6159999995</v>
      </c>
      <c r="F82" s="29">
        <f t="shared" si="9"/>
        <v>2</v>
      </c>
      <c r="G82">
        <f t="shared" si="10"/>
        <v>4</v>
      </c>
      <c r="H82">
        <f t="shared" si="11"/>
        <v>3</v>
      </c>
      <c r="I82" s="23">
        <f t="shared" si="12"/>
        <v>1</v>
      </c>
      <c r="J82" t="str">
        <f t="shared" si="13"/>
        <v xml:space="preserve"> </v>
      </c>
      <c r="K82" t="str">
        <f t="shared" si="14"/>
        <v xml:space="preserve"> </v>
      </c>
      <c r="L82" t="str">
        <f t="shared" si="15"/>
        <v xml:space="preserve"> </v>
      </c>
      <c r="M82" t="str">
        <f t="shared" si="16"/>
        <v xml:space="preserve"> </v>
      </c>
      <c r="N82" s="23" t="str">
        <f t="shared" si="17"/>
        <v xml:space="preserve"> </v>
      </c>
    </row>
    <row r="83" spans="1:14">
      <c r="A83" s="29">
        <v>4878530</v>
      </c>
      <c r="B83" s="10">
        <f>_xlfn.XLOOKUP(A83,Data!E:E,Data!B:B,0,0,-1)</f>
        <v>45533</v>
      </c>
      <c r="C83" s="20">
        <f>_xlfn.XLOOKUP(A83,Data!E:E,Data!B:B)</f>
        <v>45618</v>
      </c>
      <c r="D83" s="21">
        <f>COUNTIF(Data!E:E,A83)</f>
        <v>5</v>
      </c>
      <c r="E83" s="22">
        <f>SUMIF(Data!E:E,'RFM mijozlar tahlili'!A83,Data!J:J)</f>
        <v>704342.32479999994</v>
      </c>
      <c r="F83" s="29">
        <f t="shared" si="9"/>
        <v>1</v>
      </c>
      <c r="G83">
        <f t="shared" si="10"/>
        <v>5</v>
      </c>
      <c r="H83">
        <f t="shared" si="11"/>
        <v>2</v>
      </c>
      <c r="I83" s="23">
        <f t="shared" si="12"/>
        <v>0</v>
      </c>
      <c r="J83" t="str">
        <f t="shared" si="13"/>
        <v xml:space="preserve"> </v>
      </c>
      <c r="K83" t="str">
        <f t="shared" si="14"/>
        <v xml:space="preserve"> </v>
      </c>
      <c r="L83" t="str">
        <f t="shared" si="15"/>
        <v xml:space="preserve"> </v>
      </c>
      <c r="M83" t="str">
        <f t="shared" si="16"/>
        <v xml:space="preserve"> </v>
      </c>
      <c r="N83" s="23" t="str">
        <f t="shared" si="17"/>
        <v xml:space="preserve"> </v>
      </c>
    </row>
    <row r="84" spans="1:14">
      <c r="A84" s="29">
        <v>4877650</v>
      </c>
      <c r="B84" s="10">
        <f>_xlfn.XLOOKUP(A84,Data!E:E,Data!B:B,0,0,-1)</f>
        <v>45624</v>
      </c>
      <c r="C84" s="20">
        <f>_xlfn.XLOOKUP(A84,Data!E:E,Data!B:B)</f>
        <v>45624</v>
      </c>
      <c r="D84" s="21">
        <f>COUNTIF(Data!E:E,A84)</f>
        <v>1</v>
      </c>
      <c r="E84" s="22">
        <f>SUMIF(Data!E:E,'RFM mijozlar tahlili'!A84,Data!J:J)</f>
        <v>201276.56159999999</v>
      </c>
      <c r="F84" s="29">
        <f t="shared" si="9"/>
        <v>1</v>
      </c>
      <c r="G84">
        <f t="shared" si="10"/>
        <v>5</v>
      </c>
      <c r="H84">
        <f t="shared" si="11"/>
        <v>0</v>
      </c>
      <c r="I84" s="23">
        <f t="shared" si="12"/>
        <v>0</v>
      </c>
      <c r="J84" t="str">
        <f t="shared" si="13"/>
        <v xml:space="preserve"> </v>
      </c>
      <c r="K84" t="str">
        <f t="shared" si="14"/>
        <v xml:space="preserve"> </v>
      </c>
      <c r="L84" t="str">
        <f t="shared" si="15"/>
        <v xml:space="preserve"> </v>
      </c>
      <c r="M84" t="str">
        <f t="shared" si="16"/>
        <v xml:space="preserve"> </v>
      </c>
      <c r="N84" s="23" t="str">
        <f t="shared" si="17"/>
        <v>Yangi</v>
      </c>
    </row>
    <row r="85" spans="1:14">
      <c r="A85" s="29">
        <v>4877644</v>
      </c>
      <c r="B85" s="10">
        <f>_xlfn.XLOOKUP(A85,Data!E:E,Data!B:B,0,0,-1)</f>
        <v>45367</v>
      </c>
      <c r="C85" s="20">
        <f>_xlfn.XLOOKUP(A85,Data!E:E,Data!B:B)</f>
        <v>45626</v>
      </c>
      <c r="D85" s="21">
        <f>COUNTIF(Data!E:E,A85)</f>
        <v>9</v>
      </c>
      <c r="E85" s="22">
        <f>SUMIF(Data!E:E,'RFM mijozlar tahlili'!A85,Data!J:J)</f>
        <v>2522364.7007999998</v>
      </c>
      <c r="F85" s="29">
        <f t="shared" si="9"/>
        <v>1</v>
      </c>
      <c r="G85">
        <f t="shared" si="10"/>
        <v>5</v>
      </c>
      <c r="H85">
        <f t="shared" si="11"/>
        <v>4</v>
      </c>
      <c r="I85" s="23">
        <f t="shared" si="12"/>
        <v>1</v>
      </c>
      <c r="J85" t="str">
        <f t="shared" si="13"/>
        <v xml:space="preserve"> </v>
      </c>
      <c r="K85" t="str">
        <f t="shared" si="14"/>
        <v>Sodiq</v>
      </c>
      <c r="L85" t="str">
        <f t="shared" si="15"/>
        <v xml:space="preserve"> </v>
      </c>
      <c r="M85" t="str">
        <f t="shared" si="16"/>
        <v xml:space="preserve"> </v>
      </c>
      <c r="N85" s="23" t="str">
        <f t="shared" si="17"/>
        <v xml:space="preserve"> </v>
      </c>
    </row>
    <row r="86" spans="1:14">
      <c r="A86" s="29">
        <v>4874391</v>
      </c>
      <c r="B86" s="10">
        <f>_xlfn.XLOOKUP(A86,Data!E:E,Data!B:B,0,0,-1)</f>
        <v>45310</v>
      </c>
      <c r="C86" s="20">
        <f>_xlfn.XLOOKUP(A86,Data!E:E,Data!B:B)</f>
        <v>45597</v>
      </c>
      <c r="D86" s="21">
        <f>COUNTIF(Data!E:E,A86)</f>
        <v>29</v>
      </c>
      <c r="E86" s="22">
        <f>SUMIF(Data!E:E,'RFM mijozlar tahlili'!A86,Data!J:J)</f>
        <v>9791413.6974399984</v>
      </c>
      <c r="F86" s="29">
        <f t="shared" si="9"/>
        <v>2</v>
      </c>
      <c r="G86">
        <f t="shared" si="10"/>
        <v>4</v>
      </c>
      <c r="H86">
        <f t="shared" si="11"/>
        <v>5</v>
      </c>
      <c r="I86" s="23">
        <f t="shared" si="12"/>
        <v>4</v>
      </c>
      <c r="J86" t="str">
        <f t="shared" si="13"/>
        <v xml:space="preserve"> </v>
      </c>
      <c r="K86" t="str">
        <f t="shared" si="14"/>
        <v>Sodiq</v>
      </c>
      <c r="L86" t="str">
        <f t="shared" si="15"/>
        <v xml:space="preserve"> </v>
      </c>
      <c r="M86" t="str">
        <f t="shared" si="16"/>
        <v xml:space="preserve"> </v>
      </c>
      <c r="N86" s="23" t="str">
        <f t="shared" si="17"/>
        <v xml:space="preserve"> </v>
      </c>
    </row>
    <row r="87" spans="1:14">
      <c r="A87" s="29">
        <v>4878665</v>
      </c>
      <c r="B87" s="10">
        <f>_xlfn.XLOOKUP(A87,Data!E:E,Data!B:B,0,0,-1)</f>
        <v>45359</v>
      </c>
      <c r="C87" s="20">
        <f>_xlfn.XLOOKUP(A87,Data!E:E,Data!B:B)</f>
        <v>45597</v>
      </c>
      <c r="D87" s="21">
        <f>COUNTIF(Data!E:E,A87)</f>
        <v>28</v>
      </c>
      <c r="E87" s="22">
        <f>SUMIF(Data!E:E,'RFM mijozlar tahlili'!A87,Data!J:J)</f>
        <v>7235392.3391359989</v>
      </c>
      <c r="F87" s="29">
        <f t="shared" si="9"/>
        <v>2</v>
      </c>
      <c r="G87">
        <f t="shared" si="10"/>
        <v>4</v>
      </c>
      <c r="H87">
        <f t="shared" si="11"/>
        <v>5</v>
      </c>
      <c r="I87" s="23">
        <f t="shared" si="12"/>
        <v>3</v>
      </c>
      <c r="J87" t="str">
        <f t="shared" si="13"/>
        <v xml:space="preserve"> </v>
      </c>
      <c r="K87" t="str">
        <f t="shared" si="14"/>
        <v>Sodiq</v>
      </c>
      <c r="L87" t="str">
        <f t="shared" si="15"/>
        <v xml:space="preserve"> </v>
      </c>
      <c r="M87" t="str">
        <f t="shared" si="16"/>
        <v xml:space="preserve"> </v>
      </c>
      <c r="N87" s="23" t="str">
        <f t="shared" si="17"/>
        <v xml:space="preserve"> </v>
      </c>
    </row>
    <row r="88" spans="1:14">
      <c r="A88" s="29">
        <v>4874459</v>
      </c>
      <c r="B88" s="10">
        <f>_xlfn.XLOOKUP(A88,Data!E:E,Data!B:B,0,0,-1)</f>
        <v>45310</v>
      </c>
      <c r="C88" s="20">
        <f>_xlfn.XLOOKUP(A88,Data!E:E,Data!B:B)</f>
        <v>45597</v>
      </c>
      <c r="D88" s="21">
        <f>COUNTIF(Data!E:E,A88)</f>
        <v>70</v>
      </c>
      <c r="E88" s="22">
        <f>SUMIF(Data!E:E,'RFM mijozlar tahlili'!A88,Data!J:J)</f>
        <v>23783630.055695992</v>
      </c>
      <c r="F88" s="29">
        <f t="shared" si="9"/>
        <v>2</v>
      </c>
      <c r="G88">
        <f t="shared" si="10"/>
        <v>4</v>
      </c>
      <c r="H88">
        <f t="shared" si="11"/>
        <v>5</v>
      </c>
      <c r="I88" s="23">
        <f t="shared" si="12"/>
        <v>5</v>
      </c>
      <c r="J88" t="str">
        <f t="shared" si="13"/>
        <v xml:space="preserve"> </v>
      </c>
      <c r="K88" t="str">
        <f t="shared" si="14"/>
        <v>Sodiq</v>
      </c>
      <c r="L88" t="str">
        <f t="shared" si="15"/>
        <v xml:space="preserve"> </v>
      </c>
      <c r="M88" t="str">
        <f t="shared" si="16"/>
        <v xml:space="preserve"> </v>
      </c>
      <c r="N88" s="23" t="str">
        <f t="shared" si="17"/>
        <v xml:space="preserve"> </v>
      </c>
    </row>
    <row r="89" spans="1:14">
      <c r="A89" s="29">
        <v>4874112</v>
      </c>
      <c r="B89" s="10">
        <f>_xlfn.XLOOKUP(A89,Data!E:E,Data!B:B,0,0,-1)</f>
        <v>45373</v>
      </c>
      <c r="C89" s="20">
        <f>_xlfn.XLOOKUP(A89,Data!E:E,Data!B:B)</f>
        <v>45601</v>
      </c>
      <c r="D89" s="21">
        <f>COUNTIF(Data!E:E,A89)</f>
        <v>13</v>
      </c>
      <c r="E89" s="22">
        <f>SUMIF(Data!E:E,'RFM mijozlar tahlili'!A89,Data!J:J)</f>
        <v>4317007.8367360001</v>
      </c>
      <c r="F89" s="29">
        <f t="shared" si="9"/>
        <v>2</v>
      </c>
      <c r="G89">
        <f t="shared" si="10"/>
        <v>4</v>
      </c>
      <c r="H89">
        <f t="shared" si="11"/>
        <v>4</v>
      </c>
      <c r="I89" s="23">
        <f t="shared" si="12"/>
        <v>2</v>
      </c>
      <c r="J89" t="str">
        <f t="shared" si="13"/>
        <v xml:space="preserve"> </v>
      </c>
      <c r="K89" t="str">
        <f t="shared" si="14"/>
        <v>Sodiq</v>
      </c>
      <c r="L89" t="str">
        <f t="shared" si="15"/>
        <v xml:space="preserve"> </v>
      </c>
      <c r="M89" t="str">
        <f t="shared" si="16"/>
        <v xml:space="preserve"> </v>
      </c>
      <c r="N89" s="23" t="str">
        <f t="shared" si="17"/>
        <v xml:space="preserve"> </v>
      </c>
    </row>
    <row r="90" spans="1:14">
      <c r="A90" s="29">
        <v>4874346</v>
      </c>
      <c r="B90" s="10">
        <f>_xlfn.XLOOKUP(A90,Data!E:E,Data!B:B,0,0,-1)</f>
        <v>45297</v>
      </c>
      <c r="C90" s="20">
        <f>_xlfn.XLOOKUP(A90,Data!E:E,Data!B:B)</f>
        <v>45607</v>
      </c>
      <c r="D90" s="21">
        <f>COUNTIF(Data!E:E,A90)</f>
        <v>20</v>
      </c>
      <c r="E90" s="22">
        <f>SUMIF(Data!E:E,'RFM mijozlar tahlili'!A90,Data!J:J)</f>
        <v>10017320.881471999</v>
      </c>
      <c r="F90" s="29">
        <f t="shared" si="9"/>
        <v>2</v>
      </c>
      <c r="G90">
        <f t="shared" si="10"/>
        <v>4</v>
      </c>
      <c r="H90">
        <f t="shared" si="11"/>
        <v>5</v>
      </c>
      <c r="I90" s="23">
        <f t="shared" si="12"/>
        <v>4</v>
      </c>
      <c r="J90" t="str">
        <f t="shared" si="13"/>
        <v xml:space="preserve"> </v>
      </c>
      <c r="K90" t="str">
        <f t="shared" si="14"/>
        <v>Sodiq</v>
      </c>
      <c r="L90" t="str">
        <f t="shared" si="15"/>
        <v xml:space="preserve"> </v>
      </c>
      <c r="M90" t="str">
        <f t="shared" si="16"/>
        <v xml:space="preserve"> </v>
      </c>
      <c r="N90" s="23" t="str">
        <f t="shared" si="17"/>
        <v xml:space="preserve"> </v>
      </c>
    </row>
    <row r="91" spans="1:14">
      <c r="A91" s="29">
        <v>6990664</v>
      </c>
      <c r="B91" s="10">
        <f>_xlfn.XLOOKUP(A91,Data!E:E,Data!B:B,0,0,-1)</f>
        <v>45558</v>
      </c>
      <c r="C91" s="20">
        <f>_xlfn.XLOOKUP(A91,Data!E:E,Data!B:B)</f>
        <v>45607</v>
      </c>
      <c r="D91" s="21">
        <f>COUNTIF(Data!E:E,A91)</f>
        <v>4</v>
      </c>
      <c r="E91" s="22">
        <f>SUMIF(Data!E:E,'RFM mijozlar tahlili'!A91,Data!J:J)</f>
        <v>1650404.9847199998</v>
      </c>
      <c r="F91" s="29">
        <f t="shared" si="9"/>
        <v>2</v>
      </c>
      <c r="G91">
        <f t="shared" si="10"/>
        <v>4</v>
      </c>
      <c r="H91">
        <f t="shared" si="11"/>
        <v>1</v>
      </c>
      <c r="I91" s="23">
        <f t="shared" si="12"/>
        <v>0</v>
      </c>
      <c r="J91" t="str">
        <f t="shared" si="13"/>
        <v xml:space="preserve"> </v>
      </c>
      <c r="K91" t="str">
        <f t="shared" si="14"/>
        <v xml:space="preserve"> </v>
      </c>
      <c r="L91" t="str">
        <f t="shared" si="15"/>
        <v xml:space="preserve"> </v>
      </c>
      <c r="M91" t="str">
        <f t="shared" si="16"/>
        <v xml:space="preserve"> </v>
      </c>
      <c r="N91" s="23" t="str">
        <f t="shared" si="17"/>
        <v xml:space="preserve"> </v>
      </c>
    </row>
    <row r="92" spans="1:14">
      <c r="A92" s="29">
        <v>4874231</v>
      </c>
      <c r="B92" s="10">
        <f>_xlfn.XLOOKUP(A92,Data!E:E,Data!B:B,0,0,-1)</f>
        <v>45562</v>
      </c>
      <c r="C92" s="20">
        <f>_xlfn.XLOOKUP(A92,Data!E:E,Data!B:B)</f>
        <v>45612</v>
      </c>
      <c r="D92" s="21">
        <f>COUNTIF(Data!E:E,A92)</f>
        <v>13</v>
      </c>
      <c r="E92" s="22">
        <f>SUMIF(Data!E:E,'RFM mijozlar tahlili'!A92,Data!J:J)</f>
        <v>6706922.0061760005</v>
      </c>
      <c r="F92" s="29">
        <f t="shared" si="9"/>
        <v>2</v>
      </c>
      <c r="G92">
        <f t="shared" si="10"/>
        <v>4</v>
      </c>
      <c r="H92">
        <f t="shared" si="11"/>
        <v>4</v>
      </c>
      <c r="I92" s="23">
        <f t="shared" si="12"/>
        <v>3</v>
      </c>
      <c r="J92" t="str">
        <f t="shared" si="13"/>
        <v xml:space="preserve"> </v>
      </c>
      <c r="K92" t="str">
        <f t="shared" si="14"/>
        <v>Sodiq</v>
      </c>
      <c r="L92" t="str">
        <f t="shared" si="15"/>
        <v xml:space="preserve"> </v>
      </c>
      <c r="M92" t="str">
        <f t="shared" si="16"/>
        <v xml:space="preserve"> </v>
      </c>
      <c r="N92" s="23" t="str">
        <f t="shared" si="17"/>
        <v xml:space="preserve"> </v>
      </c>
    </row>
    <row r="93" spans="1:14">
      <c r="A93" s="29">
        <v>4874538</v>
      </c>
      <c r="B93" s="10">
        <f>_xlfn.XLOOKUP(A93,Data!E:E,Data!B:B,0,0,-1)</f>
        <v>45297</v>
      </c>
      <c r="C93" s="20">
        <f>_xlfn.XLOOKUP(A93,Data!E:E,Data!B:B)</f>
        <v>45615</v>
      </c>
      <c r="D93" s="21">
        <f>COUNTIF(Data!E:E,A93)</f>
        <v>35</v>
      </c>
      <c r="E93" s="22">
        <f>SUMIF(Data!E:E,'RFM mijozlar tahlili'!A93,Data!J:J)</f>
        <v>11974922.647823997</v>
      </c>
      <c r="F93" s="29">
        <f t="shared" si="9"/>
        <v>2</v>
      </c>
      <c r="G93">
        <f t="shared" si="10"/>
        <v>4</v>
      </c>
      <c r="H93">
        <f t="shared" si="11"/>
        <v>5</v>
      </c>
      <c r="I93" s="23">
        <f t="shared" si="12"/>
        <v>5</v>
      </c>
      <c r="J93" t="str">
        <f t="shared" si="13"/>
        <v xml:space="preserve"> </v>
      </c>
      <c r="K93" t="str">
        <f t="shared" si="14"/>
        <v>Sodiq</v>
      </c>
      <c r="L93" t="str">
        <f t="shared" si="15"/>
        <v xml:space="preserve"> </v>
      </c>
      <c r="M93" t="str">
        <f t="shared" si="16"/>
        <v xml:space="preserve"> </v>
      </c>
      <c r="N93" s="23" t="str">
        <f t="shared" si="17"/>
        <v xml:space="preserve"> </v>
      </c>
    </row>
    <row r="94" spans="1:14">
      <c r="A94" s="29">
        <v>4875363</v>
      </c>
      <c r="B94" s="10">
        <f>_xlfn.XLOOKUP(A94,Data!E:E,Data!B:B,0,0,-1)</f>
        <v>45311</v>
      </c>
      <c r="C94" s="20">
        <f>_xlfn.XLOOKUP(A94,Data!E:E,Data!B:B)</f>
        <v>45619</v>
      </c>
      <c r="D94" s="21">
        <f>COUNTIF(Data!E:E,A94)</f>
        <v>71</v>
      </c>
      <c r="E94" s="22">
        <f>SUMIF(Data!E:E,'RFM mijozlar tahlili'!A94,Data!J:J)</f>
        <v>51373377.275903985</v>
      </c>
      <c r="F94" s="29">
        <f t="shared" si="9"/>
        <v>1</v>
      </c>
      <c r="G94">
        <f t="shared" si="10"/>
        <v>5</v>
      </c>
      <c r="H94">
        <f t="shared" si="11"/>
        <v>5</v>
      </c>
      <c r="I94" s="23">
        <f t="shared" si="12"/>
        <v>5</v>
      </c>
      <c r="J94" t="str">
        <f t="shared" si="13"/>
        <v>TOP</v>
      </c>
      <c r="K94" t="str">
        <f t="shared" si="14"/>
        <v>Sodiq</v>
      </c>
      <c r="L94" t="str">
        <f t="shared" si="15"/>
        <v xml:space="preserve"> </v>
      </c>
      <c r="M94" t="str">
        <f t="shared" si="16"/>
        <v xml:space="preserve"> </v>
      </c>
      <c r="N94" s="23" t="str">
        <f t="shared" si="17"/>
        <v xml:space="preserve"> </v>
      </c>
    </row>
    <row r="95" spans="1:14">
      <c r="A95" s="29">
        <v>4875729</v>
      </c>
      <c r="B95" s="10">
        <f>_xlfn.XLOOKUP(A95,Data!E:E,Data!B:B,0,0,-1)</f>
        <v>45318</v>
      </c>
      <c r="C95" s="20">
        <f>_xlfn.XLOOKUP(A95,Data!E:E,Data!B:B)</f>
        <v>45619</v>
      </c>
      <c r="D95" s="21">
        <f>COUNTIF(Data!E:E,A95)</f>
        <v>9</v>
      </c>
      <c r="E95" s="22">
        <f>SUMIF(Data!E:E,'RFM mijozlar tahlili'!A95,Data!J:J)</f>
        <v>1705818.8595599995</v>
      </c>
      <c r="F95" s="29">
        <f t="shared" si="9"/>
        <v>1</v>
      </c>
      <c r="G95">
        <f t="shared" si="10"/>
        <v>5</v>
      </c>
      <c r="H95">
        <f t="shared" si="11"/>
        <v>4</v>
      </c>
      <c r="I95" s="23">
        <f t="shared" si="12"/>
        <v>0</v>
      </c>
      <c r="J95" t="str">
        <f t="shared" si="13"/>
        <v xml:space="preserve"> </v>
      </c>
      <c r="K95" t="str">
        <f t="shared" si="14"/>
        <v>Sodiq</v>
      </c>
      <c r="L95" t="str">
        <f t="shared" si="15"/>
        <v xml:space="preserve"> </v>
      </c>
      <c r="M95" t="str">
        <f t="shared" si="16"/>
        <v xml:space="preserve"> </v>
      </c>
      <c r="N95" s="23" t="str">
        <f t="shared" si="17"/>
        <v xml:space="preserve"> </v>
      </c>
    </row>
    <row r="96" spans="1:14">
      <c r="A96" s="29">
        <v>4875704</v>
      </c>
      <c r="B96" s="10">
        <f>_xlfn.XLOOKUP(A96,Data!E:E,Data!B:B,0,0,-1)</f>
        <v>45563</v>
      </c>
      <c r="C96" s="20">
        <f>_xlfn.XLOOKUP(A96,Data!E:E,Data!B:B)</f>
        <v>45619</v>
      </c>
      <c r="D96" s="21">
        <f>COUNTIF(Data!E:E,A96)</f>
        <v>4</v>
      </c>
      <c r="E96" s="22">
        <f>SUMIF(Data!E:E,'RFM mijozlar tahlili'!A96,Data!J:J)</f>
        <v>1987511.8151999998</v>
      </c>
      <c r="F96" s="29">
        <f t="shared" si="9"/>
        <v>1</v>
      </c>
      <c r="G96">
        <f t="shared" si="10"/>
        <v>5</v>
      </c>
      <c r="H96">
        <f t="shared" si="11"/>
        <v>1</v>
      </c>
      <c r="I96" s="23">
        <f t="shared" si="12"/>
        <v>0</v>
      </c>
      <c r="J96" t="str">
        <f t="shared" si="13"/>
        <v xml:space="preserve"> </v>
      </c>
      <c r="K96" t="str">
        <f t="shared" si="14"/>
        <v xml:space="preserve"> </v>
      </c>
      <c r="L96" t="str">
        <f t="shared" si="15"/>
        <v xml:space="preserve"> </v>
      </c>
      <c r="M96" t="str">
        <f t="shared" si="16"/>
        <v xml:space="preserve"> </v>
      </c>
      <c r="N96" s="23" t="str">
        <f t="shared" si="17"/>
        <v xml:space="preserve"> </v>
      </c>
    </row>
    <row r="97" spans="1:14">
      <c r="A97" s="29">
        <v>4878776</v>
      </c>
      <c r="B97" s="10">
        <f>_xlfn.XLOOKUP(A97,Data!E:E,Data!B:B,0,0,-1)</f>
        <v>45359</v>
      </c>
      <c r="C97" s="20">
        <f>_xlfn.XLOOKUP(A97,Data!E:E,Data!B:B)</f>
        <v>45625</v>
      </c>
      <c r="D97" s="21">
        <f>COUNTIF(Data!E:E,A97)</f>
        <v>14</v>
      </c>
      <c r="E97" s="22">
        <f>SUMIF(Data!E:E,'RFM mijozlar tahlili'!A97,Data!J:J)</f>
        <v>4830637.4783999985</v>
      </c>
      <c r="F97" s="29">
        <f t="shared" si="9"/>
        <v>1</v>
      </c>
      <c r="G97">
        <f t="shared" si="10"/>
        <v>5</v>
      </c>
      <c r="H97">
        <f t="shared" si="11"/>
        <v>5</v>
      </c>
      <c r="I97" s="23">
        <f t="shared" si="12"/>
        <v>2</v>
      </c>
      <c r="J97" t="str">
        <f t="shared" si="13"/>
        <v xml:space="preserve"> </v>
      </c>
      <c r="K97" t="str">
        <f t="shared" si="14"/>
        <v>Sodiq</v>
      </c>
      <c r="L97" t="str">
        <f t="shared" si="15"/>
        <v xml:space="preserve"> </v>
      </c>
      <c r="M97" t="str">
        <f t="shared" si="16"/>
        <v xml:space="preserve"> </v>
      </c>
      <c r="N97" s="23" t="str">
        <f t="shared" si="17"/>
        <v xml:space="preserve"> </v>
      </c>
    </row>
    <row r="98" spans="1:14">
      <c r="A98" s="29">
        <v>7242720</v>
      </c>
      <c r="B98" s="10">
        <f>_xlfn.XLOOKUP(A98,Data!E:E,Data!B:B,0,0,-1)</f>
        <v>45596</v>
      </c>
      <c r="C98" s="20">
        <f>_xlfn.XLOOKUP(A98,Data!E:E,Data!B:B)</f>
        <v>45598</v>
      </c>
      <c r="D98" s="21">
        <f>COUNTIF(Data!E:E,A98)</f>
        <v>5</v>
      </c>
      <c r="E98" s="22">
        <f>SUMIF(Data!E:E,'RFM mijozlar tahlili'!A98,Data!J:J)</f>
        <v>3924892.9512</v>
      </c>
      <c r="F98" s="29">
        <f t="shared" si="9"/>
        <v>2</v>
      </c>
      <c r="G98">
        <f t="shared" si="10"/>
        <v>4</v>
      </c>
      <c r="H98">
        <f t="shared" si="11"/>
        <v>2</v>
      </c>
      <c r="I98" s="23">
        <f t="shared" si="12"/>
        <v>1</v>
      </c>
      <c r="J98" t="str">
        <f t="shared" si="13"/>
        <v xml:space="preserve"> </v>
      </c>
      <c r="K98" t="str">
        <f t="shared" si="14"/>
        <v xml:space="preserve"> </v>
      </c>
      <c r="L98" t="str">
        <f t="shared" si="15"/>
        <v xml:space="preserve"> </v>
      </c>
      <c r="M98" t="str">
        <f t="shared" si="16"/>
        <v xml:space="preserve"> </v>
      </c>
      <c r="N98" s="23" t="str">
        <f t="shared" si="17"/>
        <v>Yangi</v>
      </c>
    </row>
    <row r="99" spans="1:14">
      <c r="A99" s="29">
        <v>7241308</v>
      </c>
      <c r="B99" s="10">
        <f>_xlfn.XLOOKUP(A99,Data!E:E,Data!B:B,0,0,-1)</f>
        <v>45562</v>
      </c>
      <c r="C99" s="20">
        <f>_xlfn.XLOOKUP(A99,Data!E:E,Data!B:B)</f>
        <v>45598</v>
      </c>
      <c r="D99" s="21">
        <f>COUNTIF(Data!E:E,A99)</f>
        <v>28</v>
      </c>
      <c r="E99" s="22">
        <f>SUMIF(Data!E:E,'RFM mijozlar tahlili'!A99,Data!J:J)</f>
        <v>15239010.324239997</v>
      </c>
      <c r="F99" s="29">
        <f t="shared" si="9"/>
        <v>2</v>
      </c>
      <c r="G99">
        <f t="shared" si="10"/>
        <v>4</v>
      </c>
      <c r="H99">
        <f t="shared" si="11"/>
        <v>5</v>
      </c>
      <c r="I99" s="23">
        <f t="shared" si="12"/>
        <v>5</v>
      </c>
      <c r="J99" t="str">
        <f t="shared" si="13"/>
        <v xml:space="preserve"> </v>
      </c>
      <c r="K99" t="str">
        <f t="shared" si="14"/>
        <v>Sodiq</v>
      </c>
      <c r="L99" t="str">
        <f t="shared" si="15"/>
        <v xml:space="preserve"> </v>
      </c>
      <c r="M99" t="str">
        <f t="shared" si="16"/>
        <v xml:space="preserve"> </v>
      </c>
      <c r="N99" s="23" t="str">
        <f t="shared" si="17"/>
        <v xml:space="preserve"> </v>
      </c>
    </row>
    <row r="100" spans="1:14">
      <c r="A100" s="29">
        <v>7244683</v>
      </c>
      <c r="B100" s="10">
        <f>_xlfn.XLOOKUP(A100,Data!E:E,Data!B:B,0,0,-1)</f>
        <v>45551</v>
      </c>
      <c r="C100" s="20">
        <f>_xlfn.XLOOKUP(A100,Data!E:E,Data!B:B)</f>
        <v>45600</v>
      </c>
      <c r="D100" s="21">
        <f>COUNTIF(Data!E:E,A100)</f>
        <v>24</v>
      </c>
      <c r="E100" s="22">
        <f>SUMIF(Data!E:E,'RFM mijozlar tahlili'!A100,Data!J:J)</f>
        <v>15702687.69664</v>
      </c>
      <c r="F100" s="29">
        <f t="shared" si="9"/>
        <v>2</v>
      </c>
      <c r="G100">
        <f t="shared" si="10"/>
        <v>4</v>
      </c>
      <c r="H100">
        <f t="shared" si="11"/>
        <v>5</v>
      </c>
      <c r="I100" s="23">
        <f t="shared" si="12"/>
        <v>5</v>
      </c>
      <c r="J100" t="str">
        <f t="shared" si="13"/>
        <v xml:space="preserve"> </v>
      </c>
      <c r="K100" t="str">
        <f t="shared" si="14"/>
        <v>Sodiq</v>
      </c>
      <c r="L100" t="str">
        <f t="shared" si="15"/>
        <v xml:space="preserve"> </v>
      </c>
      <c r="M100" t="str">
        <f t="shared" si="16"/>
        <v xml:space="preserve"> </v>
      </c>
      <c r="N100" s="23" t="str">
        <f t="shared" si="17"/>
        <v xml:space="preserve"> </v>
      </c>
    </row>
    <row r="101" spans="1:14">
      <c r="A101" s="29">
        <v>6080397</v>
      </c>
      <c r="B101" s="10">
        <f>_xlfn.XLOOKUP(A101,Data!E:E,Data!B:B,0,0,-1)</f>
        <v>45500</v>
      </c>
      <c r="C101" s="20">
        <f>_xlfn.XLOOKUP(A101,Data!E:E,Data!B:B)</f>
        <v>45599</v>
      </c>
      <c r="D101" s="21">
        <f>COUNTIF(Data!E:E,A101)</f>
        <v>25</v>
      </c>
      <c r="E101" s="22">
        <f>SUMIF(Data!E:E,'RFM mijozlar tahlili'!A101,Data!J:J)</f>
        <v>10939665.071168</v>
      </c>
      <c r="F101" s="29">
        <f t="shared" si="9"/>
        <v>2</v>
      </c>
      <c r="G101">
        <f t="shared" si="10"/>
        <v>4</v>
      </c>
      <c r="H101">
        <f t="shared" si="11"/>
        <v>5</v>
      </c>
      <c r="I101" s="23">
        <f t="shared" si="12"/>
        <v>4</v>
      </c>
      <c r="J101" t="str">
        <f t="shared" si="13"/>
        <v xml:space="preserve"> </v>
      </c>
      <c r="K101" t="str">
        <f t="shared" si="14"/>
        <v>Sodiq</v>
      </c>
      <c r="L101" t="str">
        <f t="shared" si="15"/>
        <v xml:space="preserve"> </v>
      </c>
      <c r="M101" t="str">
        <f t="shared" si="16"/>
        <v xml:space="preserve"> </v>
      </c>
      <c r="N101" s="23" t="str">
        <f t="shared" si="17"/>
        <v xml:space="preserve"> </v>
      </c>
    </row>
    <row r="102" spans="1:14">
      <c r="A102" s="29">
        <v>6536079</v>
      </c>
      <c r="B102" s="10">
        <f>_xlfn.XLOOKUP(A102,Data!E:E,Data!B:B,0,0,-1)</f>
        <v>45570</v>
      </c>
      <c r="C102" s="20">
        <f>_xlfn.XLOOKUP(A102,Data!E:E,Data!B:B)</f>
        <v>45603</v>
      </c>
      <c r="D102" s="21">
        <f>COUNTIF(Data!E:E,A102)</f>
        <v>8</v>
      </c>
      <c r="E102" s="22">
        <f>SUMIF(Data!E:E,'RFM mijozlar tahlili'!A102,Data!J:J)</f>
        <v>8905520.4166399986</v>
      </c>
      <c r="F102" s="29">
        <f t="shared" si="9"/>
        <v>2</v>
      </c>
      <c r="G102">
        <f t="shared" si="10"/>
        <v>4</v>
      </c>
      <c r="H102">
        <f t="shared" si="11"/>
        <v>3</v>
      </c>
      <c r="I102" s="23">
        <f t="shared" si="12"/>
        <v>4</v>
      </c>
      <c r="J102" t="str">
        <f t="shared" si="13"/>
        <v xml:space="preserve"> </v>
      </c>
      <c r="K102" t="str">
        <f t="shared" si="14"/>
        <v xml:space="preserve"> </v>
      </c>
      <c r="L102" t="str">
        <f t="shared" si="15"/>
        <v xml:space="preserve"> </v>
      </c>
      <c r="M102" t="str">
        <f t="shared" si="16"/>
        <v xml:space="preserve"> </v>
      </c>
      <c r="N102" s="23" t="str">
        <f t="shared" si="17"/>
        <v>Yangi</v>
      </c>
    </row>
    <row r="103" spans="1:14">
      <c r="A103" s="29">
        <v>6684266</v>
      </c>
      <c r="B103" s="10">
        <f>_xlfn.XLOOKUP(A103,Data!E:E,Data!B:B,0,0,-1)</f>
        <v>45546</v>
      </c>
      <c r="C103" s="20">
        <f>_xlfn.XLOOKUP(A103,Data!E:E,Data!B:B)</f>
        <v>45599</v>
      </c>
      <c r="D103" s="21">
        <f>COUNTIF(Data!E:E,A103)</f>
        <v>4</v>
      </c>
      <c r="E103" s="22">
        <f>SUMIF(Data!E:E,'RFM mijozlar tahlili'!A103,Data!J:J)</f>
        <v>8252213.3848000001</v>
      </c>
      <c r="F103" s="29">
        <f t="shared" si="9"/>
        <v>2</v>
      </c>
      <c r="G103">
        <f t="shared" si="10"/>
        <v>4</v>
      </c>
      <c r="H103">
        <f t="shared" si="11"/>
        <v>1</v>
      </c>
      <c r="I103" s="23">
        <f t="shared" si="12"/>
        <v>4</v>
      </c>
      <c r="J103" t="str">
        <f t="shared" si="13"/>
        <v xml:space="preserve"> </v>
      </c>
      <c r="K103" t="str">
        <f t="shared" si="14"/>
        <v xml:space="preserve"> </v>
      </c>
      <c r="L103" t="str">
        <f t="shared" si="15"/>
        <v xml:space="preserve"> </v>
      </c>
      <c r="M103" t="str">
        <f t="shared" si="16"/>
        <v xml:space="preserve"> </v>
      </c>
      <c r="N103" s="23" t="str">
        <f t="shared" si="17"/>
        <v xml:space="preserve"> </v>
      </c>
    </row>
    <row r="104" spans="1:14">
      <c r="A104" s="29">
        <v>6700769</v>
      </c>
      <c r="B104" s="10">
        <f>_xlfn.XLOOKUP(A104,Data!E:E,Data!B:B,0,0,-1)</f>
        <v>45518</v>
      </c>
      <c r="C104" s="20">
        <f>_xlfn.XLOOKUP(A104,Data!E:E,Data!B:B)</f>
        <v>45599</v>
      </c>
      <c r="D104" s="21">
        <f>COUNTIF(Data!E:E,A104)</f>
        <v>12</v>
      </c>
      <c r="E104" s="22">
        <f>SUMIF(Data!E:E,'RFM mijozlar tahlili'!A104,Data!J:J)</f>
        <v>20376927.507199999</v>
      </c>
      <c r="F104" s="29">
        <f t="shared" si="9"/>
        <v>2</v>
      </c>
      <c r="G104">
        <f t="shared" si="10"/>
        <v>4</v>
      </c>
      <c r="H104">
        <f t="shared" si="11"/>
        <v>4</v>
      </c>
      <c r="I104" s="23">
        <f t="shared" si="12"/>
        <v>5</v>
      </c>
      <c r="J104" t="str">
        <f t="shared" si="13"/>
        <v xml:space="preserve"> </v>
      </c>
      <c r="K104" t="str">
        <f t="shared" si="14"/>
        <v>Sodiq</v>
      </c>
      <c r="L104" t="str">
        <f t="shared" si="15"/>
        <v xml:space="preserve"> </v>
      </c>
      <c r="M104" t="str">
        <f t="shared" si="16"/>
        <v xml:space="preserve"> </v>
      </c>
      <c r="N104" s="23" t="str">
        <f t="shared" si="17"/>
        <v xml:space="preserve"> </v>
      </c>
    </row>
    <row r="105" spans="1:14">
      <c r="A105" s="29">
        <v>6700743</v>
      </c>
      <c r="B105" s="10">
        <f>_xlfn.XLOOKUP(A105,Data!E:E,Data!B:B,0,0,-1)</f>
        <v>45595</v>
      </c>
      <c r="C105" s="20">
        <f>_xlfn.XLOOKUP(A105,Data!E:E,Data!B:B)</f>
        <v>45599</v>
      </c>
      <c r="D105" s="21">
        <f>COUNTIF(Data!E:E,A105)</f>
        <v>7</v>
      </c>
      <c r="E105" s="22">
        <f>SUMIF(Data!E:E,'RFM mijozlar tahlili'!A105,Data!J:J)</f>
        <v>3823720.6969999997</v>
      </c>
      <c r="F105" s="29">
        <f t="shared" si="9"/>
        <v>2</v>
      </c>
      <c r="G105">
        <f t="shared" si="10"/>
        <v>4</v>
      </c>
      <c r="H105">
        <f t="shared" si="11"/>
        <v>3</v>
      </c>
      <c r="I105" s="23">
        <f t="shared" si="12"/>
        <v>1</v>
      </c>
      <c r="J105" t="str">
        <f t="shared" si="13"/>
        <v xml:space="preserve"> </v>
      </c>
      <c r="K105" t="str">
        <f t="shared" si="14"/>
        <v xml:space="preserve"> </v>
      </c>
      <c r="L105" t="str">
        <f t="shared" si="15"/>
        <v xml:space="preserve"> </v>
      </c>
      <c r="M105" t="str">
        <f t="shared" si="16"/>
        <v xml:space="preserve"> </v>
      </c>
      <c r="N105" s="23" t="str">
        <f t="shared" si="17"/>
        <v>Yangi</v>
      </c>
    </row>
    <row r="106" spans="1:14">
      <c r="A106" s="29">
        <v>6700655</v>
      </c>
      <c r="B106" s="10">
        <f>_xlfn.XLOOKUP(A106,Data!E:E,Data!B:B,0,0,-1)</f>
        <v>45565</v>
      </c>
      <c r="C106" s="20">
        <f>_xlfn.XLOOKUP(A106,Data!E:E,Data!B:B)</f>
        <v>45607</v>
      </c>
      <c r="D106" s="21">
        <f>COUNTIF(Data!E:E,A106)</f>
        <v>4</v>
      </c>
      <c r="E106" s="22">
        <f>SUMIF(Data!E:E,'RFM mijozlar tahlili'!A106,Data!J:J)</f>
        <v>900712.61315999995</v>
      </c>
      <c r="F106" s="29">
        <f t="shared" si="9"/>
        <v>2</v>
      </c>
      <c r="G106">
        <f t="shared" si="10"/>
        <v>4</v>
      </c>
      <c r="H106">
        <f t="shared" si="11"/>
        <v>1</v>
      </c>
      <c r="I106" s="23">
        <f t="shared" si="12"/>
        <v>0</v>
      </c>
      <c r="J106" t="str">
        <f t="shared" si="13"/>
        <v xml:space="preserve"> </v>
      </c>
      <c r="K106" t="str">
        <f t="shared" si="14"/>
        <v xml:space="preserve"> </v>
      </c>
      <c r="L106" t="str">
        <f t="shared" si="15"/>
        <v xml:space="preserve"> </v>
      </c>
      <c r="M106" t="str">
        <f t="shared" si="16"/>
        <v xml:space="preserve"> </v>
      </c>
      <c r="N106" s="23" t="str">
        <f t="shared" si="17"/>
        <v xml:space="preserve"> </v>
      </c>
    </row>
    <row r="107" spans="1:14">
      <c r="A107" s="29">
        <v>6682193</v>
      </c>
      <c r="B107" s="10">
        <f>_xlfn.XLOOKUP(A107,Data!E:E,Data!B:B,0,0,-1)</f>
        <v>45608</v>
      </c>
      <c r="C107" s="20">
        <f>_xlfn.XLOOKUP(A107,Data!E:E,Data!B:B)</f>
        <v>45608</v>
      </c>
      <c r="D107" s="21">
        <f>COUNTIF(Data!E:E,A107)</f>
        <v>2</v>
      </c>
      <c r="E107" s="22">
        <f>SUMIF(Data!E:E,'RFM mijozlar tahlili'!A107,Data!J:J)</f>
        <v>1006382.808</v>
      </c>
      <c r="F107" s="29">
        <f t="shared" si="9"/>
        <v>2</v>
      </c>
      <c r="G107">
        <f t="shared" si="10"/>
        <v>4</v>
      </c>
      <c r="H107">
        <f t="shared" si="11"/>
        <v>0</v>
      </c>
      <c r="I107" s="23">
        <f t="shared" si="12"/>
        <v>0</v>
      </c>
      <c r="J107" t="str">
        <f t="shared" si="13"/>
        <v xml:space="preserve"> </v>
      </c>
      <c r="K107" t="str">
        <f t="shared" si="14"/>
        <v xml:space="preserve"> </v>
      </c>
      <c r="L107" t="str">
        <f t="shared" si="15"/>
        <v xml:space="preserve"> </v>
      </c>
      <c r="M107" t="str">
        <f t="shared" si="16"/>
        <v xml:space="preserve"> </v>
      </c>
      <c r="N107" s="23" t="str">
        <f t="shared" si="17"/>
        <v>Yangi</v>
      </c>
    </row>
    <row r="108" spans="1:14">
      <c r="A108" s="29">
        <v>6700802</v>
      </c>
      <c r="B108" s="10">
        <f>_xlfn.XLOOKUP(A108,Data!E:E,Data!B:B,0,0,-1)</f>
        <v>45533</v>
      </c>
      <c r="C108" s="20">
        <f>_xlfn.XLOOKUP(A108,Data!E:E,Data!B:B)</f>
        <v>45609</v>
      </c>
      <c r="D108" s="21">
        <f>COUNTIF(Data!E:E,A108)</f>
        <v>9</v>
      </c>
      <c r="E108" s="22">
        <f>SUMIF(Data!E:E,'RFM mijozlar tahlili'!A108,Data!J:J)</f>
        <v>12026274.555599999</v>
      </c>
      <c r="F108" s="29">
        <f t="shared" si="9"/>
        <v>2</v>
      </c>
      <c r="G108">
        <f t="shared" si="10"/>
        <v>4</v>
      </c>
      <c r="H108">
        <f t="shared" si="11"/>
        <v>4</v>
      </c>
      <c r="I108" s="23">
        <f t="shared" si="12"/>
        <v>5</v>
      </c>
      <c r="J108" t="str">
        <f t="shared" si="13"/>
        <v xml:space="preserve"> </v>
      </c>
      <c r="K108" t="str">
        <f t="shared" si="14"/>
        <v>Sodiq</v>
      </c>
      <c r="L108" t="str">
        <f t="shared" si="15"/>
        <v xml:space="preserve"> </v>
      </c>
      <c r="M108" t="str">
        <f t="shared" si="16"/>
        <v xml:space="preserve"> </v>
      </c>
      <c r="N108" s="23" t="str">
        <f t="shared" si="17"/>
        <v xml:space="preserve"> </v>
      </c>
    </row>
    <row r="109" spans="1:14">
      <c r="A109" s="29">
        <v>6700794</v>
      </c>
      <c r="B109" s="10">
        <f>_xlfn.XLOOKUP(A109,Data!E:E,Data!B:B,0,0,-1)</f>
        <v>45526</v>
      </c>
      <c r="C109" s="20">
        <f>_xlfn.XLOOKUP(A109,Data!E:E,Data!B:B)</f>
        <v>45612</v>
      </c>
      <c r="D109" s="21">
        <f>COUNTIF(Data!E:E,A109)</f>
        <v>8</v>
      </c>
      <c r="E109" s="22">
        <f>SUMIF(Data!E:E,'RFM mijozlar tahlili'!A109,Data!J:J)</f>
        <v>4493030.5975359995</v>
      </c>
      <c r="F109" s="29">
        <f t="shared" si="9"/>
        <v>2</v>
      </c>
      <c r="G109">
        <f t="shared" si="10"/>
        <v>4</v>
      </c>
      <c r="H109">
        <f t="shared" si="11"/>
        <v>3</v>
      </c>
      <c r="I109" s="23">
        <f t="shared" si="12"/>
        <v>2</v>
      </c>
      <c r="J109" t="str">
        <f t="shared" si="13"/>
        <v xml:space="preserve"> </v>
      </c>
      <c r="K109" t="str">
        <f t="shared" si="14"/>
        <v xml:space="preserve"> </v>
      </c>
      <c r="L109" t="str">
        <f t="shared" si="15"/>
        <v xml:space="preserve"> </v>
      </c>
      <c r="M109" t="str">
        <f t="shared" si="16"/>
        <v xml:space="preserve"> </v>
      </c>
      <c r="N109" s="23" t="str">
        <f t="shared" si="17"/>
        <v xml:space="preserve"> </v>
      </c>
    </row>
    <row r="110" spans="1:14">
      <c r="A110" s="29">
        <v>6700780</v>
      </c>
      <c r="B110" s="10">
        <f>_xlfn.XLOOKUP(A110,Data!E:E,Data!B:B,0,0,-1)</f>
        <v>45621</v>
      </c>
      <c r="C110" s="20">
        <f>_xlfn.XLOOKUP(A110,Data!E:E,Data!B:B)</f>
        <v>45613</v>
      </c>
      <c r="D110" s="21">
        <f>COUNTIF(Data!E:E,A110)</f>
        <v>4</v>
      </c>
      <c r="E110" s="22">
        <f>SUMIF(Data!E:E,'RFM mijozlar tahlili'!A110,Data!J:J)</f>
        <v>3245427.5048000002</v>
      </c>
      <c r="F110" s="29">
        <f t="shared" si="9"/>
        <v>2</v>
      </c>
      <c r="G110">
        <f t="shared" si="10"/>
        <v>4</v>
      </c>
      <c r="H110">
        <f t="shared" si="11"/>
        <v>1</v>
      </c>
      <c r="I110" s="23">
        <f t="shared" si="12"/>
        <v>1</v>
      </c>
      <c r="J110" t="str">
        <f t="shared" si="13"/>
        <v xml:space="preserve"> </v>
      </c>
      <c r="K110" t="str">
        <f t="shared" si="14"/>
        <v xml:space="preserve"> </v>
      </c>
      <c r="L110" t="str">
        <f t="shared" si="15"/>
        <v xml:space="preserve"> </v>
      </c>
      <c r="M110" t="str">
        <f t="shared" si="16"/>
        <v xml:space="preserve"> </v>
      </c>
      <c r="N110" s="23" t="str">
        <f t="shared" si="17"/>
        <v>Yangi</v>
      </c>
    </row>
    <row r="111" spans="1:14">
      <c r="A111" s="29">
        <v>6681936</v>
      </c>
      <c r="B111" s="10">
        <f>_xlfn.XLOOKUP(A111,Data!E:E,Data!B:B,0,0,-1)</f>
        <v>45565</v>
      </c>
      <c r="C111" s="20">
        <f>_xlfn.XLOOKUP(A111,Data!E:E,Data!B:B)</f>
        <v>45616</v>
      </c>
      <c r="D111" s="21">
        <f>COUNTIF(Data!E:E,A111)</f>
        <v>3</v>
      </c>
      <c r="E111" s="22">
        <f>SUMIF(Data!E:E,'RFM mijozlar tahlili'!A111,Data!J:J)</f>
        <v>2892879.42</v>
      </c>
      <c r="F111" s="29">
        <f t="shared" si="9"/>
        <v>2</v>
      </c>
      <c r="G111">
        <f t="shared" si="10"/>
        <v>4</v>
      </c>
      <c r="H111">
        <f t="shared" si="11"/>
        <v>1</v>
      </c>
      <c r="I111" s="23">
        <f t="shared" si="12"/>
        <v>1</v>
      </c>
      <c r="J111" t="str">
        <f t="shared" si="13"/>
        <v xml:space="preserve"> </v>
      </c>
      <c r="K111" t="str">
        <f t="shared" si="14"/>
        <v xml:space="preserve"> </v>
      </c>
      <c r="L111" t="str">
        <f t="shared" si="15"/>
        <v xml:space="preserve"> </v>
      </c>
      <c r="M111" t="str">
        <f t="shared" si="16"/>
        <v xml:space="preserve"> </v>
      </c>
      <c r="N111" s="23" t="str">
        <f t="shared" si="17"/>
        <v xml:space="preserve"> </v>
      </c>
    </row>
    <row r="112" spans="1:14">
      <c r="A112" s="29">
        <v>6700758</v>
      </c>
      <c r="B112" s="10">
        <f>_xlfn.XLOOKUP(A112,Data!E:E,Data!B:B,0,0,-1)</f>
        <v>45501</v>
      </c>
      <c r="C112" s="20">
        <f>_xlfn.XLOOKUP(A112,Data!E:E,Data!B:B)</f>
        <v>45622</v>
      </c>
      <c r="D112" s="21">
        <f>COUNTIF(Data!E:E,A112)</f>
        <v>5</v>
      </c>
      <c r="E112" s="22">
        <f>SUMIF(Data!E:E,'RFM mijozlar tahlili'!A112,Data!J:J)</f>
        <v>4629109.6351999994</v>
      </c>
      <c r="F112" s="29">
        <f t="shared" si="9"/>
        <v>1</v>
      </c>
      <c r="G112">
        <f t="shared" si="10"/>
        <v>5</v>
      </c>
      <c r="H112">
        <f t="shared" si="11"/>
        <v>2</v>
      </c>
      <c r="I112" s="23">
        <f t="shared" si="12"/>
        <v>2</v>
      </c>
      <c r="J112" t="str">
        <f t="shared" si="13"/>
        <v xml:space="preserve"> </v>
      </c>
      <c r="K112" t="str">
        <f t="shared" si="14"/>
        <v xml:space="preserve"> </v>
      </c>
      <c r="L112" t="str">
        <f t="shared" si="15"/>
        <v xml:space="preserve"> </v>
      </c>
      <c r="M112" t="str">
        <f t="shared" si="16"/>
        <v xml:space="preserve"> </v>
      </c>
      <c r="N112" s="23" t="str">
        <f t="shared" si="17"/>
        <v xml:space="preserve"> </v>
      </c>
    </row>
    <row r="113" spans="1:14">
      <c r="A113" s="29">
        <v>4874206</v>
      </c>
      <c r="B113" s="10">
        <f>_xlfn.XLOOKUP(A113,Data!E:E,Data!B:B,0,0,-1)</f>
        <v>45353</v>
      </c>
      <c r="C113" s="20">
        <f>_xlfn.XLOOKUP(A113,Data!E:E,Data!B:B)</f>
        <v>45599</v>
      </c>
      <c r="D113" s="21">
        <f>COUNTIF(Data!E:E,A113)</f>
        <v>60</v>
      </c>
      <c r="E113" s="22">
        <f>SUMIF(Data!E:E,'RFM mijozlar tahlili'!A113,Data!J:J)</f>
        <v>18359867.488655992</v>
      </c>
      <c r="F113" s="29">
        <f t="shared" si="9"/>
        <v>2</v>
      </c>
      <c r="G113">
        <f t="shared" si="10"/>
        <v>4</v>
      </c>
      <c r="H113">
        <f t="shared" si="11"/>
        <v>5</v>
      </c>
      <c r="I113" s="23">
        <f t="shared" si="12"/>
        <v>5</v>
      </c>
      <c r="J113" t="str">
        <f t="shared" si="13"/>
        <v xml:space="preserve"> </v>
      </c>
      <c r="K113" t="str">
        <f t="shared" si="14"/>
        <v>Sodiq</v>
      </c>
      <c r="L113" t="str">
        <f t="shared" si="15"/>
        <v xml:space="preserve"> </v>
      </c>
      <c r="M113" t="str">
        <f t="shared" si="16"/>
        <v xml:space="preserve"> </v>
      </c>
      <c r="N113" s="23" t="str">
        <f t="shared" si="17"/>
        <v xml:space="preserve"> </v>
      </c>
    </row>
    <row r="114" spans="1:14">
      <c r="A114" s="29">
        <v>6080130</v>
      </c>
      <c r="B114" s="10">
        <f>_xlfn.XLOOKUP(A114,Data!E:E,Data!B:B,0,0,-1)</f>
        <v>45539</v>
      </c>
      <c r="C114" s="20">
        <f>_xlfn.XLOOKUP(A114,Data!E:E,Data!B:B)</f>
        <v>45600</v>
      </c>
      <c r="D114" s="21">
        <f>COUNTIF(Data!E:E,A114)</f>
        <v>5</v>
      </c>
      <c r="E114" s="22">
        <f>SUMIF(Data!E:E,'RFM mijozlar tahlili'!A114,Data!J:J)</f>
        <v>-150768.95999999993</v>
      </c>
      <c r="F114" s="29">
        <f t="shared" si="9"/>
        <v>2</v>
      </c>
      <c r="G114">
        <f t="shared" si="10"/>
        <v>4</v>
      </c>
      <c r="H114">
        <f t="shared" si="11"/>
        <v>2</v>
      </c>
      <c r="I114" s="23">
        <f t="shared" si="12"/>
        <v>0</v>
      </c>
      <c r="J114" t="str">
        <f t="shared" si="13"/>
        <v xml:space="preserve"> </v>
      </c>
      <c r="K114" t="str">
        <f t="shared" si="14"/>
        <v xml:space="preserve"> </v>
      </c>
      <c r="L114" t="str">
        <f t="shared" si="15"/>
        <v xml:space="preserve"> </v>
      </c>
      <c r="M114" t="str">
        <f t="shared" si="16"/>
        <v xml:space="preserve"> </v>
      </c>
      <c r="N114" s="23" t="str">
        <f t="shared" si="17"/>
        <v xml:space="preserve"> </v>
      </c>
    </row>
    <row r="115" spans="1:14">
      <c r="A115" s="29">
        <v>4873780</v>
      </c>
      <c r="B115" s="10">
        <f>_xlfn.XLOOKUP(A115,Data!E:E,Data!B:B,0,0,-1)</f>
        <v>45388</v>
      </c>
      <c r="C115" s="20">
        <f>_xlfn.XLOOKUP(A115,Data!E:E,Data!B:B)</f>
        <v>45603</v>
      </c>
      <c r="D115" s="21">
        <f>COUNTIF(Data!E:E,A115)</f>
        <v>31</v>
      </c>
      <c r="E115" s="22">
        <f>SUMIF(Data!E:E,'RFM mijozlar tahlili'!A115,Data!J:J)</f>
        <v>9997266.096975999</v>
      </c>
      <c r="F115" s="29">
        <f t="shared" si="9"/>
        <v>2</v>
      </c>
      <c r="G115">
        <f t="shared" si="10"/>
        <v>4</v>
      </c>
      <c r="H115">
        <f t="shared" si="11"/>
        <v>5</v>
      </c>
      <c r="I115" s="23">
        <f t="shared" si="12"/>
        <v>4</v>
      </c>
      <c r="J115" t="str">
        <f t="shared" si="13"/>
        <v xml:space="preserve"> </v>
      </c>
      <c r="K115" t="str">
        <f t="shared" si="14"/>
        <v>Sodiq</v>
      </c>
      <c r="L115" t="str">
        <f t="shared" si="15"/>
        <v xml:space="preserve"> </v>
      </c>
      <c r="M115" t="str">
        <f t="shared" si="16"/>
        <v xml:space="preserve"> </v>
      </c>
      <c r="N115" s="23" t="str">
        <f t="shared" si="17"/>
        <v xml:space="preserve"> </v>
      </c>
    </row>
    <row r="116" spans="1:14">
      <c r="A116" s="29">
        <v>4878532</v>
      </c>
      <c r="B116" s="10">
        <f>_xlfn.XLOOKUP(A116,Data!E:E,Data!B:B,0,0,-1)</f>
        <v>45582</v>
      </c>
      <c r="C116" s="20">
        <f>_xlfn.XLOOKUP(A116,Data!E:E,Data!B:B)</f>
        <v>45605</v>
      </c>
      <c r="D116" s="21">
        <f>COUNTIF(Data!E:E,A116)</f>
        <v>9</v>
      </c>
      <c r="E116" s="22">
        <f>SUMIF(Data!E:E,'RFM mijozlar tahlili'!A116,Data!J:J)</f>
        <v>1836491.5735999995</v>
      </c>
      <c r="F116" s="29">
        <f t="shared" si="9"/>
        <v>2</v>
      </c>
      <c r="G116">
        <f t="shared" si="10"/>
        <v>4</v>
      </c>
      <c r="H116">
        <f t="shared" si="11"/>
        <v>4</v>
      </c>
      <c r="I116" s="23">
        <f t="shared" si="12"/>
        <v>0</v>
      </c>
      <c r="J116" t="str">
        <f t="shared" si="13"/>
        <v xml:space="preserve"> </v>
      </c>
      <c r="K116" t="str">
        <f t="shared" si="14"/>
        <v>Sodiq</v>
      </c>
      <c r="L116" t="str">
        <f t="shared" si="15"/>
        <v xml:space="preserve"> </v>
      </c>
      <c r="M116" t="str">
        <f t="shared" si="16"/>
        <v xml:space="preserve"> </v>
      </c>
      <c r="N116" s="23" t="str">
        <f t="shared" si="17"/>
        <v>Yangi</v>
      </c>
    </row>
    <row r="117" spans="1:14">
      <c r="A117" s="29">
        <v>4877274</v>
      </c>
      <c r="B117" s="10">
        <f>_xlfn.XLOOKUP(A117,Data!E:E,Data!B:B,0,0,-1)</f>
        <v>45608</v>
      </c>
      <c r="C117" s="20">
        <f>_xlfn.XLOOKUP(A117,Data!E:E,Data!B:B)</f>
        <v>45608</v>
      </c>
      <c r="D117" s="21">
        <f>COUNTIF(Data!E:E,A117)</f>
        <v>2</v>
      </c>
      <c r="E117" s="22">
        <f>SUMIF(Data!E:E,'RFM mijozlar tahlili'!A117,Data!J:J)</f>
        <v>402553.12319999997</v>
      </c>
      <c r="F117" s="29">
        <f t="shared" si="9"/>
        <v>2</v>
      </c>
      <c r="G117">
        <f t="shared" si="10"/>
        <v>4</v>
      </c>
      <c r="H117">
        <f t="shared" si="11"/>
        <v>0</v>
      </c>
      <c r="I117" s="23">
        <f t="shared" si="12"/>
        <v>0</v>
      </c>
      <c r="J117" t="str">
        <f t="shared" si="13"/>
        <v xml:space="preserve"> </v>
      </c>
      <c r="K117" t="str">
        <f t="shared" si="14"/>
        <v xml:space="preserve"> </v>
      </c>
      <c r="L117" t="str">
        <f t="shared" si="15"/>
        <v xml:space="preserve"> </v>
      </c>
      <c r="M117" t="str">
        <f t="shared" si="16"/>
        <v xml:space="preserve"> </v>
      </c>
      <c r="N117" s="23" t="str">
        <f t="shared" si="17"/>
        <v>Yangi</v>
      </c>
    </row>
    <row r="118" spans="1:14">
      <c r="A118" s="29">
        <v>4876109</v>
      </c>
      <c r="B118" s="10">
        <f>_xlfn.XLOOKUP(A118,Data!E:E,Data!B:B,0,0,-1)</f>
        <v>45608</v>
      </c>
      <c r="C118" s="20">
        <f>_xlfn.XLOOKUP(A118,Data!E:E,Data!B:B)</f>
        <v>45608</v>
      </c>
      <c r="D118" s="21">
        <f>COUNTIF(Data!E:E,A118)</f>
        <v>5</v>
      </c>
      <c r="E118" s="22">
        <f>SUMIF(Data!E:E,'RFM mijozlar tahlili'!A118,Data!J:J)</f>
        <v>996318.97991999995</v>
      </c>
      <c r="F118" s="29">
        <f t="shared" si="9"/>
        <v>2</v>
      </c>
      <c r="G118">
        <f t="shared" si="10"/>
        <v>4</v>
      </c>
      <c r="H118">
        <f t="shared" si="11"/>
        <v>2</v>
      </c>
      <c r="I118" s="23">
        <f t="shared" si="12"/>
        <v>0</v>
      </c>
      <c r="J118" t="str">
        <f t="shared" si="13"/>
        <v xml:space="preserve"> </v>
      </c>
      <c r="K118" t="str">
        <f t="shared" si="14"/>
        <v xml:space="preserve"> </v>
      </c>
      <c r="L118" t="str">
        <f t="shared" si="15"/>
        <v xml:space="preserve"> </v>
      </c>
      <c r="M118" t="str">
        <f t="shared" si="16"/>
        <v xml:space="preserve"> </v>
      </c>
      <c r="N118" s="23" t="str">
        <f t="shared" si="17"/>
        <v>Yangi</v>
      </c>
    </row>
    <row r="119" spans="1:14">
      <c r="A119" s="29">
        <v>4873351</v>
      </c>
      <c r="B119" s="10">
        <f>_xlfn.XLOOKUP(A119,Data!E:E,Data!B:B,0,0,-1)</f>
        <v>45608</v>
      </c>
      <c r="C119" s="20">
        <f>_xlfn.XLOOKUP(A119,Data!E:E,Data!B:B)</f>
        <v>45608</v>
      </c>
      <c r="D119" s="21">
        <f>COUNTIF(Data!E:E,A119)</f>
        <v>2</v>
      </c>
      <c r="E119" s="22">
        <f>SUMIF(Data!E:E,'RFM mijozlar tahlili'!A119,Data!J:J)</f>
        <v>402553.12319999997</v>
      </c>
      <c r="F119" s="29">
        <f t="shared" si="9"/>
        <v>2</v>
      </c>
      <c r="G119">
        <f t="shared" si="10"/>
        <v>4</v>
      </c>
      <c r="H119">
        <f t="shared" si="11"/>
        <v>0</v>
      </c>
      <c r="I119" s="23">
        <f t="shared" si="12"/>
        <v>0</v>
      </c>
      <c r="J119" t="str">
        <f t="shared" si="13"/>
        <v xml:space="preserve"> </v>
      </c>
      <c r="K119" t="str">
        <f t="shared" si="14"/>
        <v xml:space="preserve"> </v>
      </c>
      <c r="L119" t="str">
        <f t="shared" si="15"/>
        <v xml:space="preserve"> </v>
      </c>
      <c r="M119" t="str">
        <f t="shared" si="16"/>
        <v xml:space="preserve"> </v>
      </c>
      <c r="N119" s="23" t="str">
        <f t="shared" si="17"/>
        <v>Yangi</v>
      </c>
    </row>
    <row r="120" spans="1:14">
      <c r="A120" s="29">
        <v>4877273</v>
      </c>
      <c r="B120" s="10">
        <f>_xlfn.XLOOKUP(A120,Data!E:E,Data!B:B,0,0,-1)</f>
        <v>45385</v>
      </c>
      <c r="C120" s="20">
        <f>_xlfn.XLOOKUP(A120,Data!E:E,Data!B:B)</f>
        <v>45610</v>
      </c>
      <c r="D120" s="21">
        <f>COUNTIF(Data!E:E,A120)</f>
        <v>12</v>
      </c>
      <c r="E120" s="22">
        <f>SUMIF(Data!E:E,'RFM mijozlar tahlili'!A120,Data!J:J)</f>
        <v>2505518.7823359999</v>
      </c>
      <c r="F120" s="29">
        <f t="shared" si="9"/>
        <v>2</v>
      </c>
      <c r="G120">
        <f t="shared" si="10"/>
        <v>4</v>
      </c>
      <c r="H120">
        <f t="shared" si="11"/>
        <v>4</v>
      </c>
      <c r="I120" s="23">
        <f t="shared" si="12"/>
        <v>1</v>
      </c>
      <c r="J120" t="str">
        <f t="shared" si="13"/>
        <v xml:space="preserve"> </v>
      </c>
      <c r="K120" t="str">
        <f t="shared" si="14"/>
        <v>Sodiq</v>
      </c>
      <c r="L120" t="str">
        <f t="shared" si="15"/>
        <v xml:space="preserve"> </v>
      </c>
      <c r="M120" t="str">
        <f t="shared" si="16"/>
        <v xml:space="preserve"> </v>
      </c>
      <c r="N120" s="23" t="str">
        <f t="shared" si="17"/>
        <v xml:space="preserve"> </v>
      </c>
    </row>
    <row r="121" spans="1:14">
      <c r="A121" s="29">
        <v>4873794</v>
      </c>
      <c r="B121" s="10">
        <f>_xlfn.XLOOKUP(A121,Data!E:E,Data!B:B,0,0,-1)</f>
        <v>45561</v>
      </c>
      <c r="C121" s="20">
        <f>_xlfn.XLOOKUP(A121,Data!E:E,Data!B:B)</f>
        <v>45612</v>
      </c>
      <c r="D121" s="21">
        <f>COUNTIF(Data!E:E,A121)</f>
        <v>7</v>
      </c>
      <c r="E121" s="22">
        <f>SUMIF(Data!E:E,'RFM mijozlar tahlili'!A121,Data!J:J)</f>
        <v>2817620.5808000001</v>
      </c>
      <c r="F121" s="29">
        <f t="shared" si="9"/>
        <v>2</v>
      </c>
      <c r="G121">
        <f t="shared" si="10"/>
        <v>4</v>
      </c>
      <c r="H121">
        <f t="shared" si="11"/>
        <v>3</v>
      </c>
      <c r="I121" s="23">
        <f t="shared" si="12"/>
        <v>1</v>
      </c>
      <c r="J121" t="str">
        <f t="shared" si="13"/>
        <v xml:space="preserve"> </v>
      </c>
      <c r="K121" t="str">
        <f t="shared" si="14"/>
        <v xml:space="preserve"> </v>
      </c>
      <c r="L121" t="str">
        <f t="shared" si="15"/>
        <v xml:space="preserve"> </v>
      </c>
      <c r="M121" t="str">
        <f t="shared" si="16"/>
        <v xml:space="preserve"> </v>
      </c>
      <c r="N121" s="23" t="str">
        <f t="shared" si="17"/>
        <v xml:space="preserve"> </v>
      </c>
    </row>
    <row r="122" spans="1:14">
      <c r="A122" s="29">
        <v>4876282</v>
      </c>
      <c r="B122" s="10">
        <f>_xlfn.XLOOKUP(A122,Data!E:E,Data!B:B,0,0,-1)</f>
        <v>45487</v>
      </c>
      <c r="C122" s="20">
        <f>_xlfn.XLOOKUP(A122,Data!E:E,Data!B:B)</f>
        <v>45619</v>
      </c>
      <c r="D122" s="21">
        <f>COUNTIF(Data!E:E,A122)</f>
        <v>16</v>
      </c>
      <c r="E122" s="22">
        <f>SUMIF(Data!E:E,'RFM mijozlar tahlili'!A122,Data!J:J)</f>
        <v>6390319.7542559989</v>
      </c>
      <c r="F122" s="29">
        <f t="shared" si="9"/>
        <v>1</v>
      </c>
      <c r="G122">
        <f t="shared" si="10"/>
        <v>5</v>
      </c>
      <c r="H122">
        <f t="shared" si="11"/>
        <v>5</v>
      </c>
      <c r="I122" s="23">
        <f t="shared" si="12"/>
        <v>3</v>
      </c>
      <c r="J122" t="str">
        <f t="shared" si="13"/>
        <v xml:space="preserve"> </v>
      </c>
      <c r="K122" t="str">
        <f t="shared" si="14"/>
        <v>Sodiq</v>
      </c>
      <c r="L122" t="str">
        <f t="shared" si="15"/>
        <v xml:space="preserve"> </v>
      </c>
      <c r="M122" t="str">
        <f t="shared" si="16"/>
        <v xml:space="preserve"> </v>
      </c>
      <c r="N122" s="23" t="str">
        <f t="shared" si="17"/>
        <v xml:space="preserve"> </v>
      </c>
    </row>
    <row r="123" spans="1:14">
      <c r="A123" s="29">
        <v>4876110</v>
      </c>
      <c r="B123" s="10">
        <f>_xlfn.XLOOKUP(A123,Data!E:E,Data!B:B,0,0,-1)</f>
        <v>45621</v>
      </c>
      <c r="C123" s="20">
        <f>_xlfn.XLOOKUP(A123,Data!E:E,Data!B:B)</f>
        <v>45621</v>
      </c>
      <c r="D123" s="21">
        <f>COUNTIF(Data!E:E,A123)</f>
        <v>4</v>
      </c>
      <c r="E123" s="22">
        <f>SUMIF(Data!E:E,'RFM mijozlar tahlili'!A123,Data!J:J)</f>
        <v>1006131.5264</v>
      </c>
      <c r="F123" s="29">
        <f t="shared" si="9"/>
        <v>1</v>
      </c>
      <c r="G123">
        <f t="shared" si="10"/>
        <v>5</v>
      </c>
      <c r="H123">
        <f t="shared" si="11"/>
        <v>1</v>
      </c>
      <c r="I123" s="23">
        <f t="shared" si="12"/>
        <v>0</v>
      </c>
      <c r="J123" t="str">
        <f t="shared" si="13"/>
        <v xml:space="preserve"> </v>
      </c>
      <c r="K123" t="str">
        <f t="shared" si="14"/>
        <v xml:space="preserve"> </v>
      </c>
      <c r="L123" t="str">
        <f t="shared" si="15"/>
        <v xml:space="preserve"> </v>
      </c>
      <c r="M123" t="str">
        <f t="shared" si="16"/>
        <v xml:space="preserve"> </v>
      </c>
      <c r="N123" s="23" t="str">
        <f t="shared" si="17"/>
        <v>Yangi</v>
      </c>
    </row>
    <row r="124" spans="1:14">
      <c r="A124" s="29">
        <v>4873457</v>
      </c>
      <c r="B124" s="10">
        <f>_xlfn.XLOOKUP(A124,Data!E:E,Data!B:B,0,0,-1)</f>
        <v>45386</v>
      </c>
      <c r="C124" s="20">
        <f>_xlfn.XLOOKUP(A124,Data!E:E,Data!B:B)</f>
        <v>45621</v>
      </c>
      <c r="D124" s="21">
        <f>COUNTIF(Data!E:E,A124)</f>
        <v>18</v>
      </c>
      <c r="E124" s="22">
        <f>SUMIF(Data!E:E,'RFM mijozlar tahlili'!A124,Data!J:J)</f>
        <v>5856489.5847679982</v>
      </c>
      <c r="F124" s="29">
        <f t="shared" si="9"/>
        <v>1</v>
      </c>
      <c r="G124">
        <f t="shared" si="10"/>
        <v>5</v>
      </c>
      <c r="H124">
        <f t="shared" si="11"/>
        <v>5</v>
      </c>
      <c r="I124" s="23">
        <f t="shared" si="12"/>
        <v>2</v>
      </c>
      <c r="J124" t="str">
        <f t="shared" si="13"/>
        <v xml:space="preserve"> </v>
      </c>
      <c r="K124" t="str">
        <f t="shared" si="14"/>
        <v>Sodiq</v>
      </c>
      <c r="L124" t="str">
        <f t="shared" si="15"/>
        <v xml:space="preserve"> </v>
      </c>
      <c r="M124" t="str">
        <f t="shared" si="16"/>
        <v xml:space="preserve"> </v>
      </c>
      <c r="N124" s="23" t="str">
        <f t="shared" si="17"/>
        <v xml:space="preserve"> </v>
      </c>
    </row>
    <row r="125" spans="1:14">
      <c r="A125" s="29">
        <v>6080049</v>
      </c>
      <c r="B125" s="10">
        <f>_xlfn.XLOOKUP(A125,Data!E:E,Data!B:B,0,0,-1)</f>
        <v>45622</v>
      </c>
      <c r="C125" s="20">
        <f>_xlfn.XLOOKUP(A125,Data!E:E,Data!B:B)</f>
        <v>45622</v>
      </c>
      <c r="D125" s="21">
        <f>COUNTIF(Data!E:E,A125)</f>
        <v>2</v>
      </c>
      <c r="E125" s="22">
        <f>SUMIF(Data!E:E,'RFM mijozlar tahlili'!A125,Data!J:J)</f>
        <v>503065.76319999999</v>
      </c>
      <c r="F125" s="29">
        <f t="shared" si="9"/>
        <v>1</v>
      </c>
      <c r="G125">
        <f t="shared" si="10"/>
        <v>5</v>
      </c>
      <c r="H125">
        <f t="shared" si="11"/>
        <v>0</v>
      </c>
      <c r="I125" s="23">
        <f t="shared" si="12"/>
        <v>0</v>
      </c>
      <c r="J125" t="str">
        <f t="shared" si="13"/>
        <v xml:space="preserve"> </v>
      </c>
      <c r="K125" t="str">
        <f t="shared" si="14"/>
        <v xml:space="preserve"> </v>
      </c>
      <c r="L125" t="str">
        <f t="shared" si="15"/>
        <v xml:space="preserve"> </v>
      </c>
      <c r="M125" t="str">
        <f t="shared" si="16"/>
        <v xml:space="preserve"> </v>
      </c>
      <c r="N125" s="23" t="str">
        <f t="shared" si="17"/>
        <v>Yangi</v>
      </c>
    </row>
    <row r="126" spans="1:14">
      <c r="A126" s="29">
        <v>4875835</v>
      </c>
      <c r="B126" s="10">
        <f>_xlfn.XLOOKUP(A126,Data!E:E,Data!B:B,0,0,-1)</f>
        <v>45416</v>
      </c>
      <c r="C126" s="20">
        <f>_xlfn.XLOOKUP(A126,Data!E:E,Data!B:B)</f>
        <v>45605</v>
      </c>
      <c r="D126" s="21">
        <f>COUNTIF(Data!E:E,A126)</f>
        <v>44</v>
      </c>
      <c r="E126" s="22">
        <f>SUMIF(Data!E:E,'RFM mijozlar tahlili'!A126,Data!J:J)</f>
        <v>62373181.572399974</v>
      </c>
      <c r="F126" s="29">
        <f t="shared" si="9"/>
        <v>2</v>
      </c>
      <c r="G126">
        <f t="shared" si="10"/>
        <v>4</v>
      </c>
      <c r="H126">
        <f t="shared" si="11"/>
        <v>5</v>
      </c>
      <c r="I126" s="23">
        <f t="shared" si="12"/>
        <v>5</v>
      </c>
      <c r="J126" t="str">
        <f t="shared" si="13"/>
        <v xml:space="preserve"> </v>
      </c>
      <c r="K126" t="str">
        <f t="shared" si="14"/>
        <v>Sodiq</v>
      </c>
      <c r="L126" t="str">
        <f t="shared" si="15"/>
        <v xml:space="preserve"> </v>
      </c>
      <c r="M126" t="str">
        <f t="shared" si="16"/>
        <v xml:space="preserve"> </v>
      </c>
      <c r="N126" s="23" t="str">
        <f t="shared" si="17"/>
        <v xml:space="preserve"> </v>
      </c>
    </row>
    <row r="127" spans="1:14">
      <c r="A127" s="29">
        <v>4875889</v>
      </c>
      <c r="B127" s="10">
        <f>_xlfn.XLOOKUP(A127,Data!E:E,Data!B:B,0,0,-1)</f>
        <v>45617</v>
      </c>
      <c r="C127" s="20">
        <f>_xlfn.XLOOKUP(A127,Data!E:E,Data!B:B)</f>
        <v>45617</v>
      </c>
      <c r="D127" s="21">
        <f>COUNTIF(Data!E:E,A127)</f>
        <v>4</v>
      </c>
      <c r="E127" s="22">
        <f>SUMIF(Data!E:E,'RFM mijozlar tahlili'!A127,Data!J:J)</f>
        <v>4226807.7935999995</v>
      </c>
      <c r="F127" s="29">
        <f t="shared" si="9"/>
        <v>2</v>
      </c>
      <c r="G127">
        <f t="shared" si="10"/>
        <v>4</v>
      </c>
      <c r="H127">
        <f t="shared" si="11"/>
        <v>1</v>
      </c>
      <c r="I127" s="23">
        <f t="shared" si="12"/>
        <v>2</v>
      </c>
      <c r="J127" t="str">
        <f t="shared" si="13"/>
        <v xml:space="preserve"> </v>
      </c>
      <c r="K127" t="str">
        <f t="shared" si="14"/>
        <v xml:space="preserve"> </v>
      </c>
      <c r="L127" t="str">
        <f t="shared" si="15"/>
        <v xml:space="preserve"> </v>
      </c>
      <c r="M127" t="str">
        <f t="shared" si="16"/>
        <v xml:space="preserve"> </v>
      </c>
      <c r="N127" s="23" t="str">
        <f t="shared" si="17"/>
        <v>Yangi</v>
      </c>
    </row>
    <row r="128" spans="1:14">
      <c r="A128" s="29">
        <v>6747343</v>
      </c>
      <c r="B128" s="10">
        <f>_xlfn.XLOOKUP(A128,Data!E:E,Data!B:B,0,0,-1)</f>
        <v>45617</v>
      </c>
      <c r="C128" s="20">
        <f>_xlfn.XLOOKUP(A128,Data!E:E,Data!B:B)</f>
        <v>45617</v>
      </c>
      <c r="D128" s="21">
        <f>COUNTIF(Data!E:E,A128)</f>
        <v>1</v>
      </c>
      <c r="E128" s="22">
        <f>SUMIF(Data!E:E,'RFM mijozlar tahlili'!A128,Data!J:J)</f>
        <v>103025.45599999999</v>
      </c>
      <c r="F128" s="29">
        <f t="shared" si="9"/>
        <v>2</v>
      </c>
      <c r="G128">
        <f t="shared" si="10"/>
        <v>4</v>
      </c>
      <c r="H128">
        <f t="shared" si="11"/>
        <v>0</v>
      </c>
      <c r="I128" s="23">
        <f t="shared" si="12"/>
        <v>0</v>
      </c>
      <c r="J128" t="str">
        <f t="shared" si="13"/>
        <v xml:space="preserve"> </v>
      </c>
      <c r="K128" t="str">
        <f t="shared" si="14"/>
        <v xml:space="preserve"> </v>
      </c>
      <c r="L128" t="str">
        <f t="shared" si="15"/>
        <v xml:space="preserve"> </v>
      </c>
      <c r="M128" t="str">
        <f t="shared" si="16"/>
        <v xml:space="preserve"> </v>
      </c>
      <c r="N128" s="23" t="str">
        <f t="shared" si="17"/>
        <v>Yangi</v>
      </c>
    </row>
    <row r="129" spans="1:14">
      <c r="A129" s="29">
        <v>4876549</v>
      </c>
      <c r="B129" s="10">
        <f>_xlfn.XLOOKUP(A129,Data!E:E,Data!B:B,0,0,-1)</f>
        <v>45321</v>
      </c>
      <c r="C129" s="20">
        <f>_xlfn.XLOOKUP(A129,Data!E:E,Data!B:B)</f>
        <v>45598</v>
      </c>
      <c r="D129" s="21">
        <f>COUNTIF(Data!E:E,A129)</f>
        <v>8</v>
      </c>
      <c r="E129" s="22">
        <f>SUMIF(Data!E:E,'RFM mijozlar tahlili'!A129,Data!J:J)</f>
        <v>9826668.5059199985</v>
      </c>
      <c r="F129" s="29">
        <f t="shared" si="9"/>
        <v>2</v>
      </c>
      <c r="G129">
        <f t="shared" si="10"/>
        <v>4</v>
      </c>
      <c r="H129">
        <f t="shared" si="11"/>
        <v>3</v>
      </c>
      <c r="I129" s="23">
        <f t="shared" si="12"/>
        <v>4</v>
      </c>
      <c r="J129" t="str">
        <f t="shared" si="13"/>
        <v xml:space="preserve"> </v>
      </c>
      <c r="K129" t="str">
        <f t="shared" si="14"/>
        <v xml:space="preserve"> </v>
      </c>
      <c r="L129" t="str">
        <f t="shared" si="15"/>
        <v xml:space="preserve"> </v>
      </c>
      <c r="M129" t="str">
        <f t="shared" si="16"/>
        <v xml:space="preserve"> </v>
      </c>
      <c r="N129" s="23" t="str">
        <f t="shared" si="17"/>
        <v xml:space="preserve"> </v>
      </c>
    </row>
    <row r="130" spans="1:14">
      <c r="A130" s="29">
        <v>6080140</v>
      </c>
      <c r="B130" s="10">
        <f>_xlfn.XLOOKUP(A130,Data!E:E,Data!B:B,0,0,-1)</f>
        <v>45602</v>
      </c>
      <c r="C130" s="20">
        <f>_xlfn.XLOOKUP(A130,Data!E:E,Data!B:B)</f>
        <v>45602</v>
      </c>
      <c r="D130" s="21">
        <f>COUNTIF(Data!E:E,A130)</f>
        <v>1</v>
      </c>
      <c r="E130" s="22">
        <f>SUMIF(Data!E:E,'RFM mijozlar tahlili'!A130,Data!J:J)</f>
        <v>201276.56159999999</v>
      </c>
      <c r="F130" s="29">
        <f t="shared" si="9"/>
        <v>2</v>
      </c>
      <c r="G130">
        <f t="shared" si="10"/>
        <v>4</v>
      </c>
      <c r="H130">
        <f t="shared" si="11"/>
        <v>0</v>
      </c>
      <c r="I130" s="23">
        <f t="shared" si="12"/>
        <v>0</v>
      </c>
      <c r="J130" t="str">
        <f t="shared" si="13"/>
        <v xml:space="preserve"> </v>
      </c>
      <c r="K130" t="str">
        <f t="shared" si="14"/>
        <v xml:space="preserve"> </v>
      </c>
      <c r="L130" t="str">
        <f t="shared" si="15"/>
        <v xml:space="preserve"> </v>
      </c>
      <c r="M130" t="str">
        <f t="shared" si="16"/>
        <v xml:space="preserve"> </v>
      </c>
      <c r="N130" s="23" t="str">
        <f t="shared" si="17"/>
        <v>Yangi</v>
      </c>
    </row>
    <row r="131" spans="1:14">
      <c r="A131" s="29">
        <v>4875916</v>
      </c>
      <c r="B131" s="10">
        <f>_xlfn.XLOOKUP(A131,Data!E:E,Data!B:B,0,0,-1)</f>
        <v>45298</v>
      </c>
      <c r="C131" s="20">
        <f>_xlfn.XLOOKUP(A131,Data!E:E,Data!B:B)</f>
        <v>45603</v>
      </c>
      <c r="D131" s="21">
        <f>COUNTIF(Data!E:E,A131)</f>
        <v>6</v>
      </c>
      <c r="E131" s="22">
        <f>SUMIF(Data!E:E,'RFM mijozlar tahlili'!A131,Data!J:J)</f>
        <v>4271875.1485599997</v>
      </c>
      <c r="F131" s="29">
        <f t="shared" si="9"/>
        <v>2</v>
      </c>
      <c r="G131">
        <f t="shared" si="10"/>
        <v>4</v>
      </c>
      <c r="H131">
        <f t="shared" si="11"/>
        <v>2</v>
      </c>
      <c r="I131" s="23">
        <f t="shared" si="12"/>
        <v>2</v>
      </c>
      <c r="J131" t="str">
        <f t="shared" si="13"/>
        <v xml:space="preserve"> </v>
      </c>
      <c r="K131" t="str">
        <f t="shared" si="14"/>
        <v xml:space="preserve"> </v>
      </c>
      <c r="L131" t="str">
        <f t="shared" si="15"/>
        <v xml:space="preserve"> </v>
      </c>
      <c r="M131" t="str">
        <f t="shared" si="16"/>
        <v xml:space="preserve"> </v>
      </c>
      <c r="N131" s="23" t="str">
        <f t="shared" si="17"/>
        <v xml:space="preserve"> </v>
      </c>
    </row>
    <row r="132" spans="1:14">
      <c r="A132" s="29">
        <v>4877183</v>
      </c>
      <c r="B132" s="10">
        <f>_xlfn.XLOOKUP(A132,Data!E:E,Data!B:B,0,0,-1)</f>
        <v>45333</v>
      </c>
      <c r="C132" s="20">
        <f>_xlfn.XLOOKUP(A132,Data!E:E,Data!B:B)</f>
        <v>45605</v>
      </c>
      <c r="D132" s="21">
        <f>COUNTIF(Data!E:E,A132)</f>
        <v>11</v>
      </c>
      <c r="E132" s="22">
        <f>SUMIF(Data!E:E,'RFM mijozlar tahlili'!A132,Data!J:J)</f>
        <v>1953450.5943199997</v>
      </c>
      <c r="F132" s="29">
        <f t="shared" si="9"/>
        <v>2</v>
      </c>
      <c r="G132">
        <f t="shared" si="10"/>
        <v>4</v>
      </c>
      <c r="H132">
        <f t="shared" si="11"/>
        <v>4</v>
      </c>
      <c r="I132" s="23">
        <f t="shared" si="12"/>
        <v>0</v>
      </c>
      <c r="J132" t="str">
        <f t="shared" si="13"/>
        <v xml:space="preserve"> </v>
      </c>
      <c r="K132" t="str">
        <f t="shared" si="14"/>
        <v>Sodiq</v>
      </c>
      <c r="L132" t="str">
        <f t="shared" si="15"/>
        <v xml:space="preserve"> </v>
      </c>
      <c r="M132" t="str">
        <f t="shared" si="16"/>
        <v xml:space="preserve"> </v>
      </c>
      <c r="N132" s="23" t="str">
        <f t="shared" si="17"/>
        <v xml:space="preserve"> </v>
      </c>
    </row>
    <row r="133" spans="1:14">
      <c r="A133" s="29">
        <v>4876156</v>
      </c>
      <c r="B133" s="10">
        <f>_xlfn.XLOOKUP(A133,Data!E:E,Data!B:B,0,0,-1)</f>
        <v>45496</v>
      </c>
      <c r="C133" s="20">
        <f>_xlfn.XLOOKUP(A133,Data!E:E,Data!B:B)</f>
        <v>45615</v>
      </c>
      <c r="D133" s="21">
        <f>COUNTIF(Data!E:E,A133)</f>
        <v>7</v>
      </c>
      <c r="E133" s="22">
        <f>SUMIF(Data!E:E,'RFM mijozlar tahlili'!A133,Data!J:J)</f>
        <v>4175860.4491999997</v>
      </c>
      <c r="F133" s="29">
        <f t="shared" si="9"/>
        <v>2</v>
      </c>
      <c r="G133">
        <f t="shared" si="10"/>
        <v>4</v>
      </c>
      <c r="H133">
        <f t="shared" si="11"/>
        <v>3</v>
      </c>
      <c r="I133" s="23">
        <f t="shared" si="12"/>
        <v>2</v>
      </c>
      <c r="J133" t="str">
        <f t="shared" si="13"/>
        <v xml:space="preserve"> </v>
      </c>
      <c r="K133" t="str">
        <f t="shared" si="14"/>
        <v xml:space="preserve"> </v>
      </c>
      <c r="L133" t="str">
        <f t="shared" si="15"/>
        <v xml:space="preserve"> </v>
      </c>
      <c r="M133" t="str">
        <f t="shared" si="16"/>
        <v xml:space="preserve"> </v>
      </c>
      <c r="N133" s="23" t="str">
        <f t="shared" si="17"/>
        <v xml:space="preserve"> </v>
      </c>
    </row>
    <row r="134" spans="1:14">
      <c r="A134" s="29">
        <v>4876182</v>
      </c>
      <c r="B134" s="10">
        <f>_xlfn.XLOOKUP(A134,Data!E:E,Data!B:B,0,0,-1)</f>
        <v>45487</v>
      </c>
      <c r="C134" s="20">
        <f>_xlfn.XLOOKUP(A134,Data!E:E,Data!B:B)</f>
        <v>45616</v>
      </c>
      <c r="D134" s="21">
        <f>COUNTIF(Data!E:E,A134)</f>
        <v>5</v>
      </c>
      <c r="E134" s="22">
        <f>SUMIF(Data!E:E,'RFM mijozlar tahlili'!A134,Data!J:J)</f>
        <v>3723427.9283999996</v>
      </c>
      <c r="F134" s="29">
        <f t="shared" ref="F134:F197" si="18">ROUND(($F$4-C134)/30,0)</f>
        <v>2</v>
      </c>
      <c r="G134">
        <f t="shared" ref="G134:G197" si="19">IF(F134&lt;=1,5,IF(F134=2,4,IF(F134=3,3,IF(F134=4,2,IF(F134=5,1,IF(F134&gt;5,0,0))))))</f>
        <v>4</v>
      </c>
      <c r="H134">
        <f t="shared" ref="H134:H197" si="20">IF(D134&gt;=$D$3,5,IF(D134&lt;3,0,IF(D134&lt;5,1,IF(D134&lt;7,2,IF(D134&lt;9,3,IF(D134&lt;=$D$3,4,0))))))</f>
        <v>2</v>
      </c>
      <c r="I134" s="23">
        <f t="shared" ref="I134:I197" si="21">IF(E134&gt;=$E$3,5,IF(E134&lt;2000000,0,IF(E134&lt;=4000000,1,IF(E134&lt;=6000000,2,IF(E134&lt;=8000000,3,IF(E134&lt;=$E$3,4))))))</f>
        <v>1</v>
      </c>
      <c r="J134" t="str">
        <f t="shared" ref="J134:J197" si="22">IF(AND(G134=5,H134=5,I134=5),"TOP"," ")</f>
        <v xml:space="preserve"> </v>
      </c>
      <c r="K134" t="str">
        <f t="shared" ref="K134:K197" si="23">IF(AND(G134&gt;=4,H134&gt;=4), "Sodiq", " ")</f>
        <v xml:space="preserve"> </v>
      </c>
      <c r="L134" t="str">
        <f t="shared" ref="L134:L197" si="24">IF(AND(G134&lt;=1,H134&lt;=1), "Yo'qotilgan", " ")</f>
        <v xml:space="preserve"> </v>
      </c>
      <c r="M134" t="str">
        <f t="shared" ref="M134:M197" si="25">IF(AND(G134&lt;=3,I134&gt;=3), "Yo'qotishdagi", " ")</f>
        <v xml:space="preserve"> </v>
      </c>
      <c r="N134" s="23" t="str">
        <f t="shared" ref="N134:N197" si="26">IF(AND((B134-$N$2)&gt;0, F134&lt;=2), "Yangi", " ")</f>
        <v xml:space="preserve"> </v>
      </c>
    </row>
    <row r="135" spans="1:14">
      <c r="A135" s="29">
        <v>6957467</v>
      </c>
      <c r="B135" s="10">
        <f>_xlfn.XLOOKUP(A135,Data!E:E,Data!B:B,0,0,-1)</f>
        <v>45602</v>
      </c>
      <c r="C135" s="20">
        <f>_xlfn.XLOOKUP(A135,Data!E:E,Data!B:B)</f>
        <v>45602</v>
      </c>
      <c r="D135" s="21">
        <f>COUNTIF(Data!E:E,A135)</f>
        <v>2</v>
      </c>
      <c r="E135" s="22">
        <f>SUMIF(Data!E:E,'RFM mijozlar tahlili'!A135,Data!J:J)</f>
        <v>503065.76319999999</v>
      </c>
      <c r="F135" s="29">
        <f t="shared" si="18"/>
        <v>2</v>
      </c>
      <c r="G135">
        <f t="shared" si="19"/>
        <v>4</v>
      </c>
      <c r="H135">
        <f t="shared" si="20"/>
        <v>0</v>
      </c>
      <c r="I135" s="23">
        <f t="shared" si="21"/>
        <v>0</v>
      </c>
      <c r="J135" t="str">
        <f t="shared" si="22"/>
        <v xml:space="preserve"> </v>
      </c>
      <c r="K135" t="str">
        <f t="shared" si="23"/>
        <v xml:space="preserve"> </v>
      </c>
      <c r="L135" t="str">
        <f t="shared" si="24"/>
        <v xml:space="preserve"> </v>
      </c>
      <c r="M135" t="str">
        <f t="shared" si="25"/>
        <v xml:space="preserve"> </v>
      </c>
      <c r="N135" s="23" t="str">
        <f t="shared" si="26"/>
        <v>Yangi</v>
      </c>
    </row>
    <row r="136" spans="1:14">
      <c r="A136" s="29">
        <v>4878051</v>
      </c>
      <c r="B136" s="10">
        <f>_xlfn.XLOOKUP(A136,Data!E:E,Data!B:B,0,0,-1)</f>
        <v>45496</v>
      </c>
      <c r="C136" s="20">
        <f>_xlfn.XLOOKUP(A136,Data!E:E,Data!B:B)</f>
        <v>45616</v>
      </c>
      <c r="D136" s="21">
        <f>COUNTIF(Data!E:E,A136)</f>
        <v>12</v>
      </c>
      <c r="E136" s="22">
        <f>SUMIF(Data!E:E,'RFM mijozlar tahlili'!A136,Data!J:J)</f>
        <v>3703080.4008399998</v>
      </c>
      <c r="F136" s="29">
        <f t="shared" si="18"/>
        <v>2</v>
      </c>
      <c r="G136">
        <f t="shared" si="19"/>
        <v>4</v>
      </c>
      <c r="H136">
        <f t="shared" si="20"/>
        <v>4</v>
      </c>
      <c r="I136" s="23">
        <f t="shared" si="21"/>
        <v>1</v>
      </c>
      <c r="J136" t="str">
        <f t="shared" si="22"/>
        <v xml:space="preserve"> </v>
      </c>
      <c r="K136" t="str">
        <f t="shared" si="23"/>
        <v>Sodiq</v>
      </c>
      <c r="L136" t="str">
        <f t="shared" si="24"/>
        <v xml:space="preserve"> </v>
      </c>
      <c r="M136" t="str">
        <f t="shared" si="25"/>
        <v xml:space="preserve"> </v>
      </c>
      <c r="N136" s="23" t="str">
        <f t="shared" si="26"/>
        <v xml:space="preserve"> </v>
      </c>
    </row>
    <row r="137" spans="1:14">
      <c r="A137" s="29">
        <v>4872395</v>
      </c>
      <c r="B137" s="10">
        <f>_xlfn.XLOOKUP(A137,Data!E:E,Data!B:B,0,0,-1)</f>
        <v>45301</v>
      </c>
      <c r="C137" s="20">
        <f>_xlfn.XLOOKUP(A137,Data!E:E,Data!B:B)</f>
        <v>45601</v>
      </c>
      <c r="D137" s="21">
        <f>COUNTIF(Data!E:E,A137)</f>
        <v>43</v>
      </c>
      <c r="E137" s="22">
        <f>SUMIF(Data!E:E,'RFM mijozlar tahlili'!A137,Data!J:J)</f>
        <v>16815463.134079993</v>
      </c>
      <c r="F137" s="29">
        <f t="shared" si="18"/>
        <v>2</v>
      </c>
      <c r="G137">
        <f t="shared" si="19"/>
        <v>4</v>
      </c>
      <c r="H137">
        <f t="shared" si="20"/>
        <v>5</v>
      </c>
      <c r="I137" s="23">
        <f t="shared" si="21"/>
        <v>5</v>
      </c>
      <c r="J137" t="str">
        <f t="shared" si="22"/>
        <v xml:space="preserve"> </v>
      </c>
      <c r="K137" t="str">
        <f t="shared" si="23"/>
        <v>Sodiq</v>
      </c>
      <c r="L137" t="str">
        <f t="shared" si="24"/>
        <v xml:space="preserve"> </v>
      </c>
      <c r="M137" t="str">
        <f t="shared" si="25"/>
        <v xml:space="preserve"> </v>
      </c>
      <c r="N137" s="23" t="str">
        <f t="shared" si="26"/>
        <v xml:space="preserve"> </v>
      </c>
    </row>
    <row r="138" spans="1:14">
      <c r="A138" s="29">
        <v>4875762</v>
      </c>
      <c r="B138" s="10">
        <f>_xlfn.XLOOKUP(A138,Data!E:E,Data!B:B,0,0,-1)</f>
        <v>45389</v>
      </c>
      <c r="C138" s="20">
        <f>_xlfn.XLOOKUP(A138,Data!E:E,Data!B:B)</f>
        <v>45601</v>
      </c>
      <c r="D138" s="21">
        <f>COUNTIF(Data!E:E,A138)</f>
        <v>34</v>
      </c>
      <c r="E138" s="22">
        <f>SUMIF(Data!E:E,'RFM mijozlar tahlili'!A138,Data!J:J)</f>
        <v>14169618.655039994</v>
      </c>
      <c r="F138" s="29">
        <f t="shared" si="18"/>
        <v>2</v>
      </c>
      <c r="G138">
        <f t="shared" si="19"/>
        <v>4</v>
      </c>
      <c r="H138">
        <f t="shared" si="20"/>
        <v>5</v>
      </c>
      <c r="I138" s="23">
        <f t="shared" si="21"/>
        <v>5</v>
      </c>
      <c r="J138" t="str">
        <f t="shared" si="22"/>
        <v xml:space="preserve"> </v>
      </c>
      <c r="K138" t="str">
        <f t="shared" si="23"/>
        <v>Sodiq</v>
      </c>
      <c r="L138" t="str">
        <f t="shared" si="24"/>
        <v xml:space="preserve"> </v>
      </c>
      <c r="M138" t="str">
        <f t="shared" si="25"/>
        <v xml:space="preserve"> </v>
      </c>
      <c r="N138" s="23" t="str">
        <f t="shared" si="26"/>
        <v xml:space="preserve"> </v>
      </c>
    </row>
    <row r="139" spans="1:14">
      <c r="A139" s="29">
        <v>4878846</v>
      </c>
      <c r="B139" s="10">
        <f>_xlfn.XLOOKUP(A139,Data!E:E,Data!B:B,0,0,-1)</f>
        <v>45346</v>
      </c>
      <c r="C139" s="20">
        <f>_xlfn.XLOOKUP(A139,Data!E:E,Data!B:B)</f>
        <v>45604</v>
      </c>
      <c r="D139" s="21">
        <f>COUNTIF(Data!E:E,A139)</f>
        <v>23</v>
      </c>
      <c r="E139" s="22">
        <f>SUMIF(Data!E:E,'RFM mijozlar tahlili'!A139,Data!J:J)</f>
        <v>7695715.1021760004</v>
      </c>
      <c r="F139" s="29">
        <f t="shared" si="18"/>
        <v>2</v>
      </c>
      <c r="G139">
        <f t="shared" si="19"/>
        <v>4</v>
      </c>
      <c r="H139">
        <f t="shared" si="20"/>
        <v>5</v>
      </c>
      <c r="I139" s="23">
        <f t="shared" si="21"/>
        <v>3</v>
      </c>
      <c r="J139" t="str">
        <f t="shared" si="22"/>
        <v xml:space="preserve"> </v>
      </c>
      <c r="K139" t="str">
        <f t="shared" si="23"/>
        <v>Sodiq</v>
      </c>
      <c r="L139" t="str">
        <f t="shared" si="24"/>
        <v xml:space="preserve"> </v>
      </c>
      <c r="M139" t="str">
        <f t="shared" si="25"/>
        <v xml:space="preserve"> </v>
      </c>
      <c r="N139" s="23" t="str">
        <f t="shared" si="26"/>
        <v xml:space="preserve"> </v>
      </c>
    </row>
    <row r="140" spans="1:14">
      <c r="A140" s="29">
        <v>4878582</v>
      </c>
      <c r="B140" s="10">
        <f>_xlfn.XLOOKUP(A140,Data!E:E,Data!B:B,0,0,-1)</f>
        <v>45302</v>
      </c>
      <c r="C140" s="20">
        <f>_xlfn.XLOOKUP(A140,Data!E:E,Data!B:B)</f>
        <v>45610</v>
      </c>
      <c r="D140" s="21">
        <f>COUNTIF(Data!E:E,A140)</f>
        <v>51</v>
      </c>
      <c r="E140" s="22">
        <f>SUMIF(Data!E:E,'RFM mijozlar tahlili'!A140,Data!J:J)</f>
        <v>20900007.849839997</v>
      </c>
      <c r="F140" s="29">
        <f t="shared" si="18"/>
        <v>2</v>
      </c>
      <c r="G140">
        <f t="shared" si="19"/>
        <v>4</v>
      </c>
      <c r="H140">
        <f t="shared" si="20"/>
        <v>5</v>
      </c>
      <c r="I140" s="23">
        <f t="shared" si="21"/>
        <v>5</v>
      </c>
      <c r="J140" t="str">
        <f t="shared" si="22"/>
        <v xml:space="preserve"> </v>
      </c>
      <c r="K140" t="str">
        <f t="shared" si="23"/>
        <v>Sodiq</v>
      </c>
      <c r="L140" t="str">
        <f t="shared" si="24"/>
        <v xml:space="preserve"> </v>
      </c>
      <c r="M140" t="str">
        <f t="shared" si="25"/>
        <v xml:space="preserve"> </v>
      </c>
      <c r="N140" s="23" t="str">
        <f t="shared" si="26"/>
        <v xml:space="preserve"> </v>
      </c>
    </row>
    <row r="141" spans="1:14">
      <c r="A141" s="29">
        <v>8165004</v>
      </c>
      <c r="B141" s="10">
        <f>_xlfn.XLOOKUP(A141,Data!E:E,Data!B:B,0,0,-1)</f>
        <v>45610</v>
      </c>
      <c r="C141" s="20">
        <f>_xlfn.XLOOKUP(A141,Data!E:E,Data!B:B)</f>
        <v>45610</v>
      </c>
      <c r="D141" s="21">
        <f>COUNTIF(Data!E:E,A141)</f>
        <v>5</v>
      </c>
      <c r="E141" s="22">
        <f>SUMIF(Data!E:E,'RFM mijozlar tahlili'!A141,Data!J:J)</f>
        <v>1006382.808</v>
      </c>
      <c r="F141" s="29">
        <f t="shared" si="18"/>
        <v>2</v>
      </c>
      <c r="G141">
        <f t="shared" si="19"/>
        <v>4</v>
      </c>
      <c r="H141">
        <f t="shared" si="20"/>
        <v>2</v>
      </c>
      <c r="I141" s="23">
        <f t="shared" si="21"/>
        <v>0</v>
      </c>
      <c r="J141" t="str">
        <f t="shared" si="22"/>
        <v xml:space="preserve"> </v>
      </c>
      <c r="K141" t="str">
        <f t="shared" si="23"/>
        <v xml:space="preserve"> </v>
      </c>
      <c r="L141" t="str">
        <f t="shared" si="24"/>
        <v xml:space="preserve"> </v>
      </c>
      <c r="M141" t="str">
        <f t="shared" si="25"/>
        <v xml:space="preserve"> </v>
      </c>
      <c r="N141" s="23" t="str">
        <f t="shared" si="26"/>
        <v>Yangi</v>
      </c>
    </row>
    <row r="142" spans="1:14">
      <c r="A142" s="29">
        <v>4879028</v>
      </c>
      <c r="B142" s="10">
        <f>_xlfn.XLOOKUP(A142,Data!E:E,Data!B:B,0,0,-1)</f>
        <v>45611</v>
      </c>
      <c r="C142" s="20">
        <f>_xlfn.XLOOKUP(A142,Data!E:E,Data!B:B)</f>
        <v>45611</v>
      </c>
      <c r="D142" s="21">
        <f>COUNTIF(Data!E:E,A142)</f>
        <v>5</v>
      </c>
      <c r="E142" s="22">
        <f>SUMIF(Data!E:E,'RFM mijozlar tahlili'!A142,Data!J:J)</f>
        <v>1992637.9598399999</v>
      </c>
      <c r="F142" s="29">
        <f t="shared" si="18"/>
        <v>2</v>
      </c>
      <c r="G142">
        <f t="shared" si="19"/>
        <v>4</v>
      </c>
      <c r="H142">
        <f t="shared" si="20"/>
        <v>2</v>
      </c>
      <c r="I142" s="23">
        <f t="shared" si="21"/>
        <v>0</v>
      </c>
      <c r="J142" t="str">
        <f t="shared" si="22"/>
        <v xml:space="preserve"> </v>
      </c>
      <c r="K142" t="str">
        <f t="shared" si="23"/>
        <v xml:space="preserve"> </v>
      </c>
      <c r="L142" t="str">
        <f t="shared" si="24"/>
        <v xml:space="preserve"> </v>
      </c>
      <c r="M142" t="str">
        <f t="shared" si="25"/>
        <v xml:space="preserve"> </v>
      </c>
      <c r="N142" s="23" t="str">
        <f t="shared" si="26"/>
        <v>Yangi</v>
      </c>
    </row>
    <row r="143" spans="1:14">
      <c r="A143" s="29">
        <v>4872397</v>
      </c>
      <c r="B143" s="10">
        <f>_xlfn.XLOOKUP(A143,Data!E:E,Data!B:B,0,0,-1)</f>
        <v>45440</v>
      </c>
      <c r="C143" s="20">
        <f>_xlfn.XLOOKUP(A143,Data!E:E,Data!B:B)</f>
        <v>45611</v>
      </c>
      <c r="D143" s="21">
        <f>COUNTIF(Data!E:E,A143)</f>
        <v>8</v>
      </c>
      <c r="E143" s="22">
        <f>SUMIF(Data!E:E,'RFM mijozlar tahlili'!A143,Data!J:J)</f>
        <v>2304490.9895199998</v>
      </c>
      <c r="F143" s="29">
        <f t="shared" si="18"/>
        <v>2</v>
      </c>
      <c r="G143">
        <f t="shared" si="19"/>
        <v>4</v>
      </c>
      <c r="H143">
        <f t="shared" si="20"/>
        <v>3</v>
      </c>
      <c r="I143" s="23">
        <f t="shared" si="21"/>
        <v>1</v>
      </c>
      <c r="J143" t="str">
        <f t="shared" si="22"/>
        <v xml:space="preserve"> </v>
      </c>
      <c r="K143" t="str">
        <f t="shared" si="23"/>
        <v xml:space="preserve"> </v>
      </c>
      <c r="L143" t="str">
        <f t="shared" si="24"/>
        <v xml:space="preserve"> </v>
      </c>
      <c r="M143" t="str">
        <f t="shared" si="25"/>
        <v xml:space="preserve"> </v>
      </c>
      <c r="N143" s="23" t="str">
        <f t="shared" si="26"/>
        <v xml:space="preserve"> </v>
      </c>
    </row>
    <row r="144" spans="1:14">
      <c r="A144" s="29">
        <v>4872949</v>
      </c>
      <c r="B144" s="10">
        <f>_xlfn.XLOOKUP(A144,Data!E:E,Data!B:B,0,0,-1)</f>
        <v>45308</v>
      </c>
      <c r="C144" s="20">
        <f>_xlfn.XLOOKUP(A144,Data!E:E,Data!B:B)</f>
        <v>45613</v>
      </c>
      <c r="D144" s="21">
        <f>COUNTIF(Data!E:E,A144)</f>
        <v>35</v>
      </c>
      <c r="E144" s="22">
        <f>SUMIF(Data!E:E,'RFM mijozlar tahlili'!A144,Data!J:J)</f>
        <v>9700532.6811679974</v>
      </c>
      <c r="F144" s="29">
        <f t="shared" si="18"/>
        <v>2</v>
      </c>
      <c r="G144">
        <f t="shared" si="19"/>
        <v>4</v>
      </c>
      <c r="H144">
        <f t="shared" si="20"/>
        <v>5</v>
      </c>
      <c r="I144" s="23">
        <f t="shared" si="21"/>
        <v>4</v>
      </c>
      <c r="J144" t="str">
        <f t="shared" si="22"/>
        <v xml:space="preserve"> </v>
      </c>
      <c r="K144" t="str">
        <f t="shared" si="23"/>
        <v>Sodiq</v>
      </c>
      <c r="L144" t="str">
        <f t="shared" si="24"/>
        <v xml:space="preserve"> </v>
      </c>
      <c r="M144" t="str">
        <f t="shared" si="25"/>
        <v xml:space="preserve"> </v>
      </c>
      <c r="N144" s="23" t="str">
        <f t="shared" si="26"/>
        <v xml:space="preserve"> </v>
      </c>
    </row>
    <row r="145" spans="1:14">
      <c r="A145" s="29">
        <v>4873291</v>
      </c>
      <c r="B145" s="10">
        <f>_xlfn.XLOOKUP(A145,Data!E:E,Data!B:B,0,0,-1)</f>
        <v>45301</v>
      </c>
      <c r="C145" s="20">
        <f>_xlfn.XLOOKUP(A145,Data!E:E,Data!B:B)</f>
        <v>45613</v>
      </c>
      <c r="D145" s="21">
        <f>COUNTIF(Data!E:E,A145)</f>
        <v>62</v>
      </c>
      <c r="E145" s="22">
        <f>SUMIF(Data!E:E,'RFM mijozlar tahlili'!A145,Data!J:J)</f>
        <v>29968826.127055977</v>
      </c>
      <c r="F145" s="29">
        <f t="shared" si="18"/>
        <v>2</v>
      </c>
      <c r="G145">
        <f t="shared" si="19"/>
        <v>4</v>
      </c>
      <c r="H145">
        <f t="shared" si="20"/>
        <v>5</v>
      </c>
      <c r="I145" s="23">
        <f t="shared" si="21"/>
        <v>5</v>
      </c>
      <c r="J145" t="str">
        <f t="shared" si="22"/>
        <v xml:space="preserve"> </v>
      </c>
      <c r="K145" t="str">
        <f t="shared" si="23"/>
        <v>Sodiq</v>
      </c>
      <c r="L145" t="str">
        <f t="shared" si="24"/>
        <v xml:space="preserve"> </v>
      </c>
      <c r="M145" t="str">
        <f t="shared" si="25"/>
        <v xml:space="preserve"> </v>
      </c>
      <c r="N145" s="23" t="str">
        <f t="shared" si="26"/>
        <v xml:space="preserve"> </v>
      </c>
    </row>
    <row r="146" spans="1:14">
      <c r="A146" s="29">
        <v>6986794</v>
      </c>
      <c r="B146" s="10">
        <f>_xlfn.XLOOKUP(A146,Data!E:E,Data!B:B,0,0,-1)</f>
        <v>45595</v>
      </c>
      <c r="C146" s="20">
        <f>_xlfn.XLOOKUP(A146,Data!E:E,Data!B:B)</f>
        <v>45615</v>
      </c>
      <c r="D146" s="21">
        <f>COUNTIF(Data!E:E,A146)</f>
        <v>5</v>
      </c>
      <c r="E146" s="22">
        <f>SUMIF(Data!E:E,'RFM mijozlar tahlili'!A146,Data!J:J)</f>
        <v>1006382.808</v>
      </c>
      <c r="F146" s="29">
        <f t="shared" si="18"/>
        <v>2</v>
      </c>
      <c r="G146">
        <f t="shared" si="19"/>
        <v>4</v>
      </c>
      <c r="H146">
        <f t="shared" si="20"/>
        <v>2</v>
      </c>
      <c r="I146" s="23">
        <f t="shared" si="21"/>
        <v>0</v>
      </c>
      <c r="J146" t="str">
        <f t="shared" si="22"/>
        <v xml:space="preserve"> </v>
      </c>
      <c r="K146" t="str">
        <f t="shared" si="23"/>
        <v xml:space="preserve"> </v>
      </c>
      <c r="L146" t="str">
        <f t="shared" si="24"/>
        <v xml:space="preserve"> </v>
      </c>
      <c r="M146" t="str">
        <f t="shared" si="25"/>
        <v xml:space="preserve"> </v>
      </c>
      <c r="N146" s="23" t="str">
        <f t="shared" si="26"/>
        <v>Yangi</v>
      </c>
    </row>
    <row r="147" spans="1:14">
      <c r="A147" s="29">
        <v>8128038</v>
      </c>
      <c r="B147" s="10">
        <f>_xlfn.XLOOKUP(A147,Data!E:E,Data!B:B,0,0,-1)</f>
        <v>45615</v>
      </c>
      <c r="C147" s="20">
        <f>_xlfn.XLOOKUP(A147,Data!E:E,Data!B:B)</f>
        <v>45615</v>
      </c>
      <c r="D147" s="21">
        <f>COUNTIF(Data!E:E,A147)</f>
        <v>1</v>
      </c>
      <c r="E147" s="22">
        <f>SUMIF(Data!E:E,'RFM mijozlar tahlili'!A147,Data!J:J)</f>
        <v>1006382.808</v>
      </c>
      <c r="F147" s="29">
        <f t="shared" si="18"/>
        <v>2</v>
      </c>
      <c r="G147">
        <f t="shared" si="19"/>
        <v>4</v>
      </c>
      <c r="H147">
        <f t="shared" si="20"/>
        <v>0</v>
      </c>
      <c r="I147" s="23">
        <f t="shared" si="21"/>
        <v>0</v>
      </c>
      <c r="J147" t="str">
        <f t="shared" si="22"/>
        <v xml:space="preserve"> </v>
      </c>
      <c r="K147" t="str">
        <f t="shared" si="23"/>
        <v xml:space="preserve"> </v>
      </c>
      <c r="L147" t="str">
        <f t="shared" si="24"/>
        <v xml:space="preserve"> </v>
      </c>
      <c r="M147" t="str">
        <f t="shared" si="25"/>
        <v xml:space="preserve"> </v>
      </c>
      <c r="N147" s="23" t="str">
        <f t="shared" si="26"/>
        <v>Yangi</v>
      </c>
    </row>
    <row r="148" spans="1:14">
      <c r="A148" s="29">
        <v>4872836</v>
      </c>
      <c r="B148" s="10">
        <f>_xlfn.XLOOKUP(A148,Data!E:E,Data!B:B,0,0,-1)</f>
        <v>45308</v>
      </c>
      <c r="C148" s="20">
        <f>_xlfn.XLOOKUP(A148,Data!E:E,Data!B:B)</f>
        <v>45617</v>
      </c>
      <c r="D148" s="21">
        <f>COUNTIF(Data!E:E,A148)</f>
        <v>35</v>
      </c>
      <c r="E148" s="22">
        <f>SUMIF(Data!E:E,'RFM mijozlar tahlili'!A148,Data!J:J)</f>
        <v>35066183.94695998</v>
      </c>
      <c r="F148" s="29">
        <f t="shared" si="18"/>
        <v>2</v>
      </c>
      <c r="G148">
        <f t="shared" si="19"/>
        <v>4</v>
      </c>
      <c r="H148">
        <f t="shared" si="20"/>
        <v>5</v>
      </c>
      <c r="I148" s="23">
        <f t="shared" si="21"/>
        <v>5</v>
      </c>
      <c r="J148" t="str">
        <f t="shared" si="22"/>
        <v xml:space="preserve"> </v>
      </c>
      <c r="K148" t="str">
        <f t="shared" si="23"/>
        <v>Sodiq</v>
      </c>
      <c r="L148" t="str">
        <f t="shared" si="24"/>
        <v xml:space="preserve"> </v>
      </c>
      <c r="M148" t="str">
        <f t="shared" si="25"/>
        <v xml:space="preserve"> </v>
      </c>
      <c r="N148" s="23" t="str">
        <f t="shared" si="26"/>
        <v xml:space="preserve"> </v>
      </c>
    </row>
    <row r="149" spans="1:14">
      <c r="A149" s="29">
        <v>8211427</v>
      </c>
      <c r="B149" s="10">
        <f>_xlfn.XLOOKUP(A149,Data!E:E,Data!B:B,0,0,-1)</f>
        <v>45619</v>
      </c>
      <c r="C149" s="20">
        <f>_xlfn.XLOOKUP(A149,Data!E:E,Data!B:B)</f>
        <v>45619</v>
      </c>
      <c r="D149" s="21">
        <f>COUNTIF(Data!E:E,A149)</f>
        <v>2</v>
      </c>
      <c r="E149" s="22">
        <f>SUMIF(Data!E:E,'RFM mijozlar tahlili'!A149,Data!J:J)</f>
        <v>251532.88159999999</v>
      </c>
      <c r="F149" s="29">
        <f t="shared" si="18"/>
        <v>1</v>
      </c>
      <c r="G149">
        <f t="shared" si="19"/>
        <v>5</v>
      </c>
      <c r="H149">
        <f t="shared" si="20"/>
        <v>0</v>
      </c>
      <c r="I149" s="23">
        <f t="shared" si="21"/>
        <v>0</v>
      </c>
      <c r="J149" t="str">
        <f t="shared" si="22"/>
        <v xml:space="preserve"> </v>
      </c>
      <c r="K149" t="str">
        <f t="shared" si="23"/>
        <v xml:space="preserve"> </v>
      </c>
      <c r="L149" t="str">
        <f t="shared" si="24"/>
        <v xml:space="preserve"> </v>
      </c>
      <c r="M149" t="str">
        <f t="shared" si="25"/>
        <v xml:space="preserve"> </v>
      </c>
      <c r="N149" s="23" t="str">
        <f t="shared" si="26"/>
        <v>Yangi</v>
      </c>
    </row>
    <row r="150" spans="1:14">
      <c r="A150" s="29">
        <v>8232957</v>
      </c>
      <c r="B150" s="10">
        <f>_xlfn.XLOOKUP(A150,Data!E:E,Data!B:B,0,0,-1)</f>
        <v>45619</v>
      </c>
      <c r="C150" s="20">
        <f>_xlfn.XLOOKUP(A150,Data!E:E,Data!B:B)</f>
        <v>45619</v>
      </c>
      <c r="D150" s="21">
        <f>COUNTIF(Data!E:E,A150)</f>
        <v>5</v>
      </c>
      <c r="E150" s="22">
        <f>SUMIF(Data!E:E,'RFM mijozlar tahlili'!A150,Data!J:J)</f>
        <v>996318.97991999995</v>
      </c>
      <c r="F150" s="29">
        <f t="shared" si="18"/>
        <v>1</v>
      </c>
      <c r="G150">
        <f t="shared" si="19"/>
        <v>5</v>
      </c>
      <c r="H150">
        <f t="shared" si="20"/>
        <v>2</v>
      </c>
      <c r="I150" s="23">
        <f t="shared" si="21"/>
        <v>0</v>
      </c>
      <c r="J150" t="str">
        <f t="shared" si="22"/>
        <v xml:space="preserve"> </v>
      </c>
      <c r="K150" t="str">
        <f t="shared" si="23"/>
        <v xml:space="preserve"> </v>
      </c>
      <c r="L150" t="str">
        <f t="shared" si="24"/>
        <v xml:space="preserve"> </v>
      </c>
      <c r="M150" t="str">
        <f t="shared" si="25"/>
        <v xml:space="preserve"> </v>
      </c>
      <c r="N150" s="23" t="str">
        <f t="shared" si="26"/>
        <v>Yangi</v>
      </c>
    </row>
    <row r="151" spans="1:14">
      <c r="A151" s="29">
        <v>7045357</v>
      </c>
      <c r="B151" s="10">
        <f>_xlfn.XLOOKUP(A151,Data!E:E,Data!B:B,0,0,-1)</f>
        <v>45626</v>
      </c>
      <c r="C151" s="20">
        <f>_xlfn.XLOOKUP(A151,Data!E:E,Data!B:B)</f>
        <v>45626</v>
      </c>
      <c r="D151" s="21">
        <f>COUNTIF(Data!E:E,A151)</f>
        <v>3</v>
      </c>
      <c r="E151" s="22">
        <f>SUMIF(Data!E:E,'RFM mijozlar tahlili'!A151,Data!J:J)</f>
        <v>603829.68479999993</v>
      </c>
      <c r="F151" s="29">
        <f t="shared" si="18"/>
        <v>1</v>
      </c>
      <c r="G151">
        <f t="shared" si="19"/>
        <v>5</v>
      </c>
      <c r="H151">
        <f t="shared" si="20"/>
        <v>1</v>
      </c>
      <c r="I151" s="23">
        <f t="shared" si="21"/>
        <v>0</v>
      </c>
      <c r="J151" t="str">
        <f t="shared" si="22"/>
        <v xml:space="preserve"> </v>
      </c>
      <c r="K151" t="str">
        <f t="shared" si="23"/>
        <v xml:space="preserve"> </v>
      </c>
      <c r="L151" t="str">
        <f t="shared" si="24"/>
        <v xml:space="preserve"> </v>
      </c>
      <c r="M151" t="str">
        <f t="shared" si="25"/>
        <v xml:space="preserve"> </v>
      </c>
      <c r="N151" s="23" t="str">
        <f t="shared" si="26"/>
        <v>Yangi</v>
      </c>
    </row>
    <row r="152" spans="1:14">
      <c r="A152" s="29">
        <v>4876667</v>
      </c>
      <c r="B152" s="10">
        <f>_xlfn.XLOOKUP(A152,Data!E:E,Data!B:B,0,0,-1)</f>
        <v>45530</v>
      </c>
      <c r="C152" s="20">
        <f>_xlfn.XLOOKUP(A152,Data!E:E,Data!B:B)</f>
        <v>45626</v>
      </c>
      <c r="D152" s="21">
        <f>COUNTIF(Data!E:E,A152)</f>
        <v>15</v>
      </c>
      <c r="E152" s="22">
        <f>SUMIF(Data!E:E,'RFM mijozlar tahlili'!A152,Data!J:J)</f>
        <v>4629360.9167999988</v>
      </c>
      <c r="F152" s="29">
        <f t="shared" si="18"/>
        <v>1</v>
      </c>
      <c r="G152">
        <f t="shared" si="19"/>
        <v>5</v>
      </c>
      <c r="H152">
        <f t="shared" si="20"/>
        <v>5</v>
      </c>
      <c r="I152" s="23">
        <f t="shared" si="21"/>
        <v>2</v>
      </c>
      <c r="J152" t="str">
        <f t="shared" si="22"/>
        <v xml:space="preserve"> </v>
      </c>
      <c r="K152" t="str">
        <f t="shared" si="23"/>
        <v>Sodiq</v>
      </c>
      <c r="L152" t="str">
        <f t="shared" si="24"/>
        <v xml:space="preserve"> </v>
      </c>
      <c r="M152" t="str">
        <f t="shared" si="25"/>
        <v xml:space="preserve"> </v>
      </c>
      <c r="N152" s="23" t="str">
        <f t="shared" si="26"/>
        <v xml:space="preserve"> </v>
      </c>
    </row>
    <row r="153" spans="1:14">
      <c r="A153" s="29">
        <v>4873979</v>
      </c>
      <c r="B153" s="10">
        <f>_xlfn.XLOOKUP(A153,Data!E:E,Data!B:B,0,0,-1)</f>
        <v>45436</v>
      </c>
      <c r="C153" s="20">
        <f>_xlfn.XLOOKUP(A153,Data!E:E,Data!B:B)</f>
        <v>45568</v>
      </c>
      <c r="D153" s="21">
        <f>COUNTIF(Data!E:E,A153)</f>
        <v>22</v>
      </c>
      <c r="E153" s="22">
        <f>SUMIF(Data!E:E,'RFM mijozlar tahlili'!A153,Data!J:J)</f>
        <v>3813939.5607200004</v>
      </c>
      <c r="F153" s="29">
        <f t="shared" si="18"/>
        <v>3</v>
      </c>
      <c r="G153">
        <f t="shared" si="19"/>
        <v>3</v>
      </c>
      <c r="H153">
        <f t="shared" si="20"/>
        <v>5</v>
      </c>
      <c r="I153" s="23">
        <f t="shared" si="21"/>
        <v>1</v>
      </c>
      <c r="J153" t="str">
        <f t="shared" si="22"/>
        <v xml:space="preserve"> </v>
      </c>
      <c r="K153" t="str">
        <f t="shared" si="23"/>
        <v xml:space="preserve"> </v>
      </c>
      <c r="L153" t="str">
        <f t="shared" si="24"/>
        <v xml:space="preserve"> </v>
      </c>
      <c r="M153" t="str">
        <f t="shared" si="25"/>
        <v xml:space="preserve"> </v>
      </c>
      <c r="N153" s="23" t="str">
        <f t="shared" si="26"/>
        <v xml:space="preserve"> </v>
      </c>
    </row>
    <row r="154" spans="1:14">
      <c r="A154" s="29">
        <v>4875298</v>
      </c>
      <c r="B154" s="10">
        <f>_xlfn.XLOOKUP(A154,Data!E:E,Data!B:B,0,0,-1)</f>
        <v>45457</v>
      </c>
      <c r="C154" s="20">
        <f>_xlfn.XLOOKUP(A154,Data!E:E,Data!B:B)</f>
        <v>45572</v>
      </c>
      <c r="D154" s="21">
        <f>COUNTIF(Data!E:E,A154)</f>
        <v>6</v>
      </c>
      <c r="E154" s="22">
        <f>SUMIF(Data!E:E,'RFM mijozlar tahlili'!A154,Data!J:J)</f>
        <v>1811489.0544</v>
      </c>
      <c r="F154" s="29">
        <f t="shared" si="18"/>
        <v>3</v>
      </c>
      <c r="G154">
        <f t="shared" si="19"/>
        <v>3</v>
      </c>
      <c r="H154">
        <f t="shared" si="20"/>
        <v>2</v>
      </c>
      <c r="I154" s="23">
        <f t="shared" si="21"/>
        <v>0</v>
      </c>
      <c r="J154" t="str">
        <f t="shared" si="22"/>
        <v xml:space="preserve"> </v>
      </c>
      <c r="K154" t="str">
        <f t="shared" si="23"/>
        <v xml:space="preserve"> </v>
      </c>
      <c r="L154" t="str">
        <f t="shared" si="24"/>
        <v xml:space="preserve"> </v>
      </c>
      <c r="M154" t="str">
        <f t="shared" si="25"/>
        <v xml:space="preserve"> </v>
      </c>
      <c r="N154" s="23" t="str">
        <f t="shared" si="26"/>
        <v xml:space="preserve"> </v>
      </c>
    </row>
    <row r="155" spans="1:14">
      <c r="A155" s="29">
        <v>4876122</v>
      </c>
      <c r="B155" s="10">
        <f>_xlfn.XLOOKUP(A155,Data!E:E,Data!B:B,0,0,-1)</f>
        <v>45573</v>
      </c>
      <c r="C155" s="20">
        <f>_xlfn.XLOOKUP(A155,Data!E:E,Data!B:B)</f>
        <v>45573</v>
      </c>
      <c r="D155" s="21">
        <f>COUNTIF(Data!E:E,A155)</f>
        <v>2</v>
      </c>
      <c r="E155" s="22">
        <f>SUMIF(Data!E:E,'RFM mijozlar tahlili'!A155,Data!J:J)</f>
        <v>315358.40799999994</v>
      </c>
      <c r="F155" s="29">
        <f t="shared" si="18"/>
        <v>3</v>
      </c>
      <c r="G155">
        <f t="shared" si="19"/>
        <v>3</v>
      </c>
      <c r="H155">
        <f t="shared" si="20"/>
        <v>0</v>
      </c>
      <c r="I155" s="23">
        <f t="shared" si="21"/>
        <v>0</v>
      </c>
      <c r="J155" t="str">
        <f t="shared" si="22"/>
        <v xml:space="preserve"> </v>
      </c>
      <c r="K155" t="str">
        <f t="shared" si="23"/>
        <v xml:space="preserve"> </v>
      </c>
      <c r="L155" t="str">
        <f t="shared" si="24"/>
        <v xml:space="preserve"> </v>
      </c>
      <c r="M155" t="str">
        <f t="shared" si="25"/>
        <v xml:space="preserve"> </v>
      </c>
      <c r="N155" s="23" t="str">
        <f t="shared" si="26"/>
        <v xml:space="preserve"> </v>
      </c>
    </row>
    <row r="156" spans="1:14">
      <c r="A156" s="29">
        <v>4878755</v>
      </c>
      <c r="B156" s="10">
        <f>_xlfn.XLOOKUP(A156,Data!E:E,Data!B:B,0,0,-1)</f>
        <v>45397</v>
      </c>
      <c r="C156" s="20">
        <f>_xlfn.XLOOKUP(A156,Data!E:E,Data!B:B)</f>
        <v>45568</v>
      </c>
      <c r="D156" s="21">
        <f>COUNTIF(Data!E:E,A156)</f>
        <v>6</v>
      </c>
      <c r="E156" s="22">
        <f>SUMIF(Data!E:E,'RFM mijozlar tahlili'!A156,Data!J:J)</f>
        <v>844683.09839999978</v>
      </c>
      <c r="F156" s="29">
        <f t="shared" si="18"/>
        <v>3</v>
      </c>
      <c r="G156">
        <f t="shared" si="19"/>
        <v>3</v>
      </c>
      <c r="H156">
        <f t="shared" si="20"/>
        <v>2</v>
      </c>
      <c r="I156" s="23">
        <f t="shared" si="21"/>
        <v>0</v>
      </c>
      <c r="J156" t="str">
        <f t="shared" si="22"/>
        <v xml:space="preserve"> </v>
      </c>
      <c r="K156" t="str">
        <f t="shared" si="23"/>
        <v xml:space="preserve"> </v>
      </c>
      <c r="L156" t="str">
        <f t="shared" si="24"/>
        <v xml:space="preserve"> </v>
      </c>
      <c r="M156" t="str">
        <f t="shared" si="25"/>
        <v xml:space="preserve"> </v>
      </c>
      <c r="N156" s="23" t="str">
        <f t="shared" si="26"/>
        <v xml:space="preserve"> </v>
      </c>
    </row>
    <row r="157" spans="1:14">
      <c r="A157" s="29">
        <v>4878163</v>
      </c>
      <c r="B157" s="10">
        <f>_xlfn.XLOOKUP(A157,Data!E:E,Data!B:B,0,0,-1)</f>
        <v>45400</v>
      </c>
      <c r="C157" s="20">
        <f>_xlfn.XLOOKUP(A157,Data!E:E,Data!B:B)</f>
        <v>45568</v>
      </c>
      <c r="D157" s="21">
        <f>COUNTIF(Data!E:E,A157)</f>
        <v>10</v>
      </c>
      <c r="E157" s="22">
        <f>SUMIF(Data!E:E,'RFM mijozlar tahlili'!A157,Data!J:J)</f>
        <v>8494825.7696000002</v>
      </c>
      <c r="F157" s="29">
        <f t="shared" si="18"/>
        <v>3</v>
      </c>
      <c r="G157">
        <f t="shared" si="19"/>
        <v>3</v>
      </c>
      <c r="H157">
        <f t="shared" si="20"/>
        <v>4</v>
      </c>
      <c r="I157" s="23">
        <f t="shared" si="21"/>
        <v>4</v>
      </c>
      <c r="J157" t="str">
        <f t="shared" si="22"/>
        <v xml:space="preserve"> </v>
      </c>
      <c r="K157" t="str">
        <f t="shared" si="23"/>
        <v xml:space="preserve"> </v>
      </c>
      <c r="L157" t="str">
        <f t="shared" si="24"/>
        <v xml:space="preserve"> </v>
      </c>
      <c r="M157" t="str">
        <f t="shared" si="25"/>
        <v>Yo'qotishdagi</v>
      </c>
      <c r="N157" s="23" t="str">
        <f t="shared" si="26"/>
        <v xml:space="preserve"> </v>
      </c>
    </row>
    <row r="158" spans="1:14">
      <c r="A158" s="29">
        <v>4878173</v>
      </c>
      <c r="B158" s="10">
        <f>_xlfn.XLOOKUP(A158,Data!E:E,Data!B:B,0,0,-1)</f>
        <v>45301</v>
      </c>
      <c r="C158" s="20">
        <f>_xlfn.XLOOKUP(A158,Data!E:E,Data!B:B)</f>
        <v>45568</v>
      </c>
      <c r="D158" s="21">
        <f>COUNTIF(Data!E:E,A158)</f>
        <v>36</v>
      </c>
      <c r="E158" s="22">
        <f>SUMIF(Data!E:E,'RFM mijozlar tahlili'!A158,Data!J:J)</f>
        <v>7079590.2086879965</v>
      </c>
      <c r="F158" s="29">
        <f t="shared" si="18"/>
        <v>3</v>
      </c>
      <c r="G158">
        <f t="shared" si="19"/>
        <v>3</v>
      </c>
      <c r="H158">
        <f t="shared" si="20"/>
        <v>5</v>
      </c>
      <c r="I158" s="23">
        <f t="shared" si="21"/>
        <v>3</v>
      </c>
      <c r="J158" t="str">
        <f t="shared" si="22"/>
        <v xml:space="preserve"> </v>
      </c>
      <c r="K158" t="str">
        <f t="shared" si="23"/>
        <v xml:space="preserve"> </v>
      </c>
      <c r="L158" t="str">
        <f t="shared" si="24"/>
        <v xml:space="preserve"> </v>
      </c>
      <c r="M158" t="str">
        <f t="shared" si="25"/>
        <v>Yo'qotishdagi</v>
      </c>
      <c r="N158" s="23" t="str">
        <f t="shared" si="26"/>
        <v xml:space="preserve"> </v>
      </c>
    </row>
    <row r="159" spans="1:14">
      <c r="A159" s="29">
        <v>4878458</v>
      </c>
      <c r="B159" s="10">
        <f>_xlfn.XLOOKUP(A159,Data!E:E,Data!B:B,0,0,-1)</f>
        <v>45300</v>
      </c>
      <c r="C159" s="20">
        <f>_xlfn.XLOOKUP(A159,Data!E:E,Data!B:B)</f>
        <v>45568</v>
      </c>
      <c r="D159" s="21">
        <f>COUNTIF(Data!E:E,A159)</f>
        <v>9</v>
      </c>
      <c r="E159" s="22">
        <f>SUMIF(Data!E:E,'RFM mijozlar tahlili'!A159,Data!J:J)</f>
        <v>2052706.8263199998</v>
      </c>
      <c r="F159" s="29">
        <f t="shared" si="18"/>
        <v>3</v>
      </c>
      <c r="G159">
        <f t="shared" si="19"/>
        <v>3</v>
      </c>
      <c r="H159">
        <f t="shared" si="20"/>
        <v>4</v>
      </c>
      <c r="I159" s="23">
        <f t="shared" si="21"/>
        <v>1</v>
      </c>
      <c r="J159" t="str">
        <f t="shared" si="22"/>
        <v xml:space="preserve"> </v>
      </c>
      <c r="K159" t="str">
        <f t="shared" si="23"/>
        <v xml:space="preserve"> </v>
      </c>
      <c r="L159" t="str">
        <f t="shared" si="24"/>
        <v xml:space="preserve"> </v>
      </c>
      <c r="M159" t="str">
        <f t="shared" si="25"/>
        <v xml:space="preserve"> </v>
      </c>
      <c r="N159" s="23" t="str">
        <f t="shared" si="26"/>
        <v xml:space="preserve"> </v>
      </c>
    </row>
    <row r="160" spans="1:14">
      <c r="A160" s="29">
        <v>4878834</v>
      </c>
      <c r="B160" s="10">
        <f>_xlfn.XLOOKUP(A160,Data!E:E,Data!B:B,0,0,-1)</f>
        <v>45428</v>
      </c>
      <c r="C160" s="20">
        <f>_xlfn.XLOOKUP(A160,Data!E:E,Data!B:B)</f>
        <v>45568</v>
      </c>
      <c r="D160" s="21">
        <f>COUNTIF(Data!E:E,A160)</f>
        <v>5</v>
      </c>
      <c r="E160" s="22">
        <f>SUMIF(Data!E:E,'RFM mijozlar tahlili'!A160,Data!J:J)</f>
        <v>905618.88639999996</v>
      </c>
      <c r="F160" s="29">
        <f t="shared" si="18"/>
        <v>3</v>
      </c>
      <c r="G160">
        <f t="shared" si="19"/>
        <v>3</v>
      </c>
      <c r="H160">
        <f t="shared" si="20"/>
        <v>2</v>
      </c>
      <c r="I160" s="23">
        <f t="shared" si="21"/>
        <v>0</v>
      </c>
      <c r="J160" t="str">
        <f t="shared" si="22"/>
        <v xml:space="preserve"> </v>
      </c>
      <c r="K160" t="str">
        <f t="shared" si="23"/>
        <v xml:space="preserve"> </v>
      </c>
      <c r="L160" t="str">
        <f t="shared" si="24"/>
        <v xml:space="preserve"> </v>
      </c>
      <c r="M160" t="str">
        <f t="shared" si="25"/>
        <v xml:space="preserve"> </v>
      </c>
      <c r="N160" s="23" t="str">
        <f t="shared" si="26"/>
        <v xml:space="preserve"> </v>
      </c>
    </row>
    <row r="161" spans="1:14">
      <c r="A161" s="29">
        <v>4877627</v>
      </c>
      <c r="B161" s="10">
        <f>_xlfn.XLOOKUP(A161,Data!E:E,Data!B:B,0,0,-1)</f>
        <v>45569</v>
      </c>
      <c r="C161" s="20">
        <f>_xlfn.XLOOKUP(A161,Data!E:E,Data!B:B)</f>
        <v>45569</v>
      </c>
      <c r="D161" s="21">
        <f>COUNTIF(Data!E:E,A161)</f>
        <v>4</v>
      </c>
      <c r="E161" s="22">
        <f>SUMIF(Data!E:E,'RFM mijozlar tahlili'!A161,Data!J:J)</f>
        <v>3220424.9856000002</v>
      </c>
      <c r="F161" s="29">
        <f t="shared" si="18"/>
        <v>3</v>
      </c>
      <c r="G161">
        <f t="shared" si="19"/>
        <v>3</v>
      </c>
      <c r="H161">
        <f t="shared" si="20"/>
        <v>1</v>
      </c>
      <c r="I161" s="23">
        <f t="shared" si="21"/>
        <v>1</v>
      </c>
      <c r="J161" t="str">
        <f t="shared" si="22"/>
        <v xml:space="preserve"> </v>
      </c>
      <c r="K161" t="str">
        <f t="shared" si="23"/>
        <v xml:space="preserve"> </v>
      </c>
      <c r="L161" t="str">
        <f t="shared" si="24"/>
        <v xml:space="preserve"> </v>
      </c>
      <c r="M161" t="str">
        <f t="shared" si="25"/>
        <v xml:space="preserve"> </v>
      </c>
      <c r="N161" s="23" t="str">
        <f t="shared" si="26"/>
        <v xml:space="preserve"> </v>
      </c>
    </row>
    <row r="162" spans="1:14">
      <c r="A162" s="29">
        <v>4878456</v>
      </c>
      <c r="B162" s="10">
        <f>_xlfn.XLOOKUP(A162,Data!E:E,Data!B:B,0,0,-1)</f>
        <v>45465</v>
      </c>
      <c r="C162" s="20">
        <f>_xlfn.XLOOKUP(A162,Data!E:E,Data!B:B)</f>
        <v>45571</v>
      </c>
      <c r="D162" s="21">
        <f>COUNTIF(Data!E:E,A162)</f>
        <v>4</v>
      </c>
      <c r="E162" s="22">
        <f>SUMIF(Data!E:E,'RFM mijozlar tahlili'!A162,Data!J:J)</f>
        <v>719532.29751999991</v>
      </c>
      <c r="F162" s="29">
        <f t="shared" si="18"/>
        <v>3</v>
      </c>
      <c r="G162">
        <f t="shared" si="19"/>
        <v>3</v>
      </c>
      <c r="H162">
        <f t="shared" si="20"/>
        <v>1</v>
      </c>
      <c r="I162" s="23">
        <f t="shared" si="21"/>
        <v>0</v>
      </c>
      <c r="J162" t="str">
        <f t="shared" si="22"/>
        <v xml:space="preserve"> </v>
      </c>
      <c r="K162" t="str">
        <f t="shared" si="23"/>
        <v xml:space="preserve"> </v>
      </c>
      <c r="L162" t="str">
        <f t="shared" si="24"/>
        <v xml:space="preserve"> </v>
      </c>
      <c r="M162" t="str">
        <f t="shared" si="25"/>
        <v xml:space="preserve"> </v>
      </c>
      <c r="N162" s="23" t="str">
        <f t="shared" si="26"/>
        <v xml:space="preserve"> </v>
      </c>
    </row>
    <row r="163" spans="1:14">
      <c r="A163" s="29">
        <v>4878427</v>
      </c>
      <c r="B163" s="10">
        <f>_xlfn.XLOOKUP(A163,Data!E:E,Data!B:B,0,0,-1)</f>
        <v>45300</v>
      </c>
      <c r="C163" s="20">
        <f>_xlfn.XLOOKUP(A163,Data!E:E,Data!B:B)</f>
        <v>45572</v>
      </c>
      <c r="D163" s="21">
        <f>COUNTIF(Data!E:E,A163)</f>
        <v>26</v>
      </c>
      <c r="E163" s="22">
        <f>SUMIF(Data!E:E,'RFM mijozlar tahlili'!A163,Data!J:J)</f>
        <v>20609413.243519995</v>
      </c>
      <c r="F163" s="29">
        <f t="shared" si="18"/>
        <v>3</v>
      </c>
      <c r="G163">
        <f t="shared" si="19"/>
        <v>3</v>
      </c>
      <c r="H163">
        <f t="shared" si="20"/>
        <v>5</v>
      </c>
      <c r="I163" s="23">
        <f t="shared" si="21"/>
        <v>5</v>
      </c>
      <c r="J163" t="str">
        <f t="shared" si="22"/>
        <v xml:space="preserve"> </v>
      </c>
      <c r="K163" t="str">
        <f t="shared" si="23"/>
        <v xml:space="preserve"> </v>
      </c>
      <c r="L163" t="str">
        <f t="shared" si="24"/>
        <v xml:space="preserve"> </v>
      </c>
      <c r="M163" t="str">
        <f t="shared" si="25"/>
        <v>Yo'qotishdagi</v>
      </c>
      <c r="N163" s="23" t="str">
        <f t="shared" si="26"/>
        <v xml:space="preserve"> </v>
      </c>
    </row>
    <row r="164" spans="1:14">
      <c r="A164" s="29">
        <v>4877224</v>
      </c>
      <c r="B164" s="10">
        <f>_xlfn.XLOOKUP(A164,Data!E:E,Data!B:B,0,0,-1)</f>
        <v>45574</v>
      </c>
      <c r="C164" s="20">
        <f>_xlfn.XLOOKUP(A164,Data!E:E,Data!B:B)</f>
        <v>45574</v>
      </c>
      <c r="D164" s="21">
        <f>COUNTIF(Data!E:E,A164)</f>
        <v>4</v>
      </c>
      <c r="E164" s="22">
        <f>SUMIF(Data!E:E,'RFM mijozlar tahlili'!A164,Data!J:J)</f>
        <v>795042.41831999994</v>
      </c>
      <c r="F164" s="29">
        <f t="shared" si="18"/>
        <v>3</v>
      </c>
      <c r="G164">
        <f t="shared" si="19"/>
        <v>3</v>
      </c>
      <c r="H164">
        <f t="shared" si="20"/>
        <v>1</v>
      </c>
      <c r="I164" s="23">
        <f t="shared" si="21"/>
        <v>0</v>
      </c>
      <c r="J164" t="str">
        <f t="shared" si="22"/>
        <v xml:space="preserve"> </v>
      </c>
      <c r="K164" t="str">
        <f t="shared" si="23"/>
        <v xml:space="preserve"> </v>
      </c>
      <c r="L164" t="str">
        <f t="shared" si="24"/>
        <v xml:space="preserve"> </v>
      </c>
      <c r="M164" t="str">
        <f t="shared" si="25"/>
        <v xml:space="preserve"> </v>
      </c>
      <c r="N164" s="23" t="str">
        <f t="shared" si="26"/>
        <v xml:space="preserve"> </v>
      </c>
    </row>
    <row r="165" spans="1:14">
      <c r="A165" s="29">
        <v>4878424</v>
      </c>
      <c r="B165" s="10">
        <f>_xlfn.XLOOKUP(A165,Data!E:E,Data!B:B,0,0,-1)</f>
        <v>45300</v>
      </c>
      <c r="C165" s="20">
        <f>_xlfn.XLOOKUP(A165,Data!E:E,Data!B:B)</f>
        <v>45574</v>
      </c>
      <c r="D165" s="21">
        <f>COUNTIF(Data!E:E,A165)</f>
        <v>12</v>
      </c>
      <c r="E165" s="22">
        <f>SUMIF(Data!E:E,'RFM mijozlar tahlili'!A165,Data!J:J)</f>
        <v>2495706.2358559999</v>
      </c>
      <c r="F165" s="29">
        <f t="shared" si="18"/>
        <v>3</v>
      </c>
      <c r="G165">
        <f t="shared" si="19"/>
        <v>3</v>
      </c>
      <c r="H165">
        <f t="shared" si="20"/>
        <v>4</v>
      </c>
      <c r="I165" s="23">
        <f t="shared" si="21"/>
        <v>1</v>
      </c>
      <c r="J165" t="str">
        <f t="shared" si="22"/>
        <v xml:space="preserve"> </v>
      </c>
      <c r="K165" t="str">
        <f t="shared" si="23"/>
        <v xml:space="preserve"> </v>
      </c>
      <c r="L165" t="str">
        <f t="shared" si="24"/>
        <v xml:space="preserve"> </v>
      </c>
      <c r="M165" t="str">
        <f t="shared" si="25"/>
        <v xml:space="preserve"> </v>
      </c>
      <c r="N165" s="23" t="str">
        <f t="shared" si="26"/>
        <v xml:space="preserve"> </v>
      </c>
    </row>
    <row r="166" spans="1:14">
      <c r="A166" s="29">
        <v>4878153</v>
      </c>
      <c r="B166" s="10">
        <f>_xlfn.XLOOKUP(A166,Data!E:E,Data!B:B,0,0,-1)</f>
        <v>45304</v>
      </c>
      <c r="C166" s="20">
        <f>_xlfn.XLOOKUP(A166,Data!E:E,Data!B:B)</f>
        <v>45578</v>
      </c>
      <c r="D166" s="21">
        <f>COUNTIF(Data!E:E,A166)</f>
        <v>9</v>
      </c>
      <c r="E166" s="22">
        <f>SUMIF(Data!E:E,'RFM mijozlar tahlili'!A166,Data!J:J)</f>
        <v>2214042.1775999996</v>
      </c>
      <c r="F166" s="29">
        <f t="shared" si="18"/>
        <v>3</v>
      </c>
      <c r="G166">
        <f t="shared" si="19"/>
        <v>3</v>
      </c>
      <c r="H166">
        <f t="shared" si="20"/>
        <v>4</v>
      </c>
      <c r="I166" s="23">
        <f t="shared" si="21"/>
        <v>1</v>
      </c>
      <c r="J166" t="str">
        <f t="shared" si="22"/>
        <v xml:space="preserve"> </v>
      </c>
      <c r="K166" t="str">
        <f t="shared" si="23"/>
        <v xml:space="preserve"> </v>
      </c>
      <c r="L166" t="str">
        <f t="shared" si="24"/>
        <v xml:space="preserve"> </v>
      </c>
      <c r="M166" t="str">
        <f t="shared" si="25"/>
        <v xml:space="preserve"> </v>
      </c>
      <c r="N166" s="23" t="str">
        <f t="shared" si="26"/>
        <v xml:space="preserve"> </v>
      </c>
    </row>
    <row r="167" spans="1:14">
      <c r="A167" s="29">
        <v>4878077</v>
      </c>
      <c r="B167" s="10">
        <f>_xlfn.XLOOKUP(A167,Data!E:E,Data!B:B,0,0,-1)</f>
        <v>45348</v>
      </c>
      <c r="C167" s="20">
        <f>_xlfn.XLOOKUP(A167,Data!E:E,Data!B:B)</f>
        <v>45578</v>
      </c>
      <c r="D167" s="21">
        <f>COUNTIF(Data!E:E,A167)</f>
        <v>4</v>
      </c>
      <c r="E167" s="22">
        <f>SUMIF(Data!E:E,'RFM mijozlar tahlili'!A167,Data!J:J)</f>
        <v>795042.41831999994</v>
      </c>
      <c r="F167" s="29">
        <f t="shared" si="18"/>
        <v>3</v>
      </c>
      <c r="G167">
        <f t="shared" si="19"/>
        <v>3</v>
      </c>
      <c r="H167">
        <f t="shared" si="20"/>
        <v>1</v>
      </c>
      <c r="I167" s="23">
        <f t="shared" si="21"/>
        <v>0</v>
      </c>
      <c r="J167" t="str">
        <f t="shared" si="22"/>
        <v xml:space="preserve"> </v>
      </c>
      <c r="K167" t="str">
        <f t="shared" si="23"/>
        <v xml:space="preserve"> </v>
      </c>
      <c r="L167" t="str">
        <f t="shared" si="24"/>
        <v xml:space="preserve"> </v>
      </c>
      <c r="M167" t="str">
        <f t="shared" si="25"/>
        <v xml:space="preserve"> </v>
      </c>
      <c r="N167" s="23" t="str">
        <f t="shared" si="26"/>
        <v xml:space="preserve"> </v>
      </c>
    </row>
    <row r="168" spans="1:14">
      <c r="A168" s="29">
        <v>6701745</v>
      </c>
      <c r="B168" s="10">
        <f>_xlfn.XLOOKUP(A168,Data!E:E,Data!B:B,0,0,-1)</f>
        <v>45578</v>
      </c>
      <c r="C168" s="20">
        <f>_xlfn.XLOOKUP(A168,Data!E:E,Data!B:B)</f>
        <v>45578</v>
      </c>
      <c r="D168" s="21">
        <f>COUNTIF(Data!E:E,A168)</f>
        <v>3</v>
      </c>
      <c r="E168" s="22">
        <f>SUMIF(Data!E:E,'RFM mijozlar tahlili'!A168,Data!J:J)</f>
        <v>518255.73591999995</v>
      </c>
      <c r="F168" s="29">
        <f t="shared" si="18"/>
        <v>3</v>
      </c>
      <c r="G168">
        <f t="shared" si="19"/>
        <v>3</v>
      </c>
      <c r="H168">
        <f t="shared" si="20"/>
        <v>1</v>
      </c>
      <c r="I168" s="23">
        <f t="shared" si="21"/>
        <v>0</v>
      </c>
      <c r="J168" t="str">
        <f t="shared" si="22"/>
        <v xml:space="preserve"> </v>
      </c>
      <c r="K168" t="str">
        <f t="shared" si="23"/>
        <v xml:space="preserve"> </v>
      </c>
      <c r="L168" t="str">
        <f t="shared" si="24"/>
        <v xml:space="preserve"> </v>
      </c>
      <c r="M168" t="str">
        <f t="shared" si="25"/>
        <v xml:space="preserve"> </v>
      </c>
      <c r="N168" s="23" t="str">
        <f t="shared" si="26"/>
        <v xml:space="preserve"> </v>
      </c>
    </row>
    <row r="169" spans="1:14">
      <c r="A169" s="29">
        <v>4878265</v>
      </c>
      <c r="B169" s="10">
        <f>_xlfn.XLOOKUP(A169,Data!E:E,Data!B:B,0,0,-1)</f>
        <v>45300</v>
      </c>
      <c r="C169" s="20">
        <f>_xlfn.XLOOKUP(A169,Data!E:E,Data!B:B)</f>
        <v>45584</v>
      </c>
      <c r="D169" s="21">
        <f>COUNTIF(Data!E:E,A169)</f>
        <v>46</v>
      </c>
      <c r="E169" s="22">
        <f>SUMIF(Data!E:E,'RFM mijozlar tahlili'!A169,Data!J:J)</f>
        <v>1373618.3023200002</v>
      </c>
      <c r="F169" s="29">
        <f t="shared" si="18"/>
        <v>3</v>
      </c>
      <c r="G169">
        <f t="shared" si="19"/>
        <v>3</v>
      </c>
      <c r="H169">
        <f t="shared" si="20"/>
        <v>5</v>
      </c>
      <c r="I169" s="23">
        <f t="shared" si="21"/>
        <v>0</v>
      </c>
      <c r="J169" t="str">
        <f t="shared" si="22"/>
        <v xml:space="preserve"> </v>
      </c>
      <c r="K169" t="str">
        <f t="shared" si="23"/>
        <v xml:space="preserve"> </v>
      </c>
      <c r="L169" t="str">
        <f t="shared" si="24"/>
        <v xml:space="preserve"> </v>
      </c>
      <c r="M169" t="str">
        <f t="shared" si="25"/>
        <v xml:space="preserve"> </v>
      </c>
      <c r="N169" s="23" t="str">
        <f t="shared" si="26"/>
        <v xml:space="preserve"> </v>
      </c>
    </row>
    <row r="170" spans="1:14">
      <c r="A170" s="29">
        <v>4878432</v>
      </c>
      <c r="B170" s="10">
        <f>_xlfn.XLOOKUP(A170,Data!E:E,Data!B:B,0,0,-1)</f>
        <v>45303</v>
      </c>
      <c r="C170" s="20">
        <f>_xlfn.XLOOKUP(A170,Data!E:E,Data!B:B)</f>
        <v>45584</v>
      </c>
      <c r="D170" s="21">
        <f>COUNTIF(Data!E:E,A170)</f>
        <v>7</v>
      </c>
      <c r="E170" s="22">
        <f>SUMIF(Data!E:E,'RFM mijozlar tahlili'!A170,Data!J:J)</f>
        <v>2253983.3879199997</v>
      </c>
      <c r="F170" s="29">
        <f t="shared" si="18"/>
        <v>3</v>
      </c>
      <c r="G170">
        <f t="shared" si="19"/>
        <v>3</v>
      </c>
      <c r="H170">
        <f t="shared" si="20"/>
        <v>3</v>
      </c>
      <c r="I170" s="23">
        <f t="shared" si="21"/>
        <v>1</v>
      </c>
      <c r="J170" t="str">
        <f t="shared" si="22"/>
        <v xml:space="preserve"> </v>
      </c>
      <c r="K170" t="str">
        <f t="shared" si="23"/>
        <v xml:space="preserve"> </v>
      </c>
      <c r="L170" t="str">
        <f t="shared" si="24"/>
        <v xml:space="preserve"> </v>
      </c>
      <c r="M170" t="str">
        <f t="shared" si="25"/>
        <v xml:space="preserve"> </v>
      </c>
      <c r="N170" s="23" t="str">
        <f t="shared" si="26"/>
        <v xml:space="preserve"> </v>
      </c>
    </row>
    <row r="171" spans="1:14">
      <c r="A171" s="29">
        <v>4878610</v>
      </c>
      <c r="B171" s="10">
        <f>_xlfn.XLOOKUP(A171,Data!E:E,Data!B:B,0,0,-1)</f>
        <v>45304</v>
      </c>
      <c r="C171" s="20">
        <f>_xlfn.XLOOKUP(A171,Data!E:E,Data!B:B)</f>
        <v>45586</v>
      </c>
      <c r="D171" s="21">
        <f>COUNTIF(Data!E:E,A171)</f>
        <v>14</v>
      </c>
      <c r="E171" s="22">
        <f>SUMIF(Data!E:E,'RFM mijozlar tahlili'!A171,Data!J:J)</f>
        <v>6783020.1259199977</v>
      </c>
      <c r="F171" s="29">
        <f t="shared" si="18"/>
        <v>3</v>
      </c>
      <c r="G171">
        <f t="shared" si="19"/>
        <v>3</v>
      </c>
      <c r="H171">
        <f t="shared" si="20"/>
        <v>5</v>
      </c>
      <c r="I171" s="23">
        <f t="shared" si="21"/>
        <v>3</v>
      </c>
      <c r="J171" t="str">
        <f t="shared" si="22"/>
        <v xml:space="preserve"> </v>
      </c>
      <c r="K171" t="str">
        <f t="shared" si="23"/>
        <v xml:space="preserve"> </v>
      </c>
      <c r="L171" t="str">
        <f t="shared" si="24"/>
        <v xml:space="preserve"> </v>
      </c>
      <c r="M171" t="str">
        <f t="shared" si="25"/>
        <v>Yo'qotishdagi</v>
      </c>
      <c r="N171" s="23" t="str">
        <f t="shared" si="26"/>
        <v xml:space="preserve"> </v>
      </c>
    </row>
    <row r="172" spans="1:14">
      <c r="A172" s="29">
        <v>4878203</v>
      </c>
      <c r="B172" s="10">
        <f>_xlfn.XLOOKUP(A172,Data!E:E,Data!B:B,0,0,-1)</f>
        <v>45362</v>
      </c>
      <c r="C172" s="20">
        <f>_xlfn.XLOOKUP(A172,Data!E:E,Data!B:B)</f>
        <v>45586</v>
      </c>
      <c r="D172" s="21">
        <f>COUNTIF(Data!E:E,A172)</f>
        <v>4</v>
      </c>
      <c r="E172" s="22">
        <f>SUMIF(Data!E:E,'RFM mijozlar tahlili'!A172,Data!J:J)</f>
        <v>4226807.7935999995</v>
      </c>
      <c r="F172" s="29">
        <f t="shared" si="18"/>
        <v>3</v>
      </c>
      <c r="G172">
        <f t="shared" si="19"/>
        <v>3</v>
      </c>
      <c r="H172">
        <f t="shared" si="20"/>
        <v>1</v>
      </c>
      <c r="I172" s="23">
        <f t="shared" si="21"/>
        <v>2</v>
      </c>
      <c r="J172" t="str">
        <f t="shared" si="22"/>
        <v xml:space="preserve"> </v>
      </c>
      <c r="K172" t="str">
        <f t="shared" si="23"/>
        <v xml:space="preserve"> </v>
      </c>
      <c r="L172" t="str">
        <f t="shared" si="24"/>
        <v xml:space="preserve"> </v>
      </c>
      <c r="M172" t="str">
        <f t="shared" si="25"/>
        <v xml:space="preserve"> </v>
      </c>
      <c r="N172" s="23" t="str">
        <f t="shared" si="26"/>
        <v xml:space="preserve"> </v>
      </c>
    </row>
    <row r="173" spans="1:14">
      <c r="A173" s="29">
        <v>4877617</v>
      </c>
      <c r="B173" s="10">
        <f>_xlfn.XLOOKUP(A173,Data!E:E,Data!B:B,0,0,-1)</f>
        <v>45356</v>
      </c>
      <c r="C173" s="20">
        <f>_xlfn.XLOOKUP(A173,Data!E:E,Data!B:B)</f>
        <v>45588</v>
      </c>
      <c r="D173" s="21">
        <f>COUNTIF(Data!E:E,A173)</f>
        <v>7</v>
      </c>
      <c r="E173" s="22">
        <f>SUMIF(Data!E:E,'RFM mijozlar tahlili'!A173,Data!J:J)</f>
        <v>2214042.1775999996</v>
      </c>
      <c r="F173" s="29">
        <f t="shared" si="18"/>
        <v>2</v>
      </c>
      <c r="G173">
        <f t="shared" si="19"/>
        <v>4</v>
      </c>
      <c r="H173">
        <f t="shared" si="20"/>
        <v>3</v>
      </c>
      <c r="I173" s="23">
        <f t="shared" si="21"/>
        <v>1</v>
      </c>
      <c r="J173" t="str">
        <f t="shared" si="22"/>
        <v xml:space="preserve"> </v>
      </c>
      <c r="K173" t="str">
        <f t="shared" si="23"/>
        <v xml:space="preserve"> </v>
      </c>
      <c r="L173" t="str">
        <f t="shared" si="24"/>
        <v xml:space="preserve"> </v>
      </c>
      <c r="M173" t="str">
        <f t="shared" si="25"/>
        <v xml:space="preserve"> </v>
      </c>
      <c r="N173" s="23" t="str">
        <f t="shared" si="26"/>
        <v xml:space="preserve"> </v>
      </c>
    </row>
    <row r="174" spans="1:14">
      <c r="A174" s="29">
        <v>4877779</v>
      </c>
      <c r="B174" s="10">
        <f>_xlfn.XLOOKUP(A174,Data!E:E,Data!B:B,0,0,-1)</f>
        <v>45589</v>
      </c>
      <c r="C174" s="20">
        <f>_xlfn.XLOOKUP(A174,Data!E:E,Data!B:B)</f>
        <v>45589</v>
      </c>
      <c r="D174" s="21">
        <f>COUNTIF(Data!E:E,A174)</f>
        <v>2</v>
      </c>
      <c r="E174" s="22">
        <f>SUMIF(Data!E:E,'RFM mijozlar tahlili'!A174,Data!J:J)</f>
        <v>551537.98383999988</v>
      </c>
      <c r="F174" s="29">
        <f t="shared" si="18"/>
        <v>2</v>
      </c>
      <c r="G174">
        <f t="shared" si="19"/>
        <v>4</v>
      </c>
      <c r="H174">
        <f t="shared" si="20"/>
        <v>0</v>
      </c>
      <c r="I174" s="23">
        <f t="shared" si="21"/>
        <v>0</v>
      </c>
      <c r="J174" t="str">
        <f t="shared" si="22"/>
        <v xml:space="preserve"> </v>
      </c>
      <c r="K174" t="str">
        <f t="shared" si="23"/>
        <v xml:space="preserve"> </v>
      </c>
      <c r="L174" t="str">
        <f t="shared" si="24"/>
        <v xml:space="preserve"> </v>
      </c>
      <c r="M174" t="str">
        <f t="shared" si="25"/>
        <v xml:space="preserve"> </v>
      </c>
      <c r="N174" s="23" t="str">
        <f t="shared" si="26"/>
        <v>Yangi</v>
      </c>
    </row>
    <row r="175" spans="1:14">
      <c r="A175" s="29">
        <v>4878254</v>
      </c>
      <c r="B175" s="10">
        <f>_xlfn.XLOOKUP(A175,Data!E:E,Data!B:B,0,0,-1)</f>
        <v>45301</v>
      </c>
      <c r="C175" s="20">
        <f>_xlfn.XLOOKUP(A175,Data!E:E,Data!B:B)</f>
        <v>45596</v>
      </c>
      <c r="D175" s="21">
        <f>COUNTIF(Data!E:E,A175)</f>
        <v>11</v>
      </c>
      <c r="E175" s="22">
        <f>SUMIF(Data!E:E,'RFM mijozlar tahlili'!A175,Data!J:J)</f>
        <v>2535896.21496</v>
      </c>
      <c r="F175" s="29">
        <f t="shared" si="18"/>
        <v>2</v>
      </c>
      <c r="G175">
        <f t="shared" si="19"/>
        <v>4</v>
      </c>
      <c r="H175">
        <f t="shared" si="20"/>
        <v>4</v>
      </c>
      <c r="I175" s="23">
        <f t="shared" si="21"/>
        <v>1</v>
      </c>
      <c r="J175" t="str">
        <f t="shared" si="22"/>
        <v xml:space="preserve"> </v>
      </c>
      <c r="K175" t="str">
        <f t="shared" si="23"/>
        <v>Sodiq</v>
      </c>
      <c r="L175" t="str">
        <f t="shared" si="24"/>
        <v xml:space="preserve"> </v>
      </c>
      <c r="M175" t="str">
        <f t="shared" si="25"/>
        <v xml:space="preserve"> </v>
      </c>
      <c r="N175" s="23" t="str">
        <f t="shared" si="26"/>
        <v xml:space="preserve"> </v>
      </c>
    </row>
    <row r="176" spans="1:14">
      <c r="A176" s="29">
        <v>4878664</v>
      </c>
      <c r="B176" s="10">
        <f>_xlfn.XLOOKUP(A176,Data!E:E,Data!B:B,0,0,-1)</f>
        <v>45316</v>
      </c>
      <c r="C176" s="20">
        <f>_xlfn.XLOOKUP(A176,Data!E:E,Data!B:B)</f>
        <v>45568</v>
      </c>
      <c r="D176" s="21">
        <f>COUNTIF(Data!E:E,A176)</f>
        <v>11</v>
      </c>
      <c r="E176" s="22">
        <f>SUMIF(Data!E:E,'RFM mijozlar tahlili'!A176,Data!J:J)</f>
        <v>2797744.2062400002</v>
      </c>
      <c r="F176" s="29">
        <f t="shared" si="18"/>
        <v>3</v>
      </c>
      <c r="G176">
        <f t="shared" si="19"/>
        <v>3</v>
      </c>
      <c r="H176">
        <f t="shared" si="20"/>
        <v>4</v>
      </c>
      <c r="I176" s="23">
        <f t="shared" si="21"/>
        <v>1</v>
      </c>
      <c r="J176" t="str">
        <f t="shared" si="22"/>
        <v xml:space="preserve"> </v>
      </c>
      <c r="K176" t="str">
        <f t="shared" si="23"/>
        <v xml:space="preserve"> </v>
      </c>
      <c r="L176" t="str">
        <f t="shared" si="24"/>
        <v xml:space="preserve"> </v>
      </c>
      <c r="M176" t="str">
        <f t="shared" si="25"/>
        <v xml:space="preserve"> </v>
      </c>
      <c r="N176" s="23" t="str">
        <f t="shared" si="26"/>
        <v xml:space="preserve"> </v>
      </c>
    </row>
    <row r="177" spans="1:14">
      <c r="A177" s="29">
        <v>4876992</v>
      </c>
      <c r="B177" s="10">
        <f>_xlfn.XLOOKUP(A177,Data!E:E,Data!B:B,0,0,-1)</f>
        <v>45579</v>
      </c>
      <c r="C177" s="20">
        <f>_xlfn.XLOOKUP(A177,Data!E:E,Data!B:B)</f>
        <v>45579</v>
      </c>
      <c r="D177" s="21">
        <f>COUNTIF(Data!E:E,A177)</f>
        <v>3</v>
      </c>
      <c r="E177" s="22">
        <f>SUMIF(Data!E:E,'RFM mijozlar tahlili'!A177,Data!J:J)</f>
        <v>1116805.9943039999</v>
      </c>
      <c r="F177" s="29">
        <f t="shared" si="18"/>
        <v>3</v>
      </c>
      <c r="G177">
        <f t="shared" si="19"/>
        <v>3</v>
      </c>
      <c r="H177">
        <f t="shared" si="20"/>
        <v>1</v>
      </c>
      <c r="I177" s="23">
        <f t="shared" si="21"/>
        <v>0</v>
      </c>
      <c r="J177" t="str">
        <f t="shared" si="22"/>
        <v xml:space="preserve"> </v>
      </c>
      <c r="K177" t="str">
        <f t="shared" si="23"/>
        <v xml:space="preserve"> </v>
      </c>
      <c r="L177" t="str">
        <f t="shared" si="24"/>
        <v xml:space="preserve"> </v>
      </c>
      <c r="M177" t="str">
        <f t="shared" si="25"/>
        <v xml:space="preserve"> </v>
      </c>
      <c r="N177" s="23" t="str">
        <f t="shared" si="26"/>
        <v xml:space="preserve"> </v>
      </c>
    </row>
    <row r="178" spans="1:14">
      <c r="A178" s="29">
        <v>4878188</v>
      </c>
      <c r="B178" s="10">
        <f>_xlfn.XLOOKUP(A178,Data!E:E,Data!B:B,0,0,-1)</f>
        <v>45345</v>
      </c>
      <c r="C178" s="20">
        <f>_xlfn.XLOOKUP(A178,Data!E:E,Data!B:B)</f>
        <v>45585</v>
      </c>
      <c r="D178" s="21">
        <f>COUNTIF(Data!E:E,A178)</f>
        <v>23</v>
      </c>
      <c r="E178" s="22">
        <f>SUMIF(Data!E:E,'RFM mijozlar tahlili'!A178,Data!J:J)</f>
        <v>6465445.4142079968</v>
      </c>
      <c r="F178" s="29">
        <f t="shared" si="18"/>
        <v>3</v>
      </c>
      <c r="G178">
        <f t="shared" si="19"/>
        <v>3</v>
      </c>
      <c r="H178">
        <f t="shared" si="20"/>
        <v>5</v>
      </c>
      <c r="I178" s="23">
        <f t="shared" si="21"/>
        <v>3</v>
      </c>
      <c r="J178" t="str">
        <f t="shared" si="22"/>
        <v xml:space="preserve"> </v>
      </c>
      <c r="K178" t="str">
        <f t="shared" si="23"/>
        <v xml:space="preserve"> </v>
      </c>
      <c r="L178" t="str">
        <f t="shared" si="24"/>
        <v xml:space="preserve"> </v>
      </c>
      <c r="M178" t="str">
        <f t="shared" si="25"/>
        <v>Yo'qotishdagi</v>
      </c>
      <c r="N178" s="23" t="str">
        <f t="shared" si="26"/>
        <v xml:space="preserve"> </v>
      </c>
    </row>
    <row r="179" spans="1:14">
      <c r="A179" s="29">
        <v>6080195</v>
      </c>
      <c r="B179" s="10">
        <f>_xlfn.XLOOKUP(A179,Data!E:E,Data!B:B,0,0,-1)</f>
        <v>45589</v>
      </c>
      <c r="C179" s="20">
        <f>_xlfn.XLOOKUP(A179,Data!E:E,Data!B:B)</f>
        <v>45589</v>
      </c>
      <c r="D179" s="21">
        <f>COUNTIF(Data!E:E,A179)</f>
        <v>4</v>
      </c>
      <c r="E179" s="22">
        <f>SUMIF(Data!E:E,'RFM mijozlar tahlili'!A179,Data!J:J)</f>
        <v>1610212.4927999999</v>
      </c>
      <c r="F179" s="29">
        <f t="shared" si="18"/>
        <v>2</v>
      </c>
      <c r="G179">
        <f t="shared" si="19"/>
        <v>4</v>
      </c>
      <c r="H179">
        <f t="shared" si="20"/>
        <v>1</v>
      </c>
      <c r="I179" s="23">
        <f t="shared" si="21"/>
        <v>0</v>
      </c>
      <c r="J179" t="str">
        <f t="shared" si="22"/>
        <v xml:space="preserve"> </v>
      </c>
      <c r="K179" t="str">
        <f t="shared" si="23"/>
        <v xml:space="preserve"> </v>
      </c>
      <c r="L179" t="str">
        <f t="shared" si="24"/>
        <v xml:space="preserve"> </v>
      </c>
      <c r="M179" t="str">
        <f t="shared" si="25"/>
        <v xml:space="preserve"> </v>
      </c>
      <c r="N179" s="23" t="str">
        <f t="shared" si="26"/>
        <v>Yangi</v>
      </c>
    </row>
    <row r="180" spans="1:14">
      <c r="A180" s="29">
        <v>4879096</v>
      </c>
      <c r="B180" s="10">
        <f>_xlfn.XLOOKUP(A180,Data!E:E,Data!B:B,0,0,-1)</f>
        <v>45504</v>
      </c>
      <c r="C180" s="20">
        <f>_xlfn.XLOOKUP(A180,Data!E:E,Data!B:B)</f>
        <v>45592</v>
      </c>
      <c r="D180" s="21">
        <f>COUNTIF(Data!E:E,A180)</f>
        <v>22</v>
      </c>
      <c r="E180" s="22">
        <f>SUMIF(Data!E:E,'RFM mijozlar tahlili'!A180,Data!J:J)</f>
        <v>22289620.225999996</v>
      </c>
      <c r="F180" s="29">
        <f t="shared" si="18"/>
        <v>2</v>
      </c>
      <c r="G180">
        <f t="shared" si="19"/>
        <v>4</v>
      </c>
      <c r="H180">
        <f t="shared" si="20"/>
        <v>5</v>
      </c>
      <c r="I180" s="23">
        <f t="shared" si="21"/>
        <v>5</v>
      </c>
      <c r="J180" t="str">
        <f t="shared" si="22"/>
        <v xml:space="preserve"> </v>
      </c>
      <c r="K180" t="str">
        <f t="shared" si="23"/>
        <v>Sodiq</v>
      </c>
      <c r="L180" t="str">
        <f t="shared" si="24"/>
        <v xml:space="preserve"> </v>
      </c>
      <c r="M180" t="str">
        <f t="shared" si="25"/>
        <v xml:space="preserve"> </v>
      </c>
      <c r="N180" s="23" t="str">
        <f t="shared" si="26"/>
        <v xml:space="preserve"> </v>
      </c>
    </row>
    <row r="181" spans="1:14">
      <c r="A181" s="29">
        <v>4877412</v>
      </c>
      <c r="B181" s="10">
        <f>_xlfn.XLOOKUP(A181,Data!E:E,Data!B:B,0,0,-1)</f>
        <v>45311</v>
      </c>
      <c r="C181" s="20">
        <f>_xlfn.XLOOKUP(A181,Data!E:E,Data!B:B)</f>
        <v>45593</v>
      </c>
      <c r="D181" s="21">
        <f>COUNTIF(Data!E:E,A181)</f>
        <v>20</v>
      </c>
      <c r="E181" s="22">
        <f>SUMIF(Data!E:E,'RFM mijozlar tahlili'!A181,Data!J:J)</f>
        <v>13771817.266895995</v>
      </c>
      <c r="F181" s="29">
        <f t="shared" si="18"/>
        <v>2</v>
      </c>
      <c r="G181">
        <f t="shared" si="19"/>
        <v>4</v>
      </c>
      <c r="H181">
        <f t="shared" si="20"/>
        <v>5</v>
      </c>
      <c r="I181" s="23">
        <f t="shared" si="21"/>
        <v>5</v>
      </c>
      <c r="J181" t="str">
        <f t="shared" si="22"/>
        <v xml:space="preserve"> </v>
      </c>
      <c r="K181" t="str">
        <f t="shared" si="23"/>
        <v>Sodiq</v>
      </c>
      <c r="L181" t="str">
        <f t="shared" si="24"/>
        <v xml:space="preserve"> </v>
      </c>
      <c r="M181" t="str">
        <f t="shared" si="25"/>
        <v xml:space="preserve"> </v>
      </c>
      <c r="N181" s="23" t="str">
        <f t="shared" si="26"/>
        <v xml:space="preserve"> </v>
      </c>
    </row>
    <row r="182" spans="1:14">
      <c r="A182" s="29">
        <v>4876760</v>
      </c>
      <c r="B182" s="10">
        <f>_xlfn.XLOOKUP(A182,Data!E:E,Data!B:B,0,0,-1)</f>
        <v>45302</v>
      </c>
      <c r="C182" s="20">
        <f>_xlfn.XLOOKUP(A182,Data!E:E,Data!B:B)</f>
        <v>45595</v>
      </c>
      <c r="D182" s="21">
        <f>COUNTIF(Data!E:E,A182)</f>
        <v>21</v>
      </c>
      <c r="E182" s="22">
        <f>SUMIF(Data!E:E,'RFM mijozlar tahlili'!A182,Data!J:J)</f>
        <v>10199002.503903998</v>
      </c>
      <c r="F182" s="29">
        <f t="shared" si="18"/>
        <v>2</v>
      </c>
      <c r="G182">
        <f t="shared" si="19"/>
        <v>4</v>
      </c>
      <c r="H182">
        <f t="shared" si="20"/>
        <v>5</v>
      </c>
      <c r="I182" s="23">
        <f t="shared" si="21"/>
        <v>4</v>
      </c>
      <c r="J182" t="str">
        <f t="shared" si="22"/>
        <v xml:space="preserve"> </v>
      </c>
      <c r="K182" t="str">
        <f t="shared" si="23"/>
        <v>Sodiq</v>
      </c>
      <c r="L182" t="str">
        <f t="shared" si="24"/>
        <v xml:space="preserve"> </v>
      </c>
      <c r="M182" t="str">
        <f t="shared" si="25"/>
        <v xml:space="preserve"> </v>
      </c>
      <c r="N182" s="23" t="str">
        <f t="shared" si="26"/>
        <v xml:space="preserve"> </v>
      </c>
    </row>
    <row r="183" spans="1:14">
      <c r="A183" s="29">
        <v>7242470</v>
      </c>
      <c r="B183" s="10">
        <f>_xlfn.XLOOKUP(A183,Data!E:E,Data!B:B,0,0,-1)</f>
        <v>45572</v>
      </c>
      <c r="C183" s="20">
        <f>_xlfn.XLOOKUP(A183,Data!E:E,Data!B:B)</f>
        <v>45572</v>
      </c>
      <c r="D183" s="21">
        <f>COUNTIF(Data!E:E,A183)</f>
        <v>5</v>
      </c>
      <c r="E183" s="22">
        <f>SUMIF(Data!E:E,'RFM mijozlar tahlili'!A183,Data!J:J)</f>
        <v>5484158.0995999994</v>
      </c>
      <c r="F183" s="29">
        <f t="shared" si="18"/>
        <v>3</v>
      </c>
      <c r="G183">
        <f t="shared" si="19"/>
        <v>3</v>
      </c>
      <c r="H183">
        <f t="shared" si="20"/>
        <v>2</v>
      </c>
      <c r="I183" s="23">
        <f t="shared" si="21"/>
        <v>2</v>
      </c>
      <c r="J183" t="str">
        <f t="shared" si="22"/>
        <v xml:space="preserve"> </v>
      </c>
      <c r="K183" t="str">
        <f t="shared" si="23"/>
        <v xml:space="preserve"> </v>
      </c>
      <c r="L183" t="str">
        <f t="shared" si="24"/>
        <v xml:space="preserve"> </v>
      </c>
      <c r="M183" t="str">
        <f t="shared" si="25"/>
        <v xml:space="preserve"> </v>
      </c>
      <c r="N183" s="23" t="str">
        <f t="shared" si="26"/>
        <v xml:space="preserve"> </v>
      </c>
    </row>
    <row r="184" spans="1:14">
      <c r="A184" s="29">
        <v>7242257</v>
      </c>
      <c r="B184" s="10">
        <f>_xlfn.XLOOKUP(A184,Data!E:E,Data!B:B,0,0,-1)</f>
        <v>45574</v>
      </c>
      <c r="C184" s="20">
        <f>_xlfn.XLOOKUP(A184,Data!E:E,Data!B:B)</f>
        <v>45574</v>
      </c>
      <c r="D184" s="21">
        <f>COUNTIF(Data!E:E,A184)</f>
        <v>4</v>
      </c>
      <c r="E184" s="22">
        <f>SUMIF(Data!E:E,'RFM mijozlar tahlili'!A184,Data!J:J)</f>
        <v>7320586.8527999995</v>
      </c>
      <c r="F184" s="29">
        <f t="shared" si="18"/>
        <v>3</v>
      </c>
      <c r="G184">
        <f t="shared" si="19"/>
        <v>3</v>
      </c>
      <c r="H184">
        <f t="shared" si="20"/>
        <v>1</v>
      </c>
      <c r="I184" s="23">
        <f t="shared" si="21"/>
        <v>3</v>
      </c>
      <c r="J184" t="str">
        <f t="shared" si="22"/>
        <v xml:space="preserve"> </v>
      </c>
      <c r="K184" t="str">
        <f t="shared" si="23"/>
        <v xml:space="preserve"> </v>
      </c>
      <c r="L184" t="str">
        <f t="shared" si="24"/>
        <v xml:space="preserve"> </v>
      </c>
      <c r="M184" t="str">
        <f t="shared" si="25"/>
        <v>Yo'qotishdagi</v>
      </c>
      <c r="N184" s="23" t="str">
        <f t="shared" si="26"/>
        <v xml:space="preserve"> </v>
      </c>
    </row>
    <row r="185" spans="1:14">
      <c r="A185" s="29">
        <v>7242261</v>
      </c>
      <c r="B185" s="10">
        <f>_xlfn.XLOOKUP(A185,Data!E:E,Data!B:B,0,0,-1)</f>
        <v>45563</v>
      </c>
      <c r="C185" s="20">
        <f>_xlfn.XLOOKUP(A185,Data!E:E,Data!B:B)</f>
        <v>45575</v>
      </c>
      <c r="D185" s="21">
        <f>COUNTIF(Data!E:E,A185)</f>
        <v>14</v>
      </c>
      <c r="E185" s="22">
        <f>SUMIF(Data!E:E,'RFM mijozlar tahlili'!A185,Data!J:J)</f>
        <v>7924240.6404799996</v>
      </c>
      <c r="F185" s="29">
        <f t="shared" si="18"/>
        <v>3</v>
      </c>
      <c r="G185">
        <f t="shared" si="19"/>
        <v>3</v>
      </c>
      <c r="H185">
        <f t="shared" si="20"/>
        <v>5</v>
      </c>
      <c r="I185" s="23">
        <f t="shared" si="21"/>
        <v>3</v>
      </c>
      <c r="J185" t="str">
        <f t="shared" si="22"/>
        <v xml:space="preserve"> </v>
      </c>
      <c r="K185" t="str">
        <f t="shared" si="23"/>
        <v xml:space="preserve"> </v>
      </c>
      <c r="L185" t="str">
        <f t="shared" si="24"/>
        <v xml:space="preserve"> </v>
      </c>
      <c r="M185" t="str">
        <f t="shared" si="25"/>
        <v>Yo'qotishdagi</v>
      </c>
      <c r="N185" s="23" t="str">
        <f t="shared" si="26"/>
        <v xml:space="preserve"> </v>
      </c>
    </row>
    <row r="186" spans="1:14">
      <c r="A186" s="29">
        <v>7241439</v>
      </c>
      <c r="B186" s="10">
        <f>_xlfn.XLOOKUP(A186,Data!E:E,Data!B:B,0,0,-1)</f>
        <v>45580</v>
      </c>
      <c r="C186" s="20">
        <f>_xlfn.XLOOKUP(A186,Data!E:E,Data!B:B)</f>
        <v>45580</v>
      </c>
      <c r="D186" s="21">
        <f>COUNTIF(Data!E:E,A186)</f>
        <v>6</v>
      </c>
      <c r="E186" s="22">
        <f>SUMIF(Data!E:E,'RFM mijozlar tahlili'!A186,Data!J:J)</f>
        <v>4478026.5731999995</v>
      </c>
      <c r="F186" s="29">
        <f t="shared" si="18"/>
        <v>3</v>
      </c>
      <c r="G186">
        <f t="shared" si="19"/>
        <v>3</v>
      </c>
      <c r="H186">
        <f t="shared" si="20"/>
        <v>2</v>
      </c>
      <c r="I186" s="23">
        <f t="shared" si="21"/>
        <v>2</v>
      </c>
      <c r="J186" t="str">
        <f t="shared" si="22"/>
        <v xml:space="preserve"> </v>
      </c>
      <c r="K186" t="str">
        <f t="shared" si="23"/>
        <v xml:space="preserve"> </v>
      </c>
      <c r="L186" t="str">
        <f t="shared" si="24"/>
        <v xml:space="preserve"> </v>
      </c>
      <c r="M186" t="str">
        <f t="shared" si="25"/>
        <v xml:space="preserve"> </v>
      </c>
      <c r="N186" s="23" t="str">
        <f t="shared" si="26"/>
        <v xml:space="preserve"> </v>
      </c>
    </row>
    <row r="187" spans="1:14">
      <c r="A187" s="29">
        <v>7242266</v>
      </c>
      <c r="B187" s="10">
        <f>_xlfn.XLOOKUP(A187,Data!E:E,Data!B:B,0,0,-1)</f>
        <v>45581</v>
      </c>
      <c r="C187" s="20">
        <f>_xlfn.XLOOKUP(A187,Data!E:E,Data!B:B)</f>
        <v>45581</v>
      </c>
      <c r="D187" s="21">
        <f>COUNTIF(Data!E:E,A187)</f>
        <v>2</v>
      </c>
      <c r="E187" s="22">
        <f>SUMIF(Data!E:E,'RFM mijozlar tahlili'!A187,Data!J:J)</f>
        <v>-251532.88159999999</v>
      </c>
      <c r="F187" s="29">
        <f t="shared" si="18"/>
        <v>3</v>
      </c>
      <c r="G187">
        <f t="shared" si="19"/>
        <v>3</v>
      </c>
      <c r="H187">
        <f t="shared" si="20"/>
        <v>0</v>
      </c>
      <c r="I187" s="23">
        <f t="shared" si="21"/>
        <v>0</v>
      </c>
      <c r="J187" t="str">
        <f t="shared" si="22"/>
        <v xml:space="preserve"> </v>
      </c>
      <c r="K187" t="str">
        <f t="shared" si="23"/>
        <v xml:space="preserve"> </v>
      </c>
      <c r="L187" t="str">
        <f t="shared" si="24"/>
        <v xml:space="preserve"> </v>
      </c>
      <c r="M187" t="str">
        <f t="shared" si="25"/>
        <v xml:space="preserve"> </v>
      </c>
      <c r="N187" s="23" t="str">
        <f t="shared" si="26"/>
        <v xml:space="preserve"> </v>
      </c>
    </row>
    <row r="188" spans="1:14">
      <c r="A188" s="29">
        <v>7242669</v>
      </c>
      <c r="B188" s="10">
        <f>_xlfn.XLOOKUP(A188,Data!E:E,Data!B:B,0,0,-1)</f>
        <v>45583</v>
      </c>
      <c r="C188" s="20">
        <f>_xlfn.XLOOKUP(A188,Data!E:E,Data!B:B)</f>
        <v>45583</v>
      </c>
      <c r="D188" s="21">
        <f>COUNTIF(Data!E:E,A188)</f>
        <v>2</v>
      </c>
      <c r="E188" s="22">
        <f>SUMIF(Data!E:E,'RFM mijozlar tahlili'!A188,Data!J:J)</f>
        <v>-503065.76319999999</v>
      </c>
      <c r="F188" s="29">
        <f t="shared" si="18"/>
        <v>3</v>
      </c>
      <c r="G188">
        <f t="shared" si="19"/>
        <v>3</v>
      </c>
      <c r="H188">
        <f t="shared" si="20"/>
        <v>0</v>
      </c>
      <c r="I188" s="23">
        <f t="shared" si="21"/>
        <v>0</v>
      </c>
      <c r="J188" t="str">
        <f t="shared" si="22"/>
        <v xml:space="preserve"> </v>
      </c>
      <c r="K188" t="str">
        <f t="shared" si="23"/>
        <v xml:space="preserve"> </v>
      </c>
      <c r="L188" t="str">
        <f t="shared" si="24"/>
        <v xml:space="preserve"> </v>
      </c>
      <c r="M188" t="str">
        <f t="shared" si="25"/>
        <v xml:space="preserve"> </v>
      </c>
      <c r="N188" s="23" t="str">
        <f t="shared" si="26"/>
        <v xml:space="preserve"> </v>
      </c>
    </row>
    <row r="189" spans="1:14">
      <c r="A189" s="29">
        <v>7242501</v>
      </c>
      <c r="B189" s="10">
        <f>_xlfn.XLOOKUP(A189,Data!E:E,Data!B:B,0,0,-1)</f>
        <v>45583</v>
      </c>
      <c r="C189" s="20">
        <f>_xlfn.XLOOKUP(A189,Data!E:E,Data!B:B)</f>
        <v>45583</v>
      </c>
      <c r="D189" s="21">
        <f>COUNTIF(Data!E:E,A189)</f>
        <v>7</v>
      </c>
      <c r="E189" s="22">
        <f>SUMIF(Data!E:E,'RFM mijozlar tahlili'!A189,Data!J:J)</f>
        <v>1398872.1031199999</v>
      </c>
      <c r="F189" s="29">
        <f t="shared" si="18"/>
        <v>3</v>
      </c>
      <c r="G189">
        <f t="shared" si="19"/>
        <v>3</v>
      </c>
      <c r="H189">
        <f t="shared" si="20"/>
        <v>3</v>
      </c>
      <c r="I189" s="23">
        <f t="shared" si="21"/>
        <v>0</v>
      </c>
      <c r="J189" t="str">
        <f t="shared" si="22"/>
        <v xml:space="preserve"> </v>
      </c>
      <c r="K189" t="str">
        <f t="shared" si="23"/>
        <v xml:space="preserve"> </v>
      </c>
      <c r="L189" t="str">
        <f t="shared" si="24"/>
        <v xml:space="preserve"> </v>
      </c>
      <c r="M189" t="str">
        <f t="shared" si="25"/>
        <v xml:space="preserve"> </v>
      </c>
      <c r="N189" s="23" t="str">
        <f t="shared" si="26"/>
        <v xml:space="preserve"> </v>
      </c>
    </row>
    <row r="190" spans="1:14">
      <c r="A190" s="29">
        <v>7242743</v>
      </c>
      <c r="B190" s="10">
        <f>_xlfn.XLOOKUP(A190,Data!E:E,Data!B:B,0,0,-1)</f>
        <v>45591</v>
      </c>
      <c r="C190" s="20">
        <f>_xlfn.XLOOKUP(A190,Data!E:E,Data!B:B)</f>
        <v>45591</v>
      </c>
      <c r="D190" s="21">
        <f>COUNTIF(Data!E:E,A190)</f>
        <v>1</v>
      </c>
      <c r="E190" s="22">
        <f>SUMIF(Data!E:E,'RFM mijozlar tahlili'!A190,Data!J:J)</f>
        <v>-95606.36675999999</v>
      </c>
      <c r="F190" s="29">
        <f t="shared" si="18"/>
        <v>2</v>
      </c>
      <c r="G190">
        <f t="shared" si="19"/>
        <v>4</v>
      </c>
      <c r="H190">
        <f t="shared" si="20"/>
        <v>0</v>
      </c>
      <c r="I190" s="23">
        <f t="shared" si="21"/>
        <v>0</v>
      </c>
      <c r="J190" t="str">
        <f t="shared" si="22"/>
        <v xml:space="preserve"> </v>
      </c>
      <c r="K190" t="str">
        <f t="shared" si="23"/>
        <v xml:space="preserve"> </v>
      </c>
      <c r="L190" t="str">
        <f t="shared" si="24"/>
        <v xml:space="preserve"> </v>
      </c>
      <c r="M190" t="str">
        <f t="shared" si="25"/>
        <v xml:space="preserve"> </v>
      </c>
      <c r="N190" s="23" t="str">
        <f t="shared" si="26"/>
        <v>Yangi</v>
      </c>
    </row>
    <row r="191" spans="1:14">
      <c r="A191" s="29">
        <v>6080537</v>
      </c>
      <c r="B191" s="10">
        <f>_xlfn.XLOOKUP(A191,Data!E:E,Data!B:B,0,0,-1)</f>
        <v>45483</v>
      </c>
      <c r="C191" s="20">
        <f>_xlfn.XLOOKUP(A191,Data!E:E,Data!B:B)</f>
        <v>45567</v>
      </c>
      <c r="D191" s="21">
        <f>COUNTIF(Data!E:E,A191)</f>
        <v>4</v>
      </c>
      <c r="E191" s="22">
        <f>SUMIF(Data!E:E,'RFM mijozlar tahlili'!A191,Data!J:J)</f>
        <v>1232661.8888000001</v>
      </c>
      <c r="F191" s="29">
        <f t="shared" si="18"/>
        <v>3</v>
      </c>
      <c r="G191">
        <f t="shared" si="19"/>
        <v>3</v>
      </c>
      <c r="H191">
        <f t="shared" si="20"/>
        <v>1</v>
      </c>
      <c r="I191" s="23">
        <f t="shared" si="21"/>
        <v>0</v>
      </c>
      <c r="J191" t="str">
        <f t="shared" si="22"/>
        <v xml:space="preserve"> </v>
      </c>
      <c r="K191" t="str">
        <f t="shared" si="23"/>
        <v xml:space="preserve"> </v>
      </c>
      <c r="L191" t="str">
        <f t="shared" si="24"/>
        <v xml:space="preserve"> </v>
      </c>
      <c r="M191" t="str">
        <f t="shared" si="25"/>
        <v xml:space="preserve"> </v>
      </c>
      <c r="N191" s="23" t="str">
        <f t="shared" si="26"/>
        <v xml:space="preserve"> </v>
      </c>
    </row>
    <row r="192" spans="1:14">
      <c r="A192" s="29">
        <v>6474241</v>
      </c>
      <c r="B192" s="10">
        <f>_xlfn.XLOOKUP(A192,Data!E:E,Data!B:B,0,0,-1)</f>
        <v>45471</v>
      </c>
      <c r="C192" s="20">
        <f>_xlfn.XLOOKUP(A192,Data!E:E,Data!B:B)</f>
        <v>45573</v>
      </c>
      <c r="D192" s="21">
        <f>COUNTIF(Data!E:E,A192)</f>
        <v>9</v>
      </c>
      <c r="E192" s="22">
        <f>SUMIF(Data!E:E,'RFM mijozlar tahlili'!A192,Data!J:J)</f>
        <v>16780585.248</v>
      </c>
      <c r="F192" s="29">
        <f t="shared" si="18"/>
        <v>3</v>
      </c>
      <c r="G192">
        <f t="shared" si="19"/>
        <v>3</v>
      </c>
      <c r="H192">
        <f t="shared" si="20"/>
        <v>4</v>
      </c>
      <c r="I192" s="23">
        <f t="shared" si="21"/>
        <v>5</v>
      </c>
      <c r="J192" t="str">
        <f t="shared" si="22"/>
        <v xml:space="preserve"> </v>
      </c>
      <c r="K192" t="str">
        <f t="shared" si="23"/>
        <v xml:space="preserve"> </v>
      </c>
      <c r="L192" t="str">
        <f t="shared" si="24"/>
        <v xml:space="preserve"> </v>
      </c>
      <c r="M192" t="str">
        <f t="shared" si="25"/>
        <v>Yo'qotishdagi</v>
      </c>
      <c r="N192" s="23" t="str">
        <f t="shared" si="26"/>
        <v xml:space="preserve"> </v>
      </c>
    </row>
    <row r="193" spans="1:14">
      <c r="A193" s="29">
        <v>6080431</v>
      </c>
      <c r="B193" s="10">
        <f>_xlfn.XLOOKUP(A193,Data!E:E,Data!B:B,0,0,-1)</f>
        <v>45589</v>
      </c>
      <c r="C193" s="20">
        <f>_xlfn.XLOOKUP(A193,Data!E:E,Data!B:B)</f>
        <v>45589</v>
      </c>
      <c r="D193" s="21">
        <f>COUNTIF(Data!E:E,A193)</f>
        <v>5</v>
      </c>
      <c r="E193" s="22">
        <f>SUMIF(Data!E:E,'RFM mijozlar tahlili'!A193,Data!J:J)</f>
        <v>2797744.2062399997</v>
      </c>
      <c r="F193" s="29">
        <f t="shared" si="18"/>
        <v>2</v>
      </c>
      <c r="G193">
        <f t="shared" si="19"/>
        <v>4</v>
      </c>
      <c r="H193">
        <f t="shared" si="20"/>
        <v>2</v>
      </c>
      <c r="I193" s="23">
        <f t="shared" si="21"/>
        <v>1</v>
      </c>
      <c r="J193" t="str">
        <f t="shared" si="22"/>
        <v xml:space="preserve"> </v>
      </c>
      <c r="K193" t="str">
        <f t="shared" si="23"/>
        <v xml:space="preserve"> </v>
      </c>
      <c r="L193" t="str">
        <f t="shared" si="24"/>
        <v xml:space="preserve"> </v>
      </c>
      <c r="M193" t="str">
        <f t="shared" si="25"/>
        <v xml:space="preserve"> </v>
      </c>
      <c r="N193" s="23" t="str">
        <f t="shared" si="26"/>
        <v>Yangi</v>
      </c>
    </row>
    <row r="194" spans="1:14">
      <c r="A194" s="29">
        <v>6684690</v>
      </c>
      <c r="B194" s="10">
        <f>_xlfn.XLOOKUP(A194,Data!E:E,Data!B:B,0,0,-1)</f>
        <v>45554</v>
      </c>
      <c r="C194" s="20">
        <f>_xlfn.XLOOKUP(A194,Data!E:E,Data!B:B)</f>
        <v>45567</v>
      </c>
      <c r="D194" s="21">
        <f>COUNTIF(Data!E:E,A194)</f>
        <v>9</v>
      </c>
      <c r="E194" s="22">
        <f>SUMIF(Data!E:E,'RFM mijozlar tahlili'!A194,Data!J:J)</f>
        <v>5992267.084512</v>
      </c>
      <c r="F194" s="29">
        <f t="shared" si="18"/>
        <v>3</v>
      </c>
      <c r="G194">
        <f t="shared" si="19"/>
        <v>3</v>
      </c>
      <c r="H194">
        <f t="shared" si="20"/>
        <v>4</v>
      </c>
      <c r="I194" s="23">
        <f t="shared" si="21"/>
        <v>2</v>
      </c>
      <c r="J194" t="str">
        <f t="shared" si="22"/>
        <v xml:space="preserve"> </v>
      </c>
      <c r="K194" t="str">
        <f t="shared" si="23"/>
        <v xml:space="preserve"> </v>
      </c>
      <c r="L194" t="str">
        <f t="shared" si="24"/>
        <v xml:space="preserve"> </v>
      </c>
      <c r="M194" t="str">
        <f t="shared" si="25"/>
        <v xml:space="preserve"> </v>
      </c>
      <c r="N194" s="23" t="str">
        <f t="shared" si="26"/>
        <v xml:space="preserve"> </v>
      </c>
    </row>
    <row r="195" spans="1:14">
      <c r="A195" s="29">
        <v>6682563</v>
      </c>
      <c r="B195" s="10">
        <f>_xlfn.XLOOKUP(A195,Data!E:E,Data!B:B,0,0,-1)</f>
        <v>45567</v>
      </c>
      <c r="C195" s="20">
        <f>_xlfn.XLOOKUP(A195,Data!E:E,Data!B:B)</f>
        <v>45567</v>
      </c>
      <c r="D195" s="21">
        <f>COUNTIF(Data!E:E,A195)</f>
        <v>2</v>
      </c>
      <c r="E195" s="22">
        <f>SUMIF(Data!E:E,'RFM mijozlar tahlili'!A195,Data!J:J)</f>
        <v>1358428.3295999998</v>
      </c>
      <c r="F195" s="29">
        <f t="shared" si="18"/>
        <v>3</v>
      </c>
      <c r="G195">
        <f t="shared" si="19"/>
        <v>3</v>
      </c>
      <c r="H195">
        <f t="shared" si="20"/>
        <v>0</v>
      </c>
      <c r="I195" s="23">
        <f t="shared" si="21"/>
        <v>0</v>
      </c>
      <c r="J195" t="str">
        <f t="shared" si="22"/>
        <v xml:space="preserve"> </v>
      </c>
      <c r="K195" t="str">
        <f t="shared" si="23"/>
        <v xml:space="preserve"> </v>
      </c>
      <c r="L195" t="str">
        <f t="shared" si="24"/>
        <v xml:space="preserve"> </v>
      </c>
      <c r="M195" t="str">
        <f t="shared" si="25"/>
        <v xml:space="preserve"> </v>
      </c>
      <c r="N195" s="23" t="str">
        <f t="shared" si="26"/>
        <v xml:space="preserve"> </v>
      </c>
    </row>
    <row r="196" spans="1:14">
      <c r="A196" s="29">
        <v>6700798</v>
      </c>
      <c r="B196" s="10">
        <f>_xlfn.XLOOKUP(A196,Data!E:E,Data!B:B,0,0,-1)</f>
        <v>45570</v>
      </c>
      <c r="C196" s="20">
        <f>_xlfn.XLOOKUP(A196,Data!E:E,Data!B:B)</f>
        <v>45570</v>
      </c>
      <c r="D196" s="21">
        <f>COUNTIF(Data!E:E,A196)</f>
        <v>6</v>
      </c>
      <c r="E196" s="22">
        <f>SUMIF(Data!E:E,'RFM mijozlar tahlili'!A196,Data!J:J)</f>
        <v>9057445.2719999999</v>
      </c>
      <c r="F196" s="29">
        <f t="shared" si="18"/>
        <v>3</v>
      </c>
      <c r="G196">
        <f t="shared" si="19"/>
        <v>3</v>
      </c>
      <c r="H196">
        <f t="shared" si="20"/>
        <v>2</v>
      </c>
      <c r="I196" s="23">
        <f t="shared" si="21"/>
        <v>4</v>
      </c>
      <c r="J196" t="str">
        <f t="shared" si="22"/>
        <v xml:space="preserve"> </v>
      </c>
      <c r="K196" t="str">
        <f t="shared" si="23"/>
        <v xml:space="preserve"> </v>
      </c>
      <c r="L196" t="str">
        <f t="shared" si="24"/>
        <v xml:space="preserve"> </v>
      </c>
      <c r="M196" t="str">
        <f t="shared" si="25"/>
        <v>Yo'qotishdagi</v>
      </c>
      <c r="N196" s="23" t="str">
        <f t="shared" si="26"/>
        <v xml:space="preserve"> </v>
      </c>
    </row>
    <row r="197" spans="1:14">
      <c r="A197" s="29">
        <v>6700781</v>
      </c>
      <c r="B197" s="10">
        <f>_xlfn.XLOOKUP(A197,Data!E:E,Data!B:B,0,0,-1)</f>
        <v>45571</v>
      </c>
      <c r="C197" s="20">
        <f>_xlfn.XLOOKUP(A197,Data!E:E,Data!B:B)</f>
        <v>45570</v>
      </c>
      <c r="D197" s="21">
        <f>COUNTIF(Data!E:E,A197)</f>
        <v>5</v>
      </c>
      <c r="E197" s="22">
        <f>SUMIF(Data!E:E,'RFM mijozlar tahlili'!A197,Data!J:J)</f>
        <v>8578376.9015999995</v>
      </c>
      <c r="F197" s="29">
        <f t="shared" si="18"/>
        <v>3</v>
      </c>
      <c r="G197">
        <f t="shared" si="19"/>
        <v>3</v>
      </c>
      <c r="H197">
        <f t="shared" si="20"/>
        <v>2</v>
      </c>
      <c r="I197" s="23">
        <f t="shared" si="21"/>
        <v>4</v>
      </c>
      <c r="J197" t="str">
        <f t="shared" si="22"/>
        <v xml:space="preserve"> </v>
      </c>
      <c r="K197" t="str">
        <f t="shared" si="23"/>
        <v xml:space="preserve"> </v>
      </c>
      <c r="L197" t="str">
        <f t="shared" si="24"/>
        <v xml:space="preserve"> </v>
      </c>
      <c r="M197" t="str">
        <f t="shared" si="25"/>
        <v>Yo'qotishdagi</v>
      </c>
      <c r="N197" s="23" t="str">
        <f t="shared" si="26"/>
        <v xml:space="preserve"> </v>
      </c>
    </row>
    <row r="198" spans="1:14">
      <c r="A198" s="29">
        <v>6700790</v>
      </c>
      <c r="B198" s="10">
        <f>_xlfn.XLOOKUP(A198,Data!E:E,Data!B:B,0,0,-1)</f>
        <v>45541</v>
      </c>
      <c r="C198" s="20">
        <f>_xlfn.XLOOKUP(A198,Data!E:E,Data!B:B)</f>
        <v>45575</v>
      </c>
      <c r="D198" s="21">
        <f>COUNTIF(Data!E:E,A198)</f>
        <v>6</v>
      </c>
      <c r="E198" s="22">
        <f>SUMIF(Data!E:E,'RFM mijozlar tahlili'!A198,Data!J:J)</f>
        <v>9835237.2084800005</v>
      </c>
      <c r="F198" s="29">
        <f t="shared" ref="F198:F261" si="27">ROUND(($F$4-C198)/30,0)</f>
        <v>3</v>
      </c>
      <c r="G198">
        <f t="shared" ref="G198:G261" si="28">IF(F198&lt;=1,5,IF(F198=2,4,IF(F198=3,3,IF(F198=4,2,IF(F198=5,1,IF(F198&gt;5,0,0))))))</f>
        <v>3</v>
      </c>
      <c r="H198">
        <f t="shared" ref="H198:H261" si="29">IF(D198&gt;=$D$3,5,IF(D198&lt;3,0,IF(D198&lt;5,1,IF(D198&lt;7,2,IF(D198&lt;9,3,IF(D198&lt;=$D$3,4,0))))))</f>
        <v>2</v>
      </c>
      <c r="I198" s="23">
        <f t="shared" ref="I198:I261" si="30">IF(E198&gt;=$E$3,5,IF(E198&lt;2000000,0,IF(E198&lt;=4000000,1,IF(E198&lt;=6000000,2,IF(E198&lt;=8000000,3,IF(E198&lt;=$E$3,4))))))</f>
        <v>4</v>
      </c>
      <c r="J198" t="str">
        <f t="shared" ref="J198:J261" si="31">IF(AND(G198=5,H198=5,I198=5),"TOP"," ")</f>
        <v xml:space="preserve"> </v>
      </c>
      <c r="K198" t="str">
        <f t="shared" ref="K198:K261" si="32">IF(AND(G198&gt;=4,H198&gt;=4), "Sodiq", " ")</f>
        <v xml:space="preserve"> </v>
      </c>
      <c r="L198" t="str">
        <f t="shared" ref="L198:L261" si="33">IF(AND(G198&lt;=1,H198&lt;=1), "Yo'qotilgan", " ")</f>
        <v xml:space="preserve"> </v>
      </c>
      <c r="M198" t="str">
        <f t="shared" ref="M198:M261" si="34">IF(AND(G198&lt;=3,I198&gt;=3), "Yo'qotishdagi", " ")</f>
        <v>Yo'qotishdagi</v>
      </c>
      <c r="N198" s="23" t="str">
        <f t="shared" ref="N198:N261" si="35">IF(AND((B198-$N$2)&gt;0, F198&lt;=2), "Yangi", " ")</f>
        <v xml:space="preserve"> </v>
      </c>
    </row>
    <row r="199" spans="1:14">
      <c r="A199" s="29">
        <v>6500392</v>
      </c>
      <c r="B199" s="10">
        <f>_xlfn.XLOOKUP(A199,Data!E:E,Data!B:B,0,0,-1)</f>
        <v>45575</v>
      </c>
      <c r="C199" s="20">
        <f>_xlfn.XLOOKUP(A199,Data!E:E,Data!B:B)</f>
        <v>45575</v>
      </c>
      <c r="D199" s="21">
        <f>COUNTIF(Data!E:E,A199)</f>
        <v>1</v>
      </c>
      <c r="E199" s="22">
        <f>SUMIF(Data!E:E,'RFM mijozlar tahlili'!A199,Data!J:J)</f>
        <v>402553.12319999997</v>
      </c>
      <c r="F199" s="29">
        <f t="shared" si="27"/>
        <v>3</v>
      </c>
      <c r="G199">
        <f t="shared" si="28"/>
        <v>3</v>
      </c>
      <c r="H199">
        <f t="shared" si="29"/>
        <v>0</v>
      </c>
      <c r="I199" s="23">
        <f t="shared" si="30"/>
        <v>0</v>
      </c>
      <c r="J199" t="str">
        <f t="shared" si="31"/>
        <v xml:space="preserve"> </v>
      </c>
      <c r="K199" t="str">
        <f t="shared" si="32"/>
        <v xml:space="preserve"> </v>
      </c>
      <c r="L199" t="str">
        <f t="shared" si="33"/>
        <v xml:space="preserve"> </v>
      </c>
      <c r="M199" t="str">
        <f t="shared" si="34"/>
        <v xml:space="preserve"> </v>
      </c>
      <c r="N199" s="23" t="str">
        <f t="shared" si="35"/>
        <v xml:space="preserve"> </v>
      </c>
    </row>
    <row r="200" spans="1:14">
      <c r="A200" s="29">
        <v>6499707</v>
      </c>
      <c r="B200" s="10">
        <f>_xlfn.XLOOKUP(A200,Data!E:E,Data!B:B,0,0,-1)</f>
        <v>45529</v>
      </c>
      <c r="C200" s="20">
        <f>_xlfn.XLOOKUP(A200,Data!E:E,Data!B:B)</f>
        <v>45575</v>
      </c>
      <c r="D200" s="21">
        <f>COUNTIF(Data!E:E,A200)</f>
        <v>3</v>
      </c>
      <c r="E200" s="22">
        <f>SUMIF(Data!E:E,'RFM mijozlar tahlili'!A200,Data!J:J)</f>
        <v>3371382.4068</v>
      </c>
      <c r="F200" s="29">
        <f t="shared" si="27"/>
        <v>3</v>
      </c>
      <c r="G200">
        <f t="shared" si="28"/>
        <v>3</v>
      </c>
      <c r="H200">
        <f t="shared" si="29"/>
        <v>1</v>
      </c>
      <c r="I200" s="23">
        <f t="shared" si="30"/>
        <v>1</v>
      </c>
      <c r="J200" t="str">
        <f t="shared" si="31"/>
        <v xml:space="preserve"> </v>
      </c>
      <c r="K200" t="str">
        <f t="shared" si="32"/>
        <v xml:space="preserve"> </v>
      </c>
      <c r="L200" t="str">
        <f t="shared" si="33"/>
        <v xml:space="preserve"> </v>
      </c>
      <c r="M200" t="str">
        <f t="shared" si="34"/>
        <v xml:space="preserve"> </v>
      </c>
      <c r="N200" s="23" t="str">
        <f t="shared" si="35"/>
        <v xml:space="preserve"> </v>
      </c>
    </row>
    <row r="201" spans="1:14">
      <c r="A201" s="29">
        <v>6700762</v>
      </c>
      <c r="B201" s="10">
        <f>_xlfn.XLOOKUP(A201,Data!E:E,Data!B:B,0,0,-1)</f>
        <v>45593</v>
      </c>
      <c r="C201" s="20">
        <f>_xlfn.XLOOKUP(A201,Data!E:E,Data!B:B)</f>
        <v>45593</v>
      </c>
      <c r="D201" s="21">
        <f>COUNTIF(Data!E:E,A201)</f>
        <v>1</v>
      </c>
      <c r="E201" s="22">
        <f>SUMIF(Data!E:E,'RFM mijozlar tahlili'!A201,Data!J:J)</f>
        <v>1006382.808</v>
      </c>
      <c r="F201" s="29">
        <f t="shared" si="27"/>
        <v>2</v>
      </c>
      <c r="G201">
        <f t="shared" si="28"/>
        <v>4</v>
      </c>
      <c r="H201">
        <f t="shared" si="29"/>
        <v>0</v>
      </c>
      <c r="I201" s="23">
        <f t="shared" si="30"/>
        <v>0</v>
      </c>
      <c r="J201" t="str">
        <f t="shared" si="31"/>
        <v xml:space="preserve"> </v>
      </c>
      <c r="K201" t="str">
        <f t="shared" si="32"/>
        <v xml:space="preserve"> </v>
      </c>
      <c r="L201" t="str">
        <f t="shared" si="33"/>
        <v xml:space="preserve"> </v>
      </c>
      <c r="M201" t="str">
        <f t="shared" si="34"/>
        <v xml:space="preserve"> </v>
      </c>
      <c r="N201" s="23" t="str">
        <f t="shared" si="35"/>
        <v>Yangi</v>
      </c>
    </row>
    <row r="202" spans="1:14">
      <c r="A202" s="29">
        <v>6700779</v>
      </c>
      <c r="B202" s="10">
        <f>_xlfn.XLOOKUP(A202,Data!E:E,Data!B:B,0,0,-1)</f>
        <v>45510</v>
      </c>
      <c r="C202" s="20">
        <f>_xlfn.XLOOKUP(A202,Data!E:E,Data!B:B)</f>
        <v>45596</v>
      </c>
      <c r="D202" s="21">
        <f>COUNTIF(Data!E:E,A202)</f>
        <v>5</v>
      </c>
      <c r="E202" s="22">
        <f>SUMIF(Data!E:E,'RFM mijozlar tahlili'!A202,Data!J:J)</f>
        <v>1972264.0477119999</v>
      </c>
      <c r="F202" s="29">
        <f t="shared" si="27"/>
        <v>2</v>
      </c>
      <c r="G202">
        <f t="shared" si="28"/>
        <v>4</v>
      </c>
      <c r="H202">
        <f t="shared" si="29"/>
        <v>2</v>
      </c>
      <c r="I202" s="23">
        <f t="shared" si="30"/>
        <v>0</v>
      </c>
      <c r="J202" t="str">
        <f t="shared" si="31"/>
        <v xml:space="preserve"> </v>
      </c>
      <c r="K202" t="str">
        <f t="shared" si="32"/>
        <v xml:space="preserve"> </v>
      </c>
      <c r="L202" t="str">
        <f t="shared" si="33"/>
        <v xml:space="preserve"> </v>
      </c>
      <c r="M202" t="str">
        <f t="shared" si="34"/>
        <v xml:space="preserve"> </v>
      </c>
      <c r="N202" s="23" t="str">
        <f t="shared" si="35"/>
        <v xml:space="preserve"> </v>
      </c>
    </row>
    <row r="203" spans="1:14">
      <c r="A203" s="29">
        <v>4873595</v>
      </c>
      <c r="B203" s="10">
        <f>_xlfn.XLOOKUP(A203,Data!E:E,Data!B:B,0,0,-1)</f>
        <v>45460</v>
      </c>
      <c r="C203" s="20">
        <f>_xlfn.XLOOKUP(A203,Data!E:E,Data!B:B)</f>
        <v>45577</v>
      </c>
      <c r="D203" s="21">
        <f>COUNTIF(Data!E:E,A203)</f>
        <v>6</v>
      </c>
      <c r="E203" s="22">
        <f>SUMIF(Data!E:E,'RFM mijozlar tahlili'!A203,Data!J:J)</f>
        <v>1308172.0095999998</v>
      </c>
      <c r="F203" s="29">
        <f t="shared" si="27"/>
        <v>3</v>
      </c>
      <c r="G203">
        <f t="shared" si="28"/>
        <v>3</v>
      </c>
      <c r="H203">
        <f t="shared" si="29"/>
        <v>2</v>
      </c>
      <c r="I203" s="23">
        <f t="shared" si="30"/>
        <v>0</v>
      </c>
      <c r="J203" t="str">
        <f t="shared" si="31"/>
        <v xml:space="preserve"> </v>
      </c>
      <c r="K203" t="str">
        <f t="shared" si="32"/>
        <v xml:space="preserve"> </v>
      </c>
      <c r="L203" t="str">
        <f t="shared" si="33"/>
        <v xml:space="preserve"> </v>
      </c>
      <c r="M203" t="str">
        <f t="shared" si="34"/>
        <v xml:space="preserve"> </v>
      </c>
      <c r="N203" s="23" t="str">
        <f t="shared" si="35"/>
        <v xml:space="preserve"> </v>
      </c>
    </row>
    <row r="204" spans="1:14">
      <c r="A204" s="29">
        <v>4877184</v>
      </c>
      <c r="B204" s="10">
        <f>_xlfn.XLOOKUP(A204,Data!E:E,Data!B:B,0,0,-1)</f>
        <v>45580</v>
      </c>
      <c r="C204" s="20">
        <f>_xlfn.XLOOKUP(A204,Data!E:E,Data!B:B)</f>
        <v>45580</v>
      </c>
      <c r="D204" s="21">
        <f>COUNTIF(Data!E:E,A204)</f>
        <v>1</v>
      </c>
      <c r="E204" s="22">
        <f>SUMIF(Data!E:E,'RFM mijozlar tahlili'!A204,Data!J:J)</f>
        <v>503065.76319999999</v>
      </c>
      <c r="F204" s="29">
        <f t="shared" si="27"/>
        <v>3</v>
      </c>
      <c r="G204">
        <f t="shared" si="28"/>
        <v>3</v>
      </c>
      <c r="H204">
        <f t="shared" si="29"/>
        <v>0</v>
      </c>
      <c r="I204" s="23">
        <f t="shared" si="30"/>
        <v>0</v>
      </c>
      <c r="J204" t="str">
        <f t="shared" si="31"/>
        <v xml:space="preserve"> </v>
      </c>
      <c r="K204" t="str">
        <f t="shared" si="32"/>
        <v xml:space="preserve"> </v>
      </c>
      <c r="L204" t="str">
        <f t="shared" si="33"/>
        <v xml:space="preserve"> </v>
      </c>
      <c r="M204" t="str">
        <f t="shared" si="34"/>
        <v xml:space="preserve"> </v>
      </c>
      <c r="N204" s="23" t="str">
        <f t="shared" si="35"/>
        <v xml:space="preserve"> </v>
      </c>
    </row>
    <row r="205" spans="1:14">
      <c r="A205" s="29">
        <v>4879317</v>
      </c>
      <c r="B205" s="10">
        <f>_xlfn.XLOOKUP(A205,Data!E:E,Data!B:B,0,0,-1)</f>
        <v>45591</v>
      </c>
      <c r="C205" s="20">
        <f>_xlfn.XLOOKUP(A205,Data!E:E,Data!B:B)</f>
        <v>45581</v>
      </c>
      <c r="D205" s="21">
        <f>COUNTIF(Data!E:E,A205)</f>
        <v>5</v>
      </c>
      <c r="E205" s="22">
        <f>SUMIF(Data!E:E,'RFM mijozlar tahlili'!A205,Data!J:J)</f>
        <v>2314680.4583999999</v>
      </c>
      <c r="F205" s="29">
        <f t="shared" si="27"/>
        <v>3</v>
      </c>
      <c r="G205">
        <f t="shared" si="28"/>
        <v>3</v>
      </c>
      <c r="H205">
        <f t="shared" si="29"/>
        <v>2</v>
      </c>
      <c r="I205" s="23">
        <f t="shared" si="30"/>
        <v>1</v>
      </c>
      <c r="J205" t="str">
        <f t="shared" si="31"/>
        <v xml:space="preserve"> </v>
      </c>
      <c r="K205" t="str">
        <f t="shared" si="32"/>
        <v xml:space="preserve"> </v>
      </c>
      <c r="L205" t="str">
        <f t="shared" si="33"/>
        <v xml:space="preserve"> </v>
      </c>
      <c r="M205" t="str">
        <f t="shared" si="34"/>
        <v xml:space="preserve"> </v>
      </c>
      <c r="N205" s="23" t="str">
        <f t="shared" si="35"/>
        <v xml:space="preserve"> </v>
      </c>
    </row>
    <row r="206" spans="1:14">
      <c r="A206" s="29">
        <v>6080572</v>
      </c>
      <c r="B206" s="10">
        <f>_xlfn.XLOOKUP(A206,Data!E:E,Data!B:B,0,0,-1)</f>
        <v>45586</v>
      </c>
      <c r="C206" s="20">
        <f>_xlfn.XLOOKUP(A206,Data!E:E,Data!B:B)</f>
        <v>45586</v>
      </c>
      <c r="D206" s="21">
        <f>COUNTIF(Data!E:E,A206)</f>
        <v>4</v>
      </c>
      <c r="E206" s="22">
        <f>SUMIF(Data!E:E,'RFM mijozlar tahlili'!A206,Data!J:J)</f>
        <v>2435132.2933599995</v>
      </c>
      <c r="F206" s="29">
        <f t="shared" si="27"/>
        <v>3</v>
      </c>
      <c r="G206">
        <f t="shared" si="28"/>
        <v>3</v>
      </c>
      <c r="H206">
        <f t="shared" si="29"/>
        <v>1</v>
      </c>
      <c r="I206" s="23">
        <f t="shared" si="30"/>
        <v>1</v>
      </c>
      <c r="J206" t="str">
        <f t="shared" si="31"/>
        <v xml:space="preserve"> </v>
      </c>
      <c r="K206" t="str">
        <f t="shared" si="32"/>
        <v xml:space="preserve"> </v>
      </c>
      <c r="L206" t="str">
        <f t="shared" si="33"/>
        <v xml:space="preserve"> </v>
      </c>
      <c r="M206" t="str">
        <f t="shared" si="34"/>
        <v xml:space="preserve"> </v>
      </c>
      <c r="N206" s="23" t="str">
        <f t="shared" si="35"/>
        <v xml:space="preserve"> </v>
      </c>
    </row>
    <row r="207" spans="1:14">
      <c r="A207" s="29">
        <v>4877345</v>
      </c>
      <c r="B207" s="10">
        <f>_xlfn.XLOOKUP(A207,Data!E:E,Data!B:B,0,0,-1)</f>
        <v>45587</v>
      </c>
      <c r="C207" s="20">
        <f>_xlfn.XLOOKUP(A207,Data!E:E,Data!B:B)</f>
        <v>45587</v>
      </c>
      <c r="D207" s="21">
        <f>COUNTIF(Data!E:E,A207)</f>
        <v>6</v>
      </c>
      <c r="E207" s="22">
        <f>SUMIF(Data!E:E,'RFM mijozlar tahlili'!A207,Data!J:J)</f>
        <v>1142057.282288</v>
      </c>
      <c r="F207" s="29">
        <f t="shared" si="27"/>
        <v>3</v>
      </c>
      <c r="G207">
        <f t="shared" si="28"/>
        <v>3</v>
      </c>
      <c r="H207">
        <f t="shared" si="29"/>
        <v>2</v>
      </c>
      <c r="I207" s="23">
        <f t="shared" si="30"/>
        <v>0</v>
      </c>
      <c r="J207" t="str">
        <f t="shared" si="31"/>
        <v xml:space="preserve"> </v>
      </c>
      <c r="K207" t="str">
        <f t="shared" si="32"/>
        <v xml:space="preserve"> </v>
      </c>
      <c r="L207" t="str">
        <f t="shared" si="33"/>
        <v xml:space="preserve"> </v>
      </c>
      <c r="M207" t="str">
        <f t="shared" si="34"/>
        <v xml:space="preserve"> </v>
      </c>
      <c r="N207" s="23" t="str">
        <f t="shared" si="35"/>
        <v xml:space="preserve"> </v>
      </c>
    </row>
    <row r="208" spans="1:14">
      <c r="A208" s="29">
        <v>4875999</v>
      </c>
      <c r="B208" s="10">
        <f>_xlfn.XLOOKUP(A208,Data!E:E,Data!B:B,0,0,-1)</f>
        <v>45307</v>
      </c>
      <c r="C208" s="20">
        <f>_xlfn.XLOOKUP(A208,Data!E:E,Data!B:B)</f>
        <v>45588</v>
      </c>
      <c r="D208" s="21">
        <f>COUNTIF(Data!E:E,A208)</f>
        <v>22</v>
      </c>
      <c r="E208" s="22">
        <f>SUMIF(Data!E:E,'RFM mijozlar tahlili'!A208,Data!J:J)</f>
        <v>8845142.4737919997</v>
      </c>
      <c r="F208" s="29">
        <f t="shared" si="27"/>
        <v>2</v>
      </c>
      <c r="G208">
        <f t="shared" si="28"/>
        <v>4</v>
      </c>
      <c r="H208">
        <f t="shared" si="29"/>
        <v>5</v>
      </c>
      <c r="I208" s="23">
        <f t="shared" si="30"/>
        <v>4</v>
      </c>
      <c r="J208" t="str">
        <f t="shared" si="31"/>
        <v xml:space="preserve"> </v>
      </c>
      <c r="K208" t="str">
        <f t="shared" si="32"/>
        <v>Sodiq</v>
      </c>
      <c r="L208" t="str">
        <f t="shared" si="33"/>
        <v xml:space="preserve"> </v>
      </c>
      <c r="M208" t="str">
        <f t="shared" si="34"/>
        <v xml:space="preserve"> </v>
      </c>
      <c r="N208" s="23" t="str">
        <f t="shared" si="35"/>
        <v xml:space="preserve"> </v>
      </c>
    </row>
    <row r="209" spans="1:14">
      <c r="A209" s="29">
        <v>4878606</v>
      </c>
      <c r="B209" s="10">
        <f>_xlfn.XLOOKUP(A209,Data!E:E,Data!B:B,0,0,-1)</f>
        <v>45589</v>
      </c>
      <c r="C209" s="20">
        <f>_xlfn.XLOOKUP(A209,Data!E:E,Data!B:B)</f>
        <v>45589</v>
      </c>
      <c r="D209" s="21">
        <f>COUNTIF(Data!E:E,A209)</f>
        <v>7</v>
      </c>
      <c r="E209" s="22">
        <f>SUMIF(Data!E:E,'RFM mijozlar tahlili'!A209,Data!J:J)</f>
        <v>1499384.74312</v>
      </c>
      <c r="F209" s="29">
        <f t="shared" si="27"/>
        <v>2</v>
      </c>
      <c r="G209">
        <f t="shared" si="28"/>
        <v>4</v>
      </c>
      <c r="H209">
        <f t="shared" si="29"/>
        <v>3</v>
      </c>
      <c r="I209" s="23">
        <f t="shared" si="30"/>
        <v>0</v>
      </c>
      <c r="J209" t="str">
        <f t="shared" si="31"/>
        <v xml:space="preserve"> </v>
      </c>
      <c r="K209" t="str">
        <f t="shared" si="32"/>
        <v xml:space="preserve"> </v>
      </c>
      <c r="L209" t="str">
        <f t="shared" si="33"/>
        <v xml:space="preserve"> </v>
      </c>
      <c r="M209" t="str">
        <f t="shared" si="34"/>
        <v xml:space="preserve"> </v>
      </c>
      <c r="N209" s="23" t="str">
        <f t="shared" si="35"/>
        <v>Yangi</v>
      </c>
    </row>
    <row r="210" spans="1:14">
      <c r="A210" s="29">
        <v>4878650</v>
      </c>
      <c r="B210" s="10">
        <f>_xlfn.XLOOKUP(A210,Data!E:E,Data!B:B,0,0,-1)</f>
        <v>45395</v>
      </c>
      <c r="C210" s="20">
        <f>_xlfn.XLOOKUP(A210,Data!E:E,Data!B:B)</f>
        <v>45594</v>
      </c>
      <c r="D210" s="21">
        <f>COUNTIF(Data!E:E,A210)</f>
        <v>17</v>
      </c>
      <c r="E210" s="22">
        <f>SUMIF(Data!E:E,'RFM mijozlar tahlili'!A210,Data!J:J)</f>
        <v>4221121.2909920001</v>
      </c>
      <c r="F210" s="29">
        <f t="shared" si="27"/>
        <v>2</v>
      </c>
      <c r="G210">
        <f t="shared" si="28"/>
        <v>4</v>
      </c>
      <c r="H210">
        <f t="shared" si="29"/>
        <v>5</v>
      </c>
      <c r="I210" s="23">
        <f t="shared" si="30"/>
        <v>2</v>
      </c>
      <c r="J210" t="str">
        <f t="shared" si="31"/>
        <v xml:space="preserve"> </v>
      </c>
      <c r="K210" t="str">
        <f t="shared" si="32"/>
        <v>Sodiq</v>
      </c>
      <c r="L210" t="str">
        <f t="shared" si="33"/>
        <v xml:space="preserve"> </v>
      </c>
      <c r="M210" t="str">
        <f t="shared" si="34"/>
        <v xml:space="preserve"> </v>
      </c>
      <c r="N210" s="23" t="str">
        <f t="shared" si="35"/>
        <v xml:space="preserve"> </v>
      </c>
    </row>
    <row r="211" spans="1:14">
      <c r="A211" s="29">
        <v>4878821</v>
      </c>
      <c r="B211" s="10">
        <f>_xlfn.XLOOKUP(A211,Data!E:E,Data!B:B,0,0,-1)</f>
        <v>45313</v>
      </c>
      <c r="C211" s="20">
        <f>_xlfn.XLOOKUP(A211,Data!E:E,Data!B:B)</f>
        <v>45571</v>
      </c>
      <c r="D211" s="21">
        <f>COUNTIF(Data!E:E,A211)</f>
        <v>7</v>
      </c>
      <c r="E211" s="22">
        <f>SUMIF(Data!E:E,'RFM mijozlar tahlili'!A211,Data!J:J)</f>
        <v>3572219.2256</v>
      </c>
      <c r="F211" s="29">
        <f t="shared" si="27"/>
        <v>3</v>
      </c>
      <c r="G211">
        <f t="shared" si="28"/>
        <v>3</v>
      </c>
      <c r="H211">
        <f t="shared" si="29"/>
        <v>3</v>
      </c>
      <c r="I211" s="23">
        <f t="shared" si="30"/>
        <v>1</v>
      </c>
      <c r="J211" t="str">
        <f t="shared" si="31"/>
        <v xml:space="preserve"> </v>
      </c>
      <c r="K211" t="str">
        <f t="shared" si="32"/>
        <v xml:space="preserve"> </v>
      </c>
      <c r="L211" t="str">
        <f t="shared" si="33"/>
        <v xml:space="preserve"> </v>
      </c>
      <c r="M211" t="str">
        <f t="shared" si="34"/>
        <v xml:space="preserve"> </v>
      </c>
      <c r="N211" s="23" t="str">
        <f t="shared" si="35"/>
        <v xml:space="preserve"> </v>
      </c>
    </row>
    <row r="212" spans="1:14">
      <c r="A212" s="29">
        <v>4876465</v>
      </c>
      <c r="B212" s="10">
        <f>_xlfn.XLOOKUP(A212,Data!E:E,Data!B:B,0,0,-1)</f>
        <v>45315</v>
      </c>
      <c r="C212" s="20">
        <f>_xlfn.XLOOKUP(A212,Data!E:E,Data!B:B)</f>
        <v>45572</v>
      </c>
      <c r="D212" s="21">
        <f>COUNTIF(Data!E:E,A212)</f>
        <v>14</v>
      </c>
      <c r="E212" s="22">
        <f>SUMIF(Data!E:E,'RFM mijozlar tahlili'!A212,Data!J:J)</f>
        <v>4900707.3525599996</v>
      </c>
      <c r="F212" s="29">
        <f t="shared" si="27"/>
        <v>3</v>
      </c>
      <c r="G212">
        <f t="shared" si="28"/>
        <v>3</v>
      </c>
      <c r="H212">
        <f t="shared" si="29"/>
        <v>5</v>
      </c>
      <c r="I212" s="23">
        <f t="shared" si="30"/>
        <v>2</v>
      </c>
      <c r="J212" t="str">
        <f t="shared" si="31"/>
        <v xml:space="preserve"> </v>
      </c>
      <c r="K212" t="str">
        <f t="shared" si="32"/>
        <v xml:space="preserve"> </v>
      </c>
      <c r="L212" t="str">
        <f t="shared" si="33"/>
        <v xml:space="preserve"> </v>
      </c>
      <c r="M212" t="str">
        <f t="shared" si="34"/>
        <v xml:space="preserve"> </v>
      </c>
      <c r="N212" s="23" t="str">
        <f t="shared" si="35"/>
        <v xml:space="preserve"> </v>
      </c>
    </row>
    <row r="213" spans="1:14">
      <c r="A213" s="29">
        <v>4878777</v>
      </c>
      <c r="B213" s="10">
        <f>_xlfn.XLOOKUP(A213,Data!E:E,Data!B:B,0,0,-1)</f>
        <v>45377</v>
      </c>
      <c r="C213" s="20">
        <f>_xlfn.XLOOKUP(A213,Data!E:E,Data!B:B)</f>
        <v>45573</v>
      </c>
      <c r="D213" s="21">
        <f>COUNTIF(Data!E:E,A213)</f>
        <v>10</v>
      </c>
      <c r="E213" s="22">
        <f>SUMIF(Data!E:E,'RFM mijozlar tahlili'!A213,Data!J:J)</f>
        <v>5182431.7183999997</v>
      </c>
      <c r="F213" s="29">
        <f t="shared" si="27"/>
        <v>3</v>
      </c>
      <c r="G213">
        <f t="shared" si="28"/>
        <v>3</v>
      </c>
      <c r="H213">
        <f t="shared" si="29"/>
        <v>4</v>
      </c>
      <c r="I213" s="23">
        <f t="shared" si="30"/>
        <v>2</v>
      </c>
      <c r="J213" t="str">
        <f t="shared" si="31"/>
        <v xml:space="preserve"> </v>
      </c>
      <c r="K213" t="str">
        <f t="shared" si="32"/>
        <v xml:space="preserve"> </v>
      </c>
      <c r="L213" t="str">
        <f t="shared" si="33"/>
        <v xml:space="preserve"> </v>
      </c>
      <c r="M213" t="str">
        <f t="shared" si="34"/>
        <v xml:space="preserve"> </v>
      </c>
      <c r="N213" s="23" t="str">
        <f t="shared" si="35"/>
        <v xml:space="preserve"> </v>
      </c>
    </row>
    <row r="214" spans="1:14">
      <c r="A214" s="29">
        <v>6080107</v>
      </c>
      <c r="B214" s="10">
        <f>_xlfn.XLOOKUP(A214,Data!E:E,Data!B:B,0,0,-1)</f>
        <v>45381</v>
      </c>
      <c r="C214" s="20">
        <f>_xlfn.XLOOKUP(A214,Data!E:E,Data!B:B)</f>
        <v>45581</v>
      </c>
      <c r="D214" s="21">
        <f>COUNTIF(Data!E:E,A214)</f>
        <v>3</v>
      </c>
      <c r="E214" s="22">
        <f>SUMIF(Data!E:E,'RFM mijozlar tahlili'!A214,Data!J:J)</f>
        <v>654086.0048</v>
      </c>
      <c r="F214" s="29">
        <f t="shared" si="27"/>
        <v>3</v>
      </c>
      <c r="G214">
        <f t="shared" si="28"/>
        <v>3</v>
      </c>
      <c r="H214">
        <f t="shared" si="29"/>
        <v>1</v>
      </c>
      <c r="I214" s="23">
        <f t="shared" si="30"/>
        <v>0</v>
      </c>
      <c r="J214" t="str">
        <f t="shared" si="31"/>
        <v xml:space="preserve"> </v>
      </c>
      <c r="K214" t="str">
        <f t="shared" si="32"/>
        <v xml:space="preserve"> </v>
      </c>
      <c r="L214" t="str">
        <f t="shared" si="33"/>
        <v xml:space="preserve"> </v>
      </c>
      <c r="M214" t="str">
        <f t="shared" si="34"/>
        <v xml:space="preserve"> </v>
      </c>
      <c r="N214" s="23" t="str">
        <f t="shared" si="35"/>
        <v xml:space="preserve"> </v>
      </c>
    </row>
    <row r="215" spans="1:14">
      <c r="A215" s="29">
        <v>4876011</v>
      </c>
      <c r="B215" s="10">
        <f>_xlfn.XLOOKUP(A215,Data!E:E,Data!B:B,0,0,-1)</f>
        <v>45330</v>
      </c>
      <c r="C215" s="20">
        <f>_xlfn.XLOOKUP(A215,Data!E:E,Data!B:B)</f>
        <v>45582</v>
      </c>
      <c r="D215" s="21">
        <f>COUNTIF(Data!E:E,A215)</f>
        <v>4</v>
      </c>
      <c r="E215" s="22">
        <f>SUMIF(Data!E:E,'RFM mijozlar tahlili'!A215,Data!J:J)</f>
        <v>2214042.1775999996</v>
      </c>
      <c r="F215" s="29">
        <f t="shared" si="27"/>
        <v>3</v>
      </c>
      <c r="G215">
        <f t="shared" si="28"/>
        <v>3</v>
      </c>
      <c r="H215">
        <f t="shared" si="29"/>
        <v>1</v>
      </c>
      <c r="I215" s="23">
        <f t="shared" si="30"/>
        <v>1</v>
      </c>
      <c r="J215" t="str">
        <f t="shared" si="31"/>
        <v xml:space="preserve"> </v>
      </c>
      <c r="K215" t="str">
        <f t="shared" si="32"/>
        <v xml:space="preserve"> </v>
      </c>
      <c r="L215" t="str">
        <f t="shared" si="33"/>
        <v xml:space="preserve"> </v>
      </c>
      <c r="M215" t="str">
        <f t="shared" si="34"/>
        <v xml:space="preserve"> </v>
      </c>
      <c r="N215" s="23" t="str">
        <f t="shared" si="35"/>
        <v xml:space="preserve"> </v>
      </c>
    </row>
    <row r="216" spans="1:14">
      <c r="A216" s="29">
        <v>4878859</v>
      </c>
      <c r="B216" s="10">
        <f>_xlfn.XLOOKUP(A216,Data!E:E,Data!B:B,0,0,-1)</f>
        <v>45314</v>
      </c>
      <c r="C216" s="20">
        <f>_xlfn.XLOOKUP(A216,Data!E:E,Data!B:B)</f>
        <v>45584</v>
      </c>
      <c r="D216" s="21">
        <f>COUNTIF(Data!E:E,A216)</f>
        <v>6</v>
      </c>
      <c r="E216" s="22">
        <f>SUMIF(Data!E:E,'RFM mijozlar tahlili'!A216,Data!J:J)</f>
        <v>4830637.4784000004</v>
      </c>
      <c r="F216" s="29">
        <f t="shared" si="27"/>
        <v>3</v>
      </c>
      <c r="G216">
        <f t="shared" si="28"/>
        <v>3</v>
      </c>
      <c r="H216">
        <f t="shared" si="29"/>
        <v>2</v>
      </c>
      <c r="I216" s="23">
        <f t="shared" si="30"/>
        <v>2</v>
      </c>
      <c r="J216" t="str">
        <f t="shared" si="31"/>
        <v xml:space="preserve"> </v>
      </c>
      <c r="K216" t="str">
        <f t="shared" si="32"/>
        <v xml:space="preserve"> </v>
      </c>
      <c r="L216" t="str">
        <f t="shared" si="33"/>
        <v xml:space="preserve"> </v>
      </c>
      <c r="M216" t="str">
        <f t="shared" si="34"/>
        <v xml:space="preserve"> </v>
      </c>
      <c r="N216" s="23" t="str">
        <f t="shared" si="35"/>
        <v xml:space="preserve"> </v>
      </c>
    </row>
    <row r="217" spans="1:14">
      <c r="A217" s="29">
        <v>4876347</v>
      </c>
      <c r="B217" s="10">
        <f>_xlfn.XLOOKUP(A217,Data!E:E,Data!B:B,0,0,-1)</f>
        <v>45592</v>
      </c>
      <c r="C217" s="20">
        <f>_xlfn.XLOOKUP(A217,Data!E:E,Data!B:B)</f>
        <v>45592</v>
      </c>
      <c r="D217" s="21">
        <f>COUNTIF(Data!E:E,A217)</f>
        <v>1</v>
      </c>
      <c r="E217" s="22">
        <f>SUMIF(Data!E:E,'RFM mijozlar tahlili'!A217,Data!J:J)</f>
        <v>402553.12319999997</v>
      </c>
      <c r="F217" s="29">
        <f t="shared" si="27"/>
        <v>2</v>
      </c>
      <c r="G217">
        <f t="shared" si="28"/>
        <v>4</v>
      </c>
      <c r="H217">
        <f t="shared" si="29"/>
        <v>0</v>
      </c>
      <c r="I217" s="23">
        <f t="shared" si="30"/>
        <v>0</v>
      </c>
      <c r="J217" t="str">
        <f t="shared" si="31"/>
        <v xml:space="preserve"> </v>
      </c>
      <c r="K217" t="str">
        <f t="shared" si="32"/>
        <v xml:space="preserve"> </v>
      </c>
      <c r="L217" t="str">
        <f t="shared" si="33"/>
        <v xml:space="preserve"> </v>
      </c>
      <c r="M217" t="str">
        <f t="shared" si="34"/>
        <v xml:space="preserve"> </v>
      </c>
      <c r="N217" s="23" t="str">
        <f t="shared" si="35"/>
        <v>Yangi</v>
      </c>
    </row>
    <row r="218" spans="1:14">
      <c r="A218" s="29">
        <v>6485159</v>
      </c>
      <c r="B218" s="10">
        <f>_xlfn.XLOOKUP(A218,Data!E:E,Data!B:B,0,0,-1)</f>
        <v>45580</v>
      </c>
      <c r="C218" s="20">
        <f>_xlfn.XLOOKUP(A218,Data!E:E,Data!B:B)</f>
        <v>45580</v>
      </c>
      <c r="D218" s="21">
        <f>COUNTIF(Data!E:E,A218)</f>
        <v>2</v>
      </c>
      <c r="E218" s="22">
        <f>SUMIF(Data!E:E,'RFM mijozlar tahlili'!A218,Data!J:J)</f>
        <v>4656499.3295999998</v>
      </c>
      <c r="F218" s="29">
        <f t="shared" si="27"/>
        <v>3</v>
      </c>
      <c r="G218">
        <f t="shared" si="28"/>
        <v>3</v>
      </c>
      <c r="H218">
        <f t="shared" si="29"/>
        <v>0</v>
      </c>
      <c r="I218" s="23">
        <f t="shared" si="30"/>
        <v>2</v>
      </c>
      <c r="J218" t="str">
        <f t="shared" si="31"/>
        <v xml:space="preserve"> </v>
      </c>
      <c r="K218" t="str">
        <f t="shared" si="32"/>
        <v xml:space="preserve"> </v>
      </c>
      <c r="L218" t="str">
        <f t="shared" si="33"/>
        <v xml:space="preserve"> </v>
      </c>
      <c r="M218" t="str">
        <f t="shared" si="34"/>
        <v xml:space="preserve"> </v>
      </c>
      <c r="N218" s="23" t="str">
        <f t="shared" si="35"/>
        <v xml:space="preserve"> </v>
      </c>
    </row>
    <row r="219" spans="1:14">
      <c r="A219" s="29">
        <v>6080236</v>
      </c>
      <c r="B219" s="10">
        <f>_xlfn.XLOOKUP(A219,Data!E:E,Data!B:B,0,0,-1)</f>
        <v>45502</v>
      </c>
      <c r="C219" s="20">
        <f>_xlfn.XLOOKUP(A219,Data!E:E,Data!B:B)</f>
        <v>45569</v>
      </c>
      <c r="D219" s="21">
        <f>COUNTIF(Data!E:E,A219)</f>
        <v>5</v>
      </c>
      <c r="E219" s="22">
        <f>SUMIF(Data!E:E,'RFM mijozlar tahlili'!A219,Data!J:J)</f>
        <v>2968515.1815999998</v>
      </c>
      <c r="F219" s="29">
        <f t="shared" si="27"/>
        <v>3</v>
      </c>
      <c r="G219">
        <f t="shared" si="28"/>
        <v>3</v>
      </c>
      <c r="H219">
        <f t="shared" si="29"/>
        <v>2</v>
      </c>
      <c r="I219" s="23">
        <f t="shared" si="30"/>
        <v>1</v>
      </c>
      <c r="J219" t="str">
        <f t="shared" si="31"/>
        <v xml:space="preserve"> </v>
      </c>
      <c r="K219" t="str">
        <f t="shared" si="32"/>
        <v xml:space="preserve"> </v>
      </c>
      <c r="L219" t="str">
        <f t="shared" si="33"/>
        <v xml:space="preserve"> </v>
      </c>
      <c r="M219" t="str">
        <f t="shared" si="34"/>
        <v xml:space="preserve"> </v>
      </c>
      <c r="N219" s="23" t="str">
        <f t="shared" si="35"/>
        <v xml:space="preserve"> </v>
      </c>
    </row>
    <row r="220" spans="1:14">
      <c r="A220" s="29">
        <v>7059168</v>
      </c>
      <c r="B220" s="10">
        <f>_xlfn.XLOOKUP(A220,Data!E:E,Data!B:B,0,0,-1)</f>
        <v>45587</v>
      </c>
      <c r="C220" s="20">
        <f>_xlfn.XLOOKUP(A220,Data!E:E,Data!B:B)</f>
        <v>45587</v>
      </c>
      <c r="D220" s="21">
        <f>COUNTIF(Data!E:E,A220)</f>
        <v>1</v>
      </c>
      <c r="E220" s="22">
        <f>SUMIF(Data!E:E,'RFM mijozlar tahlili'!A220,Data!J:J)</f>
        <v>201276.56159999999</v>
      </c>
      <c r="F220" s="29">
        <f t="shared" si="27"/>
        <v>3</v>
      </c>
      <c r="G220">
        <f t="shared" si="28"/>
        <v>3</v>
      </c>
      <c r="H220">
        <f t="shared" si="29"/>
        <v>0</v>
      </c>
      <c r="I220" s="23">
        <f t="shared" si="30"/>
        <v>0</v>
      </c>
      <c r="J220" t="str">
        <f t="shared" si="31"/>
        <v xml:space="preserve"> </v>
      </c>
      <c r="K220" t="str">
        <f t="shared" si="32"/>
        <v xml:space="preserve"> </v>
      </c>
      <c r="L220" t="str">
        <f t="shared" si="33"/>
        <v xml:space="preserve"> </v>
      </c>
      <c r="M220" t="str">
        <f t="shared" si="34"/>
        <v xml:space="preserve"> </v>
      </c>
      <c r="N220" s="23" t="str">
        <f t="shared" si="35"/>
        <v xml:space="preserve"> </v>
      </c>
    </row>
    <row r="221" spans="1:14">
      <c r="A221" s="29">
        <v>4876577</v>
      </c>
      <c r="B221" s="10">
        <f>_xlfn.XLOOKUP(A221,Data!E:E,Data!B:B,0,0,-1)</f>
        <v>45311</v>
      </c>
      <c r="C221" s="20">
        <f>_xlfn.XLOOKUP(A221,Data!E:E,Data!B:B)</f>
        <v>45569</v>
      </c>
      <c r="D221" s="21">
        <f>COUNTIF(Data!E:E,A221)</f>
        <v>9</v>
      </c>
      <c r="E221" s="22">
        <f>SUMIF(Data!E:E,'RFM mijozlar tahlili'!A221,Data!J:J)</f>
        <v>5162309.0878719995</v>
      </c>
      <c r="F221" s="29">
        <f t="shared" si="27"/>
        <v>3</v>
      </c>
      <c r="G221">
        <f t="shared" si="28"/>
        <v>3</v>
      </c>
      <c r="H221">
        <f t="shared" si="29"/>
        <v>4</v>
      </c>
      <c r="I221" s="23">
        <f t="shared" si="30"/>
        <v>2</v>
      </c>
      <c r="J221" t="str">
        <f t="shared" si="31"/>
        <v xml:space="preserve"> </v>
      </c>
      <c r="K221" t="str">
        <f t="shared" si="32"/>
        <v xml:space="preserve"> </v>
      </c>
      <c r="L221" t="str">
        <f t="shared" si="33"/>
        <v xml:space="preserve"> </v>
      </c>
      <c r="M221" t="str">
        <f t="shared" si="34"/>
        <v xml:space="preserve"> </v>
      </c>
      <c r="N221" s="23" t="str">
        <f t="shared" si="35"/>
        <v xml:space="preserve"> </v>
      </c>
    </row>
    <row r="222" spans="1:14">
      <c r="A222" s="29">
        <v>4876670</v>
      </c>
      <c r="B222" s="10">
        <f>_xlfn.XLOOKUP(A222,Data!E:E,Data!B:B,0,0,-1)</f>
        <v>45387</v>
      </c>
      <c r="C222" s="20">
        <f>_xlfn.XLOOKUP(A222,Data!E:E,Data!B:B)</f>
        <v>45570</v>
      </c>
      <c r="D222" s="21">
        <f>COUNTIF(Data!E:E,A222)</f>
        <v>9</v>
      </c>
      <c r="E222" s="22">
        <f>SUMIF(Data!E:E,'RFM mijozlar tahlili'!A222,Data!J:J)</f>
        <v>1801425.2263199997</v>
      </c>
      <c r="F222" s="29">
        <f t="shared" si="27"/>
        <v>3</v>
      </c>
      <c r="G222">
        <f t="shared" si="28"/>
        <v>3</v>
      </c>
      <c r="H222">
        <f t="shared" si="29"/>
        <v>4</v>
      </c>
      <c r="I222" s="23">
        <f t="shared" si="30"/>
        <v>0</v>
      </c>
      <c r="J222" t="str">
        <f t="shared" si="31"/>
        <v xml:space="preserve"> </v>
      </c>
      <c r="K222" t="str">
        <f t="shared" si="32"/>
        <v xml:space="preserve"> </v>
      </c>
      <c r="L222" t="str">
        <f t="shared" si="33"/>
        <v xml:space="preserve"> </v>
      </c>
      <c r="M222" t="str">
        <f t="shared" si="34"/>
        <v xml:space="preserve"> </v>
      </c>
      <c r="N222" s="23" t="str">
        <f t="shared" si="35"/>
        <v xml:space="preserve"> </v>
      </c>
    </row>
    <row r="223" spans="1:14">
      <c r="A223" s="29">
        <v>7806613</v>
      </c>
      <c r="B223" s="10">
        <f>_xlfn.XLOOKUP(A223,Data!E:E,Data!B:B,0,0,-1)</f>
        <v>45571</v>
      </c>
      <c r="C223" s="20">
        <f>_xlfn.XLOOKUP(A223,Data!E:E,Data!B:B)</f>
        <v>45571</v>
      </c>
      <c r="D223" s="21">
        <f>COUNTIF(Data!E:E,A223)</f>
        <v>3</v>
      </c>
      <c r="E223" s="22">
        <f>SUMIF(Data!E:E,'RFM mijozlar tahlili'!A223,Data!J:J)</f>
        <v>3019148.4239999996</v>
      </c>
      <c r="F223" s="29">
        <f t="shared" si="27"/>
        <v>3</v>
      </c>
      <c r="G223">
        <f t="shared" si="28"/>
        <v>3</v>
      </c>
      <c r="H223">
        <f t="shared" si="29"/>
        <v>1</v>
      </c>
      <c r="I223" s="23">
        <f t="shared" si="30"/>
        <v>1</v>
      </c>
      <c r="J223" t="str">
        <f t="shared" si="31"/>
        <v xml:space="preserve"> </v>
      </c>
      <c r="K223" t="str">
        <f t="shared" si="32"/>
        <v xml:space="preserve"> </v>
      </c>
      <c r="L223" t="str">
        <f t="shared" si="33"/>
        <v xml:space="preserve"> </v>
      </c>
      <c r="M223" t="str">
        <f t="shared" si="34"/>
        <v xml:space="preserve"> </v>
      </c>
      <c r="N223" s="23" t="str">
        <f t="shared" si="35"/>
        <v xml:space="preserve"> </v>
      </c>
    </row>
    <row r="224" spans="1:14">
      <c r="A224" s="29">
        <v>4874468</v>
      </c>
      <c r="B224" s="10">
        <f>_xlfn.XLOOKUP(A224,Data!E:E,Data!B:B,0,0,-1)</f>
        <v>45397</v>
      </c>
      <c r="C224" s="20">
        <f>_xlfn.XLOOKUP(A224,Data!E:E,Data!B:B)</f>
        <v>45573</v>
      </c>
      <c r="D224" s="21">
        <f>COUNTIF(Data!E:E,A224)</f>
        <v>3</v>
      </c>
      <c r="E224" s="22">
        <f>SUMIF(Data!E:E,'RFM mijozlar tahlili'!A224,Data!J:J)</f>
        <v>1811489.0543999998</v>
      </c>
      <c r="F224" s="29">
        <f t="shared" si="27"/>
        <v>3</v>
      </c>
      <c r="G224">
        <f t="shared" si="28"/>
        <v>3</v>
      </c>
      <c r="H224">
        <f t="shared" si="29"/>
        <v>1</v>
      </c>
      <c r="I224" s="23">
        <f t="shared" si="30"/>
        <v>0</v>
      </c>
      <c r="J224" t="str">
        <f t="shared" si="31"/>
        <v xml:space="preserve"> </v>
      </c>
      <c r="K224" t="str">
        <f t="shared" si="32"/>
        <v xml:space="preserve"> </v>
      </c>
      <c r="L224" t="str">
        <f t="shared" si="33"/>
        <v xml:space="preserve"> </v>
      </c>
      <c r="M224" t="str">
        <f t="shared" si="34"/>
        <v xml:space="preserve"> </v>
      </c>
      <c r="N224" s="23" t="str">
        <f t="shared" si="35"/>
        <v xml:space="preserve"> </v>
      </c>
    </row>
    <row r="225" spans="1:14">
      <c r="A225" s="29">
        <v>4872837</v>
      </c>
      <c r="B225" s="10">
        <f>_xlfn.XLOOKUP(A225,Data!E:E,Data!B:B,0,0,-1)</f>
        <v>45582</v>
      </c>
      <c r="C225" s="20">
        <f>_xlfn.XLOOKUP(A225,Data!E:E,Data!B:B)</f>
        <v>45582</v>
      </c>
      <c r="D225" s="21">
        <f>COUNTIF(Data!E:E,A225)</f>
        <v>7</v>
      </c>
      <c r="E225" s="22">
        <f>SUMIF(Data!E:E,'RFM mijozlar tahlili'!A225,Data!J:J)</f>
        <v>2102965.6591360001</v>
      </c>
      <c r="F225" s="29">
        <f t="shared" si="27"/>
        <v>3</v>
      </c>
      <c r="G225">
        <f t="shared" si="28"/>
        <v>3</v>
      </c>
      <c r="H225">
        <f t="shared" si="29"/>
        <v>3</v>
      </c>
      <c r="I225" s="23">
        <f t="shared" si="30"/>
        <v>1</v>
      </c>
      <c r="J225" t="str">
        <f t="shared" si="31"/>
        <v xml:space="preserve"> </v>
      </c>
      <c r="K225" t="str">
        <f t="shared" si="32"/>
        <v xml:space="preserve"> </v>
      </c>
      <c r="L225" t="str">
        <f t="shared" si="33"/>
        <v xml:space="preserve"> </v>
      </c>
      <c r="M225" t="str">
        <f t="shared" si="34"/>
        <v xml:space="preserve"> </v>
      </c>
      <c r="N225" s="23" t="str">
        <f t="shared" si="35"/>
        <v xml:space="preserve"> </v>
      </c>
    </row>
    <row r="226" spans="1:14">
      <c r="A226" s="29">
        <v>4873659</v>
      </c>
      <c r="B226" s="10">
        <f>_xlfn.XLOOKUP(A226,Data!E:E,Data!B:B,0,0,-1)</f>
        <v>45302</v>
      </c>
      <c r="C226" s="20">
        <f>_xlfn.XLOOKUP(A226,Data!E:E,Data!B:B)</f>
        <v>45584</v>
      </c>
      <c r="D226" s="21">
        <f>COUNTIF(Data!E:E,A226)</f>
        <v>31</v>
      </c>
      <c r="E226" s="22">
        <f>SUMIF(Data!E:E,'RFM mijozlar tahlili'!A226,Data!J:J)</f>
        <v>14485969.625359992</v>
      </c>
      <c r="F226" s="29">
        <f t="shared" si="27"/>
        <v>3</v>
      </c>
      <c r="G226">
        <f t="shared" si="28"/>
        <v>3</v>
      </c>
      <c r="H226">
        <f t="shared" si="29"/>
        <v>5</v>
      </c>
      <c r="I226" s="23">
        <f t="shared" si="30"/>
        <v>5</v>
      </c>
      <c r="J226" t="str">
        <f t="shared" si="31"/>
        <v xml:space="preserve"> </v>
      </c>
      <c r="K226" t="str">
        <f t="shared" si="32"/>
        <v xml:space="preserve"> </v>
      </c>
      <c r="L226" t="str">
        <f t="shared" si="33"/>
        <v xml:space="preserve"> </v>
      </c>
      <c r="M226" t="str">
        <f t="shared" si="34"/>
        <v>Yo'qotishdagi</v>
      </c>
      <c r="N226" s="23" t="str">
        <f t="shared" si="35"/>
        <v xml:space="preserve"> </v>
      </c>
    </row>
    <row r="227" spans="1:14">
      <c r="A227" s="29">
        <v>4873719</v>
      </c>
      <c r="B227" s="10">
        <f>_xlfn.XLOOKUP(A227,Data!E:E,Data!B:B,0,0,-1)</f>
        <v>45587</v>
      </c>
      <c r="C227" s="20">
        <f>_xlfn.XLOOKUP(A227,Data!E:E,Data!B:B)</f>
        <v>45587</v>
      </c>
      <c r="D227" s="21">
        <f>COUNTIF(Data!E:E,A227)</f>
        <v>2</v>
      </c>
      <c r="E227" s="22">
        <f>SUMIF(Data!E:E,'RFM mijozlar tahlili'!A227,Data!J:J)</f>
        <v>504573.45279999997</v>
      </c>
      <c r="F227" s="29">
        <f t="shared" si="27"/>
        <v>3</v>
      </c>
      <c r="G227">
        <f t="shared" si="28"/>
        <v>3</v>
      </c>
      <c r="H227">
        <f t="shared" si="29"/>
        <v>0</v>
      </c>
      <c r="I227" s="23">
        <f t="shared" si="30"/>
        <v>0</v>
      </c>
      <c r="J227" t="str">
        <f t="shared" si="31"/>
        <v xml:space="preserve"> </v>
      </c>
      <c r="K227" t="str">
        <f t="shared" si="32"/>
        <v xml:space="preserve"> </v>
      </c>
      <c r="L227" t="str">
        <f t="shared" si="33"/>
        <v xml:space="preserve"> </v>
      </c>
      <c r="M227" t="str">
        <f t="shared" si="34"/>
        <v xml:space="preserve"> </v>
      </c>
      <c r="N227" s="23" t="str">
        <f t="shared" si="35"/>
        <v xml:space="preserve"> </v>
      </c>
    </row>
    <row r="228" spans="1:14">
      <c r="A228" s="29">
        <v>4875294</v>
      </c>
      <c r="B228" s="10">
        <f>_xlfn.XLOOKUP(A228,Data!E:E,Data!B:B,0,0,-1)</f>
        <v>45314</v>
      </c>
      <c r="C228" s="20">
        <f>_xlfn.XLOOKUP(A228,Data!E:E,Data!B:B)</f>
        <v>45548</v>
      </c>
      <c r="D228" s="21">
        <f>COUNTIF(Data!E:E,A228)</f>
        <v>16</v>
      </c>
      <c r="E228" s="22">
        <f>SUMIF(Data!E:E,'RFM mijozlar tahlili'!A228,Data!J:J)</f>
        <v>5771166.9174879994</v>
      </c>
      <c r="F228" s="29">
        <f t="shared" si="27"/>
        <v>4</v>
      </c>
      <c r="G228">
        <f t="shared" si="28"/>
        <v>2</v>
      </c>
      <c r="H228">
        <f t="shared" si="29"/>
        <v>5</v>
      </c>
      <c r="I228" s="23">
        <f t="shared" si="30"/>
        <v>2</v>
      </c>
      <c r="J228" t="str">
        <f t="shared" si="31"/>
        <v xml:space="preserve"> </v>
      </c>
      <c r="K228" t="str">
        <f t="shared" si="32"/>
        <v xml:space="preserve"> </v>
      </c>
      <c r="L228" t="str">
        <f t="shared" si="33"/>
        <v xml:space="preserve"> </v>
      </c>
      <c r="M228" t="str">
        <f t="shared" si="34"/>
        <v xml:space="preserve"> </v>
      </c>
      <c r="N228" s="23" t="str">
        <f t="shared" si="35"/>
        <v xml:space="preserve"> </v>
      </c>
    </row>
    <row r="229" spans="1:14">
      <c r="A229" s="29">
        <v>4877720</v>
      </c>
      <c r="B229" s="10">
        <f>_xlfn.XLOOKUP(A229,Data!E:E,Data!B:B,0,0,-1)</f>
        <v>45468</v>
      </c>
      <c r="C229" s="20">
        <f>_xlfn.XLOOKUP(A229,Data!E:E,Data!B:B)</f>
        <v>45552</v>
      </c>
      <c r="D229" s="21">
        <f>COUNTIF(Data!E:E,A229)</f>
        <v>27</v>
      </c>
      <c r="E229" s="22">
        <f>SUMIF(Data!E:E,'RFM mijozlar tahlili'!A229,Data!J:J)</f>
        <v>8116257.4751199977</v>
      </c>
      <c r="F229" s="29">
        <f t="shared" si="27"/>
        <v>4</v>
      </c>
      <c r="G229">
        <f t="shared" si="28"/>
        <v>2</v>
      </c>
      <c r="H229">
        <f t="shared" si="29"/>
        <v>5</v>
      </c>
      <c r="I229" s="23">
        <f t="shared" si="30"/>
        <v>4</v>
      </c>
      <c r="J229" t="str">
        <f t="shared" si="31"/>
        <v xml:space="preserve"> </v>
      </c>
      <c r="K229" t="str">
        <f t="shared" si="32"/>
        <v xml:space="preserve"> </v>
      </c>
      <c r="L229" t="str">
        <f t="shared" si="33"/>
        <v xml:space="preserve"> </v>
      </c>
      <c r="M229" t="str">
        <f t="shared" si="34"/>
        <v>Yo'qotishdagi</v>
      </c>
      <c r="N229" s="23" t="str">
        <f t="shared" si="35"/>
        <v xml:space="preserve"> </v>
      </c>
    </row>
    <row r="230" spans="1:14">
      <c r="A230" s="29">
        <v>4875295</v>
      </c>
      <c r="B230" s="10">
        <f>_xlfn.XLOOKUP(A230,Data!E:E,Data!B:B,0,0,-1)</f>
        <v>45552</v>
      </c>
      <c r="C230" s="20">
        <f>_xlfn.XLOOKUP(A230,Data!E:E,Data!B:B)</f>
        <v>45552</v>
      </c>
      <c r="D230" s="21">
        <f>COUNTIF(Data!E:E,A230)</f>
        <v>3</v>
      </c>
      <c r="E230" s="22">
        <f>SUMIF(Data!E:E,'RFM mijozlar tahlili'!A230,Data!J:J)</f>
        <v>865273.11270399997</v>
      </c>
      <c r="F230" s="29">
        <f t="shared" si="27"/>
        <v>4</v>
      </c>
      <c r="G230">
        <f t="shared" si="28"/>
        <v>2</v>
      </c>
      <c r="H230">
        <f t="shared" si="29"/>
        <v>1</v>
      </c>
      <c r="I230" s="23">
        <f t="shared" si="30"/>
        <v>0</v>
      </c>
      <c r="J230" t="str">
        <f t="shared" si="31"/>
        <v xml:space="preserve"> </v>
      </c>
      <c r="K230" t="str">
        <f t="shared" si="32"/>
        <v xml:space="preserve"> </v>
      </c>
      <c r="L230" t="str">
        <f t="shared" si="33"/>
        <v xml:space="preserve"> </v>
      </c>
      <c r="M230" t="str">
        <f t="shared" si="34"/>
        <v xml:space="preserve"> </v>
      </c>
      <c r="N230" s="23" t="str">
        <f t="shared" si="35"/>
        <v xml:space="preserve"> </v>
      </c>
    </row>
    <row r="231" spans="1:14">
      <c r="A231" s="29">
        <v>4878420</v>
      </c>
      <c r="B231" s="10">
        <f>_xlfn.XLOOKUP(A231,Data!E:E,Data!B:B,0,0,-1)</f>
        <v>45329</v>
      </c>
      <c r="C231" s="20">
        <f>_xlfn.XLOOKUP(A231,Data!E:E,Data!B:B)</f>
        <v>45539</v>
      </c>
      <c r="D231" s="21">
        <f>COUNTIF(Data!E:E,A231)</f>
        <v>9</v>
      </c>
      <c r="E231" s="22">
        <f>SUMIF(Data!E:E,'RFM mijozlar tahlili'!A231,Data!J:J)</f>
        <v>1524638.5439199999</v>
      </c>
      <c r="F231" s="29">
        <f t="shared" si="27"/>
        <v>4</v>
      </c>
      <c r="G231">
        <f t="shared" si="28"/>
        <v>2</v>
      </c>
      <c r="H231">
        <f t="shared" si="29"/>
        <v>4</v>
      </c>
      <c r="I231" s="23">
        <f t="shared" si="30"/>
        <v>0</v>
      </c>
      <c r="J231" t="str">
        <f t="shared" si="31"/>
        <v xml:space="preserve"> </v>
      </c>
      <c r="K231" t="str">
        <f t="shared" si="32"/>
        <v xml:space="preserve"> </v>
      </c>
      <c r="L231" t="str">
        <f t="shared" si="33"/>
        <v xml:space="preserve"> </v>
      </c>
      <c r="M231" t="str">
        <f t="shared" si="34"/>
        <v xml:space="preserve"> </v>
      </c>
      <c r="N231" s="23" t="str">
        <f t="shared" si="35"/>
        <v xml:space="preserve"> </v>
      </c>
    </row>
    <row r="232" spans="1:14">
      <c r="A232" s="29">
        <v>4878457</v>
      </c>
      <c r="B232" s="10">
        <f>_xlfn.XLOOKUP(A232,Data!E:E,Data!B:B,0,0,-1)</f>
        <v>45381</v>
      </c>
      <c r="C232" s="20">
        <f>_xlfn.XLOOKUP(A232,Data!E:E,Data!B:B)</f>
        <v>45539</v>
      </c>
      <c r="D232" s="21">
        <f>COUNTIF(Data!E:E,A232)</f>
        <v>11</v>
      </c>
      <c r="E232" s="22">
        <f>SUMIF(Data!E:E,'RFM mijozlar tahlili'!A232,Data!J:J)</f>
        <v>3622978.1088000005</v>
      </c>
      <c r="F232" s="29">
        <f t="shared" si="27"/>
        <v>4</v>
      </c>
      <c r="G232">
        <f t="shared" si="28"/>
        <v>2</v>
      </c>
      <c r="H232">
        <f t="shared" si="29"/>
        <v>4</v>
      </c>
      <c r="I232" s="23">
        <f t="shared" si="30"/>
        <v>1</v>
      </c>
      <c r="J232" t="str">
        <f t="shared" si="31"/>
        <v xml:space="preserve"> </v>
      </c>
      <c r="K232" t="str">
        <f t="shared" si="32"/>
        <v xml:space="preserve"> </v>
      </c>
      <c r="L232" t="str">
        <f t="shared" si="33"/>
        <v xml:space="preserve"> </v>
      </c>
      <c r="M232" t="str">
        <f t="shared" si="34"/>
        <v xml:space="preserve"> </v>
      </c>
      <c r="N232" s="23" t="str">
        <f t="shared" si="35"/>
        <v xml:space="preserve"> </v>
      </c>
    </row>
    <row r="233" spans="1:14">
      <c r="A233" s="29">
        <v>4878468</v>
      </c>
      <c r="B233" s="10">
        <f>_xlfn.XLOOKUP(A233,Data!E:E,Data!B:B,0,0,-1)</f>
        <v>45356</v>
      </c>
      <c r="C233" s="20">
        <f>_xlfn.XLOOKUP(A233,Data!E:E,Data!B:B)</f>
        <v>45539</v>
      </c>
      <c r="D233" s="21">
        <f>COUNTIF(Data!E:E,A233)</f>
        <v>13</v>
      </c>
      <c r="E233" s="22">
        <f>SUMIF(Data!E:E,'RFM mijozlar tahlili'!A233,Data!J:J)</f>
        <v>3622475.5455999998</v>
      </c>
      <c r="F233" s="29">
        <f t="shared" si="27"/>
        <v>4</v>
      </c>
      <c r="G233">
        <f t="shared" si="28"/>
        <v>2</v>
      </c>
      <c r="H233">
        <f t="shared" si="29"/>
        <v>4</v>
      </c>
      <c r="I233" s="23">
        <f t="shared" si="30"/>
        <v>1</v>
      </c>
      <c r="J233" t="str">
        <f t="shared" si="31"/>
        <v xml:space="preserve"> </v>
      </c>
      <c r="K233" t="str">
        <f t="shared" si="32"/>
        <v xml:space="preserve"> </v>
      </c>
      <c r="L233" t="str">
        <f t="shared" si="33"/>
        <v xml:space="preserve"> </v>
      </c>
      <c r="M233" t="str">
        <f t="shared" si="34"/>
        <v xml:space="preserve"> </v>
      </c>
      <c r="N233" s="23" t="str">
        <f t="shared" si="35"/>
        <v xml:space="preserve"> </v>
      </c>
    </row>
    <row r="234" spans="1:14">
      <c r="A234" s="29">
        <v>4876712</v>
      </c>
      <c r="B234" s="10">
        <f>_xlfn.XLOOKUP(A234,Data!E:E,Data!B:B,0,0,-1)</f>
        <v>45380</v>
      </c>
      <c r="C234" s="20">
        <f>_xlfn.XLOOKUP(A234,Data!E:E,Data!B:B)</f>
        <v>45541</v>
      </c>
      <c r="D234" s="21">
        <f>COUNTIF(Data!E:E,A234)</f>
        <v>11</v>
      </c>
      <c r="E234" s="22">
        <f>SUMIF(Data!E:E,'RFM mijozlar tahlili'!A234,Data!J:J)</f>
        <v>3295683.8248000001</v>
      </c>
      <c r="F234" s="29">
        <f t="shared" si="27"/>
        <v>4</v>
      </c>
      <c r="G234">
        <f t="shared" si="28"/>
        <v>2</v>
      </c>
      <c r="H234">
        <f t="shared" si="29"/>
        <v>4</v>
      </c>
      <c r="I234" s="23">
        <f t="shared" si="30"/>
        <v>1</v>
      </c>
      <c r="J234" t="str">
        <f t="shared" si="31"/>
        <v xml:space="preserve"> </v>
      </c>
      <c r="K234" t="str">
        <f t="shared" si="32"/>
        <v xml:space="preserve"> </v>
      </c>
      <c r="L234" t="str">
        <f t="shared" si="33"/>
        <v xml:space="preserve"> </v>
      </c>
      <c r="M234" t="str">
        <f t="shared" si="34"/>
        <v xml:space="preserve"> </v>
      </c>
      <c r="N234" s="23" t="str">
        <f t="shared" si="35"/>
        <v xml:space="preserve"> </v>
      </c>
    </row>
    <row r="235" spans="1:14">
      <c r="A235" s="29">
        <v>4874332</v>
      </c>
      <c r="B235" s="10">
        <f>_xlfn.XLOOKUP(A235,Data!E:E,Data!B:B,0,0,-1)</f>
        <v>45541</v>
      </c>
      <c r="C235" s="20">
        <f>_xlfn.XLOOKUP(A235,Data!E:E,Data!B:B)</f>
        <v>45541</v>
      </c>
      <c r="D235" s="21">
        <f>COUNTIF(Data!E:E,A235)</f>
        <v>1</v>
      </c>
      <c r="E235" s="22">
        <f>SUMIF(Data!E:E,'RFM mijozlar tahlili'!A235,Data!J:J)</f>
        <v>402553.12319999997</v>
      </c>
      <c r="F235" s="29">
        <f t="shared" si="27"/>
        <v>4</v>
      </c>
      <c r="G235">
        <f t="shared" si="28"/>
        <v>2</v>
      </c>
      <c r="H235">
        <f t="shared" si="29"/>
        <v>0</v>
      </c>
      <c r="I235" s="23">
        <f t="shared" si="30"/>
        <v>0</v>
      </c>
      <c r="J235" t="str">
        <f t="shared" si="31"/>
        <v xml:space="preserve"> </v>
      </c>
      <c r="K235" t="str">
        <f t="shared" si="32"/>
        <v xml:space="preserve"> </v>
      </c>
      <c r="L235" t="str">
        <f t="shared" si="33"/>
        <v xml:space="preserve"> </v>
      </c>
      <c r="M235" t="str">
        <f t="shared" si="34"/>
        <v xml:space="preserve"> </v>
      </c>
      <c r="N235" s="23" t="str">
        <f t="shared" si="35"/>
        <v xml:space="preserve"> </v>
      </c>
    </row>
    <row r="236" spans="1:14">
      <c r="A236" s="29">
        <v>4876848</v>
      </c>
      <c r="B236" s="10">
        <f>_xlfn.XLOOKUP(A236,Data!E:E,Data!B:B,0,0,-1)</f>
        <v>45545</v>
      </c>
      <c r="C236" s="20">
        <f>_xlfn.XLOOKUP(A236,Data!E:E,Data!B:B)</f>
        <v>45542</v>
      </c>
      <c r="D236" s="21">
        <f>COUNTIF(Data!E:E,A236)</f>
        <v>8</v>
      </c>
      <c r="E236" s="22">
        <f>SUMIF(Data!E:E,'RFM mijozlar tahlili'!A236,Data!J:J)</f>
        <v>-5.8207660913467407E-11</v>
      </c>
      <c r="F236" s="29">
        <f t="shared" si="27"/>
        <v>4</v>
      </c>
      <c r="G236">
        <f t="shared" si="28"/>
        <v>2</v>
      </c>
      <c r="H236">
        <f t="shared" si="29"/>
        <v>3</v>
      </c>
      <c r="I236" s="23">
        <f t="shared" si="30"/>
        <v>0</v>
      </c>
      <c r="J236" t="str">
        <f t="shared" si="31"/>
        <v xml:space="preserve"> </v>
      </c>
      <c r="K236" t="str">
        <f t="shared" si="32"/>
        <v xml:space="preserve"> </v>
      </c>
      <c r="L236" t="str">
        <f t="shared" si="33"/>
        <v xml:space="preserve"> </v>
      </c>
      <c r="M236" t="str">
        <f t="shared" si="34"/>
        <v xml:space="preserve"> </v>
      </c>
      <c r="N236" s="23" t="str">
        <f t="shared" si="35"/>
        <v xml:space="preserve"> </v>
      </c>
    </row>
    <row r="237" spans="1:14">
      <c r="A237" s="29">
        <v>7114433</v>
      </c>
      <c r="B237" s="10">
        <f>_xlfn.XLOOKUP(A237,Data!E:E,Data!B:B,0,0,-1)</f>
        <v>45542</v>
      </c>
      <c r="C237" s="20">
        <f>_xlfn.XLOOKUP(A237,Data!E:E,Data!B:B)</f>
        <v>45542</v>
      </c>
      <c r="D237" s="21">
        <f>COUNTIF(Data!E:E,A237)</f>
        <v>4</v>
      </c>
      <c r="E237" s="22">
        <f>SUMIF(Data!E:E,'RFM mijozlar tahlili'!A237,Data!J:J)</f>
        <v>855362.56639999989</v>
      </c>
      <c r="F237" s="29">
        <f t="shared" si="27"/>
        <v>4</v>
      </c>
      <c r="G237">
        <f t="shared" si="28"/>
        <v>2</v>
      </c>
      <c r="H237">
        <f t="shared" si="29"/>
        <v>1</v>
      </c>
      <c r="I237" s="23">
        <f t="shared" si="30"/>
        <v>0</v>
      </c>
      <c r="J237" t="str">
        <f t="shared" si="31"/>
        <v xml:space="preserve"> </v>
      </c>
      <c r="K237" t="str">
        <f t="shared" si="32"/>
        <v xml:space="preserve"> </v>
      </c>
      <c r="L237" t="str">
        <f t="shared" si="33"/>
        <v xml:space="preserve"> </v>
      </c>
      <c r="M237" t="str">
        <f t="shared" si="34"/>
        <v xml:space="preserve"> </v>
      </c>
      <c r="N237" s="23" t="str">
        <f t="shared" si="35"/>
        <v xml:space="preserve"> </v>
      </c>
    </row>
    <row r="238" spans="1:14">
      <c r="A238" s="29">
        <v>4876550</v>
      </c>
      <c r="B238" s="10">
        <f>_xlfn.XLOOKUP(A238,Data!E:E,Data!B:B,0,0,-1)</f>
        <v>45304</v>
      </c>
      <c r="C238" s="20">
        <f>_xlfn.XLOOKUP(A238,Data!E:E,Data!B:B)</f>
        <v>45544</v>
      </c>
      <c r="D238" s="21">
        <f>COUNTIF(Data!E:E,A238)</f>
        <v>16</v>
      </c>
      <c r="E238" s="22">
        <f>SUMIF(Data!E:E,'RFM mijozlar tahlili'!A238,Data!J:J)</f>
        <v>3788688.2727359999</v>
      </c>
      <c r="F238" s="29">
        <f t="shared" si="27"/>
        <v>4</v>
      </c>
      <c r="G238">
        <f t="shared" si="28"/>
        <v>2</v>
      </c>
      <c r="H238">
        <f t="shared" si="29"/>
        <v>5</v>
      </c>
      <c r="I238" s="23">
        <f t="shared" si="30"/>
        <v>1</v>
      </c>
      <c r="J238" t="str">
        <f t="shared" si="31"/>
        <v xml:space="preserve"> </v>
      </c>
      <c r="K238" t="str">
        <f t="shared" si="32"/>
        <v xml:space="preserve"> </v>
      </c>
      <c r="L238" t="str">
        <f t="shared" si="33"/>
        <v xml:space="preserve"> </v>
      </c>
      <c r="M238" t="str">
        <f t="shared" si="34"/>
        <v xml:space="preserve"> </v>
      </c>
      <c r="N238" s="23" t="str">
        <f t="shared" si="35"/>
        <v xml:space="preserve"> </v>
      </c>
    </row>
    <row r="239" spans="1:14">
      <c r="A239" s="29">
        <v>4875672</v>
      </c>
      <c r="B239" s="10">
        <f>_xlfn.XLOOKUP(A239,Data!E:E,Data!B:B,0,0,-1)</f>
        <v>45299</v>
      </c>
      <c r="C239" s="20">
        <f>_xlfn.XLOOKUP(A239,Data!E:E,Data!B:B)</f>
        <v>45544</v>
      </c>
      <c r="D239" s="21">
        <f>COUNTIF(Data!E:E,A239)</f>
        <v>8</v>
      </c>
      <c r="E239" s="22">
        <f>SUMIF(Data!E:E,'RFM mijozlar tahlili'!A239,Data!J:J)</f>
        <v>4125641.8214399996</v>
      </c>
      <c r="F239" s="29">
        <f t="shared" si="27"/>
        <v>4</v>
      </c>
      <c r="G239">
        <f t="shared" si="28"/>
        <v>2</v>
      </c>
      <c r="H239">
        <f t="shared" si="29"/>
        <v>3</v>
      </c>
      <c r="I239" s="23">
        <f t="shared" si="30"/>
        <v>2</v>
      </c>
      <c r="J239" t="str">
        <f t="shared" si="31"/>
        <v xml:space="preserve"> </v>
      </c>
      <c r="K239" t="str">
        <f t="shared" si="32"/>
        <v xml:space="preserve"> </v>
      </c>
      <c r="L239" t="str">
        <f t="shared" si="33"/>
        <v xml:space="preserve"> </v>
      </c>
      <c r="M239" t="str">
        <f t="shared" si="34"/>
        <v xml:space="preserve"> </v>
      </c>
      <c r="N239" s="23" t="str">
        <f t="shared" si="35"/>
        <v xml:space="preserve"> </v>
      </c>
    </row>
    <row r="240" spans="1:14">
      <c r="A240" s="29">
        <v>6079961</v>
      </c>
      <c r="B240" s="10">
        <f>_xlfn.XLOOKUP(A240,Data!E:E,Data!B:B,0,0,-1)</f>
        <v>45360</v>
      </c>
      <c r="C240" s="20">
        <f>_xlfn.XLOOKUP(A240,Data!E:E,Data!B:B)</f>
        <v>45549</v>
      </c>
      <c r="D240" s="21">
        <f>COUNTIF(Data!E:E,A240)</f>
        <v>17</v>
      </c>
      <c r="E240" s="22">
        <f>SUMIF(Data!E:E,'RFM mijozlar tahlili'!A240,Data!J:J)</f>
        <v>5801451.3759199986</v>
      </c>
      <c r="F240" s="29">
        <f t="shared" si="27"/>
        <v>4</v>
      </c>
      <c r="G240">
        <f t="shared" si="28"/>
        <v>2</v>
      </c>
      <c r="H240">
        <f t="shared" si="29"/>
        <v>5</v>
      </c>
      <c r="I240" s="23">
        <f t="shared" si="30"/>
        <v>2</v>
      </c>
      <c r="J240" t="str">
        <f t="shared" si="31"/>
        <v xml:space="preserve"> </v>
      </c>
      <c r="K240" t="str">
        <f t="shared" si="32"/>
        <v xml:space="preserve"> </v>
      </c>
      <c r="L240" t="str">
        <f t="shared" si="33"/>
        <v xml:space="preserve"> </v>
      </c>
      <c r="M240" t="str">
        <f t="shared" si="34"/>
        <v xml:space="preserve"> </v>
      </c>
      <c r="N240" s="23" t="str">
        <f t="shared" si="35"/>
        <v xml:space="preserve"> </v>
      </c>
    </row>
    <row r="241" spans="1:14">
      <c r="A241" s="29">
        <v>7242395</v>
      </c>
      <c r="B241" s="10">
        <f>_xlfn.XLOOKUP(A241,Data!E:E,Data!B:B,0,0,-1)</f>
        <v>45562</v>
      </c>
      <c r="C241" s="20">
        <f>_xlfn.XLOOKUP(A241,Data!E:E,Data!B:B)</f>
        <v>45562</v>
      </c>
      <c r="D241" s="21">
        <f>COUNTIF(Data!E:E,A241)</f>
        <v>5</v>
      </c>
      <c r="E241" s="22">
        <f>SUMIF(Data!E:E,'RFM mijozlar tahlili'!A241,Data!J:J)</f>
        <v>1046575.2999199999</v>
      </c>
      <c r="F241" s="29">
        <f t="shared" si="27"/>
        <v>3</v>
      </c>
      <c r="G241">
        <f t="shared" si="28"/>
        <v>3</v>
      </c>
      <c r="H241">
        <f t="shared" si="29"/>
        <v>2</v>
      </c>
      <c r="I241" s="23">
        <f t="shared" si="30"/>
        <v>0</v>
      </c>
      <c r="J241" t="str">
        <f t="shared" si="31"/>
        <v xml:space="preserve"> </v>
      </c>
      <c r="K241" t="str">
        <f t="shared" si="32"/>
        <v xml:space="preserve"> </v>
      </c>
      <c r="L241" t="str">
        <f t="shared" si="33"/>
        <v xml:space="preserve"> </v>
      </c>
      <c r="M241" t="str">
        <f t="shared" si="34"/>
        <v xml:space="preserve"> </v>
      </c>
      <c r="N241" s="23" t="str">
        <f t="shared" si="35"/>
        <v xml:space="preserve"> </v>
      </c>
    </row>
    <row r="242" spans="1:14">
      <c r="A242" s="29">
        <v>6536114</v>
      </c>
      <c r="B242" s="10">
        <f>_xlfn.XLOOKUP(A242,Data!E:E,Data!B:B,0,0,-1)</f>
        <v>45557</v>
      </c>
      <c r="C242" s="20">
        <f>_xlfn.XLOOKUP(A242,Data!E:E,Data!B:B)</f>
        <v>45557</v>
      </c>
      <c r="D242" s="21">
        <f>COUNTIF(Data!E:E,A242)</f>
        <v>3</v>
      </c>
      <c r="E242" s="22">
        <f>SUMIF(Data!E:E,'RFM mijozlar tahlili'!A242,Data!J:J)</f>
        <v>986255.15183999995</v>
      </c>
      <c r="F242" s="29">
        <f t="shared" si="27"/>
        <v>4</v>
      </c>
      <c r="G242">
        <f t="shared" si="28"/>
        <v>2</v>
      </c>
      <c r="H242">
        <f t="shared" si="29"/>
        <v>1</v>
      </c>
      <c r="I242" s="23">
        <f t="shared" si="30"/>
        <v>0</v>
      </c>
      <c r="J242" t="str">
        <f t="shared" si="31"/>
        <v xml:space="preserve"> </v>
      </c>
      <c r="K242" t="str">
        <f t="shared" si="32"/>
        <v xml:space="preserve"> </v>
      </c>
      <c r="L242" t="str">
        <f t="shared" si="33"/>
        <v xml:space="preserve"> </v>
      </c>
      <c r="M242" t="str">
        <f t="shared" si="34"/>
        <v xml:space="preserve"> </v>
      </c>
      <c r="N242" s="23" t="str">
        <f t="shared" si="35"/>
        <v xml:space="preserve"> </v>
      </c>
    </row>
    <row r="243" spans="1:14">
      <c r="A243" s="29">
        <v>6700774</v>
      </c>
      <c r="B243" s="10">
        <f>_xlfn.XLOOKUP(A243,Data!E:E,Data!B:B,0,0,-1)</f>
        <v>45544</v>
      </c>
      <c r="C243" s="20">
        <f>_xlfn.XLOOKUP(A243,Data!E:E,Data!B:B)</f>
        <v>45544</v>
      </c>
      <c r="D243" s="21">
        <f>COUNTIF(Data!E:E,A243)</f>
        <v>3</v>
      </c>
      <c r="E243" s="22">
        <f>SUMIF(Data!E:E,'RFM mijozlar tahlili'!A243,Data!J:J)</f>
        <v>18388259.796640001</v>
      </c>
      <c r="F243" s="29">
        <f t="shared" si="27"/>
        <v>4</v>
      </c>
      <c r="G243">
        <f t="shared" si="28"/>
        <v>2</v>
      </c>
      <c r="H243">
        <f t="shared" si="29"/>
        <v>1</v>
      </c>
      <c r="I243" s="23">
        <f t="shared" si="30"/>
        <v>5</v>
      </c>
      <c r="J243" t="str">
        <f t="shared" si="31"/>
        <v xml:space="preserve"> </v>
      </c>
      <c r="K243" t="str">
        <f t="shared" si="32"/>
        <v xml:space="preserve"> </v>
      </c>
      <c r="L243" t="str">
        <f t="shared" si="33"/>
        <v xml:space="preserve"> </v>
      </c>
      <c r="M243" t="str">
        <f t="shared" si="34"/>
        <v>Yo'qotishdagi</v>
      </c>
      <c r="N243" s="23" t="str">
        <f t="shared" si="35"/>
        <v xml:space="preserve"> </v>
      </c>
    </row>
    <row r="244" spans="1:14">
      <c r="A244" s="29">
        <v>6700752</v>
      </c>
      <c r="B244" s="10">
        <f>_xlfn.XLOOKUP(A244,Data!E:E,Data!B:B,0,0,-1)</f>
        <v>45510</v>
      </c>
      <c r="C244" s="20">
        <f>_xlfn.XLOOKUP(A244,Data!E:E,Data!B:B)</f>
        <v>45545</v>
      </c>
      <c r="D244" s="21">
        <f>COUNTIF(Data!E:E,A244)</f>
        <v>3</v>
      </c>
      <c r="E244" s="22">
        <f>SUMIF(Data!E:E,'RFM mijozlar tahlili'!A244,Data!J:J)</f>
        <v>2641597.8199999998</v>
      </c>
      <c r="F244" s="29">
        <f t="shared" si="27"/>
        <v>4</v>
      </c>
      <c r="G244">
        <f t="shared" si="28"/>
        <v>2</v>
      </c>
      <c r="H244">
        <f t="shared" si="29"/>
        <v>1</v>
      </c>
      <c r="I244" s="23">
        <f t="shared" si="30"/>
        <v>1</v>
      </c>
      <c r="J244" t="str">
        <f t="shared" si="31"/>
        <v xml:space="preserve"> </v>
      </c>
      <c r="K244" t="str">
        <f t="shared" si="32"/>
        <v xml:space="preserve"> </v>
      </c>
      <c r="L244" t="str">
        <f t="shared" si="33"/>
        <v xml:space="preserve"> </v>
      </c>
      <c r="M244" t="str">
        <f t="shared" si="34"/>
        <v xml:space="preserve"> </v>
      </c>
      <c r="N244" s="23" t="str">
        <f t="shared" si="35"/>
        <v xml:space="preserve"> </v>
      </c>
    </row>
    <row r="245" spans="1:14">
      <c r="A245" s="29">
        <v>6704058</v>
      </c>
      <c r="B245" s="10">
        <f>_xlfn.XLOOKUP(A245,Data!E:E,Data!B:B,0,0,-1)</f>
        <v>45495</v>
      </c>
      <c r="C245" s="20">
        <f>_xlfn.XLOOKUP(A245,Data!E:E,Data!B:B)</f>
        <v>45554</v>
      </c>
      <c r="D245" s="21">
        <f>COUNTIF(Data!E:E,A245)</f>
        <v>5</v>
      </c>
      <c r="E245" s="22">
        <f>SUMIF(Data!E:E,'RFM mijozlar tahlili'!A245,Data!J:J)</f>
        <v>2696734.0286719999</v>
      </c>
      <c r="F245" s="29">
        <f t="shared" si="27"/>
        <v>4</v>
      </c>
      <c r="G245">
        <f t="shared" si="28"/>
        <v>2</v>
      </c>
      <c r="H245">
        <f t="shared" si="29"/>
        <v>2</v>
      </c>
      <c r="I245" s="23">
        <f t="shared" si="30"/>
        <v>1</v>
      </c>
      <c r="J245" t="str">
        <f t="shared" si="31"/>
        <v xml:space="preserve"> </v>
      </c>
      <c r="K245" t="str">
        <f t="shared" si="32"/>
        <v xml:space="preserve"> </v>
      </c>
      <c r="L245" t="str">
        <f t="shared" si="33"/>
        <v xml:space="preserve"> </v>
      </c>
      <c r="M245" t="str">
        <f t="shared" si="34"/>
        <v xml:space="preserve"> </v>
      </c>
      <c r="N245" s="23" t="str">
        <f t="shared" si="35"/>
        <v xml:space="preserve"> </v>
      </c>
    </row>
    <row r="246" spans="1:14">
      <c r="A246" s="29">
        <v>6684817</v>
      </c>
      <c r="B246" s="10">
        <f>_xlfn.XLOOKUP(A246,Data!E:E,Data!B:B,0,0,-1)</f>
        <v>45557</v>
      </c>
      <c r="C246" s="20">
        <f>_xlfn.XLOOKUP(A246,Data!E:E,Data!B:B)</f>
        <v>45557</v>
      </c>
      <c r="D246" s="21">
        <f>COUNTIF(Data!E:E,A246)</f>
        <v>4</v>
      </c>
      <c r="E246" s="22">
        <f>SUMIF(Data!E:E,'RFM mijozlar tahlili'!A246,Data!J:J)</f>
        <v>1177374.911168</v>
      </c>
      <c r="F246" s="29">
        <f t="shared" si="27"/>
        <v>4</v>
      </c>
      <c r="G246">
        <f t="shared" si="28"/>
        <v>2</v>
      </c>
      <c r="H246">
        <f t="shared" si="29"/>
        <v>1</v>
      </c>
      <c r="I246" s="23">
        <f t="shared" si="30"/>
        <v>0</v>
      </c>
      <c r="J246" t="str">
        <f t="shared" si="31"/>
        <v xml:space="preserve"> </v>
      </c>
      <c r="K246" t="str">
        <f t="shared" si="32"/>
        <v xml:space="preserve"> </v>
      </c>
      <c r="L246" t="str">
        <f t="shared" si="33"/>
        <v xml:space="preserve"> </v>
      </c>
      <c r="M246" t="str">
        <f t="shared" si="34"/>
        <v xml:space="preserve"> </v>
      </c>
      <c r="N246" s="23" t="str">
        <f t="shared" si="35"/>
        <v xml:space="preserve"> </v>
      </c>
    </row>
    <row r="247" spans="1:14">
      <c r="A247" s="29">
        <v>4873371</v>
      </c>
      <c r="B247" s="10">
        <f>_xlfn.XLOOKUP(A247,Data!E:E,Data!B:B,0,0,-1)</f>
        <v>45318</v>
      </c>
      <c r="C247" s="20">
        <f>_xlfn.XLOOKUP(A247,Data!E:E,Data!B:B)</f>
        <v>45538</v>
      </c>
      <c r="D247" s="21">
        <f>COUNTIF(Data!E:E,A247)</f>
        <v>8</v>
      </c>
      <c r="E247" s="22">
        <f>SUMIF(Data!E:E,'RFM mijozlar tahlili'!A247,Data!J:J)</f>
        <v>2012765.6159999997</v>
      </c>
      <c r="F247" s="29">
        <f t="shared" si="27"/>
        <v>4</v>
      </c>
      <c r="G247">
        <f t="shared" si="28"/>
        <v>2</v>
      </c>
      <c r="H247">
        <f t="shared" si="29"/>
        <v>3</v>
      </c>
      <c r="I247" s="23">
        <f t="shared" si="30"/>
        <v>1</v>
      </c>
      <c r="J247" t="str">
        <f t="shared" si="31"/>
        <v xml:space="preserve"> </v>
      </c>
      <c r="K247" t="str">
        <f t="shared" si="32"/>
        <v xml:space="preserve"> </v>
      </c>
      <c r="L247" t="str">
        <f t="shared" si="33"/>
        <v xml:space="preserve"> </v>
      </c>
      <c r="M247" t="str">
        <f t="shared" si="34"/>
        <v xml:space="preserve"> </v>
      </c>
      <c r="N247" s="23" t="str">
        <f t="shared" si="35"/>
        <v xml:space="preserve"> </v>
      </c>
    </row>
    <row r="248" spans="1:14">
      <c r="A248" s="29">
        <v>4876560</v>
      </c>
      <c r="B248" s="10">
        <f>_xlfn.XLOOKUP(A248,Data!E:E,Data!B:B,0,0,-1)</f>
        <v>45539</v>
      </c>
      <c r="C248" s="20">
        <f>_xlfn.XLOOKUP(A248,Data!E:E,Data!B:B)</f>
        <v>45539</v>
      </c>
      <c r="D248" s="21">
        <f>COUNTIF(Data!E:E,A248)</f>
        <v>6</v>
      </c>
      <c r="E248" s="22">
        <f>SUMIF(Data!E:E,'RFM mijozlar tahlili'!A248,Data!J:J)</f>
        <v>1348367.014336</v>
      </c>
      <c r="F248" s="29">
        <f t="shared" si="27"/>
        <v>4</v>
      </c>
      <c r="G248">
        <f t="shared" si="28"/>
        <v>2</v>
      </c>
      <c r="H248">
        <f t="shared" si="29"/>
        <v>2</v>
      </c>
      <c r="I248" s="23">
        <f t="shared" si="30"/>
        <v>0</v>
      </c>
      <c r="J248" t="str">
        <f t="shared" si="31"/>
        <v xml:space="preserve"> </v>
      </c>
      <c r="K248" t="str">
        <f t="shared" si="32"/>
        <v xml:space="preserve"> </v>
      </c>
      <c r="L248" t="str">
        <f t="shared" si="33"/>
        <v xml:space="preserve"> </v>
      </c>
      <c r="M248" t="str">
        <f t="shared" si="34"/>
        <v xml:space="preserve"> </v>
      </c>
      <c r="N248" s="23" t="str">
        <f t="shared" si="35"/>
        <v xml:space="preserve"> </v>
      </c>
    </row>
    <row r="249" spans="1:14">
      <c r="A249" s="29">
        <v>4876321</v>
      </c>
      <c r="B249" s="10">
        <f>_xlfn.XLOOKUP(A249,Data!E:E,Data!B:B,0,0,-1)</f>
        <v>45545</v>
      </c>
      <c r="C249" s="20">
        <f>_xlfn.XLOOKUP(A249,Data!E:E,Data!B:B)</f>
        <v>45545</v>
      </c>
      <c r="D249" s="21">
        <f>COUNTIF(Data!E:E,A249)</f>
        <v>1</v>
      </c>
      <c r="E249" s="22">
        <f>SUMIF(Data!E:E,'RFM mijozlar tahlili'!A249,Data!J:J)</f>
        <v>377299.3224</v>
      </c>
      <c r="F249" s="29">
        <f t="shared" si="27"/>
        <v>4</v>
      </c>
      <c r="G249">
        <f t="shared" si="28"/>
        <v>2</v>
      </c>
      <c r="H249">
        <f t="shared" si="29"/>
        <v>0</v>
      </c>
      <c r="I249" s="23">
        <f t="shared" si="30"/>
        <v>0</v>
      </c>
      <c r="J249" t="str">
        <f t="shared" si="31"/>
        <v xml:space="preserve"> </v>
      </c>
      <c r="K249" t="str">
        <f t="shared" si="32"/>
        <v xml:space="preserve"> </v>
      </c>
      <c r="L249" t="str">
        <f t="shared" si="33"/>
        <v xml:space="preserve"> </v>
      </c>
      <c r="M249" t="str">
        <f t="shared" si="34"/>
        <v xml:space="preserve"> </v>
      </c>
      <c r="N249" s="23" t="str">
        <f t="shared" si="35"/>
        <v xml:space="preserve"> </v>
      </c>
    </row>
    <row r="250" spans="1:14">
      <c r="A250" s="29">
        <v>4873785</v>
      </c>
      <c r="B250" s="10">
        <f>_xlfn.XLOOKUP(A250,Data!E:E,Data!B:B,0,0,-1)</f>
        <v>45384</v>
      </c>
      <c r="C250" s="20">
        <f>_xlfn.XLOOKUP(A250,Data!E:E,Data!B:B)</f>
        <v>45555</v>
      </c>
      <c r="D250" s="21">
        <f>COUNTIF(Data!E:E,A250)</f>
        <v>14</v>
      </c>
      <c r="E250" s="22">
        <f>SUMIF(Data!E:E,'RFM mijozlar tahlili'!A250,Data!J:J)</f>
        <v>6783020.1259199986</v>
      </c>
      <c r="F250" s="29">
        <f t="shared" si="27"/>
        <v>4</v>
      </c>
      <c r="G250">
        <f t="shared" si="28"/>
        <v>2</v>
      </c>
      <c r="H250">
        <f t="shared" si="29"/>
        <v>5</v>
      </c>
      <c r="I250" s="23">
        <f t="shared" si="30"/>
        <v>3</v>
      </c>
      <c r="J250" t="str">
        <f t="shared" si="31"/>
        <v xml:space="preserve"> </v>
      </c>
      <c r="K250" t="str">
        <f t="shared" si="32"/>
        <v xml:space="preserve"> </v>
      </c>
      <c r="L250" t="str">
        <f t="shared" si="33"/>
        <v xml:space="preserve"> </v>
      </c>
      <c r="M250" t="str">
        <f t="shared" si="34"/>
        <v>Yo'qotishdagi</v>
      </c>
      <c r="N250" s="23" t="str">
        <f t="shared" si="35"/>
        <v xml:space="preserve"> </v>
      </c>
    </row>
    <row r="251" spans="1:14">
      <c r="A251" s="29">
        <v>4873795</v>
      </c>
      <c r="B251" s="10">
        <f>_xlfn.XLOOKUP(A251,Data!E:E,Data!B:B,0,0,-1)</f>
        <v>45555</v>
      </c>
      <c r="C251" s="20">
        <f>_xlfn.XLOOKUP(A251,Data!E:E,Data!B:B)</f>
        <v>45555</v>
      </c>
      <c r="D251" s="21">
        <f>COUNTIF(Data!E:E,A251)</f>
        <v>7</v>
      </c>
      <c r="E251" s="22">
        <f>SUMIF(Data!E:E,'RFM mijozlar tahlili'!A251,Data!J:J)</f>
        <v>1549643.5759360001</v>
      </c>
      <c r="F251" s="29">
        <f t="shared" si="27"/>
        <v>4</v>
      </c>
      <c r="G251">
        <f t="shared" si="28"/>
        <v>2</v>
      </c>
      <c r="H251">
        <f t="shared" si="29"/>
        <v>3</v>
      </c>
      <c r="I251" s="23">
        <f t="shared" si="30"/>
        <v>0</v>
      </c>
      <c r="J251" t="str">
        <f t="shared" si="31"/>
        <v xml:space="preserve"> </v>
      </c>
      <c r="K251" t="str">
        <f t="shared" si="32"/>
        <v xml:space="preserve"> </v>
      </c>
      <c r="L251" t="str">
        <f t="shared" si="33"/>
        <v xml:space="preserve"> </v>
      </c>
      <c r="M251" t="str">
        <f t="shared" si="34"/>
        <v xml:space="preserve"> </v>
      </c>
      <c r="N251" s="23" t="str">
        <f t="shared" si="35"/>
        <v xml:space="preserve"> </v>
      </c>
    </row>
    <row r="252" spans="1:14">
      <c r="A252" s="29">
        <v>6080700</v>
      </c>
      <c r="B252" s="10">
        <f>_xlfn.XLOOKUP(A252,Data!E:E,Data!B:B,0,0,-1)</f>
        <v>45462</v>
      </c>
      <c r="C252" s="20">
        <f>_xlfn.XLOOKUP(A252,Data!E:E,Data!B:B)</f>
        <v>45562</v>
      </c>
      <c r="D252" s="21">
        <f>COUNTIF(Data!E:E,A252)</f>
        <v>7</v>
      </c>
      <c r="E252" s="22">
        <f>SUMIF(Data!E:E,'RFM mijozlar tahlili'!A252,Data!J:J)</f>
        <v>1408935.9311999998</v>
      </c>
      <c r="F252" s="29">
        <f t="shared" si="27"/>
        <v>3</v>
      </c>
      <c r="G252">
        <f t="shared" si="28"/>
        <v>3</v>
      </c>
      <c r="H252">
        <f t="shared" si="29"/>
        <v>3</v>
      </c>
      <c r="I252" s="23">
        <f t="shared" si="30"/>
        <v>0</v>
      </c>
      <c r="J252" t="str">
        <f t="shared" si="31"/>
        <v xml:space="preserve"> </v>
      </c>
      <c r="K252" t="str">
        <f t="shared" si="32"/>
        <v xml:space="preserve"> </v>
      </c>
      <c r="L252" t="str">
        <f t="shared" si="33"/>
        <v xml:space="preserve"> </v>
      </c>
      <c r="M252" t="str">
        <f t="shared" si="34"/>
        <v xml:space="preserve"> </v>
      </c>
      <c r="N252" s="23" t="str">
        <f t="shared" si="35"/>
        <v xml:space="preserve"> </v>
      </c>
    </row>
    <row r="253" spans="1:14">
      <c r="A253" s="29">
        <v>4874056</v>
      </c>
      <c r="B253" s="10">
        <f>_xlfn.XLOOKUP(A253,Data!E:E,Data!B:B,0,0,-1)</f>
        <v>45563</v>
      </c>
      <c r="C253" s="20">
        <f>_xlfn.XLOOKUP(A253,Data!E:E,Data!B:B)</f>
        <v>45563</v>
      </c>
      <c r="D253" s="21">
        <f>COUNTIF(Data!E:E,A253)</f>
        <v>3</v>
      </c>
      <c r="E253" s="22">
        <f>SUMIF(Data!E:E,'RFM mijozlar tahlili'!A253,Data!J:J)</f>
        <v>603829.68479999993</v>
      </c>
      <c r="F253" s="29">
        <f t="shared" si="27"/>
        <v>3</v>
      </c>
      <c r="G253">
        <f t="shared" si="28"/>
        <v>3</v>
      </c>
      <c r="H253">
        <f t="shared" si="29"/>
        <v>1</v>
      </c>
      <c r="I253" s="23">
        <f t="shared" si="30"/>
        <v>0</v>
      </c>
      <c r="J253" t="str">
        <f t="shared" si="31"/>
        <v xml:space="preserve"> </v>
      </c>
      <c r="K253" t="str">
        <f t="shared" si="32"/>
        <v xml:space="preserve"> </v>
      </c>
      <c r="L253" t="str">
        <f t="shared" si="33"/>
        <v xml:space="preserve"> </v>
      </c>
      <c r="M253" t="str">
        <f t="shared" si="34"/>
        <v xml:space="preserve"> </v>
      </c>
      <c r="N253" s="23" t="str">
        <f t="shared" si="35"/>
        <v xml:space="preserve"> </v>
      </c>
    </row>
    <row r="254" spans="1:14">
      <c r="A254" s="29">
        <v>4875833</v>
      </c>
      <c r="B254" s="10">
        <f>_xlfn.XLOOKUP(A254,Data!E:E,Data!B:B,0,0,-1)</f>
        <v>45535</v>
      </c>
      <c r="C254" s="20">
        <f>_xlfn.XLOOKUP(A254,Data!E:E,Data!B:B)</f>
        <v>45552</v>
      </c>
      <c r="D254" s="21">
        <f>COUNTIF(Data!E:E,A254)</f>
        <v>3</v>
      </c>
      <c r="E254" s="22">
        <f>SUMIF(Data!E:E,'RFM mijozlar tahlili'!A254,Data!J:J)</f>
        <v>3974722.0924800001</v>
      </c>
      <c r="F254" s="29">
        <f t="shared" si="27"/>
        <v>4</v>
      </c>
      <c r="G254">
        <f t="shared" si="28"/>
        <v>2</v>
      </c>
      <c r="H254">
        <f t="shared" si="29"/>
        <v>1</v>
      </c>
      <c r="I254" s="23">
        <f t="shared" si="30"/>
        <v>1</v>
      </c>
      <c r="J254" t="str">
        <f t="shared" si="31"/>
        <v xml:space="preserve"> </v>
      </c>
      <c r="K254" t="str">
        <f t="shared" si="32"/>
        <v xml:space="preserve"> </v>
      </c>
      <c r="L254" t="str">
        <f t="shared" si="33"/>
        <v xml:space="preserve"> </v>
      </c>
      <c r="M254" t="str">
        <f t="shared" si="34"/>
        <v xml:space="preserve"> </v>
      </c>
      <c r="N254" s="23" t="str">
        <f t="shared" si="35"/>
        <v xml:space="preserve"> </v>
      </c>
    </row>
    <row r="255" spans="1:14">
      <c r="A255" s="29">
        <v>6080198</v>
      </c>
      <c r="B255" s="10">
        <f>_xlfn.XLOOKUP(A255,Data!E:E,Data!B:B,0,0,-1)</f>
        <v>45382</v>
      </c>
      <c r="C255" s="20">
        <f>_xlfn.XLOOKUP(A255,Data!E:E,Data!B:B)</f>
        <v>45557</v>
      </c>
      <c r="D255" s="21">
        <f>COUNTIF(Data!E:E,A255)</f>
        <v>3</v>
      </c>
      <c r="E255" s="22">
        <f>SUMIF(Data!E:E,'RFM mijozlar tahlili'!A255,Data!J:J)</f>
        <v>1509448.5711999999</v>
      </c>
      <c r="F255" s="29">
        <f t="shared" si="27"/>
        <v>4</v>
      </c>
      <c r="G255">
        <f t="shared" si="28"/>
        <v>2</v>
      </c>
      <c r="H255">
        <f t="shared" si="29"/>
        <v>1</v>
      </c>
      <c r="I255" s="23">
        <f t="shared" si="30"/>
        <v>0</v>
      </c>
      <c r="J255" t="str">
        <f t="shared" si="31"/>
        <v xml:space="preserve"> </v>
      </c>
      <c r="K255" t="str">
        <f t="shared" si="32"/>
        <v xml:space="preserve"> </v>
      </c>
      <c r="L255" t="str">
        <f t="shared" si="33"/>
        <v xml:space="preserve"> </v>
      </c>
      <c r="M255" t="str">
        <f t="shared" si="34"/>
        <v xml:space="preserve"> </v>
      </c>
      <c r="N255" s="23" t="str">
        <f t="shared" si="35"/>
        <v xml:space="preserve"> </v>
      </c>
    </row>
    <row r="256" spans="1:14">
      <c r="A256" s="29">
        <v>6080235</v>
      </c>
      <c r="B256" s="10">
        <f>_xlfn.XLOOKUP(A256,Data!E:E,Data!B:B,0,0,-1)</f>
        <v>45443</v>
      </c>
      <c r="C256" s="20">
        <f>_xlfn.XLOOKUP(A256,Data!E:E,Data!B:B)</f>
        <v>45558</v>
      </c>
      <c r="D256" s="21">
        <f>COUNTIF(Data!E:E,A256)</f>
        <v>5</v>
      </c>
      <c r="E256" s="22">
        <f>SUMIF(Data!E:E,'RFM mijozlar tahlili'!A256,Data!J:J)</f>
        <v>734596.62943999993</v>
      </c>
      <c r="F256" s="29">
        <f t="shared" si="27"/>
        <v>3</v>
      </c>
      <c r="G256">
        <f t="shared" si="28"/>
        <v>3</v>
      </c>
      <c r="H256">
        <f t="shared" si="29"/>
        <v>2</v>
      </c>
      <c r="I256" s="23">
        <f t="shared" si="30"/>
        <v>0</v>
      </c>
      <c r="J256" t="str">
        <f t="shared" si="31"/>
        <v xml:space="preserve"> </v>
      </c>
      <c r="K256" t="str">
        <f t="shared" si="32"/>
        <v xml:space="preserve"> </v>
      </c>
      <c r="L256" t="str">
        <f t="shared" si="33"/>
        <v xml:space="preserve"> </v>
      </c>
      <c r="M256" t="str">
        <f t="shared" si="34"/>
        <v xml:space="preserve"> </v>
      </c>
      <c r="N256" s="23" t="str">
        <f t="shared" si="35"/>
        <v xml:space="preserve"> </v>
      </c>
    </row>
    <row r="257" spans="1:14">
      <c r="A257" s="29">
        <v>4872966</v>
      </c>
      <c r="B257" s="10">
        <f>_xlfn.XLOOKUP(A257,Data!E:E,Data!B:B,0,0,-1)</f>
        <v>45346</v>
      </c>
      <c r="C257" s="20">
        <f>_xlfn.XLOOKUP(A257,Data!E:E,Data!B:B)</f>
        <v>45541</v>
      </c>
      <c r="D257" s="21">
        <f>COUNTIF(Data!E:E,A257)</f>
        <v>3</v>
      </c>
      <c r="E257" s="22">
        <f>SUMIF(Data!E:E,'RFM mijozlar tahlili'!A257,Data!J:J)</f>
        <v>792416.52560000028</v>
      </c>
      <c r="F257" s="29">
        <f t="shared" si="27"/>
        <v>4</v>
      </c>
      <c r="G257">
        <f t="shared" si="28"/>
        <v>2</v>
      </c>
      <c r="H257">
        <f t="shared" si="29"/>
        <v>1</v>
      </c>
      <c r="I257" s="23">
        <f t="shared" si="30"/>
        <v>0</v>
      </c>
      <c r="J257" t="str">
        <f t="shared" si="31"/>
        <v xml:space="preserve"> </v>
      </c>
      <c r="K257" t="str">
        <f t="shared" si="32"/>
        <v xml:space="preserve"> </v>
      </c>
      <c r="L257" t="str">
        <f t="shared" si="33"/>
        <v xml:space="preserve"> </v>
      </c>
      <c r="M257" t="str">
        <f t="shared" si="34"/>
        <v xml:space="preserve"> </v>
      </c>
      <c r="N257" s="23" t="str">
        <f t="shared" si="35"/>
        <v xml:space="preserve"> </v>
      </c>
    </row>
    <row r="258" spans="1:14">
      <c r="A258" s="29">
        <v>4873827</v>
      </c>
      <c r="B258" s="10">
        <f>_xlfn.XLOOKUP(A258,Data!E:E,Data!B:B,0,0,-1)</f>
        <v>45406</v>
      </c>
      <c r="C258" s="20">
        <f>_xlfn.XLOOKUP(A258,Data!E:E,Data!B:B)</f>
        <v>45544</v>
      </c>
      <c r="D258" s="21">
        <f>COUNTIF(Data!E:E,A258)</f>
        <v>24</v>
      </c>
      <c r="E258" s="22">
        <f>SUMIF(Data!E:E,'RFM mijozlar tahlili'!A258,Data!J:J)</f>
        <v>14882366.349359995</v>
      </c>
      <c r="F258" s="29">
        <f t="shared" si="27"/>
        <v>4</v>
      </c>
      <c r="G258">
        <f t="shared" si="28"/>
        <v>2</v>
      </c>
      <c r="H258">
        <f t="shared" si="29"/>
        <v>5</v>
      </c>
      <c r="I258" s="23">
        <f t="shared" si="30"/>
        <v>5</v>
      </c>
      <c r="J258" t="str">
        <f t="shared" si="31"/>
        <v xml:space="preserve"> </v>
      </c>
      <c r="K258" t="str">
        <f t="shared" si="32"/>
        <v xml:space="preserve"> </v>
      </c>
      <c r="L258" t="str">
        <f t="shared" si="33"/>
        <v xml:space="preserve"> </v>
      </c>
      <c r="M258" t="str">
        <f t="shared" si="34"/>
        <v>Yo'qotishdagi</v>
      </c>
      <c r="N258" s="23" t="str">
        <f t="shared" si="35"/>
        <v xml:space="preserve"> </v>
      </c>
    </row>
    <row r="259" spans="1:14">
      <c r="A259" s="29">
        <v>4875961</v>
      </c>
      <c r="B259" s="10">
        <f>_xlfn.XLOOKUP(A259,Data!E:E,Data!B:B,0,0,-1)</f>
        <v>45435</v>
      </c>
      <c r="C259" s="20">
        <f>_xlfn.XLOOKUP(A259,Data!E:E,Data!B:B)</f>
        <v>45553</v>
      </c>
      <c r="D259" s="21">
        <f>COUNTIF(Data!E:E,A259)</f>
        <v>10</v>
      </c>
      <c r="E259" s="22">
        <f>SUMIF(Data!E:E,'RFM mijozlar tahlili'!A259,Data!J:J)</f>
        <v>5968792.3574399995</v>
      </c>
      <c r="F259" s="29">
        <f t="shared" si="27"/>
        <v>4</v>
      </c>
      <c r="G259">
        <f t="shared" si="28"/>
        <v>2</v>
      </c>
      <c r="H259">
        <f t="shared" si="29"/>
        <v>4</v>
      </c>
      <c r="I259" s="23">
        <f t="shared" si="30"/>
        <v>2</v>
      </c>
      <c r="J259" t="str">
        <f t="shared" si="31"/>
        <v xml:space="preserve"> </v>
      </c>
      <c r="K259" t="str">
        <f t="shared" si="32"/>
        <v xml:space="preserve"> </v>
      </c>
      <c r="L259" t="str">
        <f t="shared" si="33"/>
        <v xml:space="preserve"> </v>
      </c>
      <c r="M259" t="str">
        <f t="shared" si="34"/>
        <v xml:space="preserve"> </v>
      </c>
      <c r="N259" s="23" t="str">
        <f t="shared" si="35"/>
        <v xml:space="preserve"> </v>
      </c>
    </row>
    <row r="260" spans="1:14">
      <c r="A260" s="29">
        <v>6088435</v>
      </c>
      <c r="B260" s="10">
        <f>_xlfn.XLOOKUP(A260,Data!E:E,Data!B:B,0,0,-1)</f>
        <v>45440</v>
      </c>
      <c r="C260" s="20">
        <f>_xlfn.XLOOKUP(A260,Data!E:E,Data!B:B)</f>
        <v>45555</v>
      </c>
      <c r="D260" s="21">
        <f>COUNTIF(Data!E:E,A260)</f>
        <v>17</v>
      </c>
      <c r="E260" s="22">
        <f>SUMIF(Data!E:E,'RFM mijozlar tahlili'!A260,Data!J:J)</f>
        <v>7497489.0991999973</v>
      </c>
      <c r="F260" s="29">
        <f t="shared" si="27"/>
        <v>4</v>
      </c>
      <c r="G260">
        <f t="shared" si="28"/>
        <v>2</v>
      </c>
      <c r="H260">
        <f t="shared" si="29"/>
        <v>5</v>
      </c>
      <c r="I260" s="23">
        <f t="shared" si="30"/>
        <v>3</v>
      </c>
      <c r="J260" t="str">
        <f t="shared" si="31"/>
        <v xml:space="preserve"> </v>
      </c>
      <c r="K260" t="str">
        <f t="shared" si="32"/>
        <v xml:space="preserve"> </v>
      </c>
      <c r="L260" t="str">
        <f t="shared" si="33"/>
        <v xml:space="preserve"> </v>
      </c>
      <c r="M260" t="str">
        <f t="shared" si="34"/>
        <v>Yo'qotishdagi</v>
      </c>
      <c r="N260" s="23" t="str">
        <f t="shared" si="35"/>
        <v xml:space="preserve"> </v>
      </c>
    </row>
    <row r="261" spans="1:14">
      <c r="A261" s="29">
        <v>4873204</v>
      </c>
      <c r="B261" s="10">
        <f>_xlfn.XLOOKUP(A261,Data!E:E,Data!B:B,0,0,-1)</f>
        <v>45360</v>
      </c>
      <c r="C261" s="20">
        <f>_xlfn.XLOOKUP(A261,Data!E:E,Data!B:B)</f>
        <v>45558</v>
      </c>
      <c r="D261" s="21">
        <f>COUNTIF(Data!E:E,A261)</f>
        <v>11</v>
      </c>
      <c r="E261" s="22">
        <f>SUMIF(Data!E:E,'RFM mijozlar tahlili'!A261,Data!J:J)</f>
        <v>3039213.2597600003</v>
      </c>
      <c r="F261" s="29">
        <f t="shared" si="27"/>
        <v>3</v>
      </c>
      <c r="G261">
        <f t="shared" si="28"/>
        <v>3</v>
      </c>
      <c r="H261">
        <f t="shared" si="29"/>
        <v>4</v>
      </c>
      <c r="I261" s="23">
        <f t="shared" si="30"/>
        <v>1</v>
      </c>
      <c r="J261" t="str">
        <f t="shared" si="31"/>
        <v xml:space="preserve"> </v>
      </c>
      <c r="K261" t="str">
        <f t="shared" si="32"/>
        <v xml:space="preserve"> </v>
      </c>
      <c r="L261" t="str">
        <f t="shared" si="33"/>
        <v xml:space="preserve"> </v>
      </c>
      <c r="M261" t="str">
        <f t="shared" si="34"/>
        <v xml:space="preserve"> </v>
      </c>
      <c r="N261" s="23" t="str">
        <f t="shared" si="35"/>
        <v xml:space="preserve"> </v>
      </c>
    </row>
    <row r="262" spans="1:14">
      <c r="A262" s="29">
        <v>4876339</v>
      </c>
      <c r="B262" s="10">
        <f>_xlfn.XLOOKUP(A262,Data!E:E,Data!B:B,0,0,-1)</f>
        <v>45451</v>
      </c>
      <c r="C262" s="20">
        <f>_xlfn.XLOOKUP(A262,Data!E:E,Data!B:B)</f>
        <v>45560</v>
      </c>
      <c r="D262" s="21">
        <f>COUNTIF(Data!E:E,A262)</f>
        <v>7</v>
      </c>
      <c r="E262" s="22">
        <f>SUMIF(Data!E:E,'RFM mijozlar tahlili'!A262,Data!J:J)</f>
        <v>1459192.2511999996</v>
      </c>
      <c r="F262" s="29">
        <f t="shared" ref="F262:F325" si="36">ROUND(($F$4-C262)/30,0)</f>
        <v>3</v>
      </c>
      <c r="G262">
        <f t="shared" ref="G262:G325" si="37">IF(F262&lt;=1,5,IF(F262=2,4,IF(F262=3,3,IF(F262=4,2,IF(F262=5,1,IF(F262&gt;5,0,0))))))</f>
        <v>3</v>
      </c>
      <c r="H262">
        <f t="shared" ref="H262:H325" si="38">IF(D262&gt;=$D$3,5,IF(D262&lt;3,0,IF(D262&lt;5,1,IF(D262&lt;7,2,IF(D262&lt;9,3,IF(D262&lt;=$D$3,4,0))))))</f>
        <v>3</v>
      </c>
      <c r="I262" s="23">
        <f t="shared" ref="I262:I325" si="39">IF(E262&gt;=$E$3,5,IF(E262&lt;2000000,0,IF(E262&lt;=4000000,1,IF(E262&lt;=6000000,2,IF(E262&lt;=8000000,3,IF(E262&lt;=$E$3,4))))))</f>
        <v>0</v>
      </c>
      <c r="J262" t="str">
        <f t="shared" ref="J262:J325" si="40">IF(AND(G262=5,H262=5,I262=5),"TOP"," ")</f>
        <v xml:space="preserve"> </v>
      </c>
      <c r="K262" t="str">
        <f t="shared" ref="K262:K325" si="41">IF(AND(G262&gt;=4,H262&gt;=4), "Sodiq", " ")</f>
        <v xml:space="preserve"> </v>
      </c>
      <c r="L262" t="str">
        <f t="shared" ref="L262:L325" si="42">IF(AND(G262&lt;=1,H262&lt;=1), "Yo'qotilgan", " ")</f>
        <v xml:space="preserve"> </v>
      </c>
      <c r="M262" t="str">
        <f t="shared" ref="M262:M325" si="43">IF(AND(G262&lt;=3,I262&gt;=3), "Yo'qotishdagi", " ")</f>
        <v xml:space="preserve"> </v>
      </c>
      <c r="N262" s="23" t="str">
        <f t="shared" ref="N262:N325" si="44">IF(AND((B262-$N$2)&gt;0, F262&lt;=2), "Yangi", " ")</f>
        <v xml:space="preserve"> </v>
      </c>
    </row>
    <row r="263" spans="1:14">
      <c r="A263" s="29">
        <v>7129410</v>
      </c>
      <c r="B263" s="10">
        <f>_xlfn.XLOOKUP(A263,Data!E:E,Data!B:B,0,0,-1)</f>
        <v>45561</v>
      </c>
      <c r="C263" s="20">
        <f>_xlfn.XLOOKUP(A263,Data!E:E,Data!B:B)</f>
        <v>45561</v>
      </c>
      <c r="D263" s="21">
        <f>COUNTIF(Data!E:E,A263)</f>
        <v>2</v>
      </c>
      <c r="E263" s="22">
        <f>SUMIF(Data!E:E,'RFM mijozlar tahlili'!A263,Data!J:J)</f>
        <v>452809.44319999998</v>
      </c>
      <c r="F263" s="29">
        <f t="shared" si="36"/>
        <v>3</v>
      </c>
      <c r="G263">
        <f t="shared" si="37"/>
        <v>3</v>
      </c>
      <c r="H263">
        <f t="shared" si="38"/>
        <v>0</v>
      </c>
      <c r="I263" s="23">
        <f t="shared" si="39"/>
        <v>0</v>
      </c>
      <c r="J263" t="str">
        <f t="shared" si="40"/>
        <v xml:space="preserve"> </v>
      </c>
      <c r="K263" t="str">
        <f t="shared" si="41"/>
        <v xml:space="preserve"> </v>
      </c>
      <c r="L263" t="str">
        <f t="shared" si="42"/>
        <v xml:space="preserve"> </v>
      </c>
      <c r="M263" t="str">
        <f t="shared" si="43"/>
        <v xml:space="preserve"> </v>
      </c>
      <c r="N263" s="23" t="str">
        <f t="shared" si="44"/>
        <v xml:space="preserve"> </v>
      </c>
    </row>
    <row r="264" spans="1:14">
      <c r="A264" s="29">
        <v>6080725</v>
      </c>
      <c r="B264" s="10">
        <f>_xlfn.XLOOKUP(A264,Data!E:E,Data!B:B,0,0,-1)</f>
        <v>45506</v>
      </c>
      <c r="C264" s="20">
        <f>_xlfn.XLOOKUP(A264,Data!E:E,Data!B:B)</f>
        <v>45506</v>
      </c>
      <c r="D264" s="21">
        <f>COUNTIF(Data!E:E,A264)</f>
        <v>3</v>
      </c>
      <c r="E264" s="22">
        <f>SUMIF(Data!E:E,'RFM mijozlar tahlili'!A264,Data!J:J)</f>
        <v>603829.68479999993</v>
      </c>
      <c r="F264" s="29">
        <f t="shared" si="36"/>
        <v>5</v>
      </c>
      <c r="G264">
        <f t="shared" si="37"/>
        <v>1</v>
      </c>
      <c r="H264">
        <f t="shared" si="38"/>
        <v>1</v>
      </c>
      <c r="I264" s="23">
        <f t="shared" si="39"/>
        <v>0</v>
      </c>
      <c r="J264" t="str">
        <f t="shared" si="40"/>
        <v xml:space="preserve"> </v>
      </c>
      <c r="K264" t="str">
        <f t="shared" si="41"/>
        <v xml:space="preserve"> </v>
      </c>
      <c r="L264" t="str">
        <f t="shared" si="42"/>
        <v>Yo'qotilgan</v>
      </c>
      <c r="M264" t="str">
        <f t="shared" si="43"/>
        <v xml:space="preserve"> </v>
      </c>
      <c r="N264" s="23" t="str">
        <f t="shared" si="44"/>
        <v xml:space="preserve"> </v>
      </c>
    </row>
    <row r="265" spans="1:14">
      <c r="A265" s="29">
        <v>4876669</v>
      </c>
      <c r="B265" s="10">
        <f>_xlfn.XLOOKUP(A265,Data!E:E,Data!B:B,0,0,-1)</f>
        <v>45516</v>
      </c>
      <c r="C265" s="20">
        <f>_xlfn.XLOOKUP(A265,Data!E:E,Data!B:B)</f>
        <v>45516</v>
      </c>
      <c r="D265" s="21">
        <f>COUNTIF(Data!E:E,A265)</f>
        <v>1</v>
      </c>
      <c r="E265" s="22">
        <f>SUMIF(Data!E:E,'RFM mijozlar tahlili'!A265,Data!J:J)</f>
        <v>38709508.326911993</v>
      </c>
      <c r="F265" s="29">
        <f t="shared" si="36"/>
        <v>5</v>
      </c>
      <c r="G265">
        <f t="shared" si="37"/>
        <v>1</v>
      </c>
      <c r="H265">
        <f t="shared" si="38"/>
        <v>0</v>
      </c>
      <c r="I265" s="23">
        <f t="shared" si="39"/>
        <v>5</v>
      </c>
      <c r="J265" t="str">
        <f t="shared" si="40"/>
        <v xml:space="preserve"> </v>
      </c>
      <c r="K265" t="str">
        <f t="shared" si="41"/>
        <v xml:space="preserve"> </v>
      </c>
      <c r="L265" t="str">
        <f t="shared" si="42"/>
        <v>Yo'qotilgan</v>
      </c>
      <c r="M265" t="str">
        <f t="shared" si="43"/>
        <v>Yo'qotishdagi</v>
      </c>
      <c r="N265" s="23" t="str">
        <f t="shared" si="44"/>
        <v xml:space="preserve"> </v>
      </c>
    </row>
    <row r="266" spans="1:14">
      <c r="A266" s="29">
        <v>4873221</v>
      </c>
      <c r="B266" s="10">
        <f>_xlfn.XLOOKUP(A266,Data!E:E,Data!B:B,0,0,-1)</f>
        <v>45520</v>
      </c>
      <c r="C266" s="20">
        <f>_xlfn.XLOOKUP(A266,Data!E:E,Data!B:B)</f>
        <v>45520</v>
      </c>
      <c r="D266" s="21">
        <f>COUNTIF(Data!E:E,A266)</f>
        <v>1</v>
      </c>
      <c r="E266" s="22">
        <f>SUMIF(Data!E:E,'RFM mijozlar tahlili'!A266,Data!J:J)</f>
        <v>1512715.2319999998</v>
      </c>
      <c r="F266" s="29">
        <f t="shared" si="36"/>
        <v>5</v>
      </c>
      <c r="G266">
        <f t="shared" si="37"/>
        <v>1</v>
      </c>
      <c r="H266">
        <f t="shared" si="38"/>
        <v>0</v>
      </c>
      <c r="I266" s="23">
        <f t="shared" si="39"/>
        <v>0</v>
      </c>
      <c r="J266" t="str">
        <f t="shared" si="40"/>
        <v xml:space="preserve"> </v>
      </c>
      <c r="K266" t="str">
        <f t="shared" si="41"/>
        <v xml:space="preserve"> </v>
      </c>
      <c r="L266" t="str">
        <f t="shared" si="42"/>
        <v>Yo'qotilgan</v>
      </c>
      <c r="M266" t="str">
        <f t="shared" si="43"/>
        <v xml:space="preserve"> </v>
      </c>
      <c r="N266" s="23" t="str">
        <f t="shared" si="44"/>
        <v xml:space="preserve"> </v>
      </c>
    </row>
    <row r="267" spans="1:14">
      <c r="A267" s="29">
        <v>6957140</v>
      </c>
      <c r="B267" s="10">
        <f>_xlfn.XLOOKUP(A267,Data!E:E,Data!B:B,0,0,-1)</f>
        <v>45521</v>
      </c>
      <c r="C267" s="20">
        <f>_xlfn.XLOOKUP(A267,Data!E:E,Data!B:B)</f>
        <v>45521</v>
      </c>
      <c r="D267" s="21">
        <f>COUNTIF(Data!E:E,A267)</f>
        <v>3</v>
      </c>
      <c r="E267" s="22">
        <f>SUMIF(Data!E:E,'RFM mijozlar tahlili'!A267,Data!J:J)</f>
        <v>593765.85671999992</v>
      </c>
      <c r="F267" s="29">
        <f t="shared" si="36"/>
        <v>5</v>
      </c>
      <c r="G267">
        <f t="shared" si="37"/>
        <v>1</v>
      </c>
      <c r="H267">
        <f t="shared" si="38"/>
        <v>1</v>
      </c>
      <c r="I267" s="23">
        <f t="shared" si="39"/>
        <v>0</v>
      </c>
      <c r="J267" t="str">
        <f t="shared" si="40"/>
        <v xml:space="preserve"> </v>
      </c>
      <c r="K267" t="str">
        <f t="shared" si="41"/>
        <v xml:space="preserve"> </v>
      </c>
      <c r="L267" t="str">
        <f t="shared" si="42"/>
        <v>Yo'qotilgan</v>
      </c>
      <c r="M267" t="str">
        <f t="shared" si="43"/>
        <v xml:space="preserve"> </v>
      </c>
      <c r="N267" s="23" t="str">
        <f t="shared" si="44"/>
        <v xml:space="preserve"> </v>
      </c>
    </row>
    <row r="268" spans="1:14">
      <c r="A268" s="29">
        <v>4878576</v>
      </c>
      <c r="B268" s="10">
        <f>_xlfn.XLOOKUP(A268,Data!E:E,Data!B:B,0,0,-1)</f>
        <v>45504</v>
      </c>
      <c r="C268" s="20">
        <f>_xlfn.XLOOKUP(A268,Data!E:E,Data!B:B)</f>
        <v>45530</v>
      </c>
      <c r="D268" s="21">
        <f>COUNTIF(Data!E:E,A268)</f>
        <v>8</v>
      </c>
      <c r="E268" s="22">
        <f>SUMIF(Data!E:E,'RFM mijozlar tahlili'!A268,Data!J:J)</f>
        <v>1600148.6647199998</v>
      </c>
      <c r="F268" s="29">
        <f t="shared" si="36"/>
        <v>4</v>
      </c>
      <c r="G268">
        <f t="shared" si="37"/>
        <v>2</v>
      </c>
      <c r="H268">
        <f t="shared" si="38"/>
        <v>3</v>
      </c>
      <c r="I268" s="23">
        <f t="shared" si="39"/>
        <v>0</v>
      </c>
      <c r="J268" t="str">
        <f t="shared" si="40"/>
        <v xml:space="preserve"> </v>
      </c>
      <c r="K268" t="str">
        <f t="shared" si="41"/>
        <v xml:space="preserve"> </v>
      </c>
      <c r="L268" t="str">
        <f t="shared" si="42"/>
        <v xml:space="preserve"> </v>
      </c>
      <c r="M268" t="str">
        <f t="shared" si="43"/>
        <v xml:space="preserve"> </v>
      </c>
      <c r="N268" s="23" t="str">
        <f t="shared" si="44"/>
        <v xml:space="preserve"> </v>
      </c>
    </row>
    <row r="269" spans="1:14">
      <c r="A269" s="29">
        <v>4878474</v>
      </c>
      <c r="B269" s="10">
        <f>_xlfn.XLOOKUP(A269,Data!E:E,Data!B:B,0,0,-1)</f>
        <v>45523</v>
      </c>
      <c r="C269" s="20">
        <f>_xlfn.XLOOKUP(A269,Data!E:E,Data!B:B)</f>
        <v>45509</v>
      </c>
      <c r="D269" s="21">
        <f>COUNTIF(Data!E:E,A269)</f>
        <v>18</v>
      </c>
      <c r="E269" s="22">
        <f>SUMIF(Data!E:E,'RFM mijozlar tahlili'!A269,Data!J:J)</f>
        <v>8467493.8699679989</v>
      </c>
      <c r="F269" s="29">
        <f t="shared" si="36"/>
        <v>5</v>
      </c>
      <c r="G269">
        <f t="shared" si="37"/>
        <v>1</v>
      </c>
      <c r="H269">
        <f t="shared" si="38"/>
        <v>5</v>
      </c>
      <c r="I269" s="23">
        <f t="shared" si="39"/>
        <v>4</v>
      </c>
      <c r="J269" t="str">
        <f t="shared" si="40"/>
        <v xml:space="preserve"> </v>
      </c>
      <c r="K269" t="str">
        <f t="shared" si="41"/>
        <v xml:space="preserve"> </v>
      </c>
      <c r="L269" t="str">
        <f t="shared" si="42"/>
        <v xml:space="preserve"> </v>
      </c>
      <c r="M269" t="str">
        <f t="shared" si="43"/>
        <v>Yo'qotishdagi</v>
      </c>
      <c r="N269" s="23" t="str">
        <f t="shared" si="44"/>
        <v xml:space="preserve"> </v>
      </c>
    </row>
    <row r="270" spans="1:14">
      <c r="A270" s="29">
        <v>4878250</v>
      </c>
      <c r="B270" s="10">
        <f>_xlfn.XLOOKUP(A270,Data!E:E,Data!B:B,0,0,-1)</f>
        <v>45316</v>
      </c>
      <c r="C270" s="20">
        <f>_xlfn.XLOOKUP(A270,Data!E:E,Data!B:B)</f>
        <v>45514</v>
      </c>
      <c r="D270" s="21">
        <f>COUNTIF(Data!E:E,A270)</f>
        <v>11</v>
      </c>
      <c r="E270" s="22">
        <f>SUMIF(Data!E:E,'RFM mijozlar tahlili'!A270,Data!J:J)</f>
        <v>2063021.9359999993</v>
      </c>
      <c r="F270" s="29">
        <f t="shared" si="36"/>
        <v>5</v>
      </c>
      <c r="G270">
        <f t="shared" si="37"/>
        <v>1</v>
      </c>
      <c r="H270">
        <f t="shared" si="38"/>
        <v>4</v>
      </c>
      <c r="I270" s="23">
        <f t="shared" si="39"/>
        <v>1</v>
      </c>
      <c r="J270" t="str">
        <f t="shared" si="40"/>
        <v xml:space="preserve"> </v>
      </c>
      <c r="K270" t="str">
        <f t="shared" si="41"/>
        <v xml:space="preserve"> </v>
      </c>
      <c r="L270" t="str">
        <f t="shared" si="42"/>
        <v xml:space="preserve"> </v>
      </c>
      <c r="M270" t="str">
        <f t="shared" si="43"/>
        <v xml:space="preserve"> </v>
      </c>
      <c r="N270" s="23" t="str">
        <f t="shared" si="44"/>
        <v xml:space="preserve"> </v>
      </c>
    </row>
    <row r="271" spans="1:14">
      <c r="A271" s="29">
        <v>4879308</v>
      </c>
      <c r="B271" s="10">
        <f>_xlfn.XLOOKUP(A271,Data!E:E,Data!B:B,0,0,-1)</f>
        <v>45332</v>
      </c>
      <c r="C271" s="20">
        <f>_xlfn.XLOOKUP(A271,Data!E:E,Data!B:B)</f>
        <v>45519</v>
      </c>
      <c r="D271" s="21">
        <f>COUNTIF(Data!E:E,A271)</f>
        <v>6</v>
      </c>
      <c r="E271" s="22">
        <f>SUMIF(Data!E:E,'RFM mijozlar tahlili'!A271,Data!J:J)</f>
        <v>2037516.8535999998</v>
      </c>
      <c r="F271" s="29">
        <f t="shared" si="36"/>
        <v>5</v>
      </c>
      <c r="G271">
        <f t="shared" si="37"/>
        <v>1</v>
      </c>
      <c r="H271">
        <f t="shared" si="38"/>
        <v>2</v>
      </c>
      <c r="I271" s="23">
        <f t="shared" si="39"/>
        <v>1</v>
      </c>
      <c r="J271" t="str">
        <f t="shared" si="40"/>
        <v xml:space="preserve"> </v>
      </c>
      <c r="K271" t="str">
        <f t="shared" si="41"/>
        <v xml:space="preserve"> </v>
      </c>
      <c r="L271" t="str">
        <f t="shared" si="42"/>
        <v xml:space="preserve"> </v>
      </c>
      <c r="M271" t="str">
        <f t="shared" si="43"/>
        <v xml:space="preserve"> </v>
      </c>
      <c r="N271" s="23" t="str">
        <f t="shared" si="44"/>
        <v xml:space="preserve"> </v>
      </c>
    </row>
    <row r="272" spans="1:14">
      <c r="A272" s="29">
        <v>4877565</v>
      </c>
      <c r="B272" s="10">
        <f>_xlfn.XLOOKUP(A272,Data!E:E,Data!B:B,0,0,-1)</f>
        <v>45418</v>
      </c>
      <c r="C272" s="20">
        <f>_xlfn.XLOOKUP(A272,Data!E:E,Data!B:B)</f>
        <v>45532</v>
      </c>
      <c r="D272" s="21">
        <f>COUNTIF(Data!E:E,A272)</f>
        <v>4</v>
      </c>
      <c r="E272" s="22">
        <f>SUMIF(Data!E:E,'RFM mijozlar tahlili'!A272,Data!J:J)</f>
        <v>795042.41831999994</v>
      </c>
      <c r="F272" s="29">
        <f t="shared" si="36"/>
        <v>4</v>
      </c>
      <c r="G272">
        <f t="shared" si="37"/>
        <v>2</v>
      </c>
      <c r="H272">
        <f t="shared" si="38"/>
        <v>1</v>
      </c>
      <c r="I272" s="23">
        <f t="shared" si="39"/>
        <v>0</v>
      </c>
      <c r="J272" t="str">
        <f t="shared" si="40"/>
        <v xml:space="preserve"> </v>
      </c>
      <c r="K272" t="str">
        <f t="shared" si="41"/>
        <v xml:space="preserve"> </v>
      </c>
      <c r="L272" t="str">
        <f t="shared" si="42"/>
        <v xml:space="preserve"> </v>
      </c>
      <c r="M272" t="str">
        <f t="shared" si="43"/>
        <v xml:space="preserve"> </v>
      </c>
      <c r="N272" s="23" t="str">
        <f t="shared" si="44"/>
        <v xml:space="preserve"> </v>
      </c>
    </row>
    <row r="273" spans="1:14">
      <c r="A273" s="29">
        <v>4878158</v>
      </c>
      <c r="B273" s="10">
        <f>_xlfn.XLOOKUP(A273,Data!E:E,Data!B:B,0,0,-1)</f>
        <v>45533</v>
      </c>
      <c r="C273" s="20">
        <f>_xlfn.XLOOKUP(A273,Data!E:E,Data!B:B)</f>
        <v>45533</v>
      </c>
      <c r="D273" s="21">
        <f>COUNTIF(Data!E:E,A273)</f>
        <v>1</v>
      </c>
      <c r="E273" s="22">
        <f>SUMIF(Data!E:E,'RFM mijozlar tahlili'!A273,Data!J:J)</f>
        <v>125766.4408</v>
      </c>
      <c r="F273" s="29">
        <f t="shared" si="36"/>
        <v>4</v>
      </c>
      <c r="G273">
        <f t="shared" si="37"/>
        <v>2</v>
      </c>
      <c r="H273">
        <f t="shared" si="38"/>
        <v>0</v>
      </c>
      <c r="I273" s="23">
        <f t="shared" si="39"/>
        <v>0</v>
      </c>
      <c r="J273" t="str">
        <f t="shared" si="40"/>
        <v xml:space="preserve"> </v>
      </c>
      <c r="K273" t="str">
        <f t="shared" si="41"/>
        <v xml:space="preserve"> </v>
      </c>
      <c r="L273" t="str">
        <f t="shared" si="42"/>
        <v xml:space="preserve"> </v>
      </c>
      <c r="M273" t="str">
        <f t="shared" si="43"/>
        <v xml:space="preserve"> </v>
      </c>
      <c r="N273" s="23" t="str">
        <f t="shared" si="44"/>
        <v xml:space="preserve"> </v>
      </c>
    </row>
    <row r="274" spans="1:14">
      <c r="A274" s="29">
        <v>6080081</v>
      </c>
      <c r="B274" s="10">
        <f>_xlfn.XLOOKUP(A274,Data!E:E,Data!B:B,0,0,-1)</f>
        <v>45528</v>
      </c>
      <c r="C274" s="20">
        <f>_xlfn.XLOOKUP(A274,Data!E:E,Data!B:B)</f>
        <v>45514</v>
      </c>
      <c r="D274" s="21">
        <f>COUNTIF(Data!E:E,A274)</f>
        <v>4</v>
      </c>
      <c r="E274" s="22">
        <f>SUMIF(Data!E:E,'RFM mijozlar tahlili'!A274,Data!J:J)</f>
        <v>1308172.0096</v>
      </c>
      <c r="F274" s="29">
        <f t="shared" si="36"/>
        <v>5</v>
      </c>
      <c r="G274">
        <f t="shared" si="37"/>
        <v>1</v>
      </c>
      <c r="H274">
        <f t="shared" si="38"/>
        <v>1</v>
      </c>
      <c r="I274" s="23">
        <f t="shared" si="39"/>
        <v>0</v>
      </c>
      <c r="J274" t="str">
        <f t="shared" si="40"/>
        <v xml:space="preserve"> </v>
      </c>
      <c r="K274" t="str">
        <f t="shared" si="41"/>
        <v xml:space="preserve"> </v>
      </c>
      <c r="L274" t="str">
        <f t="shared" si="42"/>
        <v>Yo'qotilgan</v>
      </c>
      <c r="M274" t="str">
        <f t="shared" si="43"/>
        <v xml:space="preserve"> </v>
      </c>
      <c r="N274" s="23" t="str">
        <f t="shared" si="44"/>
        <v xml:space="preserve"> </v>
      </c>
    </row>
    <row r="275" spans="1:14">
      <c r="A275" s="29">
        <v>4876043</v>
      </c>
      <c r="B275" s="10">
        <f>_xlfn.XLOOKUP(A275,Data!E:E,Data!B:B,0,0,-1)</f>
        <v>45360</v>
      </c>
      <c r="C275" s="20">
        <f>_xlfn.XLOOKUP(A275,Data!E:E,Data!B:B)</f>
        <v>45514</v>
      </c>
      <c r="D275" s="21">
        <f>COUNTIF(Data!E:E,A275)</f>
        <v>5</v>
      </c>
      <c r="E275" s="22">
        <f>SUMIF(Data!E:E,'RFM mijozlar tahlili'!A275,Data!J:J)</f>
        <v>1710725.1327999998</v>
      </c>
      <c r="F275" s="29">
        <f t="shared" si="36"/>
        <v>5</v>
      </c>
      <c r="G275">
        <f t="shared" si="37"/>
        <v>1</v>
      </c>
      <c r="H275">
        <f t="shared" si="38"/>
        <v>2</v>
      </c>
      <c r="I275" s="23">
        <f t="shared" si="39"/>
        <v>0</v>
      </c>
      <c r="J275" t="str">
        <f t="shared" si="40"/>
        <v xml:space="preserve"> </v>
      </c>
      <c r="K275" t="str">
        <f t="shared" si="41"/>
        <v xml:space="preserve"> </v>
      </c>
      <c r="L275" t="str">
        <f t="shared" si="42"/>
        <v xml:space="preserve"> </v>
      </c>
      <c r="M275" t="str">
        <f t="shared" si="43"/>
        <v xml:space="preserve"> </v>
      </c>
      <c r="N275" s="23" t="str">
        <f t="shared" si="44"/>
        <v xml:space="preserve"> </v>
      </c>
    </row>
    <row r="276" spans="1:14">
      <c r="A276" s="29">
        <v>4875358</v>
      </c>
      <c r="B276" s="10">
        <f>_xlfn.XLOOKUP(A276,Data!E:E,Data!B:B,0,0,-1)</f>
        <v>45311</v>
      </c>
      <c r="C276" s="20">
        <f>_xlfn.XLOOKUP(A276,Data!E:E,Data!B:B)</f>
        <v>45531</v>
      </c>
      <c r="D276" s="21">
        <f>COUNTIF(Data!E:E,A276)</f>
        <v>10</v>
      </c>
      <c r="E276" s="22">
        <f>SUMIF(Data!E:E,'RFM mijozlar tahlili'!A276,Data!J:J)</f>
        <v>1132149.2487999999</v>
      </c>
      <c r="F276" s="29">
        <f t="shared" si="36"/>
        <v>4</v>
      </c>
      <c r="G276">
        <f t="shared" si="37"/>
        <v>2</v>
      </c>
      <c r="H276">
        <f t="shared" si="38"/>
        <v>4</v>
      </c>
      <c r="I276" s="23">
        <f t="shared" si="39"/>
        <v>0</v>
      </c>
      <c r="J276" t="str">
        <f t="shared" si="40"/>
        <v xml:space="preserve"> </v>
      </c>
      <c r="K276" t="str">
        <f t="shared" si="41"/>
        <v xml:space="preserve"> </v>
      </c>
      <c r="L276" t="str">
        <f t="shared" si="42"/>
        <v xml:space="preserve"> </v>
      </c>
      <c r="M276" t="str">
        <f t="shared" si="43"/>
        <v xml:space="preserve"> </v>
      </c>
      <c r="N276" s="23" t="str">
        <f t="shared" si="44"/>
        <v xml:space="preserve"> </v>
      </c>
    </row>
    <row r="277" spans="1:14">
      <c r="A277" s="29">
        <v>4876143</v>
      </c>
      <c r="B277" s="10">
        <f>_xlfn.XLOOKUP(A277,Data!E:E,Data!B:B,0,0,-1)</f>
        <v>45532</v>
      </c>
      <c r="C277" s="20">
        <f>_xlfn.XLOOKUP(A277,Data!E:E,Data!B:B)</f>
        <v>45532</v>
      </c>
      <c r="D277" s="21">
        <f>COUNTIF(Data!E:E,A277)</f>
        <v>1</v>
      </c>
      <c r="E277" s="22">
        <f>SUMIF(Data!E:E,'RFM mijozlar tahlili'!A277,Data!J:J)</f>
        <v>402553.12319999997</v>
      </c>
      <c r="F277" s="29">
        <f t="shared" si="36"/>
        <v>4</v>
      </c>
      <c r="G277">
        <f t="shared" si="37"/>
        <v>2</v>
      </c>
      <c r="H277">
        <f t="shared" si="38"/>
        <v>0</v>
      </c>
      <c r="I277" s="23">
        <f t="shared" si="39"/>
        <v>0</v>
      </c>
      <c r="J277" t="str">
        <f t="shared" si="40"/>
        <v xml:space="preserve"> </v>
      </c>
      <c r="K277" t="str">
        <f t="shared" si="41"/>
        <v xml:space="preserve"> </v>
      </c>
      <c r="L277" t="str">
        <f t="shared" si="42"/>
        <v xml:space="preserve"> </v>
      </c>
      <c r="M277" t="str">
        <f t="shared" si="43"/>
        <v xml:space="preserve"> </v>
      </c>
      <c r="N277" s="23" t="str">
        <f t="shared" si="44"/>
        <v xml:space="preserve"> </v>
      </c>
    </row>
    <row r="278" spans="1:14">
      <c r="A278" s="29">
        <v>4876974</v>
      </c>
      <c r="B278" s="10">
        <f>_xlfn.XLOOKUP(A278,Data!E:E,Data!B:B,0,0,-1)</f>
        <v>45304</v>
      </c>
      <c r="C278" s="20">
        <f>_xlfn.XLOOKUP(A278,Data!E:E,Data!B:B)</f>
        <v>45532</v>
      </c>
      <c r="D278" s="21">
        <f>COUNTIF(Data!E:E,A278)</f>
        <v>24</v>
      </c>
      <c r="E278" s="22">
        <f>SUMIF(Data!E:E,'RFM mijozlar tahlili'!A278,Data!J:J)</f>
        <v>6898132.2268799981</v>
      </c>
      <c r="F278" s="29">
        <f t="shared" si="36"/>
        <v>4</v>
      </c>
      <c r="G278">
        <f t="shared" si="37"/>
        <v>2</v>
      </c>
      <c r="H278">
        <f t="shared" si="38"/>
        <v>5</v>
      </c>
      <c r="I278" s="23">
        <f t="shared" si="39"/>
        <v>3</v>
      </c>
      <c r="J278" t="str">
        <f t="shared" si="40"/>
        <v xml:space="preserve"> </v>
      </c>
      <c r="K278" t="str">
        <f t="shared" si="41"/>
        <v xml:space="preserve"> </v>
      </c>
      <c r="L278" t="str">
        <f t="shared" si="42"/>
        <v xml:space="preserve"> </v>
      </c>
      <c r="M278" t="str">
        <f t="shared" si="43"/>
        <v>Yo'qotishdagi</v>
      </c>
      <c r="N278" s="23" t="str">
        <f t="shared" si="44"/>
        <v xml:space="preserve"> </v>
      </c>
    </row>
    <row r="279" spans="1:14">
      <c r="A279" s="29">
        <v>6536128</v>
      </c>
      <c r="B279" s="10">
        <f>_xlfn.XLOOKUP(A279,Data!E:E,Data!B:B,0,0,-1)</f>
        <v>45506</v>
      </c>
      <c r="C279" s="20">
        <f>_xlfn.XLOOKUP(A279,Data!E:E,Data!B:B)</f>
        <v>45506</v>
      </c>
      <c r="D279" s="21">
        <f>COUNTIF(Data!E:E,A279)</f>
        <v>1</v>
      </c>
      <c r="E279" s="22">
        <f>SUMIF(Data!E:E,'RFM mijozlar tahlili'!A279,Data!J:J)</f>
        <v>-1194844.0079999999</v>
      </c>
      <c r="F279" s="29">
        <f t="shared" si="36"/>
        <v>5</v>
      </c>
      <c r="G279">
        <f t="shared" si="37"/>
        <v>1</v>
      </c>
      <c r="H279">
        <f t="shared" si="38"/>
        <v>0</v>
      </c>
      <c r="I279" s="23">
        <f t="shared" si="39"/>
        <v>0</v>
      </c>
      <c r="J279" t="str">
        <f t="shared" si="40"/>
        <v xml:space="preserve"> </v>
      </c>
      <c r="K279" t="str">
        <f t="shared" si="41"/>
        <v xml:space="preserve"> </v>
      </c>
      <c r="L279" t="str">
        <f t="shared" si="42"/>
        <v>Yo'qotilgan</v>
      </c>
      <c r="M279" t="str">
        <f t="shared" si="43"/>
        <v xml:space="preserve"> </v>
      </c>
      <c r="N279" s="23" t="str">
        <f t="shared" si="44"/>
        <v xml:space="preserve"> </v>
      </c>
    </row>
    <row r="280" spans="1:14">
      <c r="A280" s="29">
        <v>6080589</v>
      </c>
      <c r="B280" s="10">
        <f>_xlfn.XLOOKUP(A280,Data!E:E,Data!B:B,0,0,-1)</f>
        <v>45525</v>
      </c>
      <c r="C280" s="20">
        <f>_xlfn.XLOOKUP(A280,Data!E:E,Data!B:B)</f>
        <v>45525</v>
      </c>
      <c r="D280" s="21">
        <f>COUNTIF(Data!E:E,A280)</f>
        <v>1</v>
      </c>
      <c r="E280" s="22">
        <f>SUMIF(Data!E:E,'RFM mijozlar tahlili'!A280,Data!J:J)</f>
        <v>3027943.2800000003</v>
      </c>
      <c r="F280" s="29">
        <f t="shared" si="36"/>
        <v>5</v>
      </c>
      <c r="G280">
        <f t="shared" si="37"/>
        <v>1</v>
      </c>
      <c r="H280">
        <f t="shared" si="38"/>
        <v>0</v>
      </c>
      <c r="I280" s="23">
        <f t="shared" si="39"/>
        <v>1</v>
      </c>
      <c r="J280" t="str">
        <f t="shared" si="40"/>
        <v xml:space="preserve"> </v>
      </c>
      <c r="K280" t="str">
        <f t="shared" si="41"/>
        <v xml:space="preserve"> </v>
      </c>
      <c r="L280" t="str">
        <f t="shared" si="42"/>
        <v>Yo'qotilgan</v>
      </c>
      <c r="M280" t="str">
        <f t="shared" si="43"/>
        <v xml:space="preserve"> </v>
      </c>
      <c r="N280" s="23" t="str">
        <f t="shared" si="44"/>
        <v xml:space="preserve"> </v>
      </c>
    </row>
    <row r="281" spans="1:14">
      <c r="A281" s="29">
        <v>6700770</v>
      </c>
      <c r="B281" s="10">
        <f>_xlfn.XLOOKUP(A281,Data!E:E,Data!B:B,0,0,-1)</f>
        <v>45510</v>
      </c>
      <c r="C281" s="20">
        <f>_xlfn.XLOOKUP(A281,Data!E:E,Data!B:B)</f>
        <v>45510</v>
      </c>
      <c r="D281" s="21">
        <f>COUNTIF(Data!E:E,A281)</f>
        <v>2</v>
      </c>
      <c r="E281" s="22">
        <f>SUMIF(Data!E:E,'RFM mijozlar tahlili'!A281,Data!J:J)</f>
        <v>2138280.7752</v>
      </c>
      <c r="F281" s="29">
        <f t="shared" si="36"/>
        <v>5</v>
      </c>
      <c r="G281">
        <f t="shared" si="37"/>
        <v>1</v>
      </c>
      <c r="H281">
        <f t="shared" si="38"/>
        <v>0</v>
      </c>
      <c r="I281" s="23">
        <f t="shared" si="39"/>
        <v>1</v>
      </c>
      <c r="J281" t="str">
        <f t="shared" si="40"/>
        <v xml:space="preserve"> </v>
      </c>
      <c r="K281" t="str">
        <f t="shared" si="41"/>
        <v xml:space="preserve"> </v>
      </c>
      <c r="L281" t="str">
        <f t="shared" si="42"/>
        <v>Yo'qotilgan</v>
      </c>
      <c r="M281" t="str">
        <f t="shared" si="43"/>
        <v xml:space="preserve"> </v>
      </c>
      <c r="N281" s="23" t="str">
        <f t="shared" si="44"/>
        <v xml:space="preserve"> </v>
      </c>
    </row>
    <row r="282" spans="1:14">
      <c r="A282" s="29">
        <v>6700787</v>
      </c>
      <c r="B282" s="10">
        <f>_xlfn.XLOOKUP(A282,Data!E:E,Data!B:B,0,0,-1)</f>
        <v>45515</v>
      </c>
      <c r="C282" s="20">
        <f>_xlfn.XLOOKUP(A282,Data!E:E,Data!B:B)</f>
        <v>45515</v>
      </c>
      <c r="D282" s="21">
        <f>COUNTIF(Data!E:E,A282)</f>
        <v>12</v>
      </c>
      <c r="E282" s="22">
        <f>SUMIF(Data!E:E,'RFM mijozlar tahlili'!A282,Data!J:J)</f>
        <v>57660081.062399998</v>
      </c>
      <c r="F282" s="29">
        <f t="shared" si="36"/>
        <v>5</v>
      </c>
      <c r="G282">
        <f t="shared" si="37"/>
        <v>1</v>
      </c>
      <c r="H282">
        <f t="shared" si="38"/>
        <v>4</v>
      </c>
      <c r="I282" s="23">
        <f t="shared" si="39"/>
        <v>5</v>
      </c>
      <c r="J282" t="str">
        <f t="shared" si="40"/>
        <v xml:space="preserve"> </v>
      </c>
      <c r="K282" t="str">
        <f t="shared" si="41"/>
        <v xml:space="preserve"> </v>
      </c>
      <c r="L282" t="str">
        <f t="shared" si="42"/>
        <v xml:space="preserve"> </v>
      </c>
      <c r="M282" t="str">
        <f t="shared" si="43"/>
        <v>Yo'qotishdagi</v>
      </c>
      <c r="N282" s="23" t="str">
        <f t="shared" si="44"/>
        <v xml:space="preserve"> </v>
      </c>
    </row>
    <row r="283" spans="1:14">
      <c r="A283" s="29">
        <v>6989741</v>
      </c>
      <c r="B283" s="10">
        <f>_xlfn.XLOOKUP(A283,Data!E:E,Data!B:B,0,0,-1)</f>
        <v>45522</v>
      </c>
      <c r="C283" s="20">
        <f>_xlfn.XLOOKUP(A283,Data!E:E,Data!B:B)</f>
        <v>45522</v>
      </c>
      <c r="D283" s="21">
        <f>COUNTIF(Data!E:E,A283)</f>
        <v>4</v>
      </c>
      <c r="E283" s="22">
        <f>SUMIF(Data!E:E,'RFM mijozlar tahlili'!A283,Data!J:J)</f>
        <v>5534477.2399999993</v>
      </c>
      <c r="F283" s="29">
        <f t="shared" si="36"/>
        <v>5</v>
      </c>
      <c r="G283">
        <f t="shared" si="37"/>
        <v>1</v>
      </c>
      <c r="H283">
        <f t="shared" si="38"/>
        <v>1</v>
      </c>
      <c r="I283" s="23">
        <f t="shared" si="39"/>
        <v>2</v>
      </c>
      <c r="J283" t="str">
        <f t="shared" si="40"/>
        <v xml:space="preserve"> </v>
      </c>
      <c r="K283" t="str">
        <f t="shared" si="41"/>
        <v xml:space="preserve"> </v>
      </c>
      <c r="L283" t="str">
        <f t="shared" si="42"/>
        <v>Yo'qotilgan</v>
      </c>
      <c r="M283" t="str">
        <f t="shared" si="43"/>
        <v xml:space="preserve"> </v>
      </c>
      <c r="N283" s="23" t="str">
        <f t="shared" si="44"/>
        <v xml:space="preserve"> </v>
      </c>
    </row>
    <row r="284" spans="1:14">
      <c r="A284" s="29">
        <v>4873703</v>
      </c>
      <c r="B284" s="10">
        <f>_xlfn.XLOOKUP(A284,Data!E:E,Data!B:B,0,0,-1)</f>
        <v>45369</v>
      </c>
      <c r="C284" s="20">
        <f>_xlfn.XLOOKUP(A284,Data!E:E,Data!B:B)</f>
        <v>45520</v>
      </c>
      <c r="D284" s="21">
        <f>COUNTIF(Data!E:E,A284)</f>
        <v>10</v>
      </c>
      <c r="E284" s="22">
        <f>SUMIF(Data!E:E,'RFM mijozlar tahlili'!A284,Data!J:J)</f>
        <v>2405254.9111200003</v>
      </c>
      <c r="F284" s="29">
        <f t="shared" si="36"/>
        <v>5</v>
      </c>
      <c r="G284">
        <f t="shared" si="37"/>
        <v>1</v>
      </c>
      <c r="H284">
        <f t="shared" si="38"/>
        <v>4</v>
      </c>
      <c r="I284" s="23">
        <f t="shared" si="39"/>
        <v>1</v>
      </c>
      <c r="J284" t="str">
        <f t="shared" si="40"/>
        <v xml:space="preserve"> </v>
      </c>
      <c r="K284" t="str">
        <f t="shared" si="41"/>
        <v xml:space="preserve"> </v>
      </c>
      <c r="L284" t="str">
        <f t="shared" si="42"/>
        <v xml:space="preserve"> </v>
      </c>
      <c r="M284" t="str">
        <f t="shared" si="43"/>
        <v xml:space="preserve"> </v>
      </c>
      <c r="N284" s="23" t="str">
        <f t="shared" si="44"/>
        <v xml:space="preserve"> </v>
      </c>
    </row>
    <row r="285" spans="1:14">
      <c r="A285" s="29">
        <v>4876065</v>
      </c>
      <c r="B285" s="10">
        <f>_xlfn.XLOOKUP(A285,Data!E:E,Data!B:B,0,0,-1)</f>
        <v>45520</v>
      </c>
      <c r="C285" s="20">
        <f>_xlfn.XLOOKUP(A285,Data!E:E,Data!B:B)</f>
        <v>45520</v>
      </c>
      <c r="D285" s="21">
        <f>COUNTIF(Data!E:E,A285)</f>
        <v>2</v>
      </c>
      <c r="E285" s="22">
        <f>SUMIF(Data!E:E,'RFM mijozlar tahlili'!A285,Data!J:J)</f>
        <v>402553.12319999997</v>
      </c>
      <c r="F285" s="29">
        <f t="shared" si="36"/>
        <v>5</v>
      </c>
      <c r="G285">
        <f t="shared" si="37"/>
        <v>1</v>
      </c>
      <c r="H285">
        <f t="shared" si="38"/>
        <v>0</v>
      </c>
      <c r="I285" s="23">
        <f t="shared" si="39"/>
        <v>0</v>
      </c>
      <c r="J285" t="str">
        <f t="shared" si="40"/>
        <v xml:space="preserve"> </v>
      </c>
      <c r="K285" t="str">
        <f t="shared" si="41"/>
        <v xml:space="preserve"> </v>
      </c>
      <c r="L285" t="str">
        <f t="shared" si="42"/>
        <v>Yo'qotilgan</v>
      </c>
      <c r="M285" t="str">
        <f t="shared" si="43"/>
        <v xml:space="preserve"> </v>
      </c>
      <c r="N285" s="23" t="str">
        <f t="shared" si="44"/>
        <v xml:space="preserve"> </v>
      </c>
    </row>
    <row r="286" spans="1:14">
      <c r="A286" s="29">
        <v>6080557</v>
      </c>
      <c r="B286" s="10">
        <f>_xlfn.XLOOKUP(A286,Data!E:E,Data!B:B,0,0,-1)</f>
        <v>45519</v>
      </c>
      <c r="C286" s="20">
        <f>_xlfn.XLOOKUP(A286,Data!E:E,Data!B:B)</f>
        <v>45519</v>
      </c>
      <c r="D286" s="21">
        <f>COUNTIF(Data!E:E,A286)</f>
        <v>1</v>
      </c>
      <c r="E286" s="22">
        <f>SUMIF(Data!E:E,'RFM mijozlar tahlili'!A286,Data!J:J)</f>
        <v>1257664.4080000001</v>
      </c>
      <c r="F286" s="29">
        <f t="shared" si="36"/>
        <v>5</v>
      </c>
      <c r="G286">
        <f t="shared" si="37"/>
        <v>1</v>
      </c>
      <c r="H286">
        <f t="shared" si="38"/>
        <v>0</v>
      </c>
      <c r="I286" s="23">
        <f t="shared" si="39"/>
        <v>0</v>
      </c>
      <c r="J286" t="str">
        <f t="shared" si="40"/>
        <v xml:space="preserve"> </v>
      </c>
      <c r="K286" t="str">
        <f t="shared" si="41"/>
        <v xml:space="preserve"> </v>
      </c>
      <c r="L286" t="str">
        <f t="shared" si="42"/>
        <v>Yo'qotilgan</v>
      </c>
      <c r="M286" t="str">
        <f t="shared" si="43"/>
        <v xml:space="preserve"> </v>
      </c>
      <c r="N286" s="23" t="str">
        <f t="shared" si="44"/>
        <v xml:space="preserve"> </v>
      </c>
    </row>
    <row r="287" spans="1:14">
      <c r="A287" s="29">
        <v>4876320</v>
      </c>
      <c r="B287" s="10">
        <f>_xlfn.XLOOKUP(A287,Data!E:E,Data!B:B,0,0,-1)</f>
        <v>45526</v>
      </c>
      <c r="C287" s="20">
        <f>_xlfn.XLOOKUP(A287,Data!E:E,Data!B:B)</f>
        <v>45526</v>
      </c>
      <c r="D287" s="21">
        <f>COUNTIF(Data!E:E,A287)</f>
        <v>1</v>
      </c>
      <c r="E287" s="22">
        <f>SUMIF(Data!E:E,'RFM mijozlar tahlili'!A287,Data!J:J)</f>
        <v>1006382.808</v>
      </c>
      <c r="F287" s="29">
        <f t="shared" si="36"/>
        <v>5</v>
      </c>
      <c r="G287">
        <f t="shared" si="37"/>
        <v>1</v>
      </c>
      <c r="H287">
        <f t="shared" si="38"/>
        <v>0</v>
      </c>
      <c r="I287" s="23">
        <f t="shared" si="39"/>
        <v>0</v>
      </c>
      <c r="J287" t="str">
        <f t="shared" si="40"/>
        <v xml:space="preserve"> </v>
      </c>
      <c r="K287" t="str">
        <f t="shared" si="41"/>
        <v xml:space="preserve"> </v>
      </c>
      <c r="L287" t="str">
        <f t="shared" si="42"/>
        <v>Yo'qotilgan</v>
      </c>
      <c r="M287" t="str">
        <f t="shared" si="43"/>
        <v xml:space="preserve"> </v>
      </c>
      <c r="N287" s="23" t="str">
        <f t="shared" si="44"/>
        <v xml:space="preserve"> </v>
      </c>
    </row>
    <row r="288" spans="1:14">
      <c r="A288" s="29">
        <v>4878830</v>
      </c>
      <c r="B288" s="10">
        <f>_xlfn.XLOOKUP(A288,Data!E:E,Data!B:B,0,0,-1)</f>
        <v>45319</v>
      </c>
      <c r="C288" s="20">
        <f>_xlfn.XLOOKUP(A288,Data!E:E,Data!B:B)</f>
        <v>45528</v>
      </c>
      <c r="D288" s="21">
        <f>COUNTIF(Data!E:E,A288)</f>
        <v>16</v>
      </c>
      <c r="E288" s="22">
        <f>SUMIF(Data!E:E,'RFM mijozlar tahlili'!A288,Data!J:J)</f>
        <v>7618066.574959999</v>
      </c>
      <c r="F288" s="29">
        <f t="shared" si="36"/>
        <v>4</v>
      </c>
      <c r="G288">
        <f t="shared" si="37"/>
        <v>2</v>
      </c>
      <c r="H288">
        <f t="shared" si="38"/>
        <v>5</v>
      </c>
      <c r="I288" s="23">
        <f t="shared" si="39"/>
        <v>3</v>
      </c>
      <c r="J288" t="str">
        <f t="shared" si="40"/>
        <v xml:space="preserve"> </v>
      </c>
      <c r="K288" t="str">
        <f t="shared" si="41"/>
        <v xml:space="preserve"> </v>
      </c>
      <c r="L288" t="str">
        <f t="shared" si="42"/>
        <v xml:space="preserve"> </v>
      </c>
      <c r="M288" t="str">
        <f t="shared" si="43"/>
        <v>Yo'qotishdagi</v>
      </c>
      <c r="N288" s="23" t="str">
        <f t="shared" si="44"/>
        <v xml:space="preserve"> </v>
      </c>
    </row>
    <row r="289" spans="1:14">
      <c r="A289" s="29">
        <v>4876307</v>
      </c>
      <c r="B289" s="10">
        <f>_xlfn.XLOOKUP(A289,Data!E:E,Data!B:B,0,0,-1)</f>
        <v>45530</v>
      </c>
      <c r="C289" s="20">
        <f>_xlfn.XLOOKUP(A289,Data!E:E,Data!B:B)</f>
        <v>45530</v>
      </c>
      <c r="D289" s="21">
        <f>COUNTIF(Data!E:E,A289)</f>
        <v>1</v>
      </c>
      <c r="E289" s="22">
        <f>SUMIF(Data!E:E,'RFM mijozlar tahlili'!A289,Data!J:J)</f>
        <v>603829.68479999993</v>
      </c>
      <c r="F289" s="29">
        <f t="shared" si="36"/>
        <v>4</v>
      </c>
      <c r="G289">
        <f t="shared" si="37"/>
        <v>2</v>
      </c>
      <c r="H289">
        <f t="shared" si="38"/>
        <v>0</v>
      </c>
      <c r="I289" s="23">
        <f t="shared" si="39"/>
        <v>0</v>
      </c>
      <c r="J289" t="str">
        <f t="shared" si="40"/>
        <v xml:space="preserve"> </v>
      </c>
      <c r="K289" t="str">
        <f t="shared" si="41"/>
        <v xml:space="preserve"> </v>
      </c>
      <c r="L289" t="str">
        <f t="shared" si="42"/>
        <v xml:space="preserve"> </v>
      </c>
      <c r="M289" t="str">
        <f t="shared" si="43"/>
        <v xml:space="preserve"> </v>
      </c>
      <c r="N289" s="23" t="str">
        <f t="shared" si="44"/>
        <v xml:space="preserve"> </v>
      </c>
    </row>
    <row r="290" spans="1:14">
      <c r="A290" s="29">
        <v>4873551</v>
      </c>
      <c r="B290" s="10">
        <f>_xlfn.XLOOKUP(A290,Data!E:E,Data!B:B,0,0,-1)</f>
        <v>45525</v>
      </c>
      <c r="C290" s="20">
        <f>_xlfn.XLOOKUP(A290,Data!E:E,Data!B:B)</f>
        <v>45525</v>
      </c>
      <c r="D290" s="21">
        <f>COUNTIF(Data!E:E,A290)</f>
        <v>1</v>
      </c>
      <c r="E290" s="22">
        <f>SUMIF(Data!E:E,'RFM mijozlar tahlili'!A290,Data!J:J)</f>
        <v>402553.12319999997</v>
      </c>
      <c r="F290" s="29">
        <f t="shared" si="36"/>
        <v>5</v>
      </c>
      <c r="G290">
        <f t="shared" si="37"/>
        <v>1</v>
      </c>
      <c r="H290">
        <f t="shared" si="38"/>
        <v>0</v>
      </c>
      <c r="I290" s="23">
        <f t="shared" si="39"/>
        <v>0</v>
      </c>
      <c r="J290" t="str">
        <f t="shared" si="40"/>
        <v xml:space="preserve"> </v>
      </c>
      <c r="K290" t="str">
        <f t="shared" si="41"/>
        <v xml:space="preserve"> </v>
      </c>
      <c r="L290" t="str">
        <f t="shared" si="42"/>
        <v>Yo'qotilgan</v>
      </c>
      <c r="M290" t="str">
        <f t="shared" si="43"/>
        <v xml:space="preserve"> </v>
      </c>
      <c r="N290" s="23" t="str">
        <f t="shared" si="44"/>
        <v xml:space="preserve"> </v>
      </c>
    </row>
    <row r="291" spans="1:14">
      <c r="A291" s="29">
        <v>4876555</v>
      </c>
      <c r="B291" s="10">
        <f>_xlfn.XLOOKUP(A291,Data!E:E,Data!B:B,0,0,-1)</f>
        <v>45525</v>
      </c>
      <c r="C291" s="20">
        <f>_xlfn.XLOOKUP(A291,Data!E:E,Data!B:B)</f>
        <v>45525</v>
      </c>
      <c r="D291" s="21">
        <f>COUNTIF(Data!E:E,A291)</f>
        <v>1</v>
      </c>
      <c r="E291" s="22">
        <f>SUMIF(Data!E:E,'RFM mijozlar tahlili'!A291,Data!J:J)</f>
        <v>-402553.12319999997</v>
      </c>
      <c r="F291" s="29">
        <f t="shared" si="36"/>
        <v>5</v>
      </c>
      <c r="G291">
        <f t="shared" si="37"/>
        <v>1</v>
      </c>
      <c r="H291">
        <f t="shared" si="38"/>
        <v>0</v>
      </c>
      <c r="I291" s="23">
        <f t="shared" si="39"/>
        <v>0</v>
      </c>
      <c r="J291" t="str">
        <f t="shared" si="40"/>
        <v xml:space="preserve"> </v>
      </c>
      <c r="K291" t="str">
        <f t="shared" si="41"/>
        <v xml:space="preserve"> </v>
      </c>
      <c r="L291" t="str">
        <f t="shared" si="42"/>
        <v>Yo'qotilgan</v>
      </c>
      <c r="M291" t="str">
        <f t="shared" si="43"/>
        <v xml:space="preserve"> </v>
      </c>
      <c r="N291" s="23" t="str">
        <f t="shared" si="44"/>
        <v xml:space="preserve"> </v>
      </c>
    </row>
    <row r="292" spans="1:14">
      <c r="A292" s="29">
        <v>4878864</v>
      </c>
      <c r="B292" s="10">
        <f>_xlfn.XLOOKUP(A292,Data!E:E,Data!B:B,0,0,-1)</f>
        <v>45509</v>
      </c>
      <c r="C292" s="20">
        <f>_xlfn.XLOOKUP(A292,Data!E:E,Data!B:B)</f>
        <v>45509</v>
      </c>
      <c r="D292" s="21">
        <f>COUNTIF(Data!E:E,A292)</f>
        <v>1</v>
      </c>
      <c r="E292" s="22">
        <f>SUMIF(Data!E:E,'RFM mijozlar tahlili'!A292,Data!J:J)</f>
        <v>390114.68400000001</v>
      </c>
      <c r="F292" s="29">
        <f t="shared" si="36"/>
        <v>5</v>
      </c>
      <c r="G292">
        <f t="shared" si="37"/>
        <v>1</v>
      </c>
      <c r="H292">
        <f t="shared" si="38"/>
        <v>0</v>
      </c>
      <c r="I292" s="23">
        <f t="shared" si="39"/>
        <v>0</v>
      </c>
      <c r="J292" t="str">
        <f t="shared" si="40"/>
        <v xml:space="preserve"> </v>
      </c>
      <c r="K292" t="str">
        <f t="shared" si="41"/>
        <v xml:space="preserve"> </v>
      </c>
      <c r="L292" t="str">
        <f t="shared" si="42"/>
        <v>Yo'qotilgan</v>
      </c>
      <c r="M292" t="str">
        <f t="shared" si="43"/>
        <v xml:space="preserve"> </v>
      </c>
      <c r="N292" s="23" t="str">
        <f t="shared" si="44"/>
        <v xml:space="preserve"> </v>
      </c>
    </row>
    <row r="293" spans="1:14">
      <c r="A293" s="29">
        <v>4876994</v>
      </c>
      <c r="B293" s="10">
        <f>_xlfn.XLOOKUP(A293,Data!E:E,Data!B:B,0,0,-1)</f>
        <v>45470</v>
      </c>
      <c r="C293" s="20">
        <f>_xlfn.XLOOKUP(A293,Data!E:E,Data!B:B)</f>
        <v>45512</v>
      </c>
      <c r="D293" s="21">
        <f>COUNTIF(Data!E:E,A293)</f>
        <v>5</v>
      </c>
      <c r="E293" s="22">
        <f>SUMIF(Data!E:E,'RFM mijozlar tahlili'!A293,Data!J:J)</f>
        <v>905618.88639999996</v>
      </c>
      <c r="F293" s="29">
        <f t="shared" si="36"/>
        <v>5</v>
      </c>
      <c r="G293">
        <f t="shared" si="37"/>
        <v>1</v>
      </c>
      <c r="H293">
        <f t="shared" si="38"/>
        <v>2</v>
      </c>
      <c r="I293" s="23">
        <f t="shared" si="39"/>
        <v>0</v>
      </c>
      <c r="J293" t="str">
        <f t="shared" si="40"/>
        <v xml:space="preserve"> </v>
      </c>
      <c r="K293" t="str">
        <f t="shared" si="41"/>
        <v xml:space="preserve"> </v>
      </c>
      <c r="L293" t="str">
        <f t="shared" si="42"/>
        <v xml:space="preserve"> </v>
      </c>
      <c r="M293" t="str">
        <f t="shared" si="43"/>
        <v xml:space="preserve"> </v>
      </c>
      <c r="N293" s="23" t="str">
        <f t="shared" si="44"/>
        <v xml:space="preserve"> </v>
      </c>
    </row>
    <row r="294" spans="1:14">
      <c r="A294" s="29">
        <v>4877395</v>
      </c>
      <c r="B294" s="10">
        <f>_xlfn.XLOOKUP(A294,Data!E:E,Data!B:B,0,0,-1)</f>
        <v>45443</v>
      </c>
      <c r="C294" s="20">
        <f>_xlfn.XLOOKUP(A294,Data!E:E,Data!B:B)</f>
        <v>45513</v>
      </c>
      <c r="D294" s="21">
        <f>COUNTIF(Data!E:E,A294)</f>
        <v>6</v>
      </c>
      <c r="E294" s="22">
        <f>SUMIF(Data!E:E,'RFM mijozlar tahlili'!A294,Data!J:J)</f>
        <v>3395693.9016</v>
      </c>
      <c r="F294" s="29">
        <f t="shared" si="36"/>
        <v>5</v>
      </c>
      <c r="G294">
        <f t="shared" si="37"/>
        <v>1</v>
      </c>
      <c r="H294">
        <f t="shared" si="38"/>
        <v>2</v>
      </c>
      <c r="I294" s="23">
        <f t="shared" si="39"/>
        <v>1</v>
      </c>
      <c r="J294" t="str">
        <f t="shared" si="40"/>
        <v xml:space="preserve"> </v>
      </c>
      <c r="K294" t="str">
        <f t="shared" si="41"/>
        <v xml:space="preserve"> </v>
      </c>
      <c r="L294" t="str">
        <f t="shared" si="42"/>
        <v xml:space="preserve"> </v>
      </c>
      <c r="M294" t="str">
        <f t="shared" si="43"/>
        <v xml:space="preserve"> </v>
      </c>
      <c r="N294" s="23" t="str">
        <f t="shared" si="44"/>
        <v xml:space="preserve"> </v>
      </c>
    </row>
    <row r="295" spans="1:14">
      <c r="A295" s="29">
        <v>4877344</v>
      </c>
      <c r="B295" s="10">
        <f>_xlfn.XLOOKUP(A295,Data!E:E,Data!B:B,0,0,-1)</f>
        <v>45523</v>
      </c>
      <c r="C295" s="20">
        <f>_xlfn.XLOOKUP(A295,Data!E:E,Data!B:B)</f>
        <v>45523</v>
      </c>
      <c r="D295" s="21">
        <f>COUNTIF(Data!E:E,A295)</f>
        <v>2</v>
      </c>
      <c r="E295" s="22">
        <f>SUMIF(Data!E:E,'RFM mijozlar tahlili'!A295,Data!J:J)</f>
        <v>402553.12319999997</v>
      </c>
      <c r="F295" s="29">
        <f t="shared" si="36"/>
        <v>5</v>
      </c>
      <c r="G295">
        <f t="shared" si="37"/>
        <v>1</v>
      </c>
      <c r="H295">
        <f t="shared" si="38"/>
        <v>0</v>
      </c>
      <c r="I295" s="23">
        <f t="shared" si="39"/>
        <v>0</v>
      </c>
      <c r="J295" t="str">
        <f t="shared" si="40"/>
        <v xml:space="preserve"> </v>
      </c>
      <c r="K295" t="str">
        <f t="shared" si="41"/>
        <v xml:space="preserve"> </v>
      </c>
      <c r="L295" t="str">
        <f t="shared" si="42"/>
        <v>Yo'qotilgan</v>
      </c>
      <c r="M295" t="str">
        <f t="shared" si="43"/>
        <v xml:space="preserve"> </v>
      </c>
      <c r="N295" s="23" t="str">
        <f t="shared" si="44"/>
        <v xml:space="preserve"> </v>
      </c>
    </row>
    <row r="296" spans="1:14">
      <c r="A296" s="29">
        <v>6444565</v>
      </c>
      <c r="B296" s="10">
        <f>_xlfn.XLOOKUP(A296,Data!E:E,Data!B:B,0,0,-1)</f>
        <v>45508</v>
      </c>
      <c r="C296" s="20">
        <f>_xlfn.XLOOKUP(A296,Data!E:E,Data!B:B)</f>
        <v>45508</v>
      </c>
      <c r="D296" s="21">
        <f>COUNTIF(Data!E:E,A296)</f>
        <v>3</v>
      </c>
      <c r="E296" s="22">
        <f>SUMIF(Data!E:E,'RFM mijozlar tahlili'!A296,Data!J:J)</f>
        <v>1811489.0543999998</v>
      </c>
      <c r="F296" s="29">
        <f t="shared" si="36"/>
        <v>5</v>
      </c>
      <c r="G296">
        <f t="shared" si="37"/>
        <v>1</v>
      </c>
      <c r="H296">
        <f t="shared" si="38"/>
        <v>1</v>
      </c>
      <c r="I296" s="23">
        <f t="shared" si="39"/>
        <v>0</v>
      </c>
      <c r="J296" t="str">
        <f t="shared" si="40"/>
        <v xml:space="preserve"> </v>
      </c>
      <c r="K296" t="str">
        <f t="shared" si="41"/>
        <v xml:space="preserve"> </v>
      </c>
      <c r="L296" t="str">
        <f t="shared" si="42"/>
        <v>Yo'qotilgan</v>
      </c>
      <c r="M296" t="str">
        <f t="shared" si="43"/>
        <v xml:space="preserve"> </v>
      </c>
      <c r="N296" s="23" t="str">
        <f t="shared" si="44"/>
        <v xml:space="preserve"> </v>
      </c>
    </row>
    <row r="297" spans="1:14">
      <c r="A297" s="29">
        <v>4872404</v>
      </c>
      <c r="B297" s="10">
        <f>_xlfn.XLOOKUP(A297,Data!E:E,Data!B:B,0,0,-1)</f>
        <v>45447</v>
      </c>
      <c r="C297" s="20">
        <f>_xlfn.XLOOKUP(A297,Data!E:E,Data!B:B)</f>
        <v>45509</v>
      </c>
      <c r="D297" s="21">
        <f>COUNTIF(Data!E:E,A297)</f>
        <v>8</v>
      </c>
      <c r="E297" s="22">
        <f>SUMIF(Data!E:E,'RFM mijozlar tahlili'!A297,Data!J:J)</f>
        <v>3824254.6703999988</v>
      </c>
      <c r="F297" s="29">
        <f t="shared" si="36"/>
        <v>5</v>
      </c>
      <c r="G297">
        <f t="shared" si="37"/>
        <v>1</v>
      </c>
      <c r="H297">
        <f t="shared" si="38"/>
        <v>3</v>
      </c>
      <c r="I297" s="23">
        <f t="shared" si="39"/>
        <v>1</v>
      </c>
      <c r="J297" t="str">
        <f t="shared" si="40"/>
        <v xml:space="preserve"> </v>
      </c>
      <c r="K297" t="str">
        <f t="shared" si="41"/>
        <v xml:space="preserve"> </v>
      </c>
      <c r="L297" t="str">
        <f t="shared" si="42"/>
        <v xml:space="preserve"> </v>
      </c>
      <c r="M297" t="str">
        <f t="shared" si="43"/>
        <v xml:space="preserve"> </v>
      </c>
      <c r="N297" s="23" t="str">
        <f t="shared" si="44"/>
        <v xml:space="preserve"> </v>
      </c>
    </row>
    <row r="298" spans="1:14">
      <c r="A298" s="29">
        <v>4872950</v>
      </c>
      <c r="B298" s="10">
        <f>_xlfn.XLOOKUP(A298,Data!E:E,Data!B:B,0,0,-1)</f>
        <v>45334</v>
      </c>
      <c r="C298" s="20">
        <f>_xlfn.XLOOKUP(A298,Data!E:E,Data!B:B)</f>
        <v>45510</v>
      </c>
      <c r="D298" s="21">
        <f>COUNTIF(Data!E:E,A298)</f>
        <v>28</v>
      </c>
      <c r="E298" s="22">
        <f>SUMIF(Data!E:E,'RFM mijozlar tahlili'!A298,Data!J:J)</f>
        <v>10234413.106975999</v>
      </c>
      <c r="F298" s="29">
        <f t="shared" si="36"/>
        <v>5</v>
      </c>
      <c r="G298">
        <f t="shared" si="37"/>
        <v>1</v>
      </c>
      <c r="H298">
        <f t="shared" si="38"/>
        <v>5</v>
      </c>
      <c r="I298" s="23">
        <f t="shared" si="39"/>
        <v>4</v>
      </c>
      <c r="J298" t="str">
        <f t="shared" si="40"/>
        <v xml:space="preserve"> </v>
      </c>
      <c r="K298" t="str">
        <f t="shared" si="41"/>
        <v xml:space="preserve"> </v>
      </c>
      <c r="L298" t="str">
        <f t="shared" si="42"/>
        <v xml:space="preserve"> </v>
      </c>
      <c r="M298" t="str">
        <f t="shared" si="43"/>
        <v>Yo'qotishdagi</v>
      </c>
      <c r="N298" s="23" t="str">
        <f t="shared" si="44"/>
        <v xml:space="preserve"> </v>
      </c>
    </row>
    <row r="299" spans="1:14">
      <c r="A299" s="29">
        <v>4876003</v>
      </c>
      <c r="B299" s="10">
        <f>_xlfn.XLOOKUP(A299,Data!E:E,Data!B:B,0,0,-1)</f>
        <v>45360</v>
      </c>
      <c r="C299" s="20">
        <f>_xlfn.XLOOKUP(A299,Data!E:E,Data!B:B)</f>
        <v>45510</v>
      </c>
      <c r="D299" s="21">
        <f>COUNTIF(Data!E:E,A299)</f>
        <v>12</v>
      </c>
      <c r="E299" s="22">
        <f>SUMIF(Data!E:E,'RFM mijozlar tahlili'!A299,Data!J:J)</f>
        <v>4890894.8060799995</v>
      </c>
      <c r="F299" s="29">
        <f t="shared" si="36"/>
        <v>5</v>
      </c>
      <c r="G299">
        <f t="shared" si="37"/>
        <v>1</v>
      </c>
      <c r="H299">
        <f t="shared" si="38"/>
        <v>4</v>
      </c>
      <c r="I299" s="23">
        <f t="shared" si="39"/>
        <v>2</v>
      </c>
      <c r="J299" t="str">
        <f t="shared" si="40"/>
        <v xml:space="preserve"> </v>
      </c>
      <c r="K299" t="str">
        <f t="shared" si="41"/>
        <v xml:space="preserve"> </v>
      </c>
      <c r="L299" t="str">
        <f t="shared" si="42"/>
        <v xml:space="preserve"> </v>
      </c>
      <c r="M299" t="str">
        <f t="shared" si="43"/>
        <v xml:space="preserve"> </v>
      </c>
      <c r="N299" s="23" t="str">
        <f t="shared" si="44"/>
        <v xml:space="preserve"> </v>
      </c>
    </row>
    <row r="300" spans="1:14">
      <c r="A300" s="29">
        <v>7051308</v>
      </c>
      <c r="B300" s="10">
        <f>_xlfn.XLOOKUP(A300,Data!E:E,Data!B:B,0,0,-1)</f>
        <v>45532</v>
      </c>
      <c r="C300" s="20">
        <f>_xlfn.XLOOKUP(A300,Data!E:E,Data!B:B)</f>
        <v>45532</v>
      </c>
      <c r="D300" s="21">
        <f>COUNTIF(Data!E:E,A300)</f>
        <v>1</v>
      </c>
      <c r="E300" s="22">
        <f>SUMIF(Data!E:E,'RFM mijozlar tahlili'!A300,Data!J:J)</f>
        <v>1509197.2896</v>
      </c>
      <c r="F300" s="29">
        <f t="shared" si="36"/>
        <v>4</v>
      </c>
      <c r="G300">
        <f t="shared" si="37"/>
        <v>2</v>
      </c>
      <c r="H300">
        <f t="shared" si="38"/>
        <v>0</v>
      </c>
      <c r="I300" s="23">
        <f t="shared" si="39"/>
        <v>0</v>
      </c>
      <c r="J300" t="str">
        <f t="shared" si="40"/>
        <v xml:space="preserve"> </v>
      </c>
      <c r="K300" t="str">
        <f t="shared" si="41"/>
        <v xml:space="preserve"> </v>
      </c>
      <c r="L300" t="str">
        <f t="shared" si="42"/>
        <v xml:space="preserve"> </v>
      </c>
      <c r="M300" t="str">
        <f t="shared" si="43"/>
        <v xml:space="preserve"> </v>
      </c>
      <c r="N300" s="23" t="str">
        <f t="shared" si="44"/>
        <v xml:space="preserve"> </v>
      </c>
    </row>
    <row r="301" spans="1:14">
      <c r="A301" s="29">
        <v>4872838</v>
      </c>
      <c r="B301" s="10">
        <f>_xlfn.XLOOKUP(A301,Data!E:E,Data!B:B,0,0,-1)</f>
        <v>45317</v>
      </c>
      <c r="C301" s="20">
        <f>_xlfn.XLOOKUP(A301,Data!E:E,Data!B:B)</f>
        <v>45532</v>
      </c>
      <c r="D301" s="21">
        <f>COUNTIF(Data!E:E,A301)</f>
        <v>10</v>
      </c>
      <c r="E301" s="22">
        <f>SUMIF(Data!E:E,'RFM mijozlar tahlili'!A301,Data!J:J)</f>
        <v>-5236494.9546400029</v>
      </c>
      <c r="F301" s="29">
        <f t="shared" si="36"/>
        <v>4</v>
      </c>
      <c r="G301">
        <f t="shared" si="37"/>
        <v>2</v>
      </c>
      <c r="H301">
        <f t="shared" si="38"/>
        <v>4</v>
      </c>
      <c r="I301" s="23">
        <f t="shared" si="39"/>
        <v>0</v>
      </c>
      <c r="J301" t="str">
        <f t="shared" si="40"/>
        <v xml:space="preserve"> </v>
      </c>
      <c r="K301" t="str">
        <f t="shared" si="41"/>
        <v xml:space="preserve"> </v>
      </c>
      <c r="L301" t="str">
        <f t="shared" si="42"/>
        <v xml:space="preserve"> </v>
      </c>
      <c r="M301" t="str">
        <f t="shared" si="43"/>
        <v xml:space="preserve"> </v>
      </c>
      <c r="N301" s="23" t="str">
        <f t="shared" si="44"/>
        <v xml:space="preserve"> </v>
      </c>
    </row>
    <row r="302" spans="1:14">
      <c r="A302" s="29">
        <v>4879001</v>
      </c>
      <c r="B302" s="10">
        <f>_xlfn.XLOOKUP(A302,Data!E:E,Data!B:B,0,0,-1)</f>
        <v>45479</v>
      </c>
      <c r="C302" s="20">
        <f>_xlfn.XLOOKUP(A302,Data!E:E,Data!B:B)</f>
        <v>45479</v>
      </c>
      <c r="D302" s="21">
        <f>COUNTIF(Data!E:E,A302)</f>
        <v>3</v>
      </c>
      <c r="E302" s="22">
        <f>SUMIF(Data!E:E,'RFM mijozlar tahlili'!A302,Data!J:J)</f>
        <v>603829.68479999993</v>
      </c>
      <c r="F302" s="29">
        <f t="shared" si="36"/>
        <v>6</v>
      </c>
      <c r="G302">
        <f t="shared" si="37"/>
        <v>0</v>
      </c>
      <c r="H302">
        <f t="shared" si="38"/>
        <v>1</v>
      </c>
      <c r="I302" s="23">
        <f t="shared" si="39"/>
        <v>0</v>
      </c>
      <c r="J302" t="str">
        <f t="shared" si="40"/>
        <v xml:space="preserve"> </v>
      </c>
      <c r="K302" t="str">
        <f t="shared" si="41"/>
        <v xml:space="preserve"> </v>
      </c>
      <c r="L302" t="str">
        <f t="shared" si="42"/>
        <v>Yo'qotilgan</v>
      </c>
      <c r="M302" t="str">
        <f t="shared" si="43"/>
        <v xml:space="preserve"> </v>
      </c>
      <c r="N302" s="23" t="str">
        <f t="shared" si="44"/>
        <v xml:space="preserve"> </v>
      </c>
    </row>
    <row r="303" spans="1:14">
      <c r="A303" s="29">
        <v>4873566</v>
      </c>
      <c r="B303" s="10">
        <f>_xlfn.XLOOKUP(A303,Data!E:E,Data!B:B,0,0,-1)</f>
        <v>45485</v>
      </c>
      <c r="C303" s="20">
        <f>_xlfn.XLOOKUP(A303,Data!E:E,Data!B:B)</f>
        <v>45485</v>
      </c>
      <c r="D303" s="21">
        <f>COUNTIF(Data!E:E,A303)</f>
        <v>6</v>
      </c>
      <c r="E303" s="22">
        <f>SUMIF(Data!E:E,'RFM mijozlar tahlili'!A303,Data!J:J)</f>
        <v>1197595.54152</v>
      </c>
      <c r="F303" s="29">
        <f t="shared" si="36"/>
        <v>6</v>
      </c>
      <c r="G303">
        <f t="shared" si="37"/>
        <v>0</v>
      </c>
      <c r="H303">
        <f t="shared" si="38"/>
        <v>2</v>
      </c>
      <c r="I303" s="23">
        <f t="shared" si="39"/>
        <v>0</v>
      </c>
      <c r="J303" t="str">
        <f t="shared" si="40"/>
        <v xml:space="preserve"> </v>
      </c>
      <c r="K303" t="str">
        <f t="shared" si="41"/>
        <v xml:space="preserve"> </v>
      </c>
      <c r="L303" t="str">
        <f t="shared" si="42"/>
        <v xml:space="preserve"> </v>
      </c>
      <c r="M303" t="str">
        <f t="shared" si="43"/>
        <v xml:space="preserve"> </v>
      </c>
      <c r="N303" s="23" t="str">
        <f t="shared" si="44"/>
        <v xml:space="preserve"> </v>
      </c>
    </row>
    <row r="304" spans="1:14">
      <c r="A304" s="29">
        <v>4876969</v>
      </c>
      <c r="B304" s="10">
        <f>_xlfn.XLOOKUP(A304,Data!E:E,Data!B:B,0,0,-1)</f>
        <v>45486</v>
      </c>
      <c r="C304" s="20">
        <f>_xlfn.XLOOKUP(A304,Data!E:E,Data!B:B)</f>
        <v>45486</v>
      </c>
      <c r="D304" s="21">
        <f>COUNTIF(Data!E:E,A304)</f>
        <v>2</v>
      </c>
      <c r="E304" s="22">
        <f>SUMIF(Data!E:E,'RFM mijozlar tahlili'!A304,Data!J:J)</f>
        <v>402553.12319999997</v>
      </c>
      <c r="F304" s="29">
        <f t="shared" si="36"/>
        <v>6</v>
      </c>
      <c r="G304">
        <f t="shared" si="37"/>
        <v>0</v>
      </c>
      <c r="H304">
        <f t="shared" si="38"/>
        <v>0</v>
      </c>
      <c r="I304" s="23">
        <f t="shared" si="39"/>
        <v>0</v>
      </c>
      <c r="J304" t="str">
        <f t="shared" si="40"/>
        <v xml:space="preserve"> </v>
      </c>
      <c r="K304" t="str">
        <f t="shared" si="41"/>
        <v xml:space="preserve"> </v>
      </c>
      <c r="L304" t="str">
        <f t="shared" si="42"/>
        <v>Yo'qotilgan</v>
      </c>
      <c r="M304" t="str">
        <f t="shared" si="43"/>
        <v xml:space="preserve"> </v>
      </c>
      <c r="N304" s="23" t="str">
        <f t="shared" si="44"/>
        <v xml:space="preserve"> </v>
      </c>
    </row>
    <row r="305" spans="1:14">
      <c r="A305" s="29">
        <v>4875332</v>
      </c>
      <c r="B305" s="10">
        <f>_xlfn.XLOOKUP(A305,Data!E:E,Data!B:B,0,0,-1)</f>
        <v>45491</v>
      </c>
      <c r="C305" s="20">
        <f>_xlfn.XLOOKUP(A305,Data!E:E,Data!B:B)</f>
        <v>45491</v>
      </c>
      <c r="D305" s="21">
        <f>COUNTIF(Data!E:E,A305)</f>
        <v>5</v>
      </c>
      <c r="E305" s="22">
        <f>SUMIF(Data!E:E,'RFM mijozlar tahlili'!A305,Data!J:J)</f>
        <v>996318.97991999995</v>
      </c>
      <c r="F305" s="29">
        <f t="shared" si="36"/>
        <v>6</v>
      </c>
      <c r="G305">
        <f t="shared" si="37"/>
        <v>0</v>
      </c>
      <c r="H305">
        <f t="shared" si="38"/>
        <v>2</v>
      </c>
      <c r="I305" s="23">
        <f t="shared" si="39"/>
        <v>0</v>
      </c>
      <c r="J305" t="str">
        <f t="shared" si="40"/>
        <v xml:space="preserve"> </v>
      </c>
      <c r="K305" t="str">
        <f t="shared" si="41"/>
        <v xml:space="preserve"> </v>
      </c>
      <c r="L305" t="str">
        <f t="shared" si="42"/>
        <v xml:space="preserve"> </v>
      </c>
      <c r="M305" t="str">
        <f t="shared" si="43"/>
        <v xml:space="preserve"> </v>
      </c>
      <c r="N305" s="23" t="str">
        <f t="shared" si="44"/>
        <v xml:space="preserve"> </v>
      </c>
    </row>
    <row r="306" spans="1:14">
      <c r="A306" s="29">
        <v>4874911</v>
      </c>
      <c r="B306" s="10">
        <f>_xlfn.XLOOKUP(A306,Data!E:E,Data!B:B,0,0,-1)</f>
        <v>45493</v>
      </c>
      <c r="C306" s="20">
        <f>_xlfn.XLOOKUP(A306,Data!E:E,Data!B:B)</f>
        <v>45493</v>
      </c>
      <c r="D306" s="21">
        <f>COUNTIF(Data!E:E,A306)</f>
        <v>6</v>
      </c>
      <c r="E306" s="22">
        <f>SUMIF(Data!E:E,'RFM mijozlar tahlili'!A306,Data!J:J)</f>
        <v>1197595.54152</v>
      </c>
      <c r="F306" s="29">
        <f t="shared" si="36"/>
        <v>6</v>
      </c>
      <c r="G306">
        <f t="shared" si="37"/>
        <v>0</v>
      </c>
      <c r="H306">
        <f t="shared" si="38"/>
        <v>2</v>
      </c>
      <c r="I306" s="23">
        <f t="shared" si="39"/>
        <v>0</v>
      </c>
      <c r="J306" t="str">
        <f t="shared" si="40"/>
        <v xml:space="preserve"> </v>
      </c>
      <c r="K306" t="str">
        <f t="shared" si="41"/>
        <v xml:space="preserve"> </v>
      </c>
      <c r="L306" t="str">
        <f t="shared" si="42"/>
        <v xml:space="preserve"> </v>
      </c>
      <c r="M306" t="str">
        <f t="shared" si="43"/>
        <v xml:space="preserve"> </v>
      </c>
      <c r="N306" s="23" t="str">
        <f t="shared" si="44"/>
        <v xml:space="preserve"> </v>
      </c>
    </row>
    <row r="307" spans="1:14">
      <c r="A307" s="29">
        <v>4878256</v>
      </c>
      <c r="B307" s="10">
        <f>_xlfn.XLOOKUP(A307,Data!E:E,Data!B:B,0,0,-1)</f>
        <v>45477</v>
      </c>
      <c r="C307" s="20">
        <f>_xlfn.XLOOKUP(A307,Data!E:E,Data!B:B)</f>
        <v>45477</v>
      </c>
      <c r="D307" s="21">
        <f>COUNTIF(Data!E:E,A307)</f>
        <v>5</v>
      </c>
      <c r="E307" s="22">
        <f>SUMIF(Data!E:E,'RFM mijozlar tahlili'!A307,Data!J:J)</f>
        <v>3019148.4239999996</v>
      </c>
      <c r="F307" s="29">
        <f t="shared" si="36"/>
        <v>6</v>
      </c>
      <c r="G307">
        <f t="shared" si="37"/>
        <v>0</v>
      </c>
      <c r="H307">
        <f t="shared" si="38"/>
        <v>2</v>
      </c>
      <c r="I307" s="23">
        <f t="shared" si="39"/>
        <v>1</v>
      </c>
      <c r="J307" t="str">
        <f t="shared" si="40"/>
        <v xml:space="preserve"> </v>
      </c>
      <c r="K307" t="str">
        <f t="shared" si="41"/>
        <v xml:space="preserve"> </v>
      </c>
      <c r="L307" t="str">
        <f t="shared" si="42"/>
        <v xml:space="preserve"> </v>
      </c>
      <c r="M307" t="str">
        <f t="shared" si="43"/>
        <v xml:space="preserve"> </v>
      </c>
      <c r="N307" s="23" t="str">
        <f t="shared" si="44"/>
        <v xml:space="preserve"> </v>
      </c>
    </row>
    <row r="308" spans="1:14">
      <c r="A308" s="29">
        <v>4878298</v>
      </c>
      <c r="B308" s="10">
        <f>_xlfn.XLOOKUP(A308,Data!E:E,Data!B:B,0,0,-1)</f>
        <v>45401</v>
      </c>
      <c r="C308" s="20">
        <f>_xlfn.XLOOKUP(A308,Data!E:E,Data!B:B)</f>
        <v>45485</v>
      </c>
      <c r="D308" s="21">
        <f>COUNTIF(Data!E:E,A308)</f>
        <v>8</v>
      </c>
      <c r="E308" s="22">
        <f>SUMIF(Data!E:E,'RFM mijozlar tahlili'!A308,Data!J:J)</f>
        <v>2113403.8967999998</v>
      </c>
      <c r="F308" s="29">
        <f t="shared" si="36"/>
        <v>6</v>
      </c>
      <c r="G308">
        <f t="shared" si="37"/>
        <v>0</v>
      </c>
      <c r="H308">
        <f t="shared" si="38"/>
        <v>3</v>
      </c>
      <c r="I308" s="23">
        <f t="shared" si="39"/>
        <v>1</v>
      </c>
      <c r="J308" t="str">
        <f t="shared" si="40"/>
        <v xml:space="preserve"> </v>
      </c>
      <c r="K308" t="str">
        <f t="shared" si="41"/>
        <v xml:space="preserve"> </v>
      </c>
      <c r="L308" t="str">
        <f t="shared" si="42"/>
        <v xml:space="preserve"> </v>
      </c>
      <c r="M308" t="str">
        <f t="shared" si="43"/>
        <v xml:space="preserve"> </v>
      </c>
      <c r="N308" s="23" t="str">
        <f t="shared" si="44"/>
        <v xml:space="preserve"> </v>
      </c>
    </row>
    <row r="309" spans="1:14">
      <c r="A309" s="29">
        <v>4878299</v>
      </c>
      <c r="B309" s="10">
        <f>_xlfn.XLOOKUP(A309,Data!E:E,Data!B:B,0,0,-1)</f>
        <v>45485</v>
      </c>
      <c r="C309" s="20">
        <f>_xlfn.XLOOKUP(A309,Data!E:E,Data!B:B)</f>
        <v>45485</v>
      </c>
      <c r="D309" s="21">
        <f>COUNTIF(Data!E:E,A309)</f>
        <v>1</v>
      </c>
      <c r="E309" s="22">
        <f>SUMIF(Data!E:E,'RFM mijozlar tahlili'!A309,Data!J:J)</f>
        <v>201276.56159999999</v>
      </c>
      <c r="F309" s="29">
        <f t="shared" si="36"/>
        <v>6</v>
      </c>
      <c r="G309">
        <f t="shared" si="37"/>
        <v>0</v>
      </c>
      <c r="H309">
        <f t="shared" si="38"/>
        <v>0</v>
      </c>
      <c r="I309" s="23">
        <f t="shared" si="39"/>
        <v>0</v>
      </c>
      <c r="J309" t="str">
        <f t="shared" si="40"/>
        <v xml:space="preserve"> </v>
      </c>
      <c r="K309" t="str">
        <f t="shared" si="41"/>
        <v xml:space="preserve"> </v>
      </c>
      <c r="L309" t="str">
        <f t="shared" si="42"/>
        <v>Yo'qotilgan</v>
      </c>
      <c r="M309" t="str">
        <f t="shared" si="43"/>
        <v xml:space="preserve"> </v>
      </c>
      <c r="N309" s="23" t="str">
        <f t="shared" si="44"/>
        <v xml:space="preserve"> </v>
      </c>
    </row>
    <row r="310" spans="1:14">
      <c r="A310" s="29">
        <v>4878076</v>
      </c>
      <c r="B310" s="10">
        <f>_xlfn.XLOOKUP(A310,Data!E:E,Data!B:B,0,0,-1)</f>
        <v>45454</v>
      </c>
      <c r="C310" s="20">
        <f>_xlfn.XLOOKUP(A310,Data!E:E,Data!B:B)</f>
        <v>45486</v>
      </c>
      <c r="D310" s="21">
        <f>COUNTIF(Data!E:E,A310)</f>
        <v>7</v>
      </c>
      <c r="E310" s="22">
        <f>SUMIF(Data!E:E,'RFM mijozlar tahlili'!A310,Data!J:J)</f>
        <v>1183285.0544</v>
      </c>
      <c r="F310" s="29">
        <f t="shared" si="36"/>
        <v>6</v>
      </c>
      <c r="G310">
        <f t="shared" si="37"/>
        <v>0</v>
      </c>
      <c r="H310">
        <f t="shared" si="38"/>
        <v>3</v>
      </c>
      <c r="I310" s="23">
        <f t="shared" si="39"/>
        <v>0</v>
      </c>
      <c r="J310" t="str">
        <f t="shared" si="40"/>
        <v xml:space="preserve"> </v>
      </c>
      <c r="K310" t="str">
        <f t="shared" si="41"/>
        <v xml:space="preserve"> </v>
      </c>
      <c r="L310" t="str">
        <f t="shared" si="42"/>
        <v xml:space="preserve"> </v>
      </c>
      <c r="M310" t="str">
        <f t="shared" si="43"/>
        <v xml:space="preserve"> </v>
      </c>
      <c r="N310" s="23" t="str">
        <f t="shared" si="44"/>
        <v xml:space="preserve"> </v>
      </c>
    </row>
    <row r="311" spans="1:14">
      <c r="A311" s="29">
        <v>4878419</v>
      </c>
      <c r="B311" s="10">
        <f>_xlfn.XLOOKUP(A311,Data!E:E,Data!B:B,0,0,-1)</f>
        <v>45486</v>
      </c>
      <c r="C311" s="20">
        <f>_xlfn.XLOOKUP(A311,Data!E:E,Data!B:B)</f>
        <v>45486</v>
      </c>
      <c r="D311" s="21">
        <f>COUNTIF(Data!E:E,A311)</f>
        <v>2</v>
      </c>
      <c r="E311" s="22">
        <f>SUMIF(Data!E:E,'RFM mijozlar tahlili'!A311,Data!J:J)</f>
        <v>392489.29511999997</v>
      </c>
      <c r="F311" s="29">
        <f t="shared" si="36"/>
        <v>6</v>
      </c>
      <c r="G311">
        <f t="shared" si="37"/>
        <v>0</v>
      </c>
      <c r="H311">
        <f t="shared" si="38"/>
        <v>0</v>
      </c>
      <c r="I311" s="23">
        <f t="shared" si="39"/>
        <v>0</v>
      </c>
      <c r="J311" t="str">
        <f t="shared" si="40"/>
        <v xml:space="preserve"> </v>
      </c>
      <c r="K311" t="str">
        <f t="shared" si="41"/>
        <v xml:space="preserve"> </v>
      </c>
      <c r="L311" t="str">
        <f t="shared" si="42"/>
        <v>Yo'qotilgan</v>
      </c>
      <c r="M311" t="str">
        <f t="shared" si="43"/>
        <v xml:space="preserve"> </v>
      </c>
      <c r="N311" s="23" t="str">
        <f t="shared" si="44"/>
        <v xml:space="preserve"> </v>
      </c>
    </row>
    <row r="312" spans="1:14">
      <c r="A312" s="29">
        <v>4877909</v>
      </c>
      <c r="B312" s="10">
        <f>_xlfn.XLOOKUP(A312,Data!E:E,Data!B:B,0,0,-1)</f>
        <v>45488</v>
      </c>
      <c r="C312" s="20">
        <f>_xlfn.XLOOKUP(A312,Data!E:E,Data!B:B)</f>
        <v>45488</v>
      </c>
      <c r="D312" s="21">
        <f>COUNTIF(Data!E:E,A312)</f>
        <v>3</v>
      </c>
      <c r="E312" s="22">
        <f>SUMIF(Data!E:E,'RFM mijozlar tahlili'!A312,Data!J:J)</f>
        <v>795042.41831999994</v>
      </c>
      <c r="F312" s="29">
        <f t="shared" si="36"/>
        <v>6</v>
      </c>
      <c r="G312">
        <f t="shared" si="37"/>
        <v>0</v>
      </c>
      <c r="H312">
        <f t="shared" si="38"/>
        <v>1</v>
      </c>
      <c r="I312" s="23">
        <f t="shared" si="39"/>
        <v>0</v>
      </c>
      <c r="J312" t="str">
        <f t="shared" si="40"/>
        <v xml:space="preserve"> </v>
      </c>
      <c r="K312" t="str">
        <f t="shared" si="41"/>
        <v xml:space="preserve"> </v>
      </c>
      <c r="L312" t="str">
        <f t="shared" si="42"/>
        <v>Yo'qotilgan</v>
      </c>
      <c r="M312" t="str">
        <f t="shared" si="43"/>
        <v xml:space="preserve"> </v>
      </c>
      <c r="N312" s="23" t="str">
        <f t="shared" si="44"/>
        <v xml:space="preserve"> </v>
      </c>
    </row>
    <row r="313" spans="1:14">
      <c r="A313" s="29">
        <v>4878294</v>
      </c>
      <c r="B313" s="10">
        <f>_xlfn.XLOOKUP(A313,Data!E:E,Data!B:B,0,0,-1)</f>
        <v>45344</v>
      </c>
      <c r="C313" s="20">
        <f>_xlfn.XLOOKUP(A313,Data!E:E,Data!B:B)</f>
        <v>45489</v>
      </c>
      <c r="D313" s="21">
        <f>COUNTIF(Data!E:E,A313)</f>
        <v>6</v>
      </c>
      <c r="E313" s="22">
        <f>SUMIF(Data!E:E,'RFM mijozlar tahlili'!A313,Data!J:J)</f>
        <v>5.8207660913467407E-11</v>
      </c>
      <c r="F313" s="29">
        <f t="shared" si="36"/>
        <v>6</v>
      </c>
      <c r="G313">
        <f t="shared" si="37"/>
        <v>0</v>
      </c>
      <c r="H313">
        <f t="shared" si="38"/>
        <v>2</v>
      </c>
      <c r="I313" s="23">
        <f t="shared" si="39"/>
        <v>0</v>
      </c>
      <c r="J313" t="str">
        <f t="shared" si="40"/>
        <v xml:space="preserve"> </v>
      </c>
      <c r="K313" t="str">
        <f t="shared" si="41"/>
        <v xml:space="preserve"> </v>
      </c>
      <c r="L313" t="str">
        <f t="shared" si="42"/>
        <v xml:space="preserve"> </v>
      </c>
      <c r="M313" t="str">
        <f t="shared" si="43"/>
        <v xml:space="preserve"> </v>
      </c>
      <c r="N313" s="23" t="str">
        <f t="shared" si="44"/>
        <v xml:space="preserve"> </v>
      </c>
    </row>
    <row r="314" spans="1:14">
      <c r="A314" s="29">
        <v>4877626</v>
      </c>
      <c r="B314" s="10">
        <f>_xlfn.XLOOKUP(A314,Data!E:E,Data!B:B,0,0,-1)</f>
        <v>45316</v>
      </c>
      <c r="C314" s="20">
        <f>_xlfn.XLOOKUP(A314,Data!E:E,Data!B:B)</f>
        <v>45491</v>
      </c>
      <c r="D314" s="21">
        <f>COUNTIF(Data!E:E,A314)</f>
        <v>10</v>
      </c>
      <c r="E314" s="22">
        <f>SUMIF(Data!E:E,'RFM mijozlar tahlili'!A314,Data!J:J)</f>
        <v>5887025.3247999996</v>
      </c>
      <c r="F314" s="29">
        <f t="shared" si="36"/>
        <v>6</v>
      </c>
      <c r="G314">
        <f t="shared" si="37"/>
        <v>0</v>
      </c>
      <c r="H314">
        <f t="shared" si="38"/>
        <v>4</v>
      </c>
      <c r="I314" s="23">
        <f t="shared" si="39"/>
        <v>2</v>
      </c>
      <c r="J314" t="str">
        <f t="shared" si="40"/>
        <v xml:space="preserve"> </v>
      </c>
      <c r="K314" t="str">
        <f t="shared" si="41"/>
        <v xml:space="preserve"> </v>
      </c>
      <c r="L314" t="str">
        <f t="shared" si="42"/>
        <v xml:space="preserve"> </v>
      </c>
      <c r="M314" t="str">
        <f t="shared" si="43"/>
        <v xml:space="preserve"> </v>
      </c>
      <c r="N314" s="23" t="str">
        <f t="shared" si="44"/>
        <v xml:space="preserve"> </v>
      </c>
    </row>
    <row r="315" spans="1:14">
      <c r="A315" s="29">
        <v>4876614</v>
      </c>
      <c r="B315" s="10">
        <f>_xlfn.XLOOKUP(A315,Data!E:E,Data!B:B,0,0,-1)</f>
        <v>45491</v>
      </c>
      <c r="C315" s="20">
        <f>_xlfn.XLOOKUP(A315,Data!E:E,Data!B:B)</f>
        <v>45491</v>
      </c>
      <c r="D315" s="21">
        <f>COUNTIF(Data!E:E,A315)</f>
        <v>2</v>
      </c>
      <c r="E315" s="22">
        <f>SUMIF(Data!E:E,'RFM mijozlar tahlili'!A315,Data!J:J)</f>
        <v>452809.44319999998</v>
      </c>
      <c r="F315" s="29">
        <f t="shared" si="36"/>
        <v>6</v>
      </c>
      <c r="G315">
        <f t="shared" si="37"/>
        <v>0</v>
      </c>
      <c r="H315">
        <f t="shared" si="38"/>
        <v>0</v>
      </c>
      <c r="I315" s="23">
        <f t="shared" si="39"/>
        <v>0</v>
      </c>
      <c r="J315" t="str">
        <f t="shared" si="40"/>
        <v xml:space="preserve"> </v>
      </c>
      <c r="K315" t="str">
        <f t="shared" si="41"/>
        <v xml:space="preserve"> </v>
      </c>
      <c r="L315" t="str">
        <f t="shared" si="42"/>
        <v>Yo'qotilgan</v>
      </c>
      <c r="M315" t="str">
        <f t="shared" si="43"/>
        <v xml:space="preserve"> </v>
      </c>
      <c r="N315" s="23" t="str">
        <f t="shared" si="44"/>
        <v xml:space="preserve"> </v>
      </c>
    </row>
    <row r="316" spans="1:14">
      <c r="A316" s="29">
        <v>4876904</v>
      </c>
      <c r="B316" s="10">
        <f>_xlfn.XLOOKUP(A316,Data!E:E,Data!B:B,0,0,-1)</f>
        <v>45504</v>
      </c>
      <c r="C316" s="20">
        <f>_xlfn.XLOOKUP(A316,Data!E:E,Data!B:B)</f>
        <v>45504</v>
      </c>
      <c r="D316" s="21">
        <f>COUNTIF(Data!E:E,A316)</f>
        <v>2</v>
      </c>
      <c r="E316" s="22">
        <f>SUMIF(Data!E:E,'RFM mijozlar tahlili'!A316,Data!J:J)</f>
        <v>503065.76319999999</v>
      </c>
      <c r="F316" s="29">
        <f t="shared" si="36"/>
        <v>5</v>
      </c>
      <c r="G316">
        <f t="shared" si="37"/>
        <v>1</v>
      </c>
      <c r="H316">
        <f t="shared" si="38"/>
        <v>0</v>
      </c>
      <c r="I316" s="23">
        <f t="shared" si="39"/>
        <v>0</v>
      </c>
      <c r="J316" t="str">
        <f t="shared" si="40"/>
        <v xml:space="preserve"> </v>
      </c>
      <c r="K316" t="str">
        <f t="shared" si="41"/>
        <v xml:space="preserve"> </v>
      </c>
      <c r="L316" t="str">
        <f t="shared" si="42"/>
        <v>Yo'qotilgan</v>
      </c>
      <c r="M316" t="str">
        <f t="shared" si="43"/>
        <v xml:space="preserve"> </v>
      </c>
      <c r="N316" s="23" t="str">
        <f t="shared" si="44"/>
        <v xml:space="preserve"> </v>
      </c>
    </row>
    <row r="317" spans="1:14">
      <c r="A317" s="29">
        <v>6080516</v>
      </c>
      <c r="B317" s="10">
        <f>_xlfn.XLOOKUP(A317,Data!E:E,Data!B:B,0,0,-1)</f>
        <v>45492</v>
      </c>
      <c r="C317" s="20">
        <f>_xlfn.XLOOKUP(A317,Data!E:E,Data!B:B)</f>
        <v>45492</v>
      </c>
      <c r="D317" s="21">
        <f>COUNTIF(Data!E:E,A317)</f>
        <v>1</v>
      </c>
      <c r="E317" s="22">
        <f>SUMIF(Data!E:E,'RFM mijozlar tahlili'!A317,Data!J:J)</f>
        <v>125766.4408</v>
      </c>
      <c r="F317" s="29">
        <f t="shared" si="36"/>
        <v>6</v>
      </c>
      <c r="G317">
        <f t="shared" si="37"/>
        <v>0</v>
      </c>
      <c r="H317">
        <f t="shared" si="38"/>
        <v>0</v>
      </c>
      <c r="I317" s="23">
        <f t="shared" si="39"/>
        <v>0</v>
      </c>
      <c r="J317" t="str">
        <f t="shared" si="40"/>
        <v xml:space="preserve"> </v>
      </c>
      <c r="K317" t="str">
        <f t="shared" si="41"/>
        <v xml:space="preserve"> </v>
      </c>
      <c r="L317" t="str">
        <f t="shared" si="42"/>
        <v>Yo'qotilgan</v>
      </c>
      <c r="M317" t="str">
        <f t="shared" si="43"/>
        <v xml:space="preserve"> </v>
      </c>
      <c r="N317" s="23" t="str">
        <f t="shared" si="44"/>
        <v xml:space="preserve"> </v>
      </c>
    </row>
    <row r="318" spans="1:14">
      <c r="A318" s="29">
        <v>4873983</v>
      </c>
      <c r="B318" s="10">
        <f>_xlfn.XLOOKUP(A318,Data!E:E,Data!B:B,0,0,-1)</f>
        <v>45478</v>
      </c>
      <c r="C318" s="20">
        <f>_xlfn.XLOOKUP(A318,Data!E:E,Data!B:B)</f>
        <v>45478</v>
      </c>
      <c r="D318" s="21">
        <f>COUNTIF(Data!E:E,A318)</f>
        <v>5</v>
      </c>
      <c r="E318" s="22">
        <f>SUMIF(Data!E:E,'RFM mijozlar tahlili'!A318,Data!J:J)</f>
        <v>2213790.8959999997</v>
      </c>
      <c r="F318" s="29">
        <f t="shared" si="36"/>
        <v>6</v>
      </c>
      <c r="G318">
        <f t="shared" si="37"/>
        <v>0</v>
      </c>
      <c r="H318">
        <f t="shared" si="38"/>
        <v>2</v>
      </c>
      <c r="I318" s="23">
        <f t="shared" si="39"/>
        <v>1</v>
      </c>
      <c r="J318" t="str">
        <f t="shared" si="40"/>
        <v xml:space="preserve"> </v>
      </c>
      <c r="K318" t="str">
        <f t="shared" si="41"/>
        <v xml:space="preserve"> </v>
      </c>
      <c r="L318" t="str">
        <f t="shared" si="42"/>
        <v xml:space="preserve"> </v>
      </c>
      <c r="M318" t="str">
        <f t="shared" si="43"/>
        <v xml:space="preserve"> </v>
      </c>
      <c r="N318" s="23" t="str">
        <f t="shared" si="44"/>
        <v xml:space="preserve"> </v>
      </c>
    </row>
    <row r="319" spans="1:14">
      <c r="A319" s="29">
        <v>4878605</v>
      </c>
      <c r="B319" s="10">
        <f>_xlfn.XLOOKUP(A319,Data!E:E,Data!B:B,0,0,-1)</f>
        <v>45315</v>
      </c>
      <c r="C319" s="20">
        <f>_xlfn.XLOOKUP(A319,Data!E:E,Data!B:B)</f>
        <v>45484</v>
      </c>
      <c r="D319" s="21">
        <f>COUNTIF(Data!E:E,A319)</f>
        <v>9</v>
      </c>
      <c r="E319" s="22">
        <f>SUMIF(Data!E:E,'RFM mijozlar tahlili'!A319,Data!J:J)</f>
        <v>2606531.47272</v>
      </c>
      <c r="F319" s="29">
        <f t="shared" si="36"/>
        <v>6</v>
      </c>
      <c r="G319">
        <f t="shared" si="37"/>
        <v>0</v>
      </c>
      <c r="H319">
        <f t="shared" si="38"/>
        <v>4</v>
      </c>
      <c r="I319" s="23">
        <f t="shared" si="39"/>
        <v>1</v>
      </c>
      <c r="J319" t="str">
        <f t="shared" si="40"/>
        <v xml:space="preserve"> </v>
      </c>
      <c r="K319" t="str">
        <f t="shared" si="41"/>
        <v xml:space="preserve"> </v>
      </c>
      <c r="L319" t="str">
        <f t="shared" si="42"/>
        <v xml:space="preserve"> </v>
      </c>
      <c r="M319" t="str">
        <f t="shared" si="43"/>
        <v xml:space="preserve"> </v>
      </c>
      <c r="N319" s="23" t="str">
        <f t="shared" si="44"/>
        <v xml:space="preserve"> </v>
      </c>
    </row>
    <row r="320" spans="1:14">
      <c r="A320" s="29">
        <v>6080030</v>
      </c>
      <c r="B320" s="10">
        <f>_xlfn.XLOOKUP(A320,Data!E:E,Data!B:B,0,0,-1)</f>
        <v>45469</v>
      </c>
      <c r="C320" s="20">
        <f>_xlfn.XLOOKUP(A320,Data!E:E,Data!B:B)</f>
        <v>45484</v>
      </c>
      <c r="D320" s="21">
        <f>COUNTIF(Data!E:E,A320)</f>
        <v>6</v>
      </c>
      <c r="E320" s="22">
        <f>SUMIF(Data!E:E,'RFM mijozlar tahlili'!A320,Data!J:J)</f>
        <v>1308172.0096</v>
      </c>
      <c r="F320" s="29">
        <f t="shared" si="36"/>
        <v>6</v>
      </c>
      <c r="G320">
        <f t="shared" si="37"/>
        <v>0</v>
      </c>
      <c r="H320">
        <f t="shared" si="38"/>
        <v>2</v>
      </c>
      <c r="I320" s="23">
        <f t="shared" si="39"/>
        <v>0</v>
      </c>
      <c r="J320" t="str">
        <f t="shared" si="40"/>
        <v xml:space="preserve"> </v>
      </c>
      <c r="K320" t="str">
        <f t="shared" si="41"/>
        <v xml:space="preserve"> </v>
      </c>
      <c r="L320" t="str">
        <f t="shared" si="42"/>
        <v xml:space="preserve"> </v>
      </c>
      <c r="M320" t="str">
        <f t="shared" si="43"/>
        <v xml:space="preserve"> </v>
      </c>
      <c r="N320" s="23" t="str">
        <f t="shared" si="44"/>
        <v xml:space="preserve"> </v>
      </c>
    </row>
    <row r="321" spans="1:14">
      <c r="A321" s="29">
        <v>4879158</v>
      </c>
      <c r="B321" s="10">
        <f>_xlfn.XLOOKUP(A321,Data!E:E,Data!B:B,0,0,-1)</f>
        <v>45405</v>
      </c>
      <c r="C321" s="20">
        <f>_xlfn.XLOOKUP(A321,Data!E:E,Data!B:B)</f>
        <v>45475</v>
      </c>
      <c r="D321" s="21">
        <f>COUNTIF(Data!E:E,A321)</f>
        <v>7</v>
      </c>
      <c r="E321" s="22">
        <f>SUMIF(Data!E:E,'RFM mijozlar tahlili'!A321,Data!J:J)</f>
        <v>5358454.4791999999</v>
      </c>
      <c r="F321" s="29">
        <f t="shared" si="36"/>
        <v>6</v>
      </c>
      <c r="G321">
        <f t="shared" si="37"/>
        <v>0</v>
      </c>
      <c r="H321">
        <f t="shared" si="38"/>
        <v>3</v>
      </c>
      <c r="I321" s="23">
        <f t="shared" si="39"/>
        <v>2</v>
      </c>
      <c r="J321" t="str">
        <f t="shared" si="40"/>
        <v xml:space="preserve"> </v>
      </c>
      <c r="K321" t="str">
        <f t="shared" si="41"/>
        <v xml:space="preserve"> </v>
      </c>
      <c r="L321" t="str">
        <f t="shared" si="42"/>
        <v xml:space="preserve"> </v>
      </c>
      <c r="M321" t="str">
        <f t="shared" si="43"/>
        <v xml:space="preserve"> </v>
      </c>
      <c r="N321" s="23" t="str">
        <f t="shared" si="44"/>
        <v xml:space="preserve"> </v>
      </c>
    </row>
    <row r="322" spans="1:14">
      <c r="A322" s="29">
        <v>4876091</v>
      </c>
      <c r="B322" s="10">
        <f>_xlfn.XLOOKUP(A322,Data!E:E,Data!B:B,0,0,-1)</f>
        <v>45369</v>
      </c>
      <c r="C322" s="20">
        <f>_xlfn.XLOOKUP(A322,Data!E:E,Data!B:B)</f>
        <v>45483</v>
      </c>
      <c r="D322" s="21">
        <f>COUNTIF(Data!E:E,A322)</f>
        <v>3</v>
      </c>
      <c r="E322" s="22">
        <f>SUMIF(Data!E:E,'RFM mijozlar tahlili'!A322,Data!J:J)</f>
        <v>1006382.808</v>
      </c>
      <c r="F322" s="29">
        <f t="shared" si="36"/>
        <v>6</v>
      </c>
      <c r="G322">
        <f t="shared" si="37"/>
        <v>0</v>
      </c>
      <c r="H322">
        <f t="shared" si="38"/>
        <v>1</v>
      </c>
      <c r="I322" s="23">
        <f t="shared" si="39"/>
        <v>0</v>
      </c>
      <c r="J322" t="str">
        <f t="shared" si="40"/>
        <v xml:space="preserve"> </v>
      </c>
      <c r="K322" t="str">
        <f t="shared" si="41"/>
        <v xml:space="preserve"> </v>
      </c>
      <c r="L322" t="str">
        <f t="shared" si="42"/>
        <v>Yo'qotilgan</v>
      </c>
      <c r="M322" t="str">
        <f t="shared" si="43"/>
        <v xml:space="preserve"> </v>
      </c>
      <c r="N322" s="23" t="str">
        <f t="shared" si="44"/>
        <v xml:space="preserve"> </v>
      </c>
    </row>
    <row r="323" spans="1:14">
      <c r="A323" s="29">
        <v>4876014</v>
      </c>
      <c r="B323" s="10">
        <f>_xlfn.XLOOKUP(A323,Data!E:E,Data!B:B,0,0,-1)</f>
        <v>45318</v>
      </c>
      <c r="C323" s="20">
        <f>_xlfn.XLOOKUP(A323,Data!E:E,Data!B:B)</f>
        <v>45486</v>
      </c>
      <c r="D323" s="21">
        <f>COUNTIF(Data!E:E,A323)</f>
        <v>8</v>
      </c>
      <c r="E323" s="22">
        <f>SUMIF(Data!E:E,'RFM mijozlar tahlili'!A323,Data!J:J)</f>
        <v>1890630.1943199998</v>
      </c>
      <c r="F323" s="29">
        <f t="shared" si="36"/>
        <v>6</v>
      </c>
      <c r="G323">
        <f t="shared" si="37"/>
        <v>0</v>
      </c>
      <c r="H323">
        <f t="shared" si="38"/>
        <v>3</v>
      </c>
      <c r="I323" s="23">
        <f t="shared" si="39"/>
        <v>0</v>
      </c>
      <c r="J323" t="str">
        <f t="shared" si="40"/>
        <v xml:space="preserve"> </v>
      </c>
      <c r="K323" t="str">
        <f t="shared" si="41"/>
        <v xml:space="preserve"> </v>
      </c>
      <c r="L323" t="str">
        <f t="shared" si="42"/>
        <v xml:space="preserve"> </v>
      </c>
      <c r="M323" t="str">
        <f t="shared" si="43"/>
        <v xml:space="preserve"> </v>
      </c>
      <c r="N323" s="23" t="str">
        <f t="shared" si="44"/>
        <v xml:space="preserve"> </v>
      </c>
    </row>
    <row r="324" spans="1:14">
      <c r="A324" s="29">
        <v>6080252</v>
      </c>
      <c r="B324" s="10">
        <f>_xlfn.XLOOKUP(A324,Data!E:E,Data!B:B,0,0,-1)</f>
        <v>45495</v>
      </c>
      <c r="C324" s="20">
        <f>_xlfn.XLOOKUP(A324,Data!E:E,Data!B:B)</f>
        <v>45495</v>
      </c>
      <c r="D324" s="21">
        <f>COUNTIF(Data!E:E,A324)</f>
        <v>2</v>
      </c>
      <c r="E324" s="22">
        <f>SUMIF(Data!E:E,'RFM mijozlar tahlili'!A324,Data!J:J)</f>
        <v>452809.44319999998</v>
      </c>
      <c r="F324" s="29">
        <f t="shared" si="36"/>
        <v>6</v>
      </c>
      <c r="G324">
        <f t="shared" si="37"/>
        <v>0</v>
      </c>
      <c r="H324">
        <f t="shared" si="38"/>
        <v>0</v>
      </c>
      <c r="I324" s="23">
        <f t="shared" si="39"/>
        <v>0</v>
      </c>
      <c r="J324" t="str">
        <f t="shared" si="40"/>
        <v xml:space="preserve"> </v>
      </c>
      <c r="K324" t="str">
        <f t="shared" si="41"/>
        <v xml:space="preserve"> </v>
      </c>
      <c r="L324" t="str">
        <f t="shared" si="42"/>
        <v>Yo'qotilgan</v>
      </c>
      <c r="M324" t="str">
        <f t="shared" si="43"/>
        <v xml:space="preserve"> </v>
      </c>
      <c r="N324" s="23" t="str">
        <f t="shared" si="44"/>
        <v xml:space="preserve"> </v>
      </c>
    </row>
    <row r="325" spans="1:14">
      <c r="A325" s="29">
        <v>4875913</v>
      </c>
      <c r="B325" s="10">
        <f>_xlfn.XLOOKUP(A325,Data!E:E,Data!B:B,0,0,-1)</f>
        <v>45344</v>
      </c>
      <c r="C325" s="20">
        <f>_xlfn.XLOOKUP(A325,Data!E:E,Data!B:B)</f>
        <v>45500</v>
      </c>
      <c r="D325" s="21">
        <f>COUNTIF(Data!E:E,A325)</f>
        <v>6</v>
      </c>
      <c r="E325" s="22">
        <f>SUMIF(Data!E:E,'RFM mijozlar tahlili'!A325,Data!J:J)</f>
        <v>503568.32639999996</v>
      </c>
      <c r="F325" s="29">
        <f t="shared" si="36"/>
        <v>5</v>
      </c>
      <c r="G325">
        <f t="shared" si="37"/>
        <v>1</v>
      </c>
      <c r="H325">
        <f t="shared" si="38"/>
        <v>2</v>
      </c>
      <c r="I325" s="23">
        <f t="shared" si="39"/>
        <v>0</v>
      </c>
      <c r="J325" t="str">
        <f t="shared" si="40"/>
        <v xml:space="preserve"> </v>
      </c>
      <c r="K325" t="str">
        <f t="shared" si="41"/>
        <v xml:space="preserve"> </v>
      </c>
      <c r="L325" t="str">
        <f t="shared" si="42"/>
        <v xml:space="preserve"> </v>
      </c>
      <c r="M325" t="str">
        <f t="shared" si="43"/>
        <v xml:space="preserve"> </v>
      </c>
      <c r="N325" s="23" t="str">
        <f t="shared" si="44"/>
        <v xml:space="preserve"> </v>
      </c>
    </row>
    <row r="326" spans="1:14">
      <c r="A326" s="29">
        <v>4876412</v>
      </c>
      <c r="B326" s="10">
        <f>_xlfn.XLOOKUP(A326,Data!E:E,Data!B:B,0,0,-1)</f>
        <v>45454</v>
      </c>
      <c r="C326" s="20">
        <f>_xlfn.XLOOKUP(A326,Data!E:E,Data!B:B)</f>
        <v>45503</v>
      </c>
      <c r="D326" s="21">
        <f>COUNTIF(Data!E:E,A326)</f>
        <v>4</v>
      </c>
      <c r="E326" s="22">
        <f>SUMIF(Data!E:E,'RFM mijozlar tahlili'!A326,Data!J:J)</f>
        <v>1559673.4809999999</v>
      </c>
      <c r="F326" s="29">
        <f t="shared" ref="F326:F389" si="45">ROUND(($F$4-C326)/30,0)</f>
        <v>5</v>
      </c>
      <c r="G326">
        <f t="shared" ref="G326:G389" si="46">IF(F326&lt;=1,5,IF(F326=2,4,IF(F326=3,3,IF(F326=4,2,IF(F326=5,1,IF(F326&gt;5,0,0))))))</f>
        <v>1</v>
      </c>
      <c r="H326">
        <f t="shared" ref="H326:H389" si="47">IF(D326&gt;=$D$3,5,IF(D326&lt;3,0,IF(D326&lt;5,1,IF(D326&lt;7,2,IF(D326&lt;9,3,IF(D326&lt;=$D$3,4,0))))))</f>
        <v>1</v>
      </c>
      <c r="I326" s="23">
        <f t="shared" ref="I326:I389" si="48">IF(E326&gt;=$E$3,5,IF(E326&lt;2000000,0,IF(E326&lt;=4000000,1,IF(E326&lt;=6000000,2,IF(E326&lt;=8000000,3,IF(E326&lt;=$E$3,4))))))</f>
        <v>0</v>
      </c>
      <c r="J326" t="str">
        <f t="shared" ref="J326:J389" si="49">IF(AND(G326=5,H326=5,I326=5),"TOP"," ")</f>
        <v xml:space="preserve"> </v>
      </c>
      <c r="K326" t="str">
        <f t="shared" ref="K326:K389" si="50">IF(AND(G326&gt;=4,H326&gt;=4), "Sodiq", " ")</f>
        <v xml:space="preserve"> </v>
      </c>
      <c r="L326" t="str">
        <f t="shared" ref="L326:L389" si="51">IF(AND(G326&lt;=1,H326&lt;=1), "Yo'qotilgan", " ")</f>
        <v>Yo'qotilgan</v>
      </c>
      <c r="M326" t="str">
        <f t="shared" ref="M326:M389" si="52">IF(AND(G326&lt;=3,I326&gt;=3), "Yo'qotishdagi", " ")</f>
        <v xml:space="preserve"> </v>
      </c>
      <c r="N326" s="23" t="str">
        <f t="shared" ref="N326:N389" si="53">IF(AND((B326-$N$2)&gt;0, F326&lt;=2), "Yangi", " ")</f>
        <v xml:space="preserve"> </v>
      </c>
    </row>
    <row r="327" spans="1:14">
      <c r="A327" s="29">
        <v>6080413</v>
      </c>
      <c r="B327" s="10">
        <f>_xlfn.XLOOKUP(A327,Data!E:E,Data!B:B,0,0,-1)</f>
        <v>45443</v>
      </c>
      <c r="C327" s="20">
        <f>_xlfn.XLOOKUP(A327,Data!E:E,Data!B:B)</f>
        <v>45486</v>
      </c>
      <c r="D327" s="21">
        <f>COUNTIF(Data!E:E,A327)</f>
        <v>9</v>
      </c>
      <c r="E327" s="22">
        <f>SUMIF(Data!E:E,'RFM mijozlar tahlili'!A327,Data!J:J)</f>
        <v>518519.58159999992</v>
      </c>
      <c r="F327" s="29">
        <f t="shared" si="45"/>
        <v>6</v>
      </c>
      <c r="G327">
        <f t="shared" si="46"/>
        <v>0</v>
      </c>
      <c r="H327">
        <f t="shared" si="47"/>
        <v>4</v>
      </c>
      <c r="I327" s="23">
        <f t="shared" si="48"/>
        <v>0</v>
      </c>
      <c r="J327" t="str">
        <f t="shared" si="49"/>
        <v xml:space="preserve"> </v>
      </c>
      <c r="K327" t="str">
        <f t="shared" si="50"/>
        <v xml:space="preserve"> </v>
      </c>
      <c r="L327" t="str">
        <f t="shared" si="51"/>
        <v xml:space="preserve"> </v>
      </c>
      <c r="M327" t="str">
        <f t="shared" si="52"/>
        <v xml:space="preserve"> </v>
      </c>
      <c r="N327" s="23" t="str">
        <f t="shared" si="53"/>
        <v xml:space="preserve"> </v>
      </c>
    </row>
    <row r="328" spans="1:14">
      <c r="A328" s="29">
        <v>4873800</v>
      </c>
      <c r="B328" s="10">
        <f>_xlfn.XLOOKUP(A328,Data!E:E,Data!B:B,0,0,-1)</f>
        <v>45314</v>
      </c>
      <c r="C328" s="20">
        <f>_xlfn.XLOOKUP(A328,Data!E:E,Data!B:B)</f>
        <v>45464</v>
      </c>
      <c r="D328" s="21">
        <f>COUNTIF(Data!E:E,A328)</f>
        <v>11</v>
      </c>
      <c r="E328" s="22">
        <f>SUMIF(Data!E:E,'RFM mijozlar tahlili'!A328,Data!J:J)</f>
        <v>2807808.0343199996</v>
      </c>
      <c r="F328" s="29">
        <f t="shared" si="45"/>
        <v>7</v>
      </c>
      <c r="G328">
        <f t="shared" si="46"/>
        <v>0</v>
      </c>
      <c r="H328">
        <f t="shared" si="47"/>
        <v>4</v>
      </c>
      <c r="I328" s="23">
        <f t="shared" si="48"/>
        <v>1</v>
      </c>
      <c r="J328" t="str">
        <f t="shared" si="49"/>
        <v xml:space="preserve"> </v>
      </c>
      <c r="K328" t="str">
        <f t="shared" si="50"/>
        <v xml:space="preserve"> </v>
      </c>
      <c r="L328" t="str">
        <f t="shared" si="51"/>
        <v xml:space="preserve"> </v>
      </c>
      <c r="M328" t="str">
        <f t="shared" si="52"/>
        <v xml:space="preserve"> </v>
      </c>
      <c r="N328" s="23" t="str">
        <f t="shared" si="53"/>
        <v xml:space="preserve"> </v>
      </c>
    </row>
    <row r="329" spans="1:14">
      <c r="A329" s="29">
        <v>4877622</v>
      </c>
      <c r="B329" s="10">
        <f>_xlfn.XLOOKUP(A329,Data!E:E,Data!B:B,0,0,-1)</f>
        <v>45330</v>
      </c>
      <c r="C329" s="20">
        <f>_xlfn.XLOOKUP(A329,Data!E:E,Data!B:B)</f>
        <v>45456</v>
      </c>
      <c r="D329" s="21">
        <f>COUNTIF(Data!E:E,A329)</f>
        <v>6</v>
      </c>
      <c r="E329" s="22">
        <f>SUMIF(Data!E:E,'RFM mijozlar tahlili'!A329,Data!J:J)</f>
        <v>1308172.0095999998</v>
      </c>
      <c r="F329" s="29">
        <f t="shared" si="45"/>
        <v>7</v>
      </c>
      <c r="G329">
        <f t="shared" si="46"/>
        <v>0</v>
      </c>
      <c r="H329">
        <f t="shared" si="47"/>
        <v>2</v>
      </c>
      <c r="I329" s="23">
        <f t="shared" si="48"/>
        <v>0</v>
      </c>
      <c r="J329" t="str">
        <f t="shared" si="49"/>
        <v xml:space="preserve"> </v>
      </c>
      <c r="K329" t="str">
        <f t="shared" si="50"/>
        <v xml:space="preserve"> </v>
      </c>
      <c r="L329" t="str">
        <f t="shared" si="51"/>
        <v xml:space="preserve"> </v>
      </c>
      <c r="M329" t="str">
        <f t="shared" si="52"/>
        <v xml:space="preserve"> </v>
      </c>
      <c r="N329" s="23" t="str">
        <f t="shared" si="53"/>
        <v xml:space="preserve"> </v>
      </c>
    </row>
    <row r="330" spans="1:14">
      <c r="A330" s="29">
        <v>4878757</v>
      </c>
      <c r="B330" s="10">
        <f>_xlfn.XLOOKUP(A330,Data!E:E,Data!B:B,0,0,-1)</f>
        <v>45447</v>
      </c>
      <c r="C330" s="20">
        <f>_xlfn.XLOOKUP(A330,Data!E:E,Data!B:B)</f>
        <v>45447</v>
      </c>
      <c r="D330" s="21">
        <f>COUNTIF(Data!E:E,A330)</f>
        <v>1</v>
      </c>
      <c r="E330" s="22">
        <f>SUMIF(Data!E:E,'RFM mijozlar tahlili'!A330,Data!J:J)</f>
        <v>201276.56159999999</v>
      </c>
      <c r="F330" s="29">
        <f t="shared" si="45"/>
        <v>7</v>
      </c>
      <c r="G330">
        <f t="shared" si="46"/>
        <v>0</v>
      </c>
      <c r="H330">
        <f t="shared" si="47"/>
        <v>0</v>
      </c>
      <c r="I330" s="23">
        <f t="shared" si="48"/>
        <v>0</v>
      </c>
      <c r="J330" t="str">
        <f t="shared" si="49"/>
        <v xml:space="preserve"> </v>
      </c>
      <c r="K330" t="str">
        <f t="shared" si="50"/>
        <v xml:space="preserve"> </v>
      </c>
      <c r="L330" t="str">
        <f t="shared" si="51"/>
        <v>Yo'qotilgan</v>
      </c>
      <c r="M330" t="str">
        <f t="shared" si="52"/>
        <v xml:space="preserve"> </v>
      </c>
      <c r="N330" s="23" t="str">
        <f t="shared" si="53"/>
        <v xml:space="preserve"> </v>
      </c>
    </row>
    <row r="331" spans="1:14">
      <c r="A331" s="29">
        <v>4874373</v>
      </c>
      <c r="B331" s="10">
        <f>_xlfn.XLOOKUP(A331,Data!E:E,Data!B:B,0,0,-1)</f>
        <v>45308</v>
      </c>
      <c r="C331" s="20">
        <f>_xlfn.XLOOKUP(A331,Data!E:E,Data!B:B)</f>
        <v>45448</v>
      </c>
      <c r="D331" s="21">
        <f>COUNTIF(Data!E:E,A331)</f>
        <v>12</v>
      </c>
      <c r="E331" s="22">
        <f>SUMIF(Data!E:E,'RFM mijozlar tahlili'!A331,Data!J:J)</f>
        <v>44858791.232000008</v>
      </c>
      <c r="F331" s="29">
        <f t="shared" si="45"/>
        <v>7</v>
      </c>
      <c r="G331">
        <f t="shared" si="46"/>
        <v>0</v>
      </c>
      <c r="H331">
        <f t="shared" si="47"/>
        <v>4</v>
      </c>
      <c r="I331" s="23">
        <f t="shared" si="48"/>
        <v>5</v>
      </c>
      <c r="J331" t="str">
        <f t="shared" si="49"/>
        <v xml:space="preserve"> </v>
      </c>
      <c r="K331" t="str">
        <f t="shared" si="50"/>
        <v xml:space="preserve"> </v>
      </c>
      <c r="L331" t="str">
        <f t="shared" si="51"/>
        <v xml:space="preserve"> </v>
      </c>
      <c r="M331" t="str">
        <f t="shared" si="52"/>
        <v>Yo'qotishdagi</v>
      </c>
      <c r="N331" s="23" t="str">
        <f t="shared" si="53"/>
        <v xml:space="preserve"> </v>
      </c>
    </row>
    <row r="332" spans="1:14">
      <c r="A332" s="29">
        <v>4878855</v>
      </c>
      <c r="B332" s="10">
        <f>_xlfn.XLOOKUP(A332,Data!E:E,Data!B:B,0,0,-1)</f>
        <v>45315</v>
      </c>
      <c r="C332" s="20">
        <f>_xlfn.XLOOKUP(A332,Data!E:E,Data!B:B)</f>
        <v>45448</v>
      </c>
      <c r="D332" s="21">
        <f>COUNTIF(Data!E:E,A332)</f>
        <v>8</v>
      </c>
      <c r="E332" s="22">
        <f>SUMIF(Data!E:E,'RFM mijozlar tahlili'!A332,Data!J:J)</f>
        <v>2877279.8582719998</v>
      </c>
      <c r="F332" s="29">
        <f t="shared" si="45"/>
        <v>7</v>
      </c>
      <c r="G332">
        <f t="shared" si="46"/>
        <v>0</v>
      </c>
      <c r="H332">
        <f t="shared" si="47"/>
        <v>3</v>
      </c>
      <c r="I332" s="23">
        <f t="shared" si="48"/>
        <v>1</v>
      </c>
      <c r="J332" t="str">
        <f t="shared" si="49"/>
        <v xml:space="preserve"> </v>
      </c>
      <c r="K332" t="str">
        <f t="shared" si="50"/>
        <v xml:space="preserve"> </v>
      </c>
      <c r="L332" t="str">
        <f t="shared" si="51"/>
        <v xml:space="preserve"> </v>
      </c>
      <c r="M332" t="str">
        <f t="shared" si="52"/>
        <v xml:space="preserve"> </v>
      </c>
      <c r="N332" s="23" t="str">
        <f t="shared" si="53"/>
        <v xml:space="preserve"> </v>
      </c>
    </row>
    <row r="333" spans="1:14">
      <c r="A333" s="29">
        <v>4874397</v>
      </c>
      <c r="B333" s="10">
        <f>_xlfn.XLOOKUP(A333,Data!E:E,Data!B:B,0,0,-1)</f>
        <v>45310</v>
      </c>
      <c r="C333" s="20">
        <f>_xlfn.XLOOKUP(A333,Data!E:E,Data!B:B)</f>
        <v>45449</v>
      </c>
      <c r="D333" s="21">
        <f>COUNTIF(Data!E:E,A333)</f>
        <v>5</v>
      </c>
      <c r="E333" s="22">
        <f>SUMIF(Data!E:E,'RFM mijozlar tahlili'!A333,Data!J:J)</f>
        <v>-553447.72399999993</v>
      </c>
      <c r="F333" s="29">
        <f t="shared" si="45"/>
        <v>7</v>
      </c>
      <c r="G333">
        <f t="shared" si="46"/>
        <v>0</v>
      </c>
      <c r="H333">
        <f t="shared" si="47"/>
        <v>2</v>
      </c>
      <c r="I333" s="23">
        <f t="shared" si="48"/>
        <v>0</v>
      </c>
      <c r="J333" t="str">
        <f t="shared" si="49"/>
        <v xml:space="preserve"> </v>
      </c>
      <c r="K333" t="str">
        <f t="shared" si="50"/>
        <v xml:space="preserve"> </v>
      </c>
      <c r="L333" t="str">
        <f t="shared" si="51"/>
        <v xml:space="preserve"> </v>
      </c>
      <c r="M333" t="str">
        <f t="shared" si="52"/>
        <v xml:space="preserve"> </v>
      </c>
      <c r="N333" s="23" t="str">
        <f t="shared" si="53"/>
        <v xml:space="preserve"> </v>
      </c>
    </row>
    <row r="334" spans="1:14">
      <c r="A334" s="29">
        <v>6080417</v>
      </c>
      <c r="B334" s="10">
        <f>_xlfn.XLOOKUP(A334,Data!E:E,Data!B:B,0,0,-1)</f>
        <v>45455</v>
      </c>
      <c r="C334" s="20">
        <f>_xlfn.XLOOKUP(A334,Data!E:E,Data!B:B)</f>
        <v>45455</v>
      </c>
      <c r="D334" s="21">
        <f>COUNTIF(Data!E:E,A334)</f>
        <v>2</v>
      </c>
      <c r="E334" s="22">
        <f>SUMIF(Data!E:E,'RFM mijozlar tahlili'!A334,Data!J:J)</f>
        <v>452809.44319999998</v>
      </c>
      <c r="F334" s="29">
        <f t="shared" si="45"/>
        <v>7</v>
      </c>
      <c r="G334">
        <f t="shared" si="46"/>
        <v>0</v>
      </c>
      <c r="H334">
        <f t="shared" si="47"/>
        <v>0</v>
      </c>
      <c r="I334" s="23">
        <f t="shared" si="48"/>
        <v>0</v>
      </c>
      <c r="J334" t="str">
        <f t="shared" si="49"/>
        <v xml:space="preserve"> </v>
      </c>
      <c r="K334" t="str">
        <f t="shared" si="50"/>
        <v xml:space="preserve"> </v>
      </c>
      <c r="L334" t="str">
        <f t="shared" si="51"/>
        <v>Yo'qotilgan</v>
      </c>
      <c r="M334" t="str">
        <f t="shared" si="52"/>
        <v xml:space="preserve"> </v>
      </c>
      <c r="N334" s="23" t="str">
        <f t="shared" si="53"/>
        <v xml:space="preserve"> </v>
      </c>
    </row>
    <row r="335" spans="1:14">
      <c r="A335" s="29">
        <v>4876079</v>
      </c>
      <c r="B335" s="10">
        <f>_xlfn.XLOOKUP(A335,Data!E:E,Data!B:B,0,0,-1)</f>
        <v>45312</v>
      </c>
      <c r="C335" s="20">
        <f>_xlfn.XLOOKUP(A335,Data!E:E,Data!B:B)</f>
        <v>45456</v>
      </c>
      <c r="D335" s="21">
        <f>COUNTIF(Data!E:E,A335)</f>
        <v>6</v>
      </c>
      <c r="E335" s="22">
        <f>SUMIF(Data!E:E,'RFM mijozlar tahlili'!A335,Data!J:J)</f>
        <v>1433938.4503999997</v>
      </c>
      <c r="F335" s="29">
        <f t="shared" si="45"/>
        <v>7</v>
      </c>
      <c r="G335">
        <f t="shared" si="46"/>
        <v>0</v>
      </c>
      <c r="H335">
        <f t="shared" si="47"/>
        <v>2</v>
      </c>
      <c r="I335" s="23">
        <f t="shared" si="48"/>
        <v>0</v>
      </c>
      <c r="J335" t="str">
        <f t="shared" si="49"/>
        <v xml:space="preserve"> </v>
      </c>
      <c r="K335" t="str">
        <f t="shared" si="50"/>
        <v xml:space="preserve"> </v>
      </c>
      <c r="L335" t="str">
        <f t="shared" si="51"/>
        <v xml:space="preserve"> </v>
      </c>
      <c r="M335" t="str">
        <f t="shared" si="52"/>
        <v xml:space="preserve"> </v>
      </c>
      <c r="N335" s="23" t="str">
        <f t="shared" si="53"/>
        <v xml:space="preserve"> </v>
      </c>
    </row>
    <row r="336" spans="1:14">
      <c r="A336" s="29">
        <v>4876149</v>
      </c>
      <c r="B336" s="10">
        <f>_xlfn.XLOOKUP(A336,Data!E:E,Data!B:B,0,0,-1)</f>
        <v>45299</v>
      </c>
      <c r="C336" s="20">
        <f>_xlfn.XLOOKUP(A336,Data!E:E,Data!B:B)</f>
        <v>45458</v>
      </c>
      <c r="D336" s="21">
        <f>COUNTIF(Data!E:E,A336)</f>
        <v>4</v>
      </c>
      <c r="E336" s="22">
        <f>SUMIF(Data!E:E,'RFM mijozlar tahlili'!A336,Data!J:J)</f>
        <v>1534451.0904000001</v>
      </c>
      <c r="F336" s="29">
        <f t="shared" si="45"/>
        <v>7</v>
      </c>
      <c r="G336">
        <f t="shared" si="46"/>
        <v>0</v>
      </c>
      <c r="H336">
        <f t="shared" si="47"/>
        <v>1</v>
      </c>
      <c r="I336" s="23">
        <f t="shared" si="48"/>
        <v>0</v>
      </c>
      <c r="J336" t="str">
        <f t="shared" si="49"/>
        <v xml:space="preserve"> </v>
      </c>
      <c r="K336" t="str">
        <f t="shared" si="50"/>
        <v xml:space="preserve"> </v>
      </c>
      <c r="L336" t="str">
        <f t="shared" si="51"/>
        <v>Yo'qotilgan</v>
      </c>
      <c r="M336" t="str">
        <f t="shared" si="52"/>
        <v xml:space="preserve"> </v>
      </c>
      <c r="N336" s="23" t="str">
        <f t="shared" si="53"/>
        <v xml:space="preserve"> </v>
      </c>
    </row>
    <row r="337" spans="1:14">
      <c r="A337" s="29">
        <v>6080485</v>
      </c>
      <c r="B337" s="10">
        <f>_xlfn.XLOOKUP(A337,Data!E:E,Data!B:B,0,0,-1)</f>
        <v>45465</v>
      </c>
      <c r="C337" s="20">
        <f>_xlfn.XLOOKUP(A337,Data!E:E,Data!B:B)</f>
        <v>45465</v>
      </c>
      <c r="D337" s="21">
        <f>COUNTIF(Data!E:E,A337)</f>
        <v>1</v>
      </c>
      <c r="E337" s="22">
        <f>SUMIF(Data!E:E,'RFM mijozlar tahlili'!A337,Data!J:J)</f>
        <v>1006382.808</v>
      </c>
      <c r="F337" s="29">
        <f t="shared" si="45"/>
        <v>7</v>
      </c>
      <c r="G337">
        <f t="shared" si="46"/>
        <v>0</v>
      </c>
      <c r="H337">
        <f t="shared" si="47"/>
        <v>0</v>
      </c>
      <c r="I337" s="23">
        <f t="shared" si="48"/>
        <v>0</v>
      </c>
      <c r="J337" t="str">
        <f t="shared" si="49"/>
        <v xml:space="preserve"> </v>
      </c>
      <c r="K337" t="str">
        <f t="shared" si="50"/>
        <v xml:space="preserve"> </v>
      </c>
      <c r="L337" t="str">
        <f t="shared" si="51"/>
        <v>Yo'qotilgan</v>
      </c>
      <c r="M337" t="str">
        <f t="shared" si="52"/>
        <v xml:space="preserve"> </v>
      </c>
      <c r="N337" s="23" t="str">
        <f t="shared" si="53"/>
        <v xml:space="preserve"> </v>
      </c>
    </row>
    <row r="338" spans="1:14">
      <c r="A338" s="29">
        <v>4876396</v>
      </c>
      <c r="B338" s="10">
        <f>_xlfn.XLOOKUP(A338,Data!E:E,Data!B:B,0,0,-1)</f>
        <v>45308</v>
      </c>
      <c r="C338" s="20">
        <f>_xlfn.XLOOKUP(A338,Data!E:E,Data!B:B)</f>
        <v>45469</v>
      </c>
      <c r="D338" s="21">
        <f>COUNTIF(Data!E:E,A338)</f>
        <v>4</v>
      </c>
      <c r="E338" s="22">
        <f>SUMIF(Data!E:E,'RFM mijozlar tahlili'!A338,Data!J:J)</f>
        <v>4226493.6916000005</v>
      </c>
      <c r="F338" s="29">
        <f t="shared" si="45"/>
        <v>6</v>
      </c>
      <c r="G338">
        <f t="shared" si="46"/>
        <v>0</v>
      </c>
      <c r="H338">
        <f t="shared" si="47"/>
        <v>1</v>
      </c>
      <c r="I338" s="23">
        <f t="shared" si="48"/>
        <v>2</v>
      </c>
      <c r="J338" t="str">
        <f t="shared" si="49"/>
        <v xml:space="preserve"> </v>
      </c>
      <c r="K338" t="str">
        <f t="shared" si="50"/>
        <v xml:space="preserve"> </v>
      </c>
      <c r="L338" t="str">
        <f t="shared" si="51"/>
        <v>Yo'qotilgan</v>
      </c>
      <c r="M338" t="str">
        <f t="shared" si="52"/>
        <v xml:space="preserve"> </v>
      </c>
      <c r="N338" s="23" t="str">
        <f t="shared" si="53"/>
        <v xml:space="preserve"> </v>
      </c>
    </row>
    <row r="339" spans="1:14">
      <c r="A339" s="29">
        <v>4878670</v>
      </c>
      <c r="B339" s="10">
        <f>_xlfn.XLOOKUP(A339,Data!E:E,Data!B:B,0,0,-1)</f>
        <v>45368</v>
      </c>
      <c r="C339" s="20">
        <f>_xlfn.XLOOKUP(A339,Data!E:E,Data!B:B)</f>
        <v>45472</v>
      </c>
      <c r="D339" s="21">
        <f>COUNTIF(Data!E:E,A339)</f>
        <v>8</v>
      </c>
      <c r="E339" s="22">
        <f>SUMIF(Data!E:E,'RFM mijozlar tahlili'!A339,Data!J:J)</f>
        <v>1485451.1783999999</v>
      </c>
      <c r="F339" s="29">
        <f t="shared" si="45"/>
        <v>6</v>
      </c>
      <c r="G339">
        <f t="shared" si="46"/>
        <v>0</v>
      </c>
      <c r="H339">
        <f t="shared" si="47"/>
        <v>3</v>
      </c>
      <c r="I339" s="23">
        <f t="shared" si="48"/>
        <v>0</v>
      </c>
      <c r="J339" t="str">
        <f t="shared" si="49"/>
        <v xml:space="preserve"> </v>
      </c>
      <c r="K339" t="str">
        <f t="shared" si="50"/>
        <v xml:space="preserve"> </v>
      </c>
      <c r="L339" t="str">
        <f t="shared" si="51"/>
        <v xml:space="preserve"> </v>
      </c>
      <c r="M339" t="str">
        <f t="shared" si="52"/>
        <v xml:space="preserve"> </v>
      </c>
      <c r="N339" s="23" t="str">
        <f t="shared" si="53"/>
        <v xml:space="preserve"> </v>
      </c>
    </row>
    <row r="340" spans="1:14">
      <c r="A340" s="29">
        <v>4872536</v>
      </c>
      <c r="B340" s="10">
        <f>_xlfn.XLOOKUP(A340,Data!E:E,Data!B:B,0,0,-1)</f>
        <v>45467</v>
      </c>
      <c r="C340" s="20">
        <f>_xlfn.XLOOKUP(A340,Data!E:E,Data!B:B)</f>
        <v>45467</v>
      </c>
      <c r="D340" s="21">
        <f>COUNTIF(Data!E:E,A340)</f>
        <v>2</v>
      </c>
      <c r="E340" s="22">
        <f>SUMIF(Data!E:E,'RFM mijozlar tahlili'!A340,Data!J:J)</f>
        <v>1006382.808</v>
      </c>
      <c r="F340" s="29">
        <f t="shared" si="45"/>
        <v>7</v>
      </c>
      <c r="G340">
        <f t="shared" si="46"/>
        <v>0</v>
      </c>
      <c r="H340">
        <f t="shared" si="47"/>
        <v>0</v>
      </c>
      <c r="I340" s="23">
        <f t="shared" si="48"/>
        <v>0</v>
      </c>
      <c r="J340" t="str">
        <f t="shared" si="49"/>
        <v xml:space="preserve"> </v>
      </c>
      <c r="K340" t="str">
        <f t="shared" si="50"/>
        <v xml:space="preserve"> </v>
      </c>
      <c r="L340" t="str">
        <f t="shared" si="51"/>
        <v>Yo'qotilgan</v>
      </c>
      <c r="M340" t="str">
        <f t="shared" si="52"/>
        <v xml:space="preserve"> </v>
      </c>
      <c r="N340" s="23" t="str">
        <f t="shared" si="53"/>
        <v xml:space="preserve"> </v>
      </c>
    </row>
    <row r="341" spans="1:14">
      <c r="A341" s="29">
        <v>4873251</v>
      </c>
      <c r="B341" s="10">
        <f>_xlfn.XLOOKUP(A341,Data!E:E,Data!B:B,0,0,-1)</f>
        <v>45470</v>
      </c>
      <c r="C341" s="20">
        <f>_xlfn.XLOOKUP(A341,Data!E:E,Data!B:B)</f>
        <v>45470</v>
      </c>
      <c r="D341" s="21">
        <f>COUNTIF(Data!E:E,A341)</f>
        <v>2</v>
      </c>
      <c r="E341" s="22">
        <f>SUMIF(Data!E:E,'RFM mijozlar tahlili'!A341,Data!J:J)</f>
        <v>1006382.808</v>
      </c>
      <c r="F341" s="29">
        <f t="shared" si="45"/>
        <v>6</v>
      </c>
      <c r="G341">
        <f t="shared" si="46"/>
        <v>0</v>
      </c>
      <c r="H341">
        <f t="shared" si="47"/>
        <v>0</v>
      </c>
      <c r="I341" s="23">
        <f t="shared" si="48"/>
        <v>0</v>
      </c>
      <c r="J341" t="str">
        <f t="shared" si="49"/>
        <v xml:space="preserve"> </v>
      </c>
      <c r="K341" t="str">
        <f t="shared" si="50"/>
        <v xml:space="preserve"> </v>
      </c>
      <c r="L341" t="str">
        <f t="shared" si="51"/>
        <v>Yo'qotilgan</v>
      </c>
      <c r="M341" t="str">
        <f t="shared" si="52"/>
        <v xml:space="preserve"> </v>
      </c>
      <c r="N341" s="23" t="str">
        <f t="shared" si="53"/>
        <v xml:space="preserve"> </v>
      </c>
    </row>
    <row r="342" spans="1:14">
      <c r="A342" s="29">
        <v>6080759</v>
      </c>
      <c r="B342" s="10">
        <f>_xlfn.XLOOKUP(A342,Data!E:E,Data!B:B,0,0,-1)</f>
        <v>45448</v>
      </c>
      <c r="C342" s="20">
        <f>_xlfn.XLOOKUP(A342,Data!E:E,Data!B:B)</f>
        <v>45448</v>
      </c>
      <c r="D342" s="21">
        <f>COUNTIF(Data!E:E,A342)</f>
        <v>1</v>
      </c>
      <c r="E342" s="22">
        <f>SUMIF(Data!E:E,'RFM mijozlar tahlili'!A342,Data!J:J)</f>
        <v>95606.36675999999</v>
      </c>
      <c r="F342" s="29">
        <f t="shared" si="45"/>
        <v>7</v>
      </c>
      <c r="G342">
        <f t="shared" si="46"/>
        <v>0</v>
      </c>
      <c r="H342">
        <f t="shared" si="47"/>
        <v>0</v>
      </c>
      <c r="I342" s="23">
        <f t="shared" si="48"/>
        <v>0</v>
      </c>
      <c r="J342" t="str">
        <f t="shared" si="49"/>
        <v xml:space="preserve"> </v>
      </c>
      <c r="K342" t="str">
        <f t="shared" si="50"/>
        <v xml:space="preserve"> </v>
      </c>
      <c r="L342" t="str">
        <f t="shared" si="51"/>
        <v>Yo'qotilgan</v>
      </c>
      <c r="M342" t="str">
        <f t="shared" si="52"/>
        <v xml:space="preserve"> </v>
      </c>
      <c r="N342" s="23" t="str">
        <f t="shared" si="53"/>
        <v xml:space="preserve"> </v>
      </c>
    </row>
    <row r="343" spans="1:14">
      <c r="A343" s="29">
        <v>4876999</v>
      </c>
      <c r="B343" s="10">
        <f>_xlfn.XLOOKUP(A343,Data!E:E,Data!B:B,0,0,-1)</f>
        <v>45443</v>
      </c>
      <c r="C343" s="20">
        <f>_xlfn.XLOOKUP(A343,Data!E:E,Data!B:B)</f>
        <v>45457</v>
      </c>
      <c r="D343" s="21">
        <f>COUNTIF(Data!E:E,A343)</f>
        <v>5</v>
      </c>
      <c r="E343" s="22">
        <f>SUMIF(Data!E:E,'RFM mijozlar tahlili'!A343,Data!J:J)</f>
        <v>895555.05831999995</v>
      </c>
      <c r="F343" s="29">
        <f t="shared" si="45"/>
        <v>7</v>
      </c>
      <c r="G343">
        <f t="shared" si="46"/>
        <v>0</v>
      </c>
      <c r="H343">
        <f t="shared" si="47"/>
        <v>2</v>
      </c>
      <c r="I343" s="23">
        <f t="shared" si="48"/>
        <v>0</v>
      </c>
      <c r="J343" t="str">
        <f t="shared" si="49"/>
        <v xml:space="preserve"> </v>
      </c>
      <c r="K343" t="str">
        <f t="shared" si="50"/>
        <v xml:space="preserve"> </v>
      </c>
      <c r="L343" t="str">
        <f t="shared" si="51"/>
        <v xml:space="preserve"> </v>
      </c>
      <c r="M343" t="str">
        <f t="shared" si="52"/>
        <v xml:space="preserve"> </v>
      </c>
      <c r="N343" s="23" t="str">
        <f t="shared" si="53"/>
        <v xml:space="preserve"> </v>
      </c>
    </row>
    <row r="344" spans="1:14">
      <c r="A344" s="29">
        <v>4872845</v>
      </c>
      <c r="B344" s="10">
        <f>_xlfn.XLOOKUP(A344,Data!E:E,Data!B:B,0,0,-1)</f>
        <v>45440</v>
      </c>
      <c r="C344" s="20">
        <f>_xlfn.XLOOKUP(A344,Data!E:E,Data!B:B)</f>
        <v>45447</v>
      </c>
      <c r="D344" s="21">
        <f>COUNTIF(Data!E:E,A344)</f>
        <v>3</v>
      </c>
      <c r="E344" s="22">
        <f>SUMIF(Data!E:E,'RFM mijozlar tahlili'!A344,Data!J:J)</f>
        <v>503191.40399999998</v>
      </c>
      <c r="F344" s="29">
        <f t="shared" si="45"/>
        <v>7</v>
      </c>
      <c r="G344">
        <f t="shared" si="46"/>
        <v>0</v>
      </c>
      <c r="H344">
        <f t="shared" si="47"/>
        <v>1</v>
      </c>
      <c r="I344" s="23">
        <f t="shared" si="48"/>
        <v>0</v>
      </c>
      <c r="J344" t="str">
        <f t="shared" si="49"/>
        <v xml:space="preserve"> </v>
      </c>
      <c r="K344" t="str">
        <f t="shared" si="50"/>
        <v xml:space="preserve"> </v>
      </c>
      <c r="L344" t="str">
        <f t="shared" si="51"/>
        <v>Yo'qotilgan</v>
      </c>
      <c r="M344" t="str">
        <f t="shared" si="52"/>
        <v xml:space="preserve"> </v>
      </c>
      <c r="N344" s="23" t="str">
        <f t="shared" si="53"/>
        <v xml:space="preserve"> </v>
      </c>
    </row>
    <row r="345" spans="1:14">
      <c r="A345" s="29">
        <v>4873908</v>
      </c>
      <c r="B345" s="10">
        <f>_xlfn.XLOOKUP(A345,Data!E:E,Data!B:B,0,0,-1)</f>
        <v>45448</v>
      </c>
      <c r="C345" s="20">
        <f>_xlfn.XLOOKUP(A345,Data!E:E,Data!B:B)</f>
        <v>45448</v>
      </c>
      <c r="D345" s="21">
        <f>COUNTIF(Data!E:E,A345)</f>
        <v>2</v>
      </c>
      <c r="E345" s="22">
        <f>SUMIF(Data!E:E,'RFM mijozlar tahlili'!A345,Data!J:J)</f>
        <v>739506.67190399999</v>
      </c>
      <c r="F345" s="29">
        <f t="shared" si="45"/>
        <v>7</v>
      </c>
      <c r="G345">
        <f t="shared" si="46"/>
        <v>0</v>
      </c>
      <c r="H345">
        <f t="shared" si="47"/>
        <v>0</v>
      </c>
      <c r="I345" s="23">
        <f t="shared" si="48"/>
        <v>0</v>
      </c>
      <c r="J345" t="str">
        <f t="shared" si="49"/>
        <v xml:space="preserve"> </v>
      </c>
      <c r="K345" t="str">
        <f t="shared" si="50"/>
        <v xml:space="preserve"> </v>
      </c>
      <c r="L345" t="str">
        <f t="shared" si="51"/>
        <v>Yo'qotilgan</v>
      </c>
      <c r="M345" t="str">
        <f t="shared" si="52"/>
        <v xml:space="preserve"> </v>
      </c>
      <c r="N345" s="23" t="str">
        <f t="shared" si="53"/>
        <v xml:space="preserve"> </v>
      </c>
    </row>
    <row r="346" spans="1:14">
      <c r="A346" s="29">
        <v>4872614</v>
      </c>
      <c r="B346" s="10">
        <f>_xlfn.XLOOKUP(A346,Data!E:E,Data!B:B,0,0,-1)</f>
        <v>45302</v>
      </c>
      <c r="C346" s="20">
        <f>_xlfn.XLOOKUP(A346,Data!E:E,Data!B:B)</f>
        <v>45448</v>
      </c>
      <c r="D346" s="21">
        <f>COUNTIF(Data!E:E,A346)</f>
        <v>15</v>
      </c>
      <c r="E346" s="22">
        <f>SUMIF(Data!E:E,'RFM mijozlar tahlili'!A346,Data!J:J)</f>
        <v>9368680.1489440016</v>
      </c>
      <c r="F346" s="29">
        <f t="shared" si="45"/>
        <v>7</v>
      </c>
      <c r="G346">
        <f t="shared" si="46"/>
        <v>0</v>
      </c>
      <c r="H346">
        <f t="shared" si="47"/>
        <v>5</v>
      </c>
      <c r="I346" s="23">
        <f t="shared" si="48"/>
        <v>4</v>
      </c>
      <c r="J346" t="str">
        <f t="shared" si="49"/>
        <v xml:space="preserve"> </v>
      </c>
      <c r="K346" t="str">
        <f t="shared" si="50"/>
        <v xml:space="preserve"> </v>
      </c>
      <c r="L346" t="str">
        <f t="shared" si="51"/>
        <v xml:space="preserve"> </v>
      </c>
      <c r="M346" t="str">
        <f t="shared" si="52"/>
        <v>Yo'qotishdagi</v>
      </c>
      <c r="N346" s="23" t="str">
        <f t="shared" si="53"/>
        <v xml:space="preserve"> </v>
      </c>
    </row>
    <row r="347" spans="1:14">
      <c r="A347" s="29">
        <v>4873557</v>
      </c>
      <c r="B347" s="10">
        <f>_xlfn.XLOOKUP(A347,Data!E:E,Data!B:B,0,0,-1)</f>
        <v>45396</v>
      </c>
      <c r="C347" s="20">
        <f>_xlfn.XLOOKUP(A347,Data!E:E,Data!B:B)</f>
        <v>45448</v>
      </c>
      <c r="D347" s="21">
        <f>COUNTIF(Data!E:E,A347)</f>
        <v>5</v>
      </c>
      <c r="E347" s="22">
        <f>SUMIF(Data!E:E,'RFM mijozlar tahlili'!A347,Data!J:J)</f>
        <v>996318.97991999995</v>
      </c>
      <c r="F347" s="29">
        <f t="shared" si="45"/>
        <v>7</v>
      </c>
      <c r="G347">
        <f t="shared" si="46"/>
        <v>0</v>
      </c>
      <c r="H347">
        <f t="shared" si="47"/>
        <v>2</v>
      </c>
      <c r="I347" s="23">
        <f t="shared" si="48"/>
        <v>0</v>
      </c>
      <c r="J347" t="str">
        <f t="shared" si="49"/>
        <v xml:space="preserve"> </v>
      </c>
      <c r="K347" t="str">
        <f t="shared" si="50"/>
        <v xml:space="preserve"> </v>
      </c>
      <c r="L347" t="str">
        <f t="shared" si="51"/>
        <v xml:space="preserve"> </v>
      </c>
      <c r="M347" t="str">
        <f t="shared" si="52"/>
        <v xml:space="preserve"> </v>
      </c>
      <c r="N347" s="23" t="str">
        <f t="shared" si="53"/>
        <v xml:space="preserve"> </v>
      </c>
    </row>
    <row r="348" spans="1:14">
      <c r="A348" s="29">
        <v>4876277</v>
      </c>
      <c r="B348" s="10">
        <f>_xlfn.XLOOKUP(A348,Data!E:E,Data!B:B,0,0,-1)</f>
        <v>45452</v>
      </c>
      <c r="C348" s="20">
        <f>_xlfn.XLOOKUP(A348,Data!E:E,Data!B:B)</f>
        <v>45449</v>
      </c>
      <c r="D348" s="21">
        <f>COUNTIF(Data!E:E,A348)</f>
        <v>7</v>
      </c>
      <c r="E348" s="22">
        <f>SUMIF(Data!E:E,'RFM mijozlar tahlili'!A348,Data!J:J)</f>
        <v>2451503.2895999998</v>
      </c>
      <c r="F348" s="29">
        <f t="shared" si="45"/>
        <v>7</v>
      </c>
      <c r="G348">
        <f t="shared" si="46"/>
        <v>0</v>
      </c>
      <c r="H348">
        <f t="shared" si="47"/>
        <v>3</v>
      </c>
      <c r="I348" s="23">
        <f t="shared" si="48"/>
        <v>1</v>
      </c>
      <c r="J348" t="str">
        <f t="shared" si="49"/>
        <v xml:space="preserve"> </v>
      </c>
      <c r="K348" t="str">
        <f t="shared" si="50"/>
        <v xml:space="preserve"> </v>
      </c>
      <c r="L348" t="str">
        <f t="shared" si="51"/>
        <v xml:space="preserve"> </v>
      </c>
      <c r="M348" t="str">
        <f t="shared" si="52"/>
        <v xml:space="preserve"> </v>
      </c>
      <c r="N348" s="23" t="str">
        <f t="shared" si="53"/>
        <v xml:space="preserve"> </v>
      </c>
    </row>
    <row r="349" spans="1:14">
      <c r="A349" s="29">
        <v>6080660</v>
      </c>
      <c r="B349" s="10">
        <f>_xlfn.XLOOKUP(A349,Data!E:E,Data!B:B,0,0,-1)</f>
        <v>45452</v>
      </c>
      <c r="C349" s="20">
        <f>_xlfn.XLOOKUP(A349,Data!E:E,Data!B:B)</f>
        <v>45452</v>
      </c>
      <c r="D349" s="21">
        <f>COUNTIF(Data!E:E,A349)</f>
        <v>1</v>
      </c>
      <c r="E349" s="22">
        <f>SUMIF(Data!E:E,'RFM mijozlar tahlili'!A349,Data!J:J)</f>
        <v>201276.56159999999</v>
      </c>
      <c r="F349" s="29">
        <f t="shared" si="45"/>
        <v>7</v>
      </c>
      <c r="G349">
        <f t="shared" si="46"/>
        <v>0</v>
      </c>
      <c r="H349">
        <f t="shared" si="47"/>
        <v>0</v>
      </c>
      <c r="I349" s="23">
        <f t="shared" si="48"/>
        <v>0</v>
      </c>
      <c r="J349" t="str">
        <f t="shared" si="49"/>
        <v xml:space="preserve"> </v>
      </c>
      <c r="K349" t="str">
        <f t="shared" si="50"/>
        <v xml:space="preserve"> </v>
      </c>
      <c r="L349" t="str">
        <f t="shared" si="51"/>
        <v>Yo'qotilgan</v>
      </c>
      <c r="M349" t="str">
        <f t="shared" si="52"/>
        <v xml:space="preserve"> </v>
      </c>
      <c r="N349" s="23" t="str">
        <f t="shared" si="53"/>
        <v xml:space="preserve"> </v>
      </c>
    </row>
    <row r="350" spans="1:14">
      <c r="A350" s="29">
        <v>4873635</v>
      </c>
      <c r="B350" s="10">
        <f>_xlfn.XLOOKUP(A350,Data!E:E,Data!B:B,0,0,-1)</f>
        <v>45461</v>
      </c>
      <c r="C350" s="20">
        <f>_xlfn.XLOOKUP(A350,Data!E:E,Data!B:B)</f>
        <v>45461</v>
      </c>
      <c r="D350" s="21">
        <f>COUNTIF(Data!E:E,A350)</f>
        <v>5</v>
      </c>
      <c r="E350" s="22">
        <f>SUMIF(Data!E:E,'RFM mijozlar tahlili'!A350,Data!J:J)</f>
        <v>1006382.808</v>
      </c>
      <c r="F350" s="29">
        <f t="shared" si="45"/>
        <v>7</v>
      </c>
      <c r="G350">
        <f t="shared" si="46"/>
        <v>0</v>
      </c>
      <c r="H350">
        <f t="shared" si="47"/>
        <v>2</v>
      </c>
      <c r="I350" s="23">
        <f t="shared" si="48"/>
        <v>0</v>
      </c>
      <c r="J350" t="str">
        <f t="shared" si="49"/>
        <v xml:space="preserve"> </v>
      </c>
      <c r="K350" t="str">
        <f t="shared" si="50"/>
        <v xml:space="preserve"> </v>
      </c>
      <c r="L350" t="str">
        <f t="shared" si="51"/>
        <v xml:space="preserve"> </v>
      </c>
      <c r="M350" t="str">
        <f t="shared" si="52"/>
        <v xml:space="preserve"> </v>
      </c>
      <c r="N350" s="23" t="str">
        <f t="shared" si="53"/>
        <v xml:space="preserve"> </v>
      </c>
    </row>
    <row r="351" spans="1:14">
      <c r="A351" s="29">
        <v>4871600</v>
      </c>
      <c r="B351" s="10">
        <f>_xlfn.XLOOKUP(A351,Data!E:E,Data!B:B,0,0,-1)</f>
        <v>45322</v>
      </c>
      <c r="C351" s="20">
        <f>_xlfn.XLOOKUP(A351,Data!E:E,Data!B:B)</f>
        <v>45444</v>
      </c>
      <c r="D351" s="21">
        <f>COUNTIF(Data!E:E,A351)</f>
        <v>163</v>
      </c>
      <c r="E351" s="22">
        <f>SUMIF(Data!E:E,'RFM mijozlar tahlili'!A351,Data!J:J)</f>
        <v>91473631.258991957</v>
      </c>
      <c r="F351" s="29">
        <f t="shared" si="45"/>
        <v>7</v>
      </c>
      <c r="G351">
        <f t="shared" si="46"/>
        <v>0</v>
      </c>
      <c r="H351">
        <f t="shared" si="47"/>
        <v>5</v>
      </c>
      <c r="I351" s="23">
        <f t="shared" si="48"/>
        <v>5</v>
      </c>
      <c r="J351" t="str">
        <f t="shared" si="49"/>
        <v xml:space="preserve"> </v>
      </c>
      <c r="K351" t="str">
        <f t="shared" si="50"/>
        <v xml:space="preserve"> </v>
      </c>
      <c r="L351" t="str">
        <f t="shared" si="51"/>
        <v xml:space="preserve"> </v>
      </c>
      <c r="M351" t="str">
        <f t="shared" si="52"/>
        <v>Yo'qotishdagi</v>
      </c>
      <c r="N351" s="23" t="str">
        <f t="shared" si="53"/>
        <v xml:space="preserve"> </v>
      </c>
    </row>
    <row r="352" spans="1:14">
      <c r="A352" s="29">
        <v>4874006</v>
      </c>
      <c r="B352" s="10">
        <f>_xlfn.XLOOKUP(A352,Data!E:E,Data!B:B,0,0,-1)</f>
        <v>45316</v>
      </c>
      <c r="C352" s="20">
        <f>_xlfn.XLOOKUP(A352,Data!E:E,Data!B:B)</f>
        <v>45444</v>
      </c>
      <c r="D352" s="21">
        <f>COUNTIF(Data!E:E,A352)</f>
        <v>100</v>
      </c>
      <c r="E352" s="22">
        <f>SUMIF(Data!E:E,'RFM mijozlar tahlili'!A352,Data!J:J)</f>
        <v>157328470.16835192</v>
      </c>
      <c r="F352" s="29">
        <f t="shared" si="45"/>
        <v>7</v>
      </c>
      <c r="G352">
        <f t="shared" si="46"/>
        <v>0</v>
      </c>
      <c r="H352">
        <f t="shared" si="47"/>
        <v>5</v>
      </c>
      <c r="I352" s="23">
        <f t="shared" si="48"/>
        <v>5</v>
      </c>
      <c r="J352" t="str">
        <f t="shared" si="49"/>
        <v xml:space="preserve"> </v>
      </c>
      <c r="K352" t="str">
        <f t="shared" si="50"/>
        <v xml:space="preserve"> </v>
      </c>
      <c r="L352" t="str">
        <f t="shared" si="51"/>
        <v xml:space="preserve"> </v>
      </c>
      <c r="M352" t="str">
        <f t="shared" si="52"/>
        <v>Yo'qotishdagi</v>
      </c>
      <c r="N352" s="23" t="str">
        <f t="shared" si="53"/>
        <v xml:space="preserve"> </v>
      </c>
    </row>
    <row r="353" spans="1:14">
      <c r="A353" s="29">
        <v>4872058</v>
      </c>
      <c r="B353" s="10">
        <f>_xlfn.XLOOKUP(A353,Data!E:E,Data!B:B,0,0,-1)</f>
        <v>45300</v>
      </c>
      <c r="C353" s="20">
        <f>_xlfn.XLOOKUP(A353,Data!E:E,Data!B:B)</f>
        <v>45444</v>
      </c>
      <c r="D353" s="21">
        <f>COUNTIF(Data!E:E,A353)</f>
        <v>60</v>
      </c>
      <c r="E353" s="22">
        <f>SUMIF(Data!E:E,'RFM mijozlar tahlili'!A353,Data!J:J)</f>
        <v>46269043.878783971</v>
      </c>
      <c r="F353" s="29">
        <f t="shared" si="45"/>
        <v>7</v>
      </c>
      <c r="G353">
        <f t="shared" si="46"/>
        <v>0</v>
      </c>
      <c r="H353">
        <f t="shared" si="47"/>
        <v>5</v>
      </c>
      <c r="I353" s="23">
        <f t="shared" si="48"/>
        <v>5</v>
      </c>
      <c r="J353" t="str">
        <f t="shared" si="49"/>
        <v xml:space="preserve"> </v>
      </c>
      <c r="K353" t="str">
        <f t="shared" si="50"/>
        <v xml:space="preserve"> </v>
      </c>
      <c r="L353" t="str">
        <f t="shared" si="51"/>
        <v xml:space="preserve"> </v>
      </c>
      <c r="M353" t="str">
        <f t="shared" si="52"/>
        <v>Yo'qotishdagi</v>
      </c>
      <c r="N353" s="23" t="str">
        <f t="shared" si="53"/>
        <v xml:space="preserve"> </v>
      </c>
    </row>
    <row r="354" spans="1:14">
      <c r="A354" s="29">
        <v>4873615</v>
      </c>
      <c r="B354" s="10">
        <f>_xlfn.XLOOKUP(A354,Data!E:E,Data!B:B,0,0,-1)</f>
        <v>45295</v>
      </c>
      <c r="C354" s="20">
        <f>_xlfn.XLOOKUP(A354,Data!E:E,Data!B:B)</f>
        <v>45444</v>
      </c>
      <c r="D354" s="21">
        <f>COUNTIF(Data!E:E,A354)</f>
        <v>10</v>
      </c>
      <c r="E354" s="22">
        <f>SUMIF(Data!E:E,'RFM mijozlar tahlili'!A354,Data!J:J)</f>
        <v>12282895.889600001</v>
      </c>
      <c r="F354" s="29">
        <f t="shared" si="45"/>
        <v>7</v>
      </c>
      <c r="G354">
        <f t="shared" si="46"/>
        <v>0</v>
      </c>
      <c r="H354">
        <f t="shared" si="47"/>
        <v>4</v>
      </c>
      <c r="I354" s="23">
        <f t="shared" si="48"/>
        <v>5</v>
      </c>
      <c r="J354" t="str">
        <f t="shared" si="49"/>
        <v xml:space="preserve"> </v>
      </c>
      <c r="K354" t="str">
        <f t="shared" si="50"/>
        <v xml:space="preserve"> </v>
      </c>
      <c r="L354" t="str">
        <f t="shared" si="51"/>
        <v xml:space="preserve"> </v>
      </c>
      <c r="M354" t="str">
        <f t="shared" si="52"/>
        <v>Yo'qotishdagi</v>
      </c>
      <c r="N354" s="23" t="str">
        <f t="shared" si="53"/>
        <v xml:space="preserve"> </v>
      </c>
    </row>
    <row r="355" spans="1:14">
      <c r="A355" s="29">
        <v>4875440</v>
      </c>
      <c r="B355" s="10">
        <f>_xlfn.XLOOKUP(A355,Data!E:E,Data!B:B,0,0,-1)</f>
        <v>45322</v>
      </c>
      <c r="C355" s="20">
        <f>_xlfn.XLOOKUP(A355,Data!E:E,Data!B:B)</f>
        <v>45444</v>
      </c>
      <c r="D355" s="21">
        <f>COUNTIF(Data!E:E,A355)</f>
        <v>86</v>
      </c>
      <c r="E355" s="22">
        <f>SUMIF(Data!E:E,'RFM mijozlar tahlili'!A355,Data!J:J)</f>
        <v>70678688.015336052</v>
      </c>
      <c r="F355" s="29">
        <f t="shared" si="45"/>
        <v>7</v>
      </c>
      <c r="G355">
        <f t="shared" si="46"/>
        <v>0</v>
      </c>
      <c r="H355">
        <f t="shared" si="47"/>
        <v>5</v>
      </c>
      <c r="I355" s="23">
        <f t="shared" si="48"/>
        <v>5</v>
      </c>
      <c r="J355" t="str">
        <f t="shared" si="49"/>
        <v xml:space="preserve"> </v>
      </c>
      <c r="K355" t="str">
        <f t="shared" si="50"/>
        <v xml:space="preserve"> </v>
      </c>
      <c r="L355" t="str">
        <f t="shared" si="51"/>
        <v xml:space="preserve"> </v>
      </c>
      <c r="M355" t="str">
        <f t="shared" si="52"/>
        <v>Yo'qotishdagi</v>
      </c>
      <c r="N355" s="23" t="str">
        <f t="shared" si="53"/>
        <v xml:space="preserve"> </v>
      </c>
    </row>
    <row r="356" spans="1:14">
      <c r="A356" s="29">
        <v>4876759</v>
      </c>
      <c r="B356" s="10">
        <f>_xlfn.XLOOKUP(A356,Data!E:E,Data!B:B,0,0,-1)</f>
        <v>45312</v>
      </c>
      <c r="C356" s="20">
        <f>_xlfn.XLOOKUP(A356,Data!E:E,Data!B:B)</f>
        <v>45444</v>
      </c>
      <c r="D356" s="21">
        <f>COUNTIF(Data!E:E,A356)</f>
        <v>132</v>
      </c>
      <c r="E356" s="22">
        <f>SUMIF(Data!E:E,'RFM mijozlar tahlili'!A356,Data!J:J)</f>
        <v>140882281.67877585</v>
      </c>
      <c r="F356" s="29">
        <f t="shared" si="45"/>
        <v>7</v>
      </c>
      <c r="G356">
        <f t="shared" si="46"/>
        <v>0</v>
      </c>
      <c r="H356">
        <f t="shared" si="47"/>
        <v>5</v>
      </c>
      <c r="I356" s="23">
        <f t="shared" si="48"/>
        <v>5</v>
      </c>
      <c r="J356" t="str">
        <f t="shared" si="49"/>
        <v xml:space="preserve"> </v>
      </c>
      <c r="K356" t="str">
        <f t="shared" si="50"/>
        <v xml:space="preserve"> </v>
      </c>
      <c r="L356" t="str">
        <f t="shared" si="51"/>
        <v xml:space="preserve"> </v>
      </c>
      <c r="M356" t="str">
        <f t="shared" si="52"/>
        <v>Yo'qotishdagi</v>
      </c>
      <c r="N356" s="23" t="str">
        <f t="shared" si="53"/>
        <v xml:space="preserve"> </v>
      </c>
    </row>
    <row r="357" spans="1:14">
      <c r="A357" s="29">
        <v>4872592</v>
      </c>
      <c r="B357" s="10">
        <f>_xlfn.XLOOKUP(A357,Data!E:E,Data!B:B,0,0,-1)</f>
        <v>45321</v>
      </c>
      <c r="C357" s="20">
        <f>_xlfn.XLOOKUP(A357,Data!E:E,Data!B:B)</f>
        <v>45444</v>
      </c>
      <c r="D357" s="21">
        <f>COUNTIF(Data!E:E,A357)</f>
        <v>20</v>
      </c>
      <c r="E357" s="22">
        <f>SUMIF(Data!E:E,'RFM mijozlar tahlili'!A357,Data!J:J)</f>
        <v>35311874.53136</v>
      </c>
      <c r="F357" s="29">
        <f t="shared" si="45"/>
        <v>7</v>
      </c>
      <c r="G357">
        <f t="shared" si="46"/>
        <v>0</v>
      </c>
      <c r="H357">
        <f t="shared" si="47"/>
        <v>5</v>
      </c>
      <c r="I357" s="23">
        <f t="shared" si="48"/>
        <v>5</v>
      </c>
      <c r="J357" t="str">
        <f t="shared" si="49"/>
        <v xml:space="preserve"> </v>
      </c>
      <c r="K357" t="str">
        <f t="shared" si="50"/>
        <v xml:space="preserve"> </v>
      </c>
      <c r="L357" t="str">
        <f t="shared" si="51"/>
        <v xml:space="preserve"> </v>
      </c>
      <c r="M357" t="str">
        <f t="shared" si="52"/>
        <v>Yo'qotishdagi</v>
      </c>
      <c r="N357" s="23" t="str">
        <f t="shared" si="53"/>
        <v xml:space="preserve"> </v>
      </c>
    </row>
    <row r="358" spans="1:14">
      <c r="A358" s="29">
        <v>4872210</v>
      </c>
      <c r="B358" s="10">
        <f>_xlfn.XLOOKUP(A358,Data!E:E,Data!B:B,0,0,-1)</f>
        <v>45314</v>
      </c>
      <c r="C358" s="20">
        <f>_xlfn.XLOOKUP(A358,Data!E:E,Data!B:B)</f>
        <v>45444</v>
      </c>
      <c r="D358" s="21">
        <f>COUNTIF(Data!E:E,A358)</f>
        <v>46</v>
      </c>
      <c r="E358" s="22">
        <f>SUMIF(Data!E:E,'RFM mijozlar tahlili'!A358,Data!J:J)</f>
        <v>102463590.34239995</v>
      </c>
      <c r="F358" s="29">
        <f t="shared" si="45"/>
        <v>7</v>
      </c>
      <c r="G358">
        <f t="shared" si="46"/>
        <v>0</v>
      </c>
      <c r="H358">
        <f t="shared" si="47"/>
        <v>5</v>
      </c>
      <c r="I358" s="23">
        <f t="shared" si="48"/>
        <v>5</v>
      </c>
      <c r="J358" t="str">
        <f t="shared" si="49"/>
        <v xml:space="preserve"> </v>
      </c>
      <c r="K358" t="str">
        <f t="shared" si="50"/>
        <v xml:space="preserve"> </v>
      </c>
      <c r="L358" t="str">
        <f t="shared" si="51"/>
        <v xml:space="preserve"> </v>
      </c>
      <c r="M358" t="str">
        <f t="shared" si="52"/>
        <v>Yo'qotishdagi</v>
      </c>
      <c r="N358" s="23" t="str">
        <f t="shared" si="53"/>
        <v xml:space="preserve"> </v>
      </c>
    </row>
    <row r="359" spans="1:14">
      <c r="A359" s="29">
        <v>4872158</v>
      </c>
      <c r="B359" s="10">
        <f>_xlfn.XLOOKUP(A359,Data!E:E,Data!B:B,0,0,-1)</f>
        <v>45310</v>
      </c>
      <c r="C359" s="20">
        <f>_xlfn.XLOOKUP(A359,Data!E:E,Data!B:B)</f>
        <v>45445</v>
      </c>
      <c r="D359" s="21">
        <f>COUNTIF(Data!E:E,A359)</f>
        <v>133</v>
      </c>
      <c r="E359" s="22">
        <f>SUMIF(Data!E:E,'RFM mijozlar tahlili'!A359,Data!J:J)</f>
        <v>273965820.28656018</v>
      </c>
      <c r="F359" s="29">
        <f t="shared" si="45"/>
        <v>7</v>
      </c>
      <c r="G359">
        <f t="shared" si="46"/>
        <v>0</v>
      </c>
      <c r="H359">
        <f t="shared" si="47"/>
        <v>5</v>
      </c>
      <c r="I359" s="23">
        <f t="shared" si="48"/>
        <v>5</v>
      </c>
      <c r="J359" t="str">
        <f t="shared" si="49"/>
        <v xml:space="preserve"> </v>
      </c>
      <c r="K359" t="str">
        <f t="shared" si="50"/>
        <v xml:space="preserve"> </v>
      </c>
      <c r="L359" t="str">
        <f t="shared" si="51"/>
        <v xml:space="preserve"> </v>
      </c>
      <c r="M359" t="str">
        <f t="shared" si="52"/>
        <v>Yo'qotishdagi</v>
      </c>
      <c r="N359" s="23" t="str">
        <f t="shared" si="53"/>
        <v xml:space="preserve"> </v>
      </c>
    </row>
    <row r="360" spans="1:14">
      <c r="A360" s="29">
        <v>4872162</v>
      </c>
      <c r="B360" s="10">
        <f>_xlfn.XLOOKUP(A360,Data!E:E,Data!B:B,0,0,-1)</f>
        <v>45297</v>
      </c>
      <c r="C360" s="20">
        <f>_xlfn.XLOOKUP(A360,Data!E:E,Data!B:B)</f>
        <v>45445</v>
      </c>
      <c r="D360" s="21">
        <f>COUNTIF(Data!E:E,A360)</f>
        <v>52</v>
      </c>
      <c r="E360" s="22">
        <f>SUMIF(Data!E:E,'RFM mijozlar tahlili'!A360,Data!J:J)</f>
        <v>79961222.549759984</v>
      </c>
      <c r="F360" s="29">
        <f t="shared" si="45"/>
        <v>7</v>
      </c>
      <c r="G360">
        <f t="shared" si="46"/>
        <v>0</v>
      </c>
      <c r="H360">
        <f t="shared" si="47"/>
        <v>5</v>
      </c>
      <c r="I360" s="23">
        <f t="shared" si="48"/>
        <v>5</v>
      </c>
      <c r="J360" t="str">
        <f t="shared" si="49"/>
        <v xml:space="preserve"> </v>
      </c>
      <c r="K360" t="str">
        <f t="shared" si="50"/>
        <v xml:space="preserve"> </v>
      </c>
      <c r="L360" t="str">
        <f t="shared" si="51"/>
        <v xml:space="preserve"> </v>
      </c>
      <c r="M360" t="str">
        <f t="shared" si="52"/>
        <v>Yo'qotishdagi</v>
      </c>
      <c r="N360" s="23" t="str">
        <f t="shared" si="53"/>
        <v xml:space="preserve"> </v>
      </c>
    </row>
    <row r="361" spans="1:14">
      <c r="A361" s="29">
        <v>4872379</v>
      </c>
      <c r="B361" s="10">
        <f>_xlfn.XLOOKUP(A361,Data!E:E,Data!B:B,0,0,-1)</f>
        <v>45326</v>
      </c>
      <c r="C361" s="20">
        <f>_xlfn.XLOOKUP(A361,Data!E:E,Data!B:B)</f>
        <v>45445</v>
      </c>
      <c r="D361" s="21">
        <f>COUNTIF(Data!E:E,A361)</f>
        <v>12</v>
      </c>
      <c r="E361" s="22">
        <f>SUMIF(Data!E:E,'RFM mijozlar tahlili'!A361,Data!J:J)</f>
        <v>15538751.580800001</v>
      </c>
      <c r="F361" s="29">
        <f t="shared" si="45"/>
        <v>7</v>
      </c>
      <c r="G361">
        <f t="shared" si="46"/>
        <v>0</v>
      </c>
      <c r="H361">
        <f t="shared" si="47"/>
        <v>4</v>
      </c>
      <c r="I361" s="23">
        <f t="shared" si="48"/>
        <v>5</v>
      </c>
      <c r="J361" t="str">
        <f t="shared" si="49"/>
        <v xml:space="preserve"> </v>
      </c>
      <c r="K361" t="str">
        <f t="shared" si="50"/>
        <v xml:space="preserve"> </v>
      </c>
      <c r="L361" t="str">
        <f t="shared" si="51"/>
        <v xml:space="preserve"> </v>
      </c>
      <c r="M361" t="str">
        <f t="shared" si="52"/>
        <v>Yo'qotishdagi</v>
      </c>
      <c r="N361" s="23" t="str">
        <f t="shared" si="53"/>
        <v xml:space="preserve"> </v>
      </c>
    </row>
    <row r="362" spans="1:14">
      <c r="A362" s="29">
        <v>4878874</v>
      </c>
      <c r="B362" s="10">
        <f>_xlfn.XLOOKUP(A362,Data!E:E,Data!B:B,0,0,-1)</f>
        <v>45318</v>
      </c>
      <c r="C362" s="20">
        <f>_xlfn.XLOOKUP(A362,Data!E:E,Data!B:B)</f>
        <v>45446</v>
      </c>
      <c r="D362" s="21">
        <f>COUNTIF(Data!E:E,A362)</f>
        <v>46</v>
      </c>
      <c r="E362" s="22">
        <f>SUMIF(Data!E:E,'RFM mijozlar tahlili'!A362,Data!J:J)</f>
        <v>75270131.795104012</v>
      </c>
      <c r="F362" s="29">
        <f t="shared" si="45"/>
        <v>7</v>
      </c>
      <c r="G362">
        <f t="shared" si="46"/>
        <v>0</v>
      </c>
      <c r="H362">
        <f t="shared" si="47"/>
        <v>5</v>
      </c>
      <c r="I362" s="23">
        <f t="shared" si="48"/>
        <v>5</v>
      </c>
      <c r="J362" t="str">
        <f t="shared" si="49"/>
        <v xml:space="preserve"> </v>
      </c>
      <c r="K362" t="str">
        <f t="shared" si="50"/>
        <v xml:space="preserve"> </v>
      </c>
      <c r="L362" t="str">
        <f t="shared" si="51"/>
        <v xml:space="preserve"> </v>
      </c>
      <c r="M362" t="str">
        <f t="shared" si="52"/>
        <v>Yo'qotishdagi</v>
      </c>
      <c r="N362" s="23" t="str">
        <f t="shared" si="53"/>
        <v xml:space="preserve"> </v>
      </c>
    </row>
    <row r="363" spans="1:14">
      <c r="A363" s="29">
        <v>4872571</v>
      </c>
      <c r="B363" s="10">
        <f>_xlfn.XLOOKUP(A363,Data!E:E,Data!B:B,0,0,-1)</f>
        <v>45321</v>
      </c>
      <c r="C363" s="20">
        <f>_xlfn.XLOOKUP(A363,Data!E:E,Data!B:B)</f>
        <v>45446</v>
      </c>
      <c r="D363" s="21">
        <f>COUNTIF(Data!E:E,A363)</f>
        <v>139</v>
      </c>
      <c r="E363" s="22">
        <f>SUMIF(Data!E:E,'RFM mijozlar tahlili'!A363,Data!J:J)</f>
        <v>146318413.58257604</v>
      </c>
      <c r="F363" s="29">
        <f t="shared" si="45"/>
        <v>7</v>
      </c>
      <c r="G363">
        <f t="shared" si="46"/>
        <v>0</v>
      </c>
      <c r="H363">
        <f t="shared" si="47"/>
        <v>5</v>
      </c>
      <c r="I363" s="23">
        <f t="shared" si="48"/>
        <v>5</v>
      </c>
      <c r="J363" t="str">
        <f t="shared" si="49"/>
        <v xml:space="preserve"> </v>
      </c>
      <c r="K363" t="str">
        <f t="shared" si="50"/>
        <v xml:space="preserve"> </v>
      </c>
      <c r="L363" t="str">
        <f t="shared" si="51"/>
        <v xml:space="preserve"> </v>
      </c>
      <c r="M363" t="str">
        <f t="shared" si="52"/>
        <v>Yo'qotishdagi</v>
      </c>
      <c r="N363" s="23" t="str">
        <f t="shared" si="53"/>
        <v xml:space="preserve"> </v>
      </c>
    </row>
    <row r="364" spans="1:14">
      <c r="A364" s="29">
        <v>4873921</v>
      </c>
      <c r="B364" s="10">
        <f>_xlfn.XLOOKUP(A364,Data!E:E,Data!B:B,0,0,-1)</f>
        <v>45321</v>
      </c>
      <c r="C364" s="20">
        <f>_xlfn.XLOOKUP(A364,Data!E:E,Data!B:B)</f>
        <v>45446</v>
      </c>
      <c r="D364" s="21">
        <f>COUNTIF(Data!E:E,A364)</f>
        <v>36</v>
      </c>
      <c r="E364" s="22">
        <f>SUMIF(Data!E:E,'RFM mijozlar tahlili'!A364,Data!J:J)</f>
        <v>27137442.853023995</v>
      </c>
      <c r="F364" s="29">
        <f t="shared" si="45"/>
        <v>7</v>
      </c>
      <c r="G364">
        <f t="shared" si="46"/>
        <v>0</v>
      </c>
      <c r="H364">
        <f t="shared" si="47"/>
        <v>5</v>
      </c>
      <c r="I364" s="23">
        <f t="shared" si="48"/>
        <v>5</v>
      </c>
      <c r="J364" t="str">
        <f t="shared" si="49"/>
        <v xml:space="preserve"> </v>
      </c>
      <c r="K364" t="str">
        <f t="shared" si="50"/>
        <v xml:space="preserve"> </v>
      </c>
      <c r="L364" t="str">
        <f t="shared" si="51"/>
        <v xml:space="preserve"> </v>
      </c>
      <c r="M364" t="str">
        <f t="shared" si="52"/>
        <v>Yo'qotishdagi</v>
      </c>
      <c r="N364" s="23" t="str">
        <f t="shared" si="53"/>
        <v xml:space="preserve"> </v>
      </c>
    </row>
    <row r="365" spans="1:14">
      <c r="A365" s="29">
        <v>4871657</v>
      </c>
      <c r="B365" s="10">
        <f>_xlfn.XLOOKUP(A365,Data!E:E,Data!B:B,0,0,-1)</f>
        <v>45321</v>
      </c>
      <c r="C365" s="20">
        <f>_xlfn.XLOOKUP(A365,Data!E:E,Data!B:B)</f>
        <v>45446</v>
      </c>
      <c r="D365" s="21">
        <f>COUNTIF(Data!E:E,A365)</f>
        <v>89</v>
      </c>
      <c r="E365" s="22">
        <f>SUMIF(Data!E:E,'RFM mijozlar tahlili'!A365,Data!J:J)</f>
        <v>36874041.982239991</v>
      </c>
      <c r="F365" s="29">
        <f t="shared" si="45"/>
        <v>7</v>
      </c>
      <c r="G365">
        <f t="shared" si="46"/>
        <v>0</v>
      </c>
      <c r="H365">
        <f t="shared" si="47"/>
        <v>5</v>
      </c>
      <c r="I365" s="23">
        <f t="shared" si="48"/>
        <v>5</v>
      </c>
      <c r="J365" t="str">
        <f t="shared" si="49"/>
        <v xml:space="preserve"> </v>
      </c>
      <c r="K365" t="str">
        <f t="shared" si="50"/>
        <v xml:space="preserve"> </v>
      </c>
      <c r="L365" t="str">
        <f t="shared" si="51"/>
        <v xml:space="preserve"> </v>
      </c>
      <c r="M365" t="str">
        <f t="shared" si="52"/>
        <v>Yo'qotishdagi</v>
      </c>
      <c r="N365" s="23" t="str">
        <f t="shared" si="53"/>
        <v xml:space="preserve"> </v>
      </c>
    </row>
    <row r="366" spans="1:14">
      <c r="A366" s="29">
        <v>4873723</v>
      </c>
      <c r="B366" s="10">
        <f>_xlfn.XLOOKUP(A366,Data!E:E,Data!B:B,0,0,-1)</f>
        <v>45313</v>
      </c>
      <c r="C366" s="20">
        <f>_xlfn.XLOOKUP(A366,Data!E:E,Data!B:B)</f>
        <v>45446</v>
      </c>
      <c r="D366" s="21">
        <f>COUNTIF(Data!E:E,A366)</f>
        <v>87</v>
      </c>
      <c r="E366" s="22">
        <f>SUMIF(Data!E:E,'RFM mijozlar tahlili'!A366,Data!J:J)</f>
        <v>44927089.570879973</v>
      </c>
      <c r="F366" s="29">
        <f t="shared" si="45"/>
        <v>7</v>
      </c>
      <c r="G366">
        <f t="shared" si="46"/>
        <v>0</v>
      </c>
      <c r="H366">
        <f t="shared" si="47"/>
        <v>5</v>
      </c>
      <c r="I366" s="23">
        <f t="shared" si="48"/>
        <v>5</v>
      </c>
      <c r="J366" t="str">
        <f t="shared" si="49"/>
        <v xml:space="preserve"> </v>
      </c>
      <c r="K366" t="str">
        <f t="shared" si="50"/>
        <v xml:space="preserve"> </v>
      </c>
      <c r="L366" t="str">
        <f t="shared" si="51"/>
        <v xml:space="preserve"> </v>
      </c>
      <c r="M366" t="str">
        <f t="shared" si="52"/>
        <v>Yo'qotishdagi</v>
      </c>
      <c r="N366" s="23" t="str">
        <f t="shared" si="53"/>
        <v xml:space="preserve"> </v>
      </c>
    </row>
    <row r="367" spans="1:14">
      <c r="A367" s="29">
        <v>4873128</v>
      </c>
      <c r="B367" s="10">
        <f>_xlfn.XLOOKUP(A367,Data!E:E,Data!B:B,0,0,-1)</f>
        <v>45346</v>
      </c>
      <c r="C367" s="20">
        <f>_xlfn.XLOOKUP(A367,Data!E:E,Data!B:B)</f>
        <v>45446</v>
      </c>
      <c r="D367" s="21">
        <f>COUNTIF(Data!E:E,A367)</f>
        <v>20</v>
      </c>
      <c r="E367" s="22">
        <f>SUMIF(Data!E:E,'RFM mijozlar tahlili'!A367,Data!J:J)</f>
        <v>18466810.424799997</v>
      </c>
      <c r="F367" s="29">
        <f t="shared" si="45"/>
        <v>7</v>
      </c>
      <c r="G367">
        <f t="shared" si="46"/>
        <v>0</v>
      </c>
      <c r="H367">
        <f t="shared" si="47"/>
        <v>5</v>
      </c>
      <c r="I367" s="23">
        <f t="shared" si="48"/>
        <v>5</v>
      </c>
      <c r="J367" t="str">
        <f t="shared" si="49"/>
        <v xml:space="preserve"> </v>
      </c>
      <c r="K367" t="str">
        <f t="shared" si="50"/>
        <v xml:space="preserve"> </v>
      </c>
      <c r="L367" t="str">
        <f t="shared" si="51"/>
        <v xml:space="preserve"> </v>
      </c>
      <c r="M367" t="str">
        <f t="shared" si="52"/>
        <v>Yo'qotishdagi</v>
      </c>
      <c r="N367" s="23" t="str">
        <f t="shared" si="53"/>
        <v xml:space="preserve"> </v>
      </c>
    </row>
    <row r="368" spans="1:14">
      <c r="A368" s="29">
        <v>4872180</v>
      </c>
      <c r="B368" s="10">
        <f>_xlfn.XLOOKUP(A368,Data!E:E,Data!B:B,0,0,-1)</f>
        <v>45446</v>
      </c>
      <c r="C368" s="20">
        <f>_xlfn.XLOOKUP(A368,Data!E:E,Data!B:B)</f>
        <v>45446</v>
      </c>
      <c r="D368" s="21">
        <f>COUNTIF(Data!E:E,A368)</f>
        <v>4</v>
      </c>
      <c r="E368" s="22">
        <f>SUMIF(Data!E:E,'RFM mijozlar tahlili'!A368,Data!J:J)</f>
        <v>2415318.7391999997</v>
      </c>
      <c r="F368" s="29">
        <f t="shared" si="45"/>
        <v>7</v>
      </c>
      <c r="G368">
        <f t="shared" si="46"/>
        <v>0</v>
      </c>
      <c r="H368">
        <f t="shared" si="47"/>
        <v>1</v>
      </c>
      <c r="I368" s="23">
        <f t="shared" si="48"/>
        <v>1</v>
      </c>
      <c r="J368" t="str">
        <f t="shared" si="49"/>
        <v xml:space="preserve"> </v>
      </c>
      <c r="K368" t="str">
        <f t="shared" si="50"/>
        <v xml:space="preserve"> </v>
      </c>
      <c r="L368" t="str">
        <f t="shared" si="51"/>
        <v>Yo'qotilgan</v>
      </c>
      <c r="M368" t="str">
        <f t="shared" si="52"/>
        <v xml:space="preserve"> </v>
      </c>
      <c r="N368" s="23" t="str">
        <f t="shared" si="53"/>
        <v xml:space="preserve"> </v>
      </c>
    </row>
    <row r="369" spans="1:14">
      <c r="A369" s="29">
        <v>4873836</v>
      </c>
      <c r="B369" s="10">
        <f>_xlfn.XLOOKUP(A369,Data!E:E,Data!B:B,0,0,-1)</f>
        <v>45370</v>
      </c>
      <c r="C369" s="20">
        <f>_xlfn.XLOOKUP(A369,Data!E:E,Data!B:B)</f>
        <v>45447</v>
      </c>
      <c r="D369" s="21">
        <f>COUNTIF(Data!E:E,A369)</f>
        <v>6</v>
      </c>
      <c r="E369" s="22">
        <f>SUMIF(Data!E:E,'RFM mijozlar tahlili'!A369,Data!J:J)</f>
        <v>6858982.5536000002</v>
      </c>
      <c r="F369" s="29">
        <f t="shared" si="45"/>
        <v>7</v>
      </c>
      <c r="G369">
        <f t="shared" si="46"/>
        <v>0</v>
      </c>
      <c r="H369">
        <f t="shared" si="47"/>
        <v>2</v>
      </c>
      <c r="I369" s="23">
        <f t="shared" si="48"/>
        <v>3</v>
      </c>
      <c r="J369" t="str">
        <f t="shared" si="49"/>
        <v xml:space="preserve"> </v>
      </c>
      <c r="K369" t="str">
        <f t="shared" si="50"/>
        <v xml:space="preserve"> </v>
      </c>
      <c r="L369" t="str">
        <f t="shared" si="51"/>
        <v xml:space="preserve"> </v>
      </c>
      <c r="M369" t="str">
        <f t="shared" si="52"/>
        <v>Yo'qotishdagi</v>
      </c>
      <c r="N369" s="23" t="str">
        <f t="shared" si="53"/>
        <v xml:space="preserve"> </v>
      </c>
    </row>
    <row r="370" spans="1:14">
      <c r="A370" s="29">
        <v>4876422</v>
      </c>
      <c r="B370" s="10">
        <f>_xlfn.XLOOKUP(A370,Data!E:E,Data!B:B,0,0,-1)</f>
        <v>45305</v>
      </c>
      <c r="C370" s="20">
        <f>_xlfn.XLOOKUP(A370,Data!E:E,Data!B:B)</f>
        <v>45447</v>
      </c>
      <c r="D370" s="21">
        <f>COUNTIF(Data!E:E,A370)</f>
        <v>26</v>
      </c>
      <c r="E370" s="22">
        <f>SUMIF(Data!E:E,'RFM mijozlar tahlili'!A370,Data!J:J)</f>
        <v>24160291.122831997</v>
      </c>
      <c r="F370" s="29">
        <f t="shared" si="45"/>
        <v>7</v>
      </c>
      <c r="G370">
        <f t="shared" si="46"/>
        <v>0</v>
      </c>
      <c r="H370">
        <f t="shared" si="47"/>
        <v>5</v>
      </c>
      <c r="I370" s="23">
        <f t="shared" si="48"/>
        <v>5</v>
      </c>
      <c r="J370" t="str">
        <f t="shared" si="49"/>
        <v xml:space="preserve"> </v>
      </c>
      <c r="K370" t="str">
        <f t="shared" si="50"/>
        <v xml:space="preserve"> </v>
      </c>
      <c r="L370" t="str">
        <f t="shared" si="51"/>
        <v xml:space="preserve"> </v>
      </c>
      <c r="M370" t="str">
        <f t="shared" si="52"/>
        <v>Yo'qotishdagi</v>
      </c>
      <c r="N370" s="23" t="str">
        <f t="shared" si="53"/>
        <v xml:space="preserve"> </v>
      </c>
    </row>
    <row r="371" spans="1:14">
      <c r="A371" s="29">
        <v>4876950</v>
      </c>
      <c r="B371" s="10">
        <f>_xlfn.XLOOKUP(A371,Data!E:E,Data!B:B,0,0,-1)</f>
        <v>45301</v>
      </c>
      <c r="C371" s="20">
        <f>_xlfn.XLOOKUP(A371,Data!E:E,Data!B:B)</f>
        <v>45447</v>
      </c>
      <c r="D371" s="21">
        <f>COUNTIF(Data!E:E,A371)</f>
        <v>34</v>
      </c>
      <c r="E371" s="22">
        <f>SUMIF(Data!E:E,'RFM mijozlar tahlili'!A371,Data!J:J)</f>
        <v>36798868.578783996</v>
      </c>
      <c r="F371" s="29">
        <f t="shared" si="45"/>
        <v>7</v>
      </c>
      <c r="G371">
        <f t="shared" si="46"/>
        <v>0</v>
      </c>
      <c r="H371">
        <f t="shared" si="47"/>
        <v>5</v>
      </c>
      <c r="I371" s="23">
        <f t="shared" si="48"/>
        <v>5</v>
      </c>
      <c r="J371" t="str">
        <f t="shared" si="49"/>
        <v xml:space="preserve"> </v>
      </c>
      <c r="K371" t="str">
        <f t="shared" si="50"/>
        <v xml:space="preserve"> </v>
      </c>
      <c r="L371" t="str">
        <f t="shared" si="51"/>
        <v xml:space="preserve"> </v>
      </c>
      <c r="M371" t="str">
        <f t="shared" si="52"/>
        <v>Yo'qotishdagi</v>
      </c>
      <c r="N371" s="23" t="str">
        <f t="shared" si="53"/>
        <v xml:space="preserve"> </v>
      </c>
    </row>
    <row r="372" spans="1:14">
      <c r="A372" s="29">
        <v>4874586</v>
      </c>
      <c r="B372" s="10">
        <f>_xlfn.XLOOKUP(A372,Data!E:E,Data!B:B,0,0,-1)</f>
        <v>45311</v>
      </c>
      <c r="C372" s="20">
        <f>_xlfn.XLOOKUP(A372,Data!E:E,Data!B:B)</f>
        <v>45447</v>
      </c>
      <c r="D372" s="21">
        <f>COUNTIF(Data!E:E,A372)</f>
        <v>146</v>
      </c>
      <c r="E372" s="22">
        <f>SUMIF(Data!E:E,'RFM mijozlar tahlili'!A372,Data!J:J)</f>
        <v>225181269.18183985</v>
      </c>
      <c r="F372" s="29">
        <f t="shared" si="45"/>
        <v>7</v>
      </c>
      <c r="G372">
        <f t="shared" si="46"/>
        <v>0</v>
      </c>
      <c r="H372">
        <f t="shared" si="47"/>
        <v>5</v>
      </c>
      <c r="I372" s="23">
        <f t="shared" si="48"/>
        <v>5</v>
      </c>
      <c r="J372" t="str">
        <f t="shared" si="49"/>
        <v xml:space="preserve"> </v>
      </c>
      <c r="K372" t="str">
        <f t="shared" si="50"/>
        <v xml:space="preserve"> </v>
      </c>
      <c r="L372" t="str">
        <f t="shared" si="51"/>
        <v xml:space="preserve"> </v>
      </c>
      <c r="M372" t="str">
        <f t="shared" si="52"/>
        <v>Yo'qotishdagi</v>
      </c>
      <c r="N372" s="23" t="str">
        <f t="shared" si="53"/>
        <v xml:space="preserve"> </v>
      </c>
    </row>
    <row r="373" spans="1:14">
      <c r="A373" s="29">
        <v>4872203</v>
      </c>
      <c r="B373" s="10">
        <f>_xlfn.XLOOKUP(A373,Data!E:E,Data!B:B,0,0,-1)</f>
        <v>45313</v>
      </c>
      <c r="C373" s="20">
        <f>_xlfn.XLOOKUP(A373,Data!E:E,Data!B:B)</f>
        <v>45447</v>
      </c>
      <c r="D373" s="21">
        <f>COUNTIF(Data!E:E,A373)</f>
        <v>92</v>
      </c>
      <c r="E373" s="22">
        <f>SUMIF(Data!E:E,'RFM mijozlar tahlili'!A373,Data!J:J)</f>
        <v>243295050.31757599</v>
      </c>
      <c r="F373" s="29">
        <f t="shared" si="45"/>
        <v>7</v>
      </c>
      <c r="G373">
        <f t="shared" si="46"/>
        <v>0</v>
      </c>
      <c r="H373">
        <f t="shared" si="47"/>
        <v>5</v>
      </c>
      <c r="I373" s="23">
        <f t="shared" si="48"/>
        <v>5</v>
      </c>
      <c r="J373" t="str">
        <f t="shared" si="49"/>
        <v xml:space="preserve"> </v>
      </c>
      <c r="K373" t="str">
        <f t="shared" si="50"/>
        <v xml:space="preserve"> </v>
      </c>
      <c r="L373" t="str">
        <f t="shared" si="51"/>
        <v xml:space="preserve"> </v>
      </c>
      <c r="M373" t="str">
        <f t="shared" si="52"/>
        <v>Yo'qotishdagi</v>
      </c>
      <c r="N373" s="23" t="str">
        <f t="shared" si="53"/>
        <v xml:space="preserve"> </v>
      </c>
    </row>
    <row r="374" spans="1:14">
      <c r="A374" s="29">
        <v>4873570</v>
      </c>
      <c r="B374" s="10">
        <f>_xlfn.XLOOKUP(A374,Data!E:E,Data!B:B,0,0,-1)</f>
        <v>45308</v>
      </c>
      <c r="C374" s="20">
        <f>_xlfn.XLOOKUP(A374,Data!E:E,Data!B:B)</f>
        <v>45448</v>
      </c>
      <c r="D374" s="21">
        <f>COUNTIF(Data!E:E,A374)</f>
        <v>99</v>
      </c>
      <c r="E374" s="22">
        <f>SUMIF(Data!E:E,'RFM mijozlar tahlili'!A374,Data!J:J)</f>
        <v>110910471.58271992</v>
      </c>
      <c r="F374" s="29">
        <f t="shared" si="45"/>
        <v>7</v>
      </c>
      <c r="G374">
        <f t="shared" si="46"/>
        <v>0</v>
      </c>
      <c r="H374">
        <f t="shared" si="47"/>
        <v>5</v>
      </c>
      <c r="I374" s="23">
        <f t="shared" si="48"/>
        <v>5</v>
      </c>
      <c r="J374" t="str">
        <f t="shared" si="49"/>
        <v xml:space="preserve"> </v>
      </c>
      <c r="K374" t="str">
        <f t="shared" si="50"/>
        <v xml:space="preserve"> </v>
      </c>
      <c r="L374" t="str">
        <f t="shared" si="51"/>
        <v xml:space="preserve"> </v>
      </c>
      <c r="M374" t="str">
        <f t="shared" si="52"/>
        <v>Yo'qotishdagi</v>
      </c>
      <c r="N374" s="23" t="str">
        <f t="shared" si="53"/>
        <v xml:space="preserve"> </v>
      </c>
    </row>
    <row r="375" spans="1:14">
      <c r="A375" s="29">
        <v>4872189</v>
      </c>
      <c r="B375" s="10">
        <f>_xlfn.XLOOKUP(A375,Data!E:E,Data!B:B,0,0,-1)</f>
        <v>45294</v>
      </c>
      <c r="C375" s="20">
        <f>_xlfn.XLOOKUP(A375,Data!E:E,Data!B:B)</f>
        <v>45448</v>
      </c>
      <c r="D375" s="21">
        <f>COUNTIF(Data!E:E,A375)</f>
        <v>46</v>
      </c>
      <c r="E375" s="22">
        <f>SUMIF(Data!E:E,'RFM mijozlar tahlili'!A375,Data!J:J)</f>
        <v>74719563.758239985</v>
      </c>
      <c r="F375" s="29">
        <f t="shared" si="45"/>
        <v>7</v>
      </c>
      <c r="G375">
        <f t="shared" si="46"/>
        <v>0</v>
      </c>
      <c r="H375">
        <f t="shared" si="47"/>
        <v>5</v>
      </c>
      <c r="I375" s="23">
        <f t="shared" si="48"/>
        <v>5</v>
      </c>
      <c r="J375" t="str">
        <f t="shared" si="49"/>
        <v xml:space="preserve"> </v>
      </c>
      <c r="K375" t="str">
        <f t="shared" si="50"/>
        <v xml:space="preserve"> </v>
      </c>
      <c r="L375" t="str">
        <f t="shared" si="51"/>
        <v xml:space="preserve"> </v>
      </c>
      <c r="M375" t="str">
        <f t="shared" si="52"/>
        <v>Yo'qotishdagi</v>
      </c>
      <c r="N375" s="23" t="str">
        <f t="shared" si="53"/>
        <v xml:space="preserve"> </v>
      </c>
    </row>
    <row r="376" spans="1:14">
      <c r="A376" s="29">
        <v>4877306</v>
      </c>
      <c r="B376" s="10">
        <f>_xlfn.XLOOKUP(A376,Data!E:E,Data!B:B,0,0,-1)</f>
        <v>45299</v>
      </c>
      <c r="C376" s="20">
        <f>_xlfn.XLOOKUP(A376,Data!E:E,Data!B:B)</f>
        <v>45448</v>
      </c>
      <c r="D376" s="21">
        <f>COUNTIF(Data!E:E,A376)</f>
        <v>104</v>
      </c>
      <c r="E376" s="22">
        <f>SUMIF(Data!E:E,'RFM mijozlar tahlili'!A376,Data!J:J)</f>
        <v>76857909.866655931</v>
      </c>
      <c r="F376" s="29">
        <f t="shared" si="45"/>
        <v>7</v>
      </c>
      <c r="G376">
        <f t="shared" si="46"/>
        <v>0</v>
      </c>
      <c r="H376">
        <f t="shared" si="47"/>
        <v>5</v>
      </c>
      <c r="I376" s="23">
        <f t="shared" si="48"/>
        <v>5</v>
      </c>
      <c r="J376" t="str">
        <f t="shared" si="49"/>
        <v xml:space="preserve"> </v>
      </c>
      <c r="K376" t="str">
        <f t="shared" si="50"/>
        <v xml:space="preserve"> </v>
      </c>
      <c r="L376" t="str">
        <f t="shared" si="51"/>
        <v xml:space="preserve"> </v>
      </c>
      <c r="M376" t="str">
        <f t="shared" si="52"/>
        <v>Yo'qotishdagi</v>
      </c>
      <c r="N376" s="23" t="str">
        <f t="shared" si="53"/>
        <v xml:space="preserve"> </v>
      </c>
    </row>
    <row r="377" spans="1:14">
      <c r="A377" s="29">
        <v>4872127</v>
      </c>
      <c r="B377" s="10">
        <f>_xlfn.XLOOKUP(A377,Data!E:E,Data!B:B,0,0,-1)</f>
        <v>45387</v>
      </c>
      <c r="C377" s="20">
        <f>_xlfn.XLOOKUP(A377,Data!E:E,Data!B:B)</f>
        <v>45449</v>
      </c>
      <c r="D377" s="21">
        <f>COUNTIF(Data!E:E,A377)</f>
        <v>8</v>
      </c>
      <c r="E377" s="22">
        <f>SUMIF(Data!E:E,'RFM mijozlar tahlili'!A377,Data!J:J)</f>
        <v>6038296.8479999993</v>
      </c>
      <c r="F377" s="29">
        <f t="shared" si="45"/>
        <v>7</v>
      </c>
      <c r="G377">
        <f t="shared" si="46"/>
        <v>0</v>
      </c>
      <c r="H377">
        <f t="shared" si="47"/>
        <v>3</v>
      </c>
      <c r="I377" s="23">
        <f t="shared" si="48"/>
        <v>3</v>
      </c>
      <c r="J377" t="str">
        <f t="shared" si="49"/>
        <v xml:space="preserve"> </v>
      </c>
      <c r="K377" t="str">
        <f t="shared" si="50"/>
        <v xml:space="preserve"> </v>
      </c>
      <c r="L377" t="str">
        <f t="shared" si="51"/>
        <v xml:space="preserve"> </v>
      </c>
      <c r="M377" t="str">
        <f t="shared" si="52"/>
        <v>Yo'qotishdagi</v>
      </c>
      <c r="N377" s="23" t="str">
        <f t="shared" si="53"/>
        <v xml:space="preserve"> </v>
      </c>
    </row>
    <row r="378" spans="1:14">
      <c r="A378" s="29">
        <v>4875779</v>
      </c>
      <c r="B378" s="10">
        <f>_xlfn.XLOOKUP(A378,Data!E:E,Data!B:B,0,0,-1)</f>
        <v>45314</v>
      </c>
      <c r="C378" s="20">
        <f>_xlfn.XLOOKUP(A378,Data!E:E,Data!B:B)</f>
        <v>45450</v>
      </c>
      <c r="D378" s="21">
        <f>COUNTIF(Data!E:E,A378)</f>
        <v>64</v>
      </c>
      <c r="E378" s="22">
        <f>SUMIF(Data!E:E,'RFM mijozlar tahlili'!A378,Data!J:J)</f>
        <v>67995727.987568006</v>
      </c>
      <c r="F378" s="29">
        <f t="shared" si="45"/>
        <v>7</v>
      </c>
      <c r="G378">
        <f t="shared" si="46"/>
        <v>0</v>
      </c>
      <c r="H378">
        <f t="shared" si="47"/>
        <v>5</v>
      </c>
      <c r="I378" s="23">
        <f t="shared" si="48"/>
        <v>5</v>
      </c>
      <c r="J378" t="str">
        <f t="shared" si="49"/>
        <v xml:space="preserve"> </v>
      </c>
      <c r="K378" t="str">
        <f t="shared" si="50"/>
        <v xml:space="preserve"> </v>
      </c>
      <c r="L378" t="str">
        <f t="shared" si="51"/>
        <v xml:space="preserve"> </v>
      </c>
      <c r="M378" t="str">
        <f t="shared" si="52"/>
        <v>Yo'qotishdagi</v>
      </c>
      <c r="N378" s="23" t="str">
        <f t="shared" si="53"/>
        <v xml:space="preserve"> </v>
      </c>
    </row>
    <row r="379" spans="1:14">
      <c r="A379" s="29">
        <v>4878536</v>
      </c>
      <c r="B379" s="10">
        <f>_xlfn.XLOOKUP(A379,Data!E:E,Data!B:B,0,0,-1)</f>
        <v>45368</v>
      </c>
      <c r="C379" s="20">
        <f>_xlfn.XLOOKUP(A379,Data!E:E,Data!B:B)</f>
        <v>45451</v>
      </c>
      <c r="D379" s="21">
        <f>COUNTIF(Data!E:E,A379)</f>
        <v>9</v>
      </c>
      <c r="E379" s="22">
        <f>SUMIF(Data!E:E,'RFM mijozlar tahlili'!A379,Data!J:J)</f>
        <v>4339633.2319999998</v>
      </c>
      <c r="F379" s="29">
        <f t="shared" si="45"/>
        <v>7</v>
      </c>
      <c r="G379">
        <f t="shared" si="46"/>
        <v>0</v>
      </c>
      <c r="H379">
        <f t="shared" si="47"/>
        <v>4</v>
      </c>
      <c r="I379" s="23">
        <f t="shared" si="48"/>
        <v>2</v>
      </c>
      <c r="J379" t="str">
        <f t="shared" si="49"/>
        <v xml:space="preserve"> </v>
      </c>
      <c r="K379" t="str">
        <f t="shared" si="50"/>
        <v xml:space="preserve"> </v>
      </c>
      <c r="L379" t="str">
        <f t="shared" si="51"/>
        <v xml:space="preserve"> </v>
      </c>
      <c r="M379" t="str">
        <f t="shared" si="52"/>
        <v xml:space="preserve"> </v>
      </c>
      <c r="N379" s="23" t="str">
        <f t="shared" si="53"/>
        <v xml:space="preserve"> </v>
      </c>
    </row>
    <row r="380" spans="1:14">
      <c r="A380" s="29">
        <v>4872103</v>
      </c>
      <c r="B380" s="10">
        <f>_xlfn.XLOOKUP(A380,Data!E:E,Data!B:B,0,0,-1)</f>
        <v>45321</v>
      </c>
      <c r="C380" s="20">
        <f>_xlfn.XLOOKUP(A380,Data!E:E,Data!B:B)</f>
        <v>45451</v>
      </c>
      <c r="D380" s="21">
        <f>COUNTIF(Data!E:E,A380)</f>
        <v>11</v>
      </c>
      <c r="E380" s="22">
        <f>SUMIF(Data!E:E,'RFM mijozlar tahlili'!A380,Data!J:J)</f>
        <v>60966255.894000001</v>
      </c>
      <c r="F380" s="29">
        <f t="shared" si="45"/>
        <v>7</v>
      </c>
      <c r="G380">
        <f t="shared" si="46"/>
        <v>0</v>
      </c>
      <c r="H380">
        <f t="shared" si="47"/>
        <v>4</v>
      </c>
      <c r="I380" s="23">
        <f t="shared" si="48"/>
        <v>5</v>
      </c>
      <c r="J380" t="str">
        <f t="shared" si="49"/>
        <v xml:space="preserve"> </v>
      </c>
      <c r="K380" t="str">
        <f t="shared" si="50"/>
        <v xml:space="preserve"> </v>
      </c>
      <c r="L380" t="str">
        <f t="shared" si="51"/>
        <v xml:space="preserve"> </v>
      </c>
      <c r="M380" t="str">
        <f t="shared" si="52"/>
        <v>Yo'qotishdagi</v>
      </c>
      <c r="N380" s="23" t="str">
        <f t="shared" si="53"/>
        <v xml:space="preserve"> </v>
      </c>
    </row>
    <row r="381" spans="1:14">
      <c r="A381" s="29">
        <v>4872160</v>
      </c>
      <c r="B381" s="10">
        <f>_xlfn.XLOOKUP(A381,Data!E:E,Data!B:B,0,0,-1)</f>
        <v>45300</v>
      </c>
      <c r="C381" s="20">
        <f>_xlfn.XLOOKUP(A381,Data!E:E,Data!B:B)</f>
        <v>45452</v>
      </c>
      <c r="D381" s="21">
        <f>COUNTIF(Data!E:E,A381)</f>
        <v>53</v>
      </c>
      <c r="E381" s="22">
        <f>SUMIF(Data!E:E,'RFM mijozlar tahlili'!A381,Data!J:J)</f>
        <v>64163831.843712002</v>
      </c>
      <c r="F381" s="29">
        <f t="shared" si="45"/>
        <v>7</v>
      </c>
      <c r="G381">
        <f t="shared" si="46"/>
        <v>0</v>
      </c>
      <c r="H381">
        <f t="shared" si="47"/>
        <v>5</v>
      </c>
      <c r="I381" s="23">
        <f t="shared" si="48"/>
        <v>5</v>
      </c>
      <c r="J381" t="str">
        <f t="shared" si="49"/>
        <v xml:space="preserve"> </v>
      </c>
      <c r="K381" t="str">
        <f t="shared" si="50"/>
        <v xml:space="preserve"> </v>
      </c>
      <c r="L381" t="str">
        <f t="shared" si="51"/>
        <v xml:space="preserve"> </v>
      </c>
      <c r="M381" t="str">
        <f t="shared" si="52"/>
        <v>Yo'qotishdagi</v>
      </c>
      <c r="N381" s="23" t="str">
        <f t="shared" si="53"/>
        <v xml:space="preserve"> </v>
      </c>
    </row>
    <row r="382" spans="1:14">
      <c r="A382" s="29">
        <v>4872243</v>
      </c>
      <c r="B382" s="10">
        <f>_xlfn.XLOOKUP(A382,Data!E:E,Data!B:B,0,0,-1)</f>
        <v>45374</v>
      </c>
      <c r="C382" s="20">
        <f>_xlfn.XLOOKUP(A382,Data!E:E,Data!B:B)</f>
        <v>45452</v>
      </c>
      <c r="D382" s="21">
        <f>COUNTIF(Data!E:E,A382)</f>
        <v>19</v>
      </c>
      <c r="E382" s="22">
        <f>SUMIF(Data!E:E,'RFM mijozlar tahlili'!A382,Data!J:J)</f>
        <v>17866830.374112003</v>
      </c>
      <c r="F382" s="29">
        <f t="shared" si="45"/>
        <v>7</v>
      </c>
      <c r="G382">
        <f t="shared" si="46"/>
        <v>0</v>
      </c>
      <c r="H382">
        <f t="shared" si="47"/>
        <v>5</v>
      </c>
      <c r="I382" s="23">
        <f t="shared" si="48"/>
        <v>5</v>
      </c>
      <c r="J382" t="str">
        <f t="shared" si="49"/>
        <v xml:space="preserve"> </v>
      </c>
      <c r="K382" t="str">
        <f t="shared" si="50"/>
        <v xml:space="preserve"> </v>
      </c>
      <c r="L382" t="str">
        <f t="shared" si="51"/>
        <v xml:space="preserve"> </v>
      </c>
      <c r="M382" t="str">
        <f t="shared" si="52"/>
        <v>Yo'qotishdagi</v>
      </c>
      <c r="N382" s="23" t="str">
        <f t="shared" si="53"/>
        <v xml:space="preserve"> </v>
      </c>
    </row>
    <row r="383" spans="1:14">
      <c r="A383" s="29">
        <v>4872163</v>
      </c>
      <c r="B383" s="10">
        <f>_xlfn.XLOOKUP(A383,Data!E:E,Data!B:B,0,0,-1)</f>
        <v>45304</v>
      </c>
      <c r="C383" s="20">
        <f>_xlfn.XLOOKUP(A383,Data!E:E,Data!B:B)</f>
        <v>45452</v>
      </c>
      <c r="D383" s="21">
        <f>COUNTIF(Data!E:E,A383)</f>
        <v>118</v>
      </c>
      <c r="E383" s="22">
        <f>SUMIF(Data!E:E,'RFM mijozlar tahlili'!A383,Data!J:J)</f>
        <v>245332754.37596783</v>
      </c>
      <c r="F383" s="29">
        <f t="shared" si="45"/>
        <v>7</v>
      </c>
      <c r="G383">
        <f t="shared" si="46"/>
        <v>0</v>
      </c>
      <c r="H383">
        <f t="shared" si="47"/>
        <v>5</v>
      </c>
      <c r="I383" s="23">
        <f t="shared" si="48"/>
        <v>5</v>
      </c>
      <c r="J383" t="str">
        <f t="shared" si="49"/>
        <v xml:space="preserve"> </v>
      </c>
      <c r="K383" t="str">
        <f t="shared" si="50"/>
        <v xml:space="preserve"> </v>
      </c>
      <c r="L383" t="str">
        <f t="shared" si="51"/>
        <v xml:space="preserve"> </v>
      </c>
      <c r="M383" t="str">
        <f t="shared" si="52"/>
        <v>Yo'qotishdagi</v>
      </c>
      <c r="N383" s="23" t="str">
        <f t="shared" si="53"/>
        <v xml:space="preserve"> </v>
      </c>
    </row>
    <row r="384" spans="1:14">
      <c r="A384" s="29">
        <v>4872190</v>
      </c>
      <c r="B384" s="10">
        <f>_xlfn.XLOOKUP(A384,Data!E:E,Data!B:B,0,0,-1)</f>
        <v>45295</v>
      </c>
      <c r="C384" s="20">
        <f>_xlfn.XLOOKUP(A384,Data!E:E,Data!B:B)</f>
        <v>45453</v>
      </c>
      <c r="D384" s="21">
        <f>COUNTIF(Data!E:E,A384)</f>
        <v>32</v>
      </c>
      <c r="E384" s="22">
        <f>SUMIF(Data!E:E,'RFM mijozlar tahlili'!A384,Data!J:J)</f>
        <v>53879800.671999969</v>
      </c>
      <c r="F384" s="29">
        <f t="shared" si="45"/>
        <v>7</v>
      </c>
      <c r="G384">
        <f t="shared" si="46"/>
        <v>0</v>
      </c>
      <c r="H384">
        <f t="shared" si="47"/>
        <v>5</v>
      </c>
      <c r="I384" s="23">
        <f t="shared" si="48"/>
        <v>5</v>
      </c>
      <c r="J384" t="str">
        <f t="shared" si="49"/>
        <v xml:space="preserve"> </v>
      </c>
      <c r="K384" t="str">
        <f t="shared" si="50"/>
        <v xml:space="preserve"> </v>
      </c>
      <c r="L384" t="str">
        <f t="shared" si="51"/>
        <v xml:space="preserve"> </v>
      </c>
      <c r="M384" t="str">
        <f t="shared" si="52"/>
        <v>Yo'qotishdagi</v>
      </c>
      <c r="N384" s="23" t="str">
        <f t="shared" si="53"/>
        <v xml:space="preserve"> </v>
      </c>
    </row>
    <row r="385" spans="1:14">
      <c r="A385" s="29">
        <v>4872070</v>
      </c>
      <c r="B385" s="10">
        <f>_xlfn.XLOOKUP(A385,Data!E:E,Data!B:B,0,0,-1)</f>
        <v>45299</v>
      </c>
      <c r="C385" s="20">
        <f>_xlfn.XLOOKUP(A385,Data!E:E,Data!B:B)</f>
        <v>45453</v>
      </c>
      <c r="D385" s="21">
        <f>COUNTIF(Data!E:E,A385)</f>
        <v>10</v>
      </c>
      <c r="E385" s="22">
        <f>SUMIF(Data!E:E,'RFM mijozlar tahlili'!A385,Data!J:J)</f>
        <v>2917881.9392000004</v>
      </c>
      <c r="F385" s="29">
        <f t="shared" si="45"/>
        <v>7</v>
      </c>
      <c r="G385">
        <f t="shared" si="46"/>
        <v>0</v>
      </c>
      <c r="H385">
        <f t="shared" si="47"/>
        <v>4</v>
      </c>
      <c r="I385" s="23">
        <f t="shared" si="48"/>
        <v>1</v>
      </c>
      <c r="J385" t="str">
        <f t="shared" si="49"/>
        <v xml:space="preserve"> </v>
      </c>
      <c r="K385" t="str">
        <f t="shared" si="50"/>
        <v xml:space="preserve"> </v>
      </c>
      <c r="L385" t="str">
        <f t="shared" si="51"/>
        <v xml:space="preserve"> </v>
      </c>
      <c r="M385" t="str">
        <f t="shared" si="52"/>
        <v xml:space="preserve"> </v>
      </c>
      <c r="N385" s="23" t="str">
        <f t="shared" si="53"/>
        <v xml:space="preserve"> </v>
      </c>
    </row>
    <row r="386" spans="1:14">
      <c r="A386" s="29">
        <v>4872706</v>
      </c>
      <c r="B386" s="10">
        <f>_xlfn.XLOOKUP(A386,Data!E:E,Data!B:B,0,0,-1)</f>
        <v>45321</v>
      </c>
      <c r="C386" s="20">
        <f>_xlfn.XLOOKUP(A386,Data!E:E,Data!B:B)</f>
        <v>45454</v>
      </c>
      <c r="D386" s="21">
        <f>COUNTIF(Data!E:E,A386)</f>
        <v>16</v>
      </c>
      <c r="E386" s="22">
        <f>SUMIF(Data!E:E,'RFM mijozlar tahlili'!A386,Data!J:J)</f>
        <v>9786287.5527999979</v>
      </c>
      <c r="F386" s="29">
        <f t="shared" si="45"/>
        <v>7</v>
      </c>
      <c r="G386">
        <f t="shared" si="46"/>
        <v>0</v>
      </c>
      <c r="H386">
        <f t="shared" si="47"/>
        <v>5</v>
      </c>
      <c r="I386" s="23">
        <f t="shared" si="48"/>
        <v>4</v>
      </c>
      <c r="J386" t="str">
        <f t="shared" si="49"/>
        <v xml:space="preserve"> </v>
      </c>
      <c r="K386" t="str">
        <f t="shared" si="50"/>
        <v xml:space="preserve"> </v>
      </c>
      <c r="L386" t="str">
        <f t="shared" si="51"/>
        <v xml:space="preserve"> </v>
      </c>
      <c r="M386" t="str">
        <f t="shared" si="52"/>
        <v>Yo'qotishdagi</v>
      </c>
      <c r="N386" s="23" t="str">
        <f t="shared" si="53"/>
        <v xml:space="preserve"> </v>
      </c>
    </row>
    <row r="387" spans="1:14">
      <c r="A387" s="29">
        <v>4872200</v>
      </c>
      <c r="B387" s="10">
        <f>_xlfn.XLOOKUP(A387,Data!E:E,Data!B:B,0,0,-1)</f>
        <v>45322</v>
      </c>
      <c r="C387" s="20">
        <f>_xlfn.XLOOKUP(A387,Data!E:E,Data!B:B)</f>
        <v>45455</v>
      </c>
      <c r="D387" s="21">
        <f>COUNTIF(Data!E:E,A387)</f>
        <v>64</v>
      </c>
      <c r="E387" s="22">
        <f>SUMIF(Data!E:E,'RFM mijozlar tahlili'!A387,Data!J:J)</f>
        <v>91276596.330799982</v>
      </c>
      <c r="F387" s="29">
        <f t="shared" si="45"/>
        <v>7</v>
      </c>
      <c r="G387">
        <f t="shared" si="46"/>
        <v>0</v>
      </c>
      <c r="H387">
        <f t="shared" si="47"/>
        <v>5</v>
      </c>
      <c r="I387" s="23">
        <f t="shared" si="48"/>
        <v>5</v>
      </c>
      <c r="J387" t="str">
        <f t="shared" si="49"/>
        <v xml:space="preserve"> </v>
      </c>
      <c r="K387" t="str">
        <f t="shared" si="50"/>
        <v xml:space="preserve"> </v>
      </c>
      <c r="L387" t="str">
        <f t="shared" si="51"/>
        <v xml:space="preserve"> </v>
      </c>
      <c r="M387" t="str">
        <f t="shared" si="52"/>
        <v>Yo'qotishdagi</v>
      </c>
      <c r="N387" s="23" t="str">
        <f t="shared" si="53"/>
        <v xml:space="preserve"> </v>
      </c>
    </row>
    <row r="388" spans="1:14">
      <c r="A388" s="29">
        <v>4872141</v>
      </c>
      <c r="B388" s="10">
        <f>_xlfn.XLOOKUP(A388,Data!E:E,Data!B:B,0,0,-1)</f>
        <v>45322</v>
      </c>
      <c r="C388" s="20">
        <f>_xlfn.XLOOKUP(A388,Data!E:E,Data!B:B)</f>
        <v>45457</v>
      </c>
      <c r="D388" s="21">
        <f>COUNTIF(Data!E:E,A388)</f>
        <v>78</v>
      </c>
      <c r="E388" s="22">
        <f>SUMIF(Data!E:E,'RFM mijozlar tahlili'!A388,Data!J:J)</f>
        <v>145261751.83923194</v>
      </c>
      <c r="F388" s="29">
        <f t="shared" si="45"/>
        <v>7</v>
      </c>
      <c r="G388">
        <f t="shared" si="46"/>
        <v>0</v>
      </c>
      <c r="H388">
        <f t="shared" si="47"/>
        <v>5</v>
      </c>
      <c r="I388" s="23">
        <f t="shared" si="48"/>
        <v>5</v>
      </c>
      <c r="J388" t="str">
        <f t="shared" si="49"/>
        <v xml:space="preserve"> </v>
      </c>
      <c r="K388" t="str">
        <f t="shared" si="50"/>
        <v xml:space="preserve"> </v>
      </c>
      <c r="L388" t="str">
        <f t="shared" si="51"/>
        <v xml:space="preserve"> </v>
      </c>
      <c r="M388" t="str">
        <f t="shared" si="52"/>
        <v>Yo'qotishdagi</v>
      </c>
      <c r="N388" s="23" t="str">
        <f t="shared" si="53"/>
        <v xml:space="preserve"> </v>
      </c>
    </row>
    <row r="389" spans="1:14">
      <c r="A389" s="29">
        <v>4872068</v>
      </c>
      <c r="B389" s="10">
        <f>_xlfn.XLOOKUP(A389,Data!E:E,Data!B:B,0,0,-1)</f>
        <v>45321</v>
      </c>
      <c r="C389" s="20">
        <f>_xlfn.XLOOKUP(A389,Data!E:E,Data!B:B)</f>
        <v>45462</v>
      </c>
      <c r="D389" s="21">
        <f>COUNTIF(Data!E:E,A389)</f>
        <v>46</v>
      </c>
      <c r="E389" s="22">
        <f>SUMIF(Data!E:E,'RFM mijozlar tahlili'!A389,Data!J:J)</f>
        <v>36840536.093695983</v>
      </c>
      <c r="F389" s="29">
        <f t="shared" si="45"/>
        <v>7</v>
      </c>
      <c r="G389">
        <f t="shared" si="46"/>
        <v>0</v>
      </c>
      <c r="H389">
        <f t="shared" si="47"/>
        <v>5</v>
      </c>
      <c r="I389" s="23">
        <f t="shared" si="48"/>
        <v>5</v>
      </c>
      <c r="J389" t="str">
        <f t="shared" si="49"/>
        <v xml:space="preserve"> </v>
      </c>
      <c r="K389" t="str">
        <f t="shared" si="50"/>
        <v xml:space="preserve"> </v>
      </c>
      <c r="L389" t="str">
        <f t="shared" si="51"/>
        <v xml:space="preserve"> </v>
      </c>
      <c r="M389" t="str">
        <f t="shared" si="52"/>
        <v>Yo'qotishdagi</v>
      </c>
      <c r="N389" s="23" t="str">
        <f t="shared" si="53"/>
        <v xml:space="preserve"> </v>
      </c>
    </row>
    <row r="390" spans="1:14">
      <c r="A390" s="29">
        <v>6080599</v>
      </c>
      <c r="B390" s="10">
        <f>_xlfn.XLOOKUP(A390,Data!E:E,Data!B:B,0,0,-1)</f>
        <v>45442</v>
      </c>
      <c r="C390" s="20">
        <f>_xlfn.XLOOKUP(A390,Data!E:E,Data!B:B)</f>
        <v>45462</v>
      </c>
      <c r="D390" s="21">
        <f>COUNTIF(Data!E:E,A390)</f>
        <v>11</v>
      </c>
      <c r="E390" s="22">
        <f>SUMIF(Data!E:E,'RFM mijozlar tahlili'!A390,Data!J:J)</f>
        <v>16144350.288063997</v>
      </c>
      <c r="F390" s="29">
        <f t="shared" ref="F390:F453" si="54">ROUND(($F$4-C390)/30,0)</f>
        <v>7</v>
      </c>
      <c r="G390">
        <f t="shared" ref="G390:G453" si="55">IF(F390&lt;=1,5,IF(F390=2,4,IF(F390=3,3,IF(F390=4,2,IF(F390=5,1,IF(F390&gt;5,0,0))))))</f>
        <v>0</v>
      </c>
      <c r="H390">
        <f t="shared" ref="H390:H453" si="56">IF(D390&gt;=$D$3,5,IF(D390&lt;3,0,IF(D390&lt;5,1,IF(D390&lt;7,2,IF(D390&lt;9,3,IF(D390&lt;=$D$3,4,0))))))</f>
        <v>4</v>
      </c>
      <c r="I390" s="23">
        <f t="shared" ref="I390:I453" si="57">IF(E390&gt;=$E$3,5,IF(E390&lt;2000000,0,IF(E390&lt;=4000000,1,IF(E390&lt;=6000000,2,IF(E390&lt;=8000000,3,IF(E390&lt;=$E$3,4))))))</f>
        <v>5</v>
      </c>
      <c r="J390" t="str">
        <f t="shared" ref="J390:J453" si="58">IF(AND(G390=5,H390=5,I390=5),"TOP"," ")</f>
        <v xml:space="preserve"> </v>
      </c>
      <c r="K390" t="str">
        <f t="shared" ref="K390:K453" si="59">IF(AND(G390&gt;=4,H390&gt;=4), "Sodiq", " ")</f>
        <v xml:space="preserve"> </v>
      </c>
      <c r="L390" t="str">
        <f t="shared" ref="L390:L453" si="60">IF(AND(G390&lt;=1,H390&lt;=1), "Yo'qotilgan", " ")</f>
        <v xml:space="preserve"> </v>
      </c>
      <c r="M390" t="str">
        <f t="shared" ref="M390:M453" si="61">IF(AND(G390&lt;=3,I390&gt;=3), "Yo'qotishdagi", " ")</f>
        <v>Yo'qotishdagi</v>
      </c>
      <c r="N390" s="23" t="str">
        <f t="shared" ref="N390:N453" si="62">IF(AND((B390-$N$2)&gt;0, F390&lt;=2), "Yangi", " ")</f>
        <v xml:space="preserve"> </v>
      </c>
    </row>
    <row r="391" spans="1:14">
      <c r="A391" s="29">
        <v>4872193</v>
      </c>
      <c r="B391" s="10">
        <f>_xlfn.XLOOKUP(A391,Data!E:E,Data!B:B,0,0,-1)</f>
        <v>45315</v>
      </c>
      <c r="C391" s="20">
        <f>_xlfn.XLOOKUP(A391,Data!E:E,Data!B:B)</f>
        <v>45463</v>
      </c>
      <c r="D391" s="21">
        <f>COUNTIF(Data!E:E,A391)</f>
        <v>61</v>
      </c>
      <c r="E391" s="22">
        <f>SUMIF(Data!E:E,'RFM mijozlar tahlili'!A391,Data!J:J)</f>
        <v>82458521.910959974</v>
      </c>
      <c r="F391" s="29">
        <f t="shared" si="54"/>
        <v>7</v>
      </c>
      <c r="G391">
        <f t="shared" si="55"/>
        <v>0</v>
      </c>
      <c r="H391">
        <f t="shared" si="56"/>
        <v>5</v>
      </c>
      <c r="I391" s="23">
        <f t="shared" si="57"/>
        <v>5</v>
      </c>
      <c r="J391" t="str">
        <f t="shared" si="58"/>
        <v xml:space="preserve"> </v>
      </c>
      <c r="K391" t="str">
        <f t="shared" si="59"/>
        <v xml:space="preserve"> </v>
      </c>
      <c r="L391" t="str">
        <f t="shared" si="60"/>
        <v xml:space="preserve"> </v>
      </c>
      <c r="M391" t="str">
        <f t="shared" si="61"/>
        <v>Yo'qotishdagi</v>
      </c>
      <c r="N391" s="23" t="str">
        <f t="shared" si="62"/>
        <v xml:space="preserve"> </v>
      </c>
    </row>
    <row r="392" spans="1:14">
      <c r="A392" s="29">
        <v>4872156</v>
      </c>
      <c r="B392" s="10">
        <f>_xlfn.XLOOKUP(A392,Data!E:E,Data!B:B,0,0,-1)</f>
        <v>45318</v>
      </c>
      <c r="C392" s="20">
        <f>_xlfn.XLOOKUP(A392,Data!E:E,Data!B:B)</f>
        <v>45464</v>
      </c>
      <c r="D392" s="21">
        <f>COUNTIF(Data!E:E,A392)</f>
        <v>66</v>
      </c>
      <c r="E392" s="22">
        <f>SUMIF(Data!E:E,'RFM mijozlar tahlili'!A392,Data!J:J)</f>
        <v>71000849.872655973</v>
      </c>
      <c r="F392" s="29">
        <f t="shared" si="54"/>
        <v>7</v>
      </c>
      <c r="G392">
        <f t="shared" si="55"/>
        <v>0</v>
      </c>
      <c r="H392">
        <f t="shared" si="56"/>
        <v>5</v>
      </c>
      <c r="I392" s="23">
        <f t="shared" si="57"/>
        <v>5</v>
      </c>
      <c r="J392" t="str">
        <f t="shared" si="58"/>
        <v xml:space="preserve"> </v>
      </c>
      <c r="K392" t="str">
        <f t="shared" si="59"/>
        <v xml:space="preserve"> </v>
      </c>
      <c r="L392" t="str">
        <f t="shared" si="60"/>
        <v xml:space="preserve"> </v>
      </c>
      <c r="M392" t="str">
        <f t="shared" si="61"/>
        <v>Yo'qotishdagi</v>
      </c>
      <c r="N392" s="23" t="str">
        <f t="shared" si="62"/>
        <v xml:space="preserve"> </v>
      </c>
    </row>
    <row r="393" spans="1:14">
      <c r="A393" s="29">
        <v>4872205</v>
      </c>
      <c r="B393" s="10">
        <f>_xlfn.XLOOKUP(A393,Data!E:E,Data!B:B,0,0,-1)</f>
        <v>45310</v>
      </c>
      <c r="C393" s="20">
        <f>_xlfn.XLOOKUP(A393,Data!E:E,Data!B:B)</f>
        <v>45464</v>
      </c>
      <c r="D393" s="21">
        <f>COUNTIF(Data!E:E,A393)</f>
        <v>66</v>
      </c>
      <c r="E393" s="22">
        <f>SUMIF(Data!E:E,'RFM mijozlar tahlili'!A393,Data!J:J)</f>
        <v>102494510.54327995</v>
      </c>
      <c r="F393" s="29">
        <f t="shared" si="54"/>
        <v>7</v>
      </c>
      <c r="G393">
        <f t="shared" si="55"/>
        <v>0</v>
      </c>
      <c r="H393">
        <f t="shared" si="56"/>
        <v>5</v>
      </c>
      <c r="I393" s="23">
        <f t="shared" si="57"/>
        <v>5</v>
      </c>
      <c r="J393" t="str">
        <f t="shared" si="58"/>
        <v xml:space="preserve"> </v>
      </c>
      <c r="K393" t="str">
        <f t="shared" si="59"/>
        <v xml:space="preserve"> </v>
      </c>
      <c r="L393" t="str">
        <f t="shared" si="60"/>
        <v xml:space="preserve"> </v>
      </c>
      <c r="M393" t="str">
        <f t="shared" si="61"/>
        <v>Yo'qotishdagi</v>
      </c>
      <c r="N393" s="23" t="str">
        <f t="shared" si="62"/>
        <v xml:space="preserve"> </v>
      </c>
    </row>
    <row r="394" spans="1:14">
      <c r="A394" s="29">
        <v>4878952</v>
      </c>
      <c r="B394" s="10">
        <f>_xlfn.XLOOKUP(A394,Data!E:E,Data!B:B,0,0,-1)</f>
        <v>45321</v>
      </c>
      <c r="C394" s="20">
        <f>_xlfn.XLOOKUP(A394,Data!E:E,Data!B:B)</f>
        <v>45465</v>
      </c>
      <c r="D394" s="21">
        <f>COUNTIF(Data!E:E,A394)</f>
        <v>12</v>
      </c>
      <c r="E394" s="22">
        <f>SUMIF(Data!E:E,'RFM mijozlar tahlili'!A394,Data!J:J)</f>
        <v>9559335.0373119991</v>
      </c>
      <c r="F394" s="29">
        <f t="shared" si="54"/>
        <v>7</v>
      </c>
      <c r="G394">
        <f t="shared" si="55"/>
        <v>0</v>
      </c>
      <c r="H394">
        <f t="shared" si="56"/>
        <v>4</v>
      </c>
      <c r="I394" s="23">
        <f t="shared" si="57"/>
        <v>4</v>
      </c>
      <c r="J394" t="str">
        <f t="shared" si="58"/>
        <v xml:space="preserve"> </v>
      </c>
      <c r="K394" t="str">
        <f t="shared" si="59"/>
        <v xml:space="preserve"> </v>
      </c>
      <c r="L394" t="str">
        <f t="shared" si="60"/>
        <v xml:space="preserve"> </v>
      </c>
      <c r="M394" t="str">
        <f t="shared" si="61"/>
        <v>Yo'qotishdagi</v>
      </c>
      <c r="N394" s="23" t="str">
        <f t="shared" si="62"/>
        <v xml:space="preserve"> </v>
      </c>
    </row>
    <row r="395" spans="1:14">
      <c r="A395" s="29">
        <v>4872159</v>
      </c>
      <c r="B395" s="10">
        <f>_xlfn.XLOOKUP(A395,Data!E:E,Data!B:B,0,0,-1)</f>
        <v>45465</v>
      </c>
      <c r="C395" s="20">
        <f>_xlfn.XLOOKUP(A395,Data!E:E,Data!B:B)</f>
        <v>45465</v>
      </c>
      <c r="D395" s="21">
        <f>COUNTIF(Data!E:E,A395)</f>
        <v>2</v>
      </c>
      <c r="E395" s="22">
        <f>SUMIF(Data!E:E,'RFM mijozlar tahlili'!A395,Data!J:J)</f>
        <v>2012765.6159999999</v>
      </c>
      <c r="F395" s="29">
        <f t="shared" si="54"/>
        <v>7</v>
      </c>
      <c r="G395">
        <f t="shared" si="55"/>
        <v>0</v>
      </c>
      <c r="H395">
        <f t="shared" si="56"/>
        <v>0</v>
      </c>
      <c r="I395" s="23">
        <f t="shared" si="57"/>
        <v>1</v>
      </c>
      <c r="J395" t="str">
        <f t="shared" si="58"/>
        <v xml:space="preserve"> </v>
      </c>
      <c r="K395" t="str">
        <f t="shared" si="59"/>
        <v xml:space="preserve"> </v>
      </c>
      <c r="L395" t="str">
        <f t="shared" si="60"/>
        <v>Yo'qotilgan</v>
      </c>
      <c r="M395" t="str">
        <f t="shared" si="61"/>
        <v xml:space="preserve"> </v>
      </c>
      <c r="N395" s="23" t="str">
        <f t="shared" si="62"/>
        <v xml:space="preserve"> </v>
      </c>
    </row>
    <row r="396" spans="1:14">
      <c r="A396" s="29">
        <v>4878658</v>
      </c>
      <c r="B396" s="10">
        <f>_xlfn.XLOOKUP(A396,Data!E:E,Data!B:B,0,0,-1)</f>
        <v>45330</v>
      </c>
      <c r="C396" s="20">
        <f>_xlfn.XLOOKUP(A396,Data!E:E,Data!B:B)</f>
        <v>45465</v>
      </c>
      <c r="D396" s="21">
        <f>COUNTIF(Data!E:E,A396)</f>
        <v>43</v>
      </c>
      <c r="E396" s="22">
        <f>SUMIF(Data!E:E,'RFM mijozlar tahlili'!A396,Data!J:J)</f>
        <v>19919622.63617599</v>
      </c>
      <c r="F396" s="29">
        <f t="shared" si="54"/>
        <v>7</v>
      </c>
      <c r="G396">
        <f t="shared" si="55"/>
        <v>0</v>
      </c>
      <c r="H396">
        <f t="shared" si="56"/>
        <v>5</v>
      </c>
      <c r="I396" s="23">
        <f t="shared" si="57"/>
        <v>5</v>
      </c>
      <c r="J396" t="str">
        <f t="shared" si="58"/>
        <v xml:space="preserve"> </v>
      </c>
      <c r="K396" t="str">
        <f t="shared" si="59"/>
        <v xml:space="preserve"> </v>
      </c>
      <c r="L396" t="str">
        <f t="shared" si="60"/>
        <v xml:space="preserve"> </v>
      </c>
      <c r="M396" t="str">
        <f t="shared" si="61"/>
        <v>Yo'qotishdagi</v>
      </c>
      <c r="N396" s="23" t="str">
        <f t="shared" si="62"/>
        <v xml:space="preserve"> </v>
      </c>
    </row>
    <row r="397" spans="1:14">
      <c r="A397" s="29">
        <v>4872208</v>
      </c>
      <c r="B397" s="10">
        <f>_xlfn.XLOOKUP(A397,Data!E:E,Data!B:B,0,0,-1)</f>
        <v>45308</v>
      </c>
      <c r="C397" s="20">
        <f>_xlfn.XLOOKUP(A397,Data!E:E,Data!B:B)</f>
        <v>45466</v>
      </c>
      <c r="D397" s="21">
        <f>COUNTIF(Data!E:E,A397)</f>
        <v>42</v>
      </c>
      <c r="E397" s="22">
        <f>SUMIF(Data!E:E,'RFM mijozlar tahlili'!A397,Data!J:J)</f>
        <v>97013983.462799996</v>
      </c>
      <c r="F397" s="29">
        <f t="shared" si="54"/>
        <v>7</v>
      </c>
      <c r="G397">
        <f t="shared" si="55"/>
        <v>0</v>
      </c>
      <c r="H397">
        <f t="shared" si="56"/>
        <v>5</v>
      </c>
      <c r="I397" s="23">
        <f t="shared" si="57"/>
        <v>5</v>
      </c>
      <c r="J397" t="str">
        <f t="shared" si="58"/>
        <v xml:space="preserve"> </v>
      </c>
      <c r="K397" t="str">
        <f t="shared" si="59"/>
        <v xml:space="preserve"> </v>
      </c>
      <c r="L397" t="str">
        <f t="shared" si="60"/>
        <v xml:space="preserve"> </v>
      </c>
      <c r="M397" t="str">
        <f t="shared" si="61"/>
        <v>Yo'qotishdagi</v>
      </c>
      <c r="N397" s="23" t="str">
        <f t="shared" si="62"/>
        <v xml:space="preserve"> </v>
      </c>
    </row>
    <row r="398" spans="1:14">
      <c r="A398" s="29">
        <v>4879074</v>
      </c>
      <c r="B398" s="10">
        <f>_xlfn.XLOOKUP(A398,Data!E:E,Data!B:B,0,0,-1)</f>
        <v>45301</v>
      </c>
      <c r="C398" s="20">
        <f>_xlfn.XLOOKUP(A398,Data!E:E,Data!B:B)</f>
        <v>45468</v>
      </c>
      <c r="D398" s="21">
        <f>COUNTIF(Data!E:E,A398)</f>
        <v>29</v>
      </c>
      <c r="E398" s="22">
        <f>SUMIF(Data!E:E,'RFM mijozlar tahlili'!A398,Data!J:J)</f>
        <v>16600474.135567997</v>
      </c>
      <c r="F398" s="29">
        <f t="shared" si="54"/>
        <v>6</v>
      </c>
      <c r="G398">
        <f t="shared" si="55"/>
        <v>0</v>
      </c>
      <c r="H398">
        <f t="shared" si="56"/>
        <v>5</v>
      </c>
      <c r="I398" s="23">
        <f t="shared" si="57"/>
        <v>5</v>
      </c>
      <c r="J398" t="str">
        <f t="shared" si="58"/>
        <v xml:space="preserve"> </v>
      </c>
      <c r="K398" t="str">
        <f t="shared" si="59"/>
        <v xml:space="preserve"> </v>
      </c>
      <c r="L398" t="str">
        <f t="shared" si="60"/>
        <v xml:space="preserve"> </v>
      </c>
      <c r="M398" t="str">
        <f t="shared" si="61"/>
        <v>Yo'qotishdagi</v>
      </c>
      <c r="N398" s="23" t="str">
        <f t="shared" si="62"/>
        <v xml:space="preserve"> </v>
      </c>
    </row>
    <row r="399" spans="1:14">
      <c r="A399" s="29">
        <v>4872135</v>
      </c>
      <c r="B399" s="10">
        <f>_xlfn.XLOOKUP(A399,Data!E:E,Data!B:B,0,0,-1)</f>
        <v>45307</v>
      </c>
      <c r="C399" s="20">
        <f>_xlfn.XLOOKUP(A399,Data!E:E,Data!B:B)</f>
        <v>45468</v>
      </c>
      <c r="D399" s="21">
        <f>COUNTIF(Data!E:E,A399)</f>
        <v>50</v>
      </c>
      <c r="E399" s="22">
        <f>SUMIF(Data!E:E,'RFM mijozlar tahlili'!A399,Data!J:J)</f>
        <v>95219933.351439998</v>
      </c>
      <c r="F399" s="29">
        <f t="shared" si="54"/>
        <v>6</v>
      </c>
      <c r="G399">
        <f t="shared" si="55"/>
        <v>0</v>
      </c>
      <c r="H399">
        <f t="shared" si="56"/>
        <v>5</v>
      </c>
      <c r="I399" s="23">
        <f t="shared" si="57"/>
        <v>5</v>
      </c>
      <c r="J399" t="str">
        <f t="shared" si="58"/>
        <v xml:space="preserve"> </v>
      </c>
      <c r="K399" t="str">
        <f t="shared" si="59"/>
        <v xml:space="preserve"> </v>
      </c>
      <c r="L399" t="str">
        <f t="shared" si="60"/>
        <v xml:space="preserve"> </v>
      </c>
      <c r="M399" t="str">
        <f t="shared" si="61"/>
        <v>Yo'qotishdagi</v>
      </c>
      <c r="N399" s="23" t="str">
        <f t="shared" si="62"/>
        <v xml:space="preserve"> </v>
      </c>
    </row>
    <row r="400" spans="1:14">
      <c r="A400" s="29">
        <v>6080114</v>
      </c>
      <c r="B400" s="10">
        <f>_xlfn.XLOOKUP(A400,Data!E:E,Data!B:B,0,0,-1)</f>
        <v>45469</v>
      </c>
      <c r="C400" s="20">
        <f>_xlfn.XLOOKUP(A400,Data!E:E,Data!B:B)</f>
        <v>45469</v>
      </c>
      <c r="D400" s="21">
        <f>COUNTIF(Data!E:E,A400)</f>
        <v>1</v>
      </c>
      <c r="E400" s="22">
        <f>SUMIF(Data!E:E,'RFM mijozlar tahlili'!A400,Data!J:J)</f>
        <v>25253.800799999997</v>
      </c>
      <c r="F400" s="29">
        <f t="shared" si="54"/>
        <v>6</v>
      </c>
      <c r="G400">
        <f t="shared" si="55"/>
        <v>0</v>
      </c>
      <c r="H400">
        <f t="shared" si="56"/>
        <v>0</v>
      </c>
      <c r="I400" s="23">
        <f t="shared" si="57"/>
        <v>0</v>
      </c>
      <c r="J400" t="str">
        <f t="shared" si="58"/>
        <v xml:space="preserve"> </v>
      </c>
      <c r="K400" t="str">
        <f t="shared" si="59"/>
        <v xml:space="preserve"> </v>
      </c>
      <c r="L400" t="str">
        <f t="shared" si="60"/>
        <v>Yo'qotilgan</v>
      </c>
      <c r="M400" t="str">
        <f t="shared" si="61"/>
        <v xml:space="preserve"> </v>
      </c>
      <c r="N400" s="23" t="str">
        <f t="shared" si="62"/>
        <v xml:space="preserve"> </v>
      </c>
    </row>
    <row r="401" spans="1:14">
      <c r="A401" s="29">
        <v>4877269</v>
      </c>
      <c r="B401" s="10">
        <f>_xlfn.XLOOKUP(A401,Data!E:E,Data!B:B,0,0,-1)</f>
        <v>45309</v>
      </c>
      <c r="C401" s="20">
        <f>_xlfn.XLOOKUP(A401,Data!E:E,Data!B:B)</f>
        <v>45471</v>
      </c>
      <c r="D401" s="21">
        <f>COUNTIF(Data!E:E,A401)</f>
        <v>25</v>
      </c>
      <c r="E401" s="22">
        <f>SUMIF(Data!E:E,'RFM mijozlar tahlili'!A401,Data!J:J)</f>
        <v>16156135.395104</v>
      </c>
      <c r="F401" s="29">
        <f t="shared" si="54"/>
        <v>6</v>
      </c>
      <c r="G401">
        <f t="shared" si="55"/>
        <v>0</v>
      </c>
      <c r="H401">
        <f t="shared" si="56"/>
        <v>5</v>
      </c>
      <c r="I401" s="23">
        <f t="shared" si="57"/>
        <v>5</v>
      </c>
      <c r="J401" t="str">
        <f t="shared" si="58"/>
        <v xml:space="preserve"> </v>
      </c>
      <c r="K401" t="str">
        <f t="shared" si="59"/>
        <v xml:space="preserve"> </v>
      </c>
      <c r="L401" t="str">
        <f t="shared" si="60"/>
        <v xml:space="preserve"> </v>
      </c>
      <c r="M401" t="str">
        <f t="shared" si="61"/>
        <v>Yo'qotishdagi</v>
      </c>
      <c r="N401" s="23" t="str">
        <f t="shared" si="62"/>
        <v xml:space="preserve"> </v>
      </c>
    </row>
    <row r="402" spans="1:14">
      <c r="A402" s="29">
        <v>4872685</v>
      </c>
      <c r="B402" s="10">
        <f>_xlfn.XLOOKUP(A402,Data!E:E,Data!B:B,0,0,-1)</f>
        <v>45322</v>
      </c>
      <c r="C402" s="20">
        <f>_xlfn.XLOOKUP(A402,Data!E:E,Data!B:B)</f>
        <v>45472</v>
      </c>
      <c r="D402" s="21">
        <f>COUNTIF(Data!E:E,A402)</f>
        <v>5</v>
      </c>
      <c r="E402" s="22">
        <f>SUMIF(Data!E:E,'RFM mijozlar tahlili'!A402,Data!J:J)</f>
        <v>2426752.0520000001</v>
      </c>
      <c r="F402" s="29">
        <f t="shared" si="54"/>
        <v>6</v>
      </c>
      <c r="G402">
        <f t="shared" si="55"/>
        <v>0</v>
      </c>
      <c r="H402">
        <f t="shared" si="56"/>
        <v>2</v>
      </c>
      <c r="I402" s="23">
        <f t="shared" si="57"/>
        <v>1</v>
      </c>
      <c r="J402" t="str">
        <f t="shared" si="58"/>
        <v xml:space="preserve"> </v>
      </c>
      <c r="K402" t="str">
        <f t="shared" si="59"/>
        <v xml:space="preserve"> </v>
      </c>
      <c r="L402" t="str">
        <f t="shared" si="60"/>
        <v xml:space="preserve"> </v>
      </c>
      <c r="M402" t="str">
        <f t="shared" si="61"/>
        <v xml:space="preserve"> </v>
      </c>
      <c r="N402" s="23" t="str">
        <f t="shared" si="62"/>
        <v xml:space="preserve"> </v>
      </c>
    </row>
    <row r="403" spans="1:14">
      <c r="A403" s="29">
        <v>4876962</v>
      </c>
      <c r="B403" s="10">
        <f>_xlfn.XLOOKUP(A403,Data!E:E,Data!B:B,0,0,-1)</f>
        <v>45473</v>
      </c>
      <c r="C403" s="20">
        <f>_xlfn.XLOOKUP(A403,Data!E:E,Data!B:B)</f>
        <v>45473</v>
      </c>
      <c r="D403" s="21">
        <f>COUNTIF(Data!E:E,A403)</f>
        <v>5</v>
      </c>
      <c r="E403" s="22">
        <f>SUMIF(Data!E:E,'RFM mijozlar tahlili'!A403,Data!J:J)</f>
        <v>3172430.2</v>
      </c>
      <c r="F403" s="29">
        <f t="shared" si="54"/>
        <v>6</v>
      </c>
      <c r="G403">
        <f t="shared" si="55"/>
        <v>0</v>
      </c>
      <c r="H403">
        <f t="shared" si="56"/>
        <v>2</v>
      </c>
      <c r="I403" s="23">
        <f t="shared" si="57"/>
        <v>1</v>
      </c>
      <c r="J403" t="str">
        <f t="shared" si="58"/>
        <v xml:space="preserve"> </v>
      </c>
      <c r="K403" t="str">
        <f t="shared" si="59"/>
        <v xml:space="preserve"> </v>
      </c>
      <c r="L403" t="str">
        <f t="shared" si="60"/>
        <v xml:space="preserve"> </v>
      </c>
      <c r="M403" t="str">
        <f t="shared" si="61"/>
        <v xml:space="preserve"> </v>
      </c>
      <c r="N403" s="23" t="str">
        <f t="shared" si="62"/>
        <v xml:space="preserve"> </v>
      </c>
    </row>
    <row r="404" spans="1:14">
      <c r="A404" s="29">
        <v>4875451</v>
      </c>
      <c r="B404" s="10">
        <f>_xlfn.XLOOKUP(A404,Data!E:E,Data!B:B,0,0,-1)</f>
        <v>45304</v>
      </c>
      <c r="C404" s="20">
        <f>_xlfn.XLOOKUP(A404,Data!E:E,Data!B:B)</f>
        <v>45473</v>
      </c>
      <c r="D404" s="21">
        <f>COUNTIF(Data!E:E,A404)</f>
        <v>2</v>
      </c>
      <c r="E404" s="22">
        <f>SUMIF(Data!E:E,'RFM mijozlar tahlili'!A404,Data!J:J)</f>
        <v>0</v>
      </c>
      <c r="F404" s="29">
        <f t="shared" si="54"/>
        <v>6</v>
      </c>
      <c r="G404">
        <f t="shared" si="55"/>
        <v>0</v>
      </c>
      <c r="H404">
        <f t="shared" si="56"/>
        <v>0</v>
      </c>
      <c r="I404" s="23">
        <f t="shared" si="57"/>
        <v>0</v>
      </c>
      <c r="J404" t="str">
        <f t="shared" si="58"/>
        <v xml:space="preserve"> </v>
      </c>
      <c r="K404" t="str">
        <f t="shared" si="59"/>
        <v xml:space="preserve"> </v>
      </c>
      <c r="L404" t="str">
        <f t="shared" si="60"/>
        <v>Yo'qotilgan</v>
      </c>
      <c r="M404" t="str">
        <f t="shared" si="61"/>
        <v xml:space="preserve"> </v>
      </c>
      <c r="N404" s="23" t="str">
        <f t="shared" si="62"/>
        <v xml:space="preserve"> </v>
      </c>
    </row>
    <row r="405" spans="1:14">
      <c r="A405" s="29">
        <v>4873342</v>
      </c>
      <c r="B405" s="10">
        <f>_xlfn.XLOOKUP(A405,Data!E:E,Data!B:B,0,0,-1)</f>
        <v>45419</v>
      </c>
      <c r="C405" s="20">
        <f>_xlfn.XLOOKUP(A405,Data!E:E,Data!B:B)</f>
        <v>45419</v>
      </c>
      <c r="D405" s="21">
        <f>COUNTIF(Data!E:E,A405)</f>
        <v>1</v>
      </c>
      <c r="E405" s="22">
        <f>SUMIF(Data!E:E,'RFM mijozlar tahlili'!A405,Data!J:J)</f>
        <v>77269.09199999999</v>
      </c>
      <c r="F405" s="29">
        <f t="shared" si="54"/>
        <v>8</v>
      </c>
      <c r="G405">
        <f t="shared" si="55"/>
        <v>0</v>
      </c>
      <c r="H405">
        <f t="shared" si="56"/>
        <v>0</v>
      </c>
      <c r="I405" s="23">
        <f t="shared" si="57"/>
        <v>0</v>
      </c>
      <c r="J405" t="str">
        <f t="shared" si="58"/>
        <v xml:space="preserve"> </v>
      </c>
      <c r="K405" t="str">
        <f t="shared" si="59"/>
        <v xml:space="preserve"> </v>
      </c>
      <c r="L405" t="str">
        <f t="shared" si="60"/>
        <v>Yo'qotilgan</v>
      </c>
      <c r="M405" t="str">
        <f t="shared" si="61"/>
        <v xml:space="preserve"> </v>
      </c>
      <c r="N405" s="23" t="str">
        <f t="shared" si="62"/>
        <v xml:space="preserve"> </v>
      </c>
    </row>
    <row r="406" spans="1:14">
      <c r="A406" s="29">
        <v>4873223</v>
      </c>
      <c r="B406" s="10">
        <f>_xlfn.XLOOKUP(A406,Data!E:E,Data!B:B,0,0,-1)</f>
        <v>45360</v>
      </c>
      <c r="C406" s="20">
        <f>_xlfn.XLOOKUP(A406,Data!E:E,Data!B:B)</f>
        <v>45423</v>
      </c>
      <c r="D406" s="21">
        <f>COUNTIF(Data!E:E,A406)</f>
        <v>11</v>
      </c>
      <c r="E406" s="22">
        <f>SUMIF(Data!E:E,'RFM mijozlar tahlili'!A406,Data!J:J)</f>
        <v>3009084.5959200002</v>
      </c>
      <c r="F406" s="29">
        <f t="shared" si="54"/>
        <v>8</v>
      </c>
      <c r="G406">
        <f t="shared" si="55"/>
        <v>0</v>
      </c>
      <c r="H406">
        <f t="shared" si="56"/>
        <v>4</v>
      </c>
      <c r="I406" s="23">
        <f t="shared" si="57"/>
        <v>1</v>
      </c>
      <c r="J406" t="str">
        <f t="shared" si="58"/>
        <v xml:space="preserve"> </v>
      </c>
      <c r="K406" t="str">
        <f t="shared" si="59"/>
        <v xml:space="preserve"> </v>
      </c>
      <c r="L406" t="str">
        <f t="shared" si="60"/>
        <v xml:space="preserve"> </v>
      </c>
      <c r="M406" t="str">
        <f t="shared" si="61"/>
        <v xml:space="preserve"> </v>
      </c>
      <c r="N406" s="23" t="str">
        <f t="shared" si="62"/>
        <v xml:space="preserve"> </v>
      </c>
    </row>
    <row r="407" spans="1:14">
      <c r="A407" s="29">
        <v>4873602</v>
      </c>
      <c r="B407" s="10">
        <f>_xlfn.XLOOKUP(A407,Data!E:E,Data!B:B,0,0,-1)</f>
        <v>45433</v>
      </c>
      <c r="C407" s="20">
        <f>_xlfn.XLOOKUP(A407,Data!E:E,Data!B:B)</f>
        <v>45433</v>
      </c>
      <c r="D407" s="21">
        <f>COUNTIF(Data!E:E,A407)</f>
        <v>3</v>
      </c>
      <c r="E407" s="22">
        <f>SUMIF(Data!E:E,'RFM mijozlar tahlili'!A407,Data!J:J)</f>
        <v>2610001.6716160001</v>
      </c>
      <c r="F407" s="29">
        <f t="shared" si="54"/>
        <v>8</v>
      </c>
      <c r="G407">
        <f t="shared" si="55"/>
        <v>0</v>
      </c>
      <c r="H407">
        <f t="shared" si="56"/>
        <v>1</v>
      </c>
      <c r="I407" s="23">
        <f t="shared" si="57"/>
        <v>1</v>
      </c>
      <c r="J407" t="str">
        <f t="shared" si="58"/>
        <v xml:space="preserve"> </v>
      </c>
      <c r="K407" t="str">
        <f t="shared" si="59"/>
        <v xml:space="preserve"> </v>
      </c>
      <c r="L407" t="str">
        <f t="shared" si="60"/>
        <v>Yo'qotilgan</v>
      </c>
      <c r="M407" t="str">
        <f t="shared" si="61"/>
        <v xml:space="preserve"> </v>
      </c>
      <c r="N407" s="23" t="str">
        <f t="shared" si="62"/>
        <v xml:space="preserve"> </v>
      </c>
    </row>
    <row r="408" spans="1:14">
      <c r="A408" s="29">
        <v>4877638</v>
      </c>
      <c r="B408" s="10">
        <f>_xlfn.XLOOKUP(A408,Data!E:E,Data!B:B,0,0,-1)</f>
        <v>45360</v>
      </c>
      <c r="C408" s="20">
        <f>_xlfn.XLOOKUP(A408,Data!E:E,Data!B:B)</f>
        <v>45415</v>
      </c>
      <c r="D408" s="21">
        <f>COUNTIF(Data!E:E,A408)</f>
        <v>3</v>
      </c>
      <c r="E408" s="22">
        <f>SUMIF(Data!E:E,'RFM mijozlar tahlili'!A408,Data!J:J)</f>
        <v>1594381.7519999999</v>
      </c>
      <c r="F408" s="29">
        <f t="shared" si="54"/>
        <v>8</v>
      </c>
      <c r="G408">
        <f t="shared" si="55"/>
        <v>0</v>
      </c>
      <c r="H408">
        <f t="shared" si="56"/>
        <v>1</v>
      </c>
      <c r="I408" s="23">
        <f t="shared" si="57"/>
        <v>0</v>
      </c>
      <c r="J408" t="str">
        <f t="shared" si="58"/>
        <v xml:space="preserve"> </v>
      </c>
      <c r="K408" t="str">
        <f t="shared" si="59"/>
        <v xml:space="preserve"> </v>
      </c>
      <c r="L408" t="str">
        <f t="shared" si="60"/>
        <v>Yo'qotilgan</v>
      </c>
      <c r="M408" t="str">
        <f t="shared" si="61"/>
        <v xml:space="preserve"> </v>
      </c>
      <c r="N408" s="23" t="str">
        <f t="shared" si="62"/>
        <v xml:space="preserve"> </v>
      </c>
    </row>
    <row r="409" spans="1:14">
      <c r="A409" s="29">
        <v>4879105</v>
      </c>
      <c r="B409" s="10">
        <f>_xlfn.XLOOKUP(A409,Data!E:E,Data!B:B,0,0,-1)</f>
        <v>45336</v>
      </c>
      <c r="C409" s="20">
        <f>_xlfn.XLOOKUP(A409,Data!E:E,Data!B:B)</f>
        <v>45419</v>
      </c>
      <c r="D409" s="21">
        <f>COUNTIF(Data!E:E,A409)</f>
        <v>7</v>
      </c>
      <c r="E409" s="22">
        <f>SUMIF(Data!E:E,'RFM mijozlar tahlili'!A409,Data!J:J)</f>
        <v>2766861.6976000001</v>
      </c>
      <c r="F409" s="29">
        <f t="shared" si="54"/>
        <v>8</v>
      </c>
      <c r="G409">
        <f t="shared" si="55"/>
        <v>0</v>
      </c>
      <c r="H409">
        <f t="shared" si="56"/>
        <v>3</v>
      </c>
      <c r="I409" s="23">
        <f t="shared" si="57"/>
        <v>1</v>
      </c>
      <c r="J409" t="str">
        <f t="shared" si="58"/>
        <v xml:space="preserve"> </v>
      </c>
      <c r="K409" t="str">
        <f t="shared" si="59"/>
        <v xml:space="preserve"> </v>
      </c>
      <c r="L409" t="str">
        <f t="shared" si="60"/>
        <v xml:space="preserve"> </v>
      </c>
      <c r="M409" t="str">
        <f t="shared" si="61"/>
        <v xml:space="preserve"> </v>
      </c>
      <c r="N409" s="23" t="str">
        <f t="shared" si="62"/>
        <v xml:space="preserve"> </v>
      </c>
    </row>
    <row r="410" spans="1:14">
      <c r="A410" s="29">
        <v>4877631</v>
      </c>
      <c r="B410" s="10">
        <f>_xlfn.XLOOKUP(A410,Data!E:E,Data!B:B,0,0,-1)</f>
        <v>45315</v>
      </c>
      <c r="C410" s="20">
        <f>_xlfn.XLOOKUP(A410,Data!E:E,Data!B:B)</f>
        <v>45421</v>
      </c>
      <c r="D410" s="21">
        <f>COUNTIF(Data!E:E,A410)</f>
        <v>10</v>
      </c>
      <c r="E410" s="22">
        <f>SUMIF(Data!E:E,'RFM mijozlar tahlili'!A410,Data!J:J)</f>
        <v>1705694.4751679997</v>
      </c>
      <c r="F410" s="29">
        <f t="shared" si="54"/>
        <v>8</v>
      </c>
      <c r="G410">
        <f t="shared" si="55"/>
        <v>0</v>
      </c>
      <c r="H410">
        <f t="shared" si="56"/>
        <v>4</v>
      </c>
      <c r="I410" s="23">
        <f t="shared" si="57"/>
        <v>0</v>
      </c>
      <c r="J410" t="str">
        <f t="shared" si="58"/>
        <v xml:space="preserve"> </v>
      </c>
      <c r="K410" t="str">
        <f t="shared" si="59"/>
        <v xml:space="preserve"> </v>
      </c>
      <c r="L410" t="str">
        <f t="shared" si="60"/>
        <v xml:space="preserve"> </v>
      </c>
      <c r="M410" t="str">
        <f t="shared" si="61"/>
        <v xml:space="preserve"> </v>
      </c>
      <c r="N410" s="23" t="str">
        <f t="shared" si="62"/>
        <v xml:space="preserve"> </v>
      </c>
    </row>
    <row r="411" spans="1:14">
      <c r="A411" s="29">
        <v>4878056</v>
      </c>
      <c r="B411" s="10">
        <f>_xlfn.XLOOKUP(A411,Data!E:E,Data!B:B,0,0,-1)</f>
        <v>45309</v>
      </c>
      <c r="C411" s="20">
        <f>_xlfn.XLOOKUP(A411,Data!E:E,Data!B:B)</f>
        <v>45426</v>
      </c>
      <c r="D411" s="21">
        <f>COUNTIF(Data!E:E,A411)</f>
        <v>12</v>
      </c>
      <c r="E411" s="22">
        <f>SUMIF(Data!E:E,'RFM mijozlar tahlili'!A411,Data!J:J)</f>
        <v>6883095.5359359998</v>
      </c>
      <c r="F411" s="29">
        <f t="shared" si="54"/>
        <v>8</v>
      </c>
      <c r="G411">
        <f t="shared" si="55"/>
        <v>0</v>
      </c>
      <c r="H411">
        <f t="shared" si="56"/>
        <v>4</v>
      </c>
      <c r="I411" s="23">
        <f t="shared" si="57"/>
        <v>3</v>
      </c>
      <c r="J411" t="str">
        <f t="shared" si="58"/>
        <v xml:space="preserve"> </v>
      </c>
      <c r="K411" t="str">
        <f t="shared" si="59"/>
        <v xml:space="preserve"> </v>
      </c>
      <c r="L411" t="str">
        <f t="shared" si="60"/>
        <v xml:space="preserve"> </v>
      </c>
      <c r="M411" t="str">
        <f t="shared" si="61"/>
        <v>Yo'qotishdagi</v>
      </c>
      <c r="N411" s="23" t="str">
        <f t="shared" si="62"/>
        <v xml:space="preserve"> </v>
      </c>
    </row>
    <row r="412" spans="1:14">
      <c r="A412" s="29">
        <v>4877545</v>
      </c>
      <c r="B412" s="10">
        <f>_xlfn.XLOOKUP(A412,Data!E:E,Data!B:B,0,0,-1)</f>
        <v>45430</v>
      </c>
      <c r="C412" s="20">
        <f>_xlfn.XLOOKUP(A412,Data!E:E,Data!B:B)</f>
        <v>45430</v>
      </c>
      <c r="D412" s="21">
        <f>COUNTIF(Data!E:E,A412)</f>
        <v>1</v>
      </c>
      <c r="E412" s="22">
        <f>SUMIF(Data!E:E,'RFM mijozlar tahlili'!A412,Data!J:J)</f>
        <v>291109.73360000004</v>
      </c>
      <c r="F412" s="29">
        <f t="shared" si="54"/>
        <v>8</v>
      </c>
      <c r="G412">
        <f t="shared" si="55"/>
        <v>0</v>
      </c>
      <c r="H412">
        <f t="shared" si="56"/>
        <v>0</v>
      </c>
      <c r="I412" s="23">
        <f t="shared" si="57"/>
        <v>0</v>
      </c>
      <c r="J412" t="str">
        <f t="shared" si="58"/>
        <v xml:space="preserve"> </v>
      </c>
      <c r="K412" t="str">
        <f t="shared" si="59"/>
        <v xml:space="preserve"> </v>
      </c>
      <c r="L412" t="str">
        <f t="shared" si="60"/>
        <v>Yo'qotilgan</v>
      </c>
      <c r="M412" t="str">
        <f t="shared" si="61"/>
        <v xml:space="preserve"> </v>
      </c>
      <c r="N412" s="23" t="str">
        <f t="shared" si="62"/>
        <v xml:space="preserve"> </v>
      </c>
    </row>
    <row r="413" spans="1:14">
      <c r="A413" s="29">
        <v>4876797</v>
      </c>
      <c r="B413" s="10">
        <f>_xlfn.XLOOKUP(A413,Data!E:E,Data!B:B,0,0,-1)</f>
        <v>45315</v>
      </c>
      <c r="C413" s="20">
        <f>_xlfn.XLOOKUP(A413,Data!E:E,Data!B:B)</f>
        <v>45427</v>
      </c>
      <c r="D413" s="21">
        <f>COUNTIF(Data!E:E,A413)</f>
        <v>9</v>
      </c>
      <c r="E413" s="22">
        <f>SUMIF(Data!E:E,'RFM mijozlar tahlili'!A413,Data!J:J)</f>
        <v>4513344.2020799993</v>
      </c>
      <c r="F413" s="29">
        <f t="shared" si="54"/>
        <v>8</v>
      </c>
      <c r="G413">
        <f t="shared" si="55"/>
        <v>0</v>
      </c>
      <c r="H413">
        <f t="shared" si="56"/>
        <v>4</v>
      </c>
      <c r="I413" s="23">
        <f t="shared" si="57"/>
        <v>2</v>
      </c>
      <c r="J413" t="str">
        <f t="shared" si="58"/>
        <v xml:space="preserve"> </v>
      </c>
      <c r="K413" t="str">
        <f t="shared" si="59"/>
        <v xml:space="preserve"> </v>
      </c>
      <c r="L413" t="str">
        <f t="shared" si="60"/>
        <v xml:space="preserve"> </v>
      </c>
      <c r="M413" t="str">
        <f t="shared" si="61"/>
        <v xml:space="preserve"> </v>
      </c>
      <c r="N413" s="23" t="str">
        <f t="shared" si="62"/>
        <v xml:space="preserve"> </v>
      </c>
    </row>
    <row r="414" spans="1:14">
      <c r="A414" s="29">
        <v>4874314</v>
      </c>
      <c r="B414" s="10">
        <f>_xlfn.XLOOKUP(A414,Data!E:E,Data!B:B,0,0,-1)</f>
        <v>45436</v>
      </c>
      <c r="C414" s="20">
        <f>_xlfn.XLOOKUP(A414,Data!E:E,Data!B:B)</f>
        <v>45436</v>
      </c>
      <c r="D414" s="21">
        <f>COUNTIF(Data!E:E,A414)</f>
        <v>1</v>
      </c>
      <c r="E414" s="22">
        <f>SUMIF(Data!E:E,'RFM mijozlar tahlili'!A414,Data!J:J)</f>
        <v>603829.68479999993</v>
      </c>
      <c r="F414" s="29">
        <f t="shared" si="54"/>
        <v>8</v>
      </c>
      <c r="G414">
        <f t="shared" si="55"/>
        <v>0</v>
      </c>
      <c r="H414">
        <f t="shared" si="56"/>
        <v>0</v>
      </c>
      <c r="I414" s="23">
        <f t="shared" si="57"/>
        <v>0</v>
      </c>
      <c r="J414" t="str">
        <f t="shared" si="58"/>
        <v xml:space="preserve"> </v>
      </c>
      <c r="K414" t="str">
        <f t="shared" si="59"/>
        <v xml:space="preserve"> </v>
      </c>
      <c r="L414" t="str">
        <f t="shared" si="60"/>
        <v>Yo'qotilgan</v>
      </c>
      <c r="M414" t="str">
        <f t="shared" si="61"/>
        <v xml:space="preserve"> </v>
      </c>
      <c r="N414" s="23" t="str">
        <f t="shared" si="62"/>
        <v xml:space="preserve"> </v>
      </c>
    </row>
    <row r="415" spans="1:14">
      <c r="A415" s="29">
        <v>4879106</v>
      </c>
      <c r="B415" s="10">
        <f>_xlfn.XLOOKUP(A415,Data!E:E,Data!B:B,0,0,-1)</f>
        <v>45442</v>
      </c>
      <c r="C415" s="20">
        <f>_xlfn.XLOOKUP(A415,Data!E:E,Data!B:B)</f>
        <v>45442</v>
      </c>
      <c r="D415" s="21">
        <f>COUNTIF(Data!E:E,A415)</f>
        <v>1</v>
      </c>
      <c r="E415" s="22">
        <f>SUMIF(Data!E:E,'RFM mijozlar tahlili'!A415,Data!J:J)</f>
        <v>103025.45599999999</v>
      </c>
      <c r="F415" s="29">
        <f t="shared" si="54"/>
        <v>7</v>
      </c>
      <c r="G415">
        <f t="shared" si="55"/>
        <v>0</v>
      </c>
      <c r="H415">
        <f t="shared" si="56"/>
        <v>0</v>
      </c>
      <c r="I415" s="23">
        <f t="shared" si="57"/>
        <v>0</v>
      </c>
      <c r="J415" t="str">
        <f t="shared" si="58"/>
        <v xml:space="preserve"> </v>
      </c>
      <c r="K415" t="str">
        <f t="shared" si="59"/>
        <v xml:space="preserve"> </v>
      </c>
      <c r="L415" t="str">
        <f t="shared" si="60"/>
        <v>Yo'qotilgan</v>
      </c>
      <c r="M415" t="str">
        <f t="shared" si="61"/>
        <v xml:space="preserve"> </v>
      </c>
      <c r="N415" s="23" t="str">
        <f t="shared" si="62"/>
        <v xml:space="preserve"> </v>
      </c>
    </row>
    <row r="416" spans="1:14">
      <c r="A416" s="29">
        <v>4873444</v>
      </c>
      <c r="B416" s="10">
        <f>_xlfn.XLOOKUP(A416,Data!E:E,Data!B:B,0,0,-1)</f>
        <v>45422</v>
      </c>
      <c r="C416" s="20">
        <f>_xlfn.XLOOKUP(A416,Data!E:E,Data!B:B)</f>
        <v>45422</v>
      </c>
      <c r="D416" s="21">
        <f>COUNTIF(Data!E:E,A416)</f>
        <v>1</v>
      </c>
      <c r="E416" s="22">
        <f>SUMIF(Data!E:E,'RFM mijozlar tahlili'!A416,Data!J:J)</f>
        <v>628832.20400000003</v>
      </c>
      <c r="F416" s="29">
        <f t="shared" si="54"/>
        <v>8</v>
      </c>
      <c r="G416">
        <f t="shared" si="55"/>
        <v>0</v>
      </c>
      <c r="H416">
        <f t="shared" si="56"/>
        <v>0</v>
      </c>
      <c r="I416" s="23">
        <f t="shared" si="57"/>
        <v>0</v>
      </c>
      <c r="J416" t="str">
        <f t="shared" si="58"/>
        <v xml:space="preserve"> </v>
      </c>
      <c r="K416" t="str">
        <f t="shared" si="59"/>
        <v xml:space="preserve"> </v>
      </c>
      <c r="L416" t="str">
        <f t="shared" si="60"/>
        <v>Yo'qotilgan</v>
      </c>
      <c r="M416" t="str">
        <f t="shared" si="61"/>
        <v xml:space="preserve"> </v>
      </c>
      <c r="N416" s="23" t="str">
        <f t="shared" si="62"/>
        <v xml:space="preserve"> </v>
      </c>
    </row>
    <row r="417" spans="1:14">
      <c r="A417" s="29">
        <v>4878737</v>
      </c>
      <c r="B417" s="10">
        <f>_xlfn.XLOOKUP(A417,Data!E:E,Data!B:B,0,0,-1)</f>
        <v>45423</v>
      </c>
      <c r="C417" s="20">
        <f>_xlfn.XLOOKUP(A417,Data!E:E,Data!B:B)</f>
        <v>45423</v>
      </c>
      <c r="D417" s="21">
        <f>COUNTIF(Data!E:E,A417)</f>
        <v>1</v>
      </c>
      <c r="E417" s="22">
        <f>SUMIF(Data!E:E,'RFM mijozlar tahlili'!A417,Data!J:J)</f>
        <v>191212.73351999998</v>
      </c>
      <c r="F417" s="29">
        <f t="shared" si="54"/>
        <v>8</v>
      </c>
      <c r="G417">
        <f t="shared" si="55"/>
        <v>0</v>
      </c>
      <c r="H417">
        <f t="shared" si="56"/>
        <v>0</v>
      </c>
      <c r="I417" s="23">
        <f t="shared" si="57"/>
        <v>0</v>
      </c>
      <c r="J417" t="str">
        <f t="shared" si="58"/>
        <v xml:space="preserve"> </v>
      </c>
      <c r="K417" t="str">
        <f t="shared" si="59"/>
        <v xml:space="preserve"> </v>
      </c>
      <c r="L417" t="str">
        <f t="shared" si="60"/>
        <v>Yo'qotilgan</v>
      </c>
      <c r="M417" t="str">
        <f t="shared" si="61"/>
        <v xml:space="preserve"> </v>
      </c>
      <c r="N417" s="23" t="str">
        <f t="shared" si="62"/>
        <v xml:space="preserve"> </v>
      </c>
    </row>
    <row r="418" spans="1:14">
      <c r="A418" s="29">
        <v>4875879</v>
      </c>
      <c r="B418" s="10">
        <f>_xlfn.XLOOKUP(A418,Data!E:E,Data!B:B,0,0,-1)</f>
        <v>45419</v>
      </c>
      <c r="C418" s="20">
        <f>_xlfn.XLOOKUP(A418,Data!E:E,Data!B:B)</f>
        <v>45419</v>
      </c>
      <c r="D418" s="21">
        <f>COUNTIF(Data!E:E,A418)</f>
        <v>1</v>
      </c>
      <c r="E418" s="22">
        <f>SUMIF(Data!E:E,'RFM mijozlar tahlili'!A418,Data!J:J)</f>
        <v>251532.88159999999</v>
      </c>
      <c r="F418" s="29">
        <f t="shared" si="54"/>
        <v>8</v>
      </c>
      <c r="G418">
        <f t="shared" si="55"/>
        <v>0</v>
      </c>
      <c r="H418">
        <f t="shared" si="56"/>
        <v>0</v>
      </c>
      <c r="I418" s="23">
        <f t="shared" si="57"/>
        <v>0</v>
      </c>
      <c r="J418" t="str">
        <f t="shared" si="58"/>
        <v xml:space="preserve"> </v>
      </c>
      <c r="K418" t="str">
        <f t="shared" si="59"/>
        <v xml:space="preserve"> </v>
      </c>
      <c r="L418" t="str">
        <f t="shared" si="60"/>
        <v>Yo'qotilgan</v>
      </c>
      <c r="M418" t="str">
        <f t="shared" si="61"/>
        <v xml:space="preserve"> </v>
      </c>
      <c r="N418" s="23" t="str">
        <f t="shared" si="62"/>
        <v xml:space="preserve"> </v>
      </c>
    </row>
    <row r="419" spans="1:14">
      <c r="A419" s="29">
        <v>4878304</v>
      </c>
      <c r="B419" s="10">
        <f>_xlfn.XLOOKUP(A419,Data!E:E,Data!B:B,0,0,-1)</f>
        <v>45425</v>
      </c>
      <c r="C419" s="20">
        <f>_xlfn.XLOOKUP(A419,Data!E:E,Data!B:B)</f>
        <v>45425</v>
      </c>
      <c r="D419" s="21">
        <f>COUNTIF(Data!E:E,A419)</f>
        <v>1</v>
      </c>
      <c r="E419" s="22">
        <f>SUMIF(Data!E:E,'RFM mijozlar tahlili'!A419,Data!J:J)</f>
        <v>113202.36079999999</v>
      </c>
      <c r="F419" s="29">
        <f t="shared" si="54"/>
        <v>8</v>
      </c>
      <c r="G419">
        <f t="shared" si="55"/>
        <v>0</v>
      </c>
      <c r="H419">
        <f t="shared" si="56"/>
        <v>0</v>
      </c>
      <c r="I419" s="23">
        <f t="shared" si="57"/>
        <v>0</v>
      </c>
      <c r="J419" t="str">
        <f t="shared" si="58"/>
        <v xml:space="preserve"> </v>
      </c>
      <c r="K419" t="str">
        <f t="shared" si="59"/>
        <v xml:space="preserve"> </v>
      </c>
      <c r="L419" t="str">
        <f t="shared" si="60"/>
        <v>Yo'qotilgan</v>
      </c>
      <c r="M419" t="str">
        <f t="shared" si="61"/>
        <v xml:space="preserve"> </v>
      </c>
      <c r="N419" s="23" t="str">
        <f t="shared" si="62"/>
        <v xml:space="preserve"> </v>
      </c>
    </row>
    <row r="420" spans="1:14">
      <c r="A420" s="29">
        <v>4873481</v>
      </c>
      <c r="B420" s="10">
        <f>_xlfn.XLOOKUP(A420,Data!E:E,Data!B:B,0,0,-1)</f>
        <v>45339</v>
      </c>
      <c r="C420" s="20">
        <f>_xlfn.XLOOKUP(A420,Data!E:E,Data!B:B)</f>
        <v>45427</v>
      </c>
      <c r="D420" s="21">
        <f>COUNTIF(Data!E:E,A420)</f>
        <v>11</v>
      </c>
      <c r="E420" s="22">
        <f>SUMIF(Data!E:E,'RFM mijozlar tahlili'!A420,Data!J:J)</f>
        <v>3954898.4870559992</v>
      </c>
      <c r="F420" s="29">
        <f t="shared" si="54"/>
        <v>8</v>
      </c>
      <c r="G420">
        <f t="shared" si="55"/>
        <v>0</v>
      </c>
      <c r="H420">
        <f t="shared" si="56"/>
        <v>4</v>
      </c>
      <c r="I420" s="23">
        <f t="shared" si="57"/>
        <v>1</v>
      </c>
      <c r="J420" t="str">
        <f t="shared" si="58"/>
        <v xml:space="preserve"> </v>
      </c>
      <c r="K420" t="str">
        <f t="shared" si="59"/>
        <v xml:space="preserve"> </v>
      </c>
      <c r="L420" t="str">
        <f t="shared" si="60"/>
        <v xml:space="preserve"> </v>
      </c>
      <c r="M420" t="str">
        <f t="shared" si="61"/>
        <v xml:space="preserve"> </v>
      </c>
      <c r="N420" s="23" t="str">
        <f t="shared" si="62"/>
        <v xml:space="preserve"> </v>
      </c>
    </row>
    <row r="421" spans="1:14">
      <c r="A421" s="29">
        <v>4873017</v>
      </c>
      <c r="B421" s="10">
        <f>_xlfn.XLOOKUP(A421,Data!E:E,Data!B:B,0,0,-1)</f>
        <v>45438</v>
      </c>
      <c r="C421" s="20">
        <f>_xlfn.XLOOKUP(A421,Data!E:E,Data!B:B)</f>
        <v>45438</v>
      </c>
      <c r="D421" s="21">
        <f>COUNTIF(Data!E:E,A421)</f>
        <v>10</v>
      </c>
      <c r="E421" s="22">
        <f>SUMIF(Data!E:E,'RFM mijozlar tahlili'!A421,Data!J:J)</f>
        <v>8967863.3816</v>
      </c>
      <c r="F421" s="29">
        <f t="shared" si="54"/>
        <v>7</v>
      </c>
      <c r="G421">
        <f t="shared" si="55"/>
        <v>0</v>
      </c>
      <c r="H421">
        <f t="shared" si="56"/>
        <v>4</v>
      </c>
      <c r="I421" s="23">
        <f t="shared" si="57"/>
        <v>4</v>
      </c>
      <c r="J421" t="str">
        <f t="shared" si="58"/>
        <v xml:space="preserve"> </v>
      </c>
      <c r="K421" t="str">
        <f t="shared" si="59"/>
        <v xml:space="preserve"> </v>
      </c>
      <c r="L421" t="str">
        <f t="shared" si="60"/>
        <v xml:space="preserve"> </v>
      </c>
      <c r="M421" t="str">
        <f t="shared" si="61"/>
        <v>Yo'qotishdagi</v>
      </c>
      <c r="N421" s="23" t="str">
        <f t="shared" si="62"/>
        <v xml:space="preserve"> </v>
      </c>
    </row>
    <row r="422" spans="1:14">
      <c r="A422" s="29">
        <v>4873121</v>
      </c>
      <c r="B422" s="10">
        <f>_xlfn.XLOOKUP(A422,Data!E:E,Data!B:B,0,0,-1)</f>
        <v>45353</v>
      </c>
      <c r="C422" s="20">
        <f>_xlfn.XLOOKUP(A422,Data!E:E,Data!B:B)</f>
        <v>45414</v>
      </c>
      <c r="D422" s="21">
        <f>COUNTIF(Data!E:E,A422)</f>
        <v>15</v>
      </c>
      <c r="E422" s="22">
        <f>SUMIF(Data!E:E,'RFM mijozlar tahlili'!A422,Data!J:J)</f>
        <v>22313177.875999991</v>
      </c>
      <c r="F422" s="29">
        <f t="shared" si="54"/>
        <v>8</v>
      </c>
      <c r="G422">
        <f t="shared" si="55"/>
        <v>0</v>
      </c>
      <c r="H422">
        <f t="shared" si="56"/>
        <v>5</v>
      </c>
      <c r="I422" s="23">
        <f t="shared" si="57"/>
        <v>5</v>
      </c>
      <c r="J422" t="str">
        <f t="shared" si="58"/>
        <v xml:space="preserve"> </v>
      </c>
      <c r="K422" t="str">
        <f t="shared" si="59"/>
        <v xml:space="preserve"> </v>
      </c>
      <c r="L422" t="str">
        <f t="shared" si="60"/>
        <v xml:space="preserve"> </v>
      </c>
      <c r="M422" t="str">
        <f t="shared" si="61"/>
        <v>Yo'qotishdagi</v>
      </c>
      <c r="N422" s="23" t="str">
        <f t="shared" si="62"/>
        <v xml:space="preserve"> </v>
      </c>
    </row>
    <row r="423" spans="1:14">
      <c r="A423" s="29">
        <v>4872345</v>
      </c>
      <c r="B423" s="10">
        <f>_xlfn.XLOOKUP(A423,Data!E:E,Data!B:B,0,0,-1)</f>
        <v>45441</v>
      </c>
      <c r="C423" s="20">
        <f>_xlfn.XLOOKUP(A423,Data!E:E,Data!B:B)</f>
        <v>45415</v>
      </c>
      <c r="D423" s="21">
        <f>COUNTIF(Data!E:E,A423)</f>
        <v>9</v>
      </c>
      <c r="E423" s="22">
        <f>SUMIF(Data!E:E,'RFM mijozlar tahlili'!A423,Data!J:J)</f>
        <v>12026274.555600001</v>
      </c>
      <c r="F423" s="29">
        <f t="shared" si="54"/>
        <v>8</v>
      </c>
      <c r="G423">
        <f t="shared" si="55"/>
        <v>0</v>
      </c>
      <c r="H423">
        <f t="shared" si="56"/>
        <v>4</v>
      </c>
      <c r="I423" s="23">
        <f t="shared" si="57"/>
        <v>5</v>
      </c>
      <c r="J423" t="str">
        <f t="shared" si="58"/>
        <v xml:space="preserve"> </v>
      </c>
      <c r="K423" t="str">
        <f t="shared" si="59"/>
        <v xml:space="preserve"> </v>
      </c>
      <c r="L423" t="str">
        <f t="shared" si="60"/>
        <v xml:space="preserve"> </v>
      </c>
      <c r="M423" t="str">
        <f t="shared" si="61"/>
        <v>Yo'qotishdagi</v>
      </c>
      <c r="N423" s="23" t="str">
        <f t="shared" si="62"/>
        <v xml:space="preserve"> </v>
      </c>
    </row>
    <row r="424" spans="1:14">
      <c r="A424" s="29">
        <v>4873868</v>
      </c>
      <c r="B424" s="10">
        <f>_xlfn.XLOOKUP(A424,Data!E:E,Data!B:B,0,0,-1)</f>
        <v>45322</v>
      </c>
      <c r="C424" s="20">
        <f>_xlfn.XLOOKUP(A424,Data!E:E,Data!B:B)</f>
        <v>45416</v>
      </c>
      <c r="D424" s="21">
        <f>COUNTIF(Data!E:E,A424)</f>
        <v>60</v>
      </c>
      <c r="E424" s="22">
        <f>SUMIF(Data!E:E,'RFM mijozlar tahlili'!A424,Data!J:J)</f>
        <v>14673790.057279989</v>
      </c>
      <c r="F424" s="29">
        <f t="shared" si="54"/>
        <v>8</v>
      </c>
      <c r="G424">
        <f t="shared" si="55"/>
        <v>0</v>
      </c>
      <c r="H424">
        <f t="shared" si="56"/>
        <v>5</v>
      </c>
      <c r="I424" s="23">
        <f t="shared" si="57"/>
        <v>5</v>
      </c>
      <c r="J424" t="str">
        <f t="shared" si="58"/>
        <v xml:space="preserve"> </v>
      </c>
      <c r="K424" t="str">
        <f t="shared" si="59"/>
        <v xml:space="preserve"> </v>
      </c>
      <c r="L424" t="str">
        <f t="shared" si="60"/>
        <v xml:space="preserve"> </v>
      </c>
      <c r="M424" t="str">
        <f t="shared" si="61"/>
        <v>Yo'qotishdagi</v>
      </c>
      <c r="N424" s="23" t="str">
        <f t="shared" si="62"/>
        <v xml:space="preserve"> </v>
      </c>
    </row>
    <row r="425" spans="1:14">
      <c r="A425" s="29">
        <v>4873806</v>
      </c>
      <c r="B425" s="10">
        <f>_xlfn.XLOOKUP(A425,Data!E:E,Data!B:B,0,0,-1)</f>
        <v>45338</v>
      </c>
      <c r="C425" s="20">
        <f>_xlfn.XLOOKUP(A425,Data!E:E,Data!B:B)</f>
        <v>45418</v>
      </c>
      <c r="D425" s="21">
        <f>COUNTIF(Data!E:E,A425)</f>
        <v>10</v>
      </c>
      <c r="E425" s="22">
        <f>SUMIF(Data!E:E,'RFM mijozlar tahlili'!A425,Data!J:J)</f>
        <v>12135582.051600002</v>
      </c>
      <c r="F425" s="29">
        <f t="shared" si="54"/>
        <v>8</v>
      </c>
      <c r="G425">
        <f t="shared" si="55"/>
        <v>0</v>
      </c>
      <c r="H425">
        <f t="shared" si="56"/>
        <v>4</v>
      </c>
      <c r="I425" s="23">
        <f t="shared" si="57"/>
        <v>5</v>
      </c>
      <c r="J425" t="str">
        <f t="shared" si="58"/>
        <v xml:space="preserve"> </v>
      </c>
      <c r="K425" t="str">
        <f t="shared" si="59"/>
        <v xml:space="preserve"> </v>
      </c>
      <c r="L425" t="str">
        <f t="shared" si="60"/>
        <v xml:space="preserve"> </v>
      </c>
      <c r="M425" t="str">
        <f t="shared" si="61"/>
        <v>Yo'qotishdagi</v>
      </c>
      <c r="N425" s="23" t="str">
        <f t="shared" si="62"/>
        <v xml:space="preserve"> </v>
      </c>
    </row>
    <row r="426" spans="1:14">
      <c r="A426" s="29">
        <v>4878748</v>
      </c>
      <c r="B426" s="10">
        <f>_xlfn.XLOOKUP(A426,Data!E:E,Data!B:B,0,0,-1)</f>
        <v>45350</v>
      </c>
      <c r="C426" s="20">
        <f>_xlfn.XLOOKUP(A426,Data!E:E,Data!B:B)</f>
        <v>45421</v>
      </c>
      <c r="D426" s="21">
        <f>COUNTIF(Data!E:E,A426)</f>
        <v>43</v>
      </c>
      <c r="E426" s="22">
        <f>SUMIF(Data!E:E,'RFM mijozlar tahlili'!A426,Data!J:J)</f>
        <v>34974001.292000018</v>
      </c>
      <c r="F426" s="29">
        <f t="shared" si="54"/>
        <v>8</v>
      </c>
      <c r="G426">
        <f t="shared" si="55"/>
        <v>0</v>
      </c>
      <c r="H426">
        <f t="shared" si="56"/>
        <v>5</v>
      </c>
      <c r="I426" s="23">
        <f t="shared" si="57"/>
        <v>5</v>
      </c>
      <c r="J426" t="str">
        <f t="shared" si="58"/>
        <v xml:space="preserve"> </v>
      </c>
      <c r="K426" t="str">
        <f t="shared" si="59"/>
        <v xml:space="preserve"> </v>
      </c>
      <c r="L426" t="str">
        <f t="shared" si="60"/>
        <v xml:space="preserve"> </v>
      </c>
      <c r="M426" t="str">
        <f t="shared" si="61"/>
        <v>Yo'qotishdagi</v>
      </c>
      <c r="N426" s="23" t="str">
        <f t="shared" si="62"/>
        <v xml:space="preserve"> </v>
      </c>
    </row>
    <row r="427" spans="1:14">
      <c r="A427" s="29">
        <v>4872218</v>
      </c>
      <c r="B427" s="10">
        <f>_xlfn.XLOOKUP(A427,Data!E:E,Data!B:B,0,0,-1)</f>
        <v>45421</v>
      </c>
      <c r="C427" s="20">
        <f>_xlfn.XLOOKUP(A427,Data!E:E,Data!B:B)</f>
        <v>45421</v>
      </c>
      <c r="D427" s="21">
        <f>COUNTIF(Data!E:E,A427)</f>
        <v>1</v>
      </c>
      <c r="E427" s="22">
        <f>SUMIF(Data!E:E,'RFM mijozlar tahlili'!A427,Data!J:J)</f>
        <v>62946.040799999995</v>
      </c>
      <c r="F427" s="29">
        <f t="shared" si="54"/>
        <v>8</v>
      </c>
      <c r="G427">
        <f t="shared" si="55"/>
        <v>0</v>
      </c>
      <c r="H427">
        <f t="shared" si="56"/>
        <v>0</v>
      </c>
      <c r="I427" s="23">
        <f t="shared" si="57"/>
        <v>0</v>
      </c>
      <c r="J427" t="str">
        <f t="shared" si="58"/>
        <v xml:space="preserve"> </v>
      </c>
      <c r="K427" t="str">
        <f t="shared" si="59"/>
        <v xml:space="preserve"> </v>
      </c>
      <c r="L427" t="str">
        <f t="shared" si="60"/>
        <v>Yo'qotilgan</v>
      </c>
      <c r="M427" t="str">
        <f t="shared" si="61"/>
        <v xml:space="preserve"> </v>
      </c>
      <c r="N427" s="23" t="str">
        <f t="shared" si="62"/>
        <v xml:space="preserve"> </v>
      </c>
    </row>
    <row r="428" spans="1:14">
      <c r="A428" s="29">
        <v>4871661</v>
      </c>
      <c r="B428" s="10">
        <f>_xlfn.XLOOKUP(A428,Data!E:E,Data!B:B,0,0,-1)</f>
        <v>45384</v>
      </c>
      <c r="C428" s="20">
        <f>_xlfn.XLOOKUP(A428,Data!E:E,Data!B:B)</f>
        <v>45422</v>
      </c>
      <c r="D428" s="21">
        <f>COUNTIF(Data!E:E,A428)</f>
        <v>2</v>
      </c>
      <c r="E428" s="22">
        <f>SUMIF(Data!E:E,'RFM mijozlar tahlili'!A428,Data!J:J)</f>
        <v>-312091.74719999998</v>
      </c>
      <c r="F428" s="29">
        <f t="shared" si="54"/>
        <v>8</v>
      </c>
      <c r="G428">
        <f t="shared" si="55"/>
        <v>0</v>
      </c>
      <c r="H428">
        <f t="shared" si="56"/>
        <v>0</v>
      </c>
      <c r="I428" s="23">
        <f t="shared" si="57"/>
        <v>0</v>
      </c>
      <c r="J428" t="str">
        <f t="shared" si="58"/>
        <v xml:space="preserve"> </v>
      </c>
      <c r="K428" t="str">
        <f t="shared" si="59"/>
        <v xml:space="preserve"> </v>
      </c>
      <c r="L428" t="str">
        <f t="shared" si="60"/>
        <v>Yo'qotilgan</v>
      </c>
      <c r="M428" t="str">
        <f t="shared" si="61"/>
        <v xml:space="preserve"> </v>
      </c>
      <c r="N428" s="23" t="str">
        <f t="shared" si="62"/>
        <v xml:space="preserve"> </v>
      </c>
    </row>
    <row r="429" spans="1:14">
      <c r="A429" s="29">
        <v>4876991</v>
      </c>
      <c r="B429" s="10">
        <f>_xlfn.XLOOKUP(A429,Data!E:E,Data!B:B,0,0,-1)</f>
        <v>45437</v>
      </c>
      <c r="C429" s="20">
        <f>_xlfn.XLOOKUP(A429,Data!E:E,Data!B:B)</f>
        <v>45423</v>
      </c>
      <c r="D429" s="21">
        <f>COUNTIF(Data!E:E,A429)</f>
        <v>12</v>
      </c>
      <c r="E429" s="22">
        <f>SUMIF(Data!E:E,'RFM mijozlar tahlili'!A429,Data!J:J)</f>
        <v>11160044.060000002</v>
      </c>
      <c r="F429" s="29">
        <f t="shared" si="54"/>
        <v>8</v>
      </c>
      <c r="G429">
        <f t="shared" si="55"/>
        <v>0</v>
      </c>
      <c r="H429">
        <f t="shared" si="56"/>
        <v>4</v>
      </c>
      <c r="I429" s="23">
        <f t="shared" si="57"/>
        <v>4</v>
      </c>
      <c r="J429" t="str">
        <f t="shared" si="58"/>
        <v xml:space="preserve"> </v>
      </c>
      <c r="K429" t="str">
        <f t="shared" si="59"/>
        <v xml:space="preserve"> </v>
      </c>
      <c r="L429" t="str">
        <f t="shared" si="60"/>
        <v xml:space="preserve"> </v>
      </c>
      <c r="M429" t="str">
        <f t="shared" si="61"/>
        <v>Yo'qotishdagi</v>
      </c>
      <c r="N429" s="23" t="str">
        <f t="shared" si="62"/>
        <v xml:space="preserve"> </v>
      </c>
    </row>
    <row r="430" spans="1:14">
      <c r="A430" s="29">
        <v>4872254</v>
      </c>
      <c r="B430" s="10">
        <f>_xlfn.XLOOKUP(A430,Data!E:E,Data!B:B,0,0,-1)</f>
        <v>45313</v>
      </c>
      <c r="C430" s="20">
        <f>_xlfn.XLOOKUP(A430,Data!E:E,Data!B:B)</f>
        <v>45425</v>
      </c>
      <c r="D430" s="21">
        <f>COUNTIF(Data!E:E,A430)</f>
        <v>5</v>
      </c>
      <c r="E430" s="22">
        <f>SUMIF(Data!E:E,'RFM mijozlar tahlili'!A430,Data!J:J)</f>
        <v>3401850.3007999999</v>
      </c>
      <c r="F430" s="29">
        <f t="shared" si="54"/>
        <v>8</v>
      </c>
      <c r="G430">
        <f t="shared" si="55"/>
        <v>0</v>
      </c>
      <c r="H430">
        <f t="shared" si="56"/>
        <v>2</v>
      </c>
      <c r="I430" s="23">
        <f t="shared" si="57"/>
        <v>1</v>
      </c>
      <c r="J430" t="str">
        <f t="shared" si="58"/>
        <v xml:space="preserve"> </v>
      </c>
      <c r="K430" t="str">
        <f t="shared" si="59"/>
        <v xml:space="preserve"> </v>
      </c>
      <c r="L430" t="str">
        <f t="shared" si="60"/>
        <v xml:space="preserve"> </v>
      </c>
      <c r="M430" t="str">
        <f t="shared" si="61"/>
        <v xml:space="preserve"> </v>
      </c>
      <c r="N430" s="23" t="str">
        <f t="shared" si="62"/>
        <v xml:space="preserve"> </v>
      </c>
    </row>
    <row r="431" spans="1:14">
      <c r="A431" s="29">
        <v>4872233</v>
      </c>
      <c r="B431" s="10">
        <f>_xlfn.XLOOKUP(A431,Data!E:E,Data!B:B,0,0,-1)</f>
        <v>45311</v>
      </c>
      <c r="C431" s="20">
        <f>_xlfn.XLOOKUP(A431,Data!E:E,Data!B:B)</f>
        <v>45425</v>
      </c>
      <c r="D431" s="21">
        <f>COUNTIF(Data!E:E,A431)</f>
        <v>4</v>
      </c>
      <c r="E431" s="22">
        <f>SUMIF(Data!E:E,'RFM mijozlar tahlili'!A431,Data!J:J)</f>
        <v>3398583.6400000006</v>
      </c>
      <c r="F431" s="29">
        <f t="shared" si="54"/>
        <v>8</v>
      </c>
      <c r="G431">
        <f t="shared" si="55"/>
        <v>0</v>
      </c>
      <c r="H431">
        <f t="shared" si="56"/>
        <v>1</v>
      </c>
      <c r="I431" s="23">
        <f t="shared" si="57"/>
        <v>1</v>
      </c>
      <c r="J431" t="str">
        <f t="shared" si="58"/>
        <v xml:space="preserve"> </v>
      </c>
      <c r="K431" t="str">
        <f t="shared" si="59"/>
        <v xml:space="preserve"> </v>
      </c>
      <c r="L431" t="str">
        <f t="shared" si="60"/>
        <v>Yo'qotilgan</v>
      </c>
      <c r="M431" t="str">
        <f t="shared" si="61"/>
        <v xml:space="preserve"> </v>
      </c>
      <c r="N431" s="23" t="str">
        <f t="shared" si="62"/>
        <v xml:space="preserve"> </v>
      </c>
    </row>
    <row r="432" spans="1:14">
      <c r="A432" s="29">
        <v>4879214</v>
      </c>
      <c r="B432" s="10">
        <f>_xlfn.XLOOKUP(A432,Data!E:E,Data!B:B,0,0,-1)</f>
        <v>45382</v>
      </c>
      <c r="C432" s="20">
        <f>_xlfn.XLOOKUP(A432,Data!E:E,Data!B:B)</f>
        <v>45427</v>
      </c>
      <c r="D432" s="21">
        <f>COUNTIF(Data!E:E,A432)</f>
        <v>23</v>
      </c>
      <c r="E432" s="22">
        <f>SUMIF(Data!E:E,'RFM mijozlar tahlili'!A432,Data!J:J)</f>
        <v>7735955.3376000002</v>
      </c>
      <c r="F432" s="29">
        <f t="shared" si="54"/>
        <v>8</v>
      </c>
      <c r="G432">
        <f t="shared" si="55"/>
        <v>0</v>
      </c>
      <c r="H432">
        <f t="shared" si="56"/>
        <v>5</v>
      </c>
      <c r="I432" s="23">
        <f t="shared" si="57"/>
        <v>3</v>
      </c>
      <c r="J432" t="str">
        <f t="shared" si="58"/>
        <v xml:space="preserve"> </v>
      </c>
      <c r="K432" t="str">
        <f t="shared" si="59"/>
        <v xml:space="preserve"> </v>
      </c>
      <c r="L432" t="str">
        <f t="shared" si="60"/>
        <v xml:space="preserve"> </v>
      </c>
      <c r="M432" t="str">
        <f t="shared" si="61"/>
        <v>Yo'qotishdagi</v>
      </c>
      <c r="N432" s="23" t="str">
        <f t="shared" si="62"/>
        <v xml:space="preserve"> </v>
      </c>
    </row>
    <row r="433" spans="1:14">
      <c r="A433" s="29">
        <v>4874664</v>
      </c>
      <c r="B433" s="10">
        <f>_xlfn.XLOOKUP(A433,Data!E:E,Data!B:B,0,0,-1)</f>
        <v>45325</v>
      </c>
      <c r="C433" s="20">
        <f>_xlfn.XLOOKUP(A433,Data!E:E,Data!B:B)</f>
        <v>45434</v>
      </c>
      <c r="D433" s="21">
        <f>COUNTIF(Data!E:E,A433)</f>
        <v>8</v>
      </c>
      <c r="E433" s="22">
        <f>SUMIF(Data!E:E,'RFM mijozlar tahlili'!A433,Data!J:J)</f>
        <v>12124839.7632</v>
      </c>
      <c r="F433" s="29">
        <f t="shared" si="54"/>
        <v>8</v>
      </c>
      <c r="G433">
        <f t="shared" si="55"/>
        <v>0</v>
      </c>
      <c r="H433">
        <f t="shared" si="56"/>
        <v>3</v>
      </c>
      <c r="I433" s="23">
        <f t="shared" si="57"/>
        <v>5</v>
      </c>
      <c r="J433" t="str">
        <f t="shared" si="58"/>
        <v xml:space="preserve"> </v>
      </c>
      <c r="K433" t="str">
        <f t="shared" si="59"/>
        <v xml:space="preserve"> </v>
      </c>
      <c r="L433" t="str">
        <f t="shared" si="60"/>
        <v xml:space="preserve"> </v>
      </c>
      <c r="M433" t="str">
        <f t="shared" si="61"/>
        <v>Yo'qotishdagi</v>
      </c>
      <c r="N433" s="23" t="str">
        <f t="shared" si="62"/>
        <v xml:space="preserve"> </v>
      </c>
    </row>
    <row r="434" spans="1:14">
      <c r="A434" s="29">
        <v>4875980</v>
      </c>
      <c r="B434" s="10">
        <f>_xlfn.XLOOKUP(A434,Data!E:E,Data!B:B,0,0,-1)</f>
        <v>45302</v>
      </c>
      <c r="C434" s="20">
        <f>_xlfn.XLOOKUP(A434,Data!E:E,Data!B:B)</f>
        <v>45436</v>
      </c>
      <c r="D434" s="21">
        <f>COUNTIF(Data!E:E,A434)</f>
        <v>7</v>
      </c>
      <c r="E434" s="22">
        <f>SUMIF(Data!E:E,'RFM mijozlar tahlili'!A434,Data!J:J)</f>
        <v>3622978.1087999996</v>
      </c>
      <c r="F434" s="29">
        <f t="shared" si="54"/>
        <v>8</v>
      </c>
      <c r="G434">
        <f t="shared" si="55"/>
        <v>0</v>
      </c>
      <c r="H434">
        <f t="shared" si="56"/>
        <v>3</v>
      </c>
      <c r="I434" s="23">
        <f t="shared" si="57"/>
        <v>1</v>
      </c>
      <c r="J434" t="str">
        <f t="shared" si="58"/>
        <v xml:space="preserve"> </v>
      </c>
      <c r="K434" t="str">
        <f t="shared" si="59"/>
        <v xml:space="preserve"> </v>
      </c>
      <c r="L434" t="str">
        <f t="shared" si="60"/>
        <v xml:space="preserve"> </v>
      </c>
      <c r="M434" t="str">
        <f t="shared" si="61"/>
        <v xml:space="preserve"> </v>
      </c>
      <c r="N434" s="23" t="str">
        <f t="shared" si="62"/>
        <v xml:space="preserve"> </v>
      </c>
    </row>
    <row r="435" spans="1:14">
      <c r="A435" s="29">
        <v>6080085</v>
      </c>
      <c r="B435" s="10">
        <f>_xlfn.XLOOKUP(A435,Data!E:E,Data!B:B,0,0,-1)</f>
        <v>45441</v>
      </c>
      <c r="C435" s="20">
        <f>_xlfn.XLOOKUP(A435,Data!E:E,Data!B:B)</f>
        <v>45441</v>
      </c>
      <c r="D435" s="21">
        <f>COUNTIF(Data!E:E,A435)</f>
        <v>7</v>
      </c>
      <c r="E435" s="22">
        <f>SUMIF(Data!E:E,'RFM mijozlar tahlili'!A435,Data!J:J)</f>
        <v>1864635.1128000002</v>
      </c>
      <c r="F435" s="29">
        <f t="shared" si="54"/>
        <v>7</v>
      </c>
      <c r="G435">
        <f t="shared" si="55"/>
        <v>0</v>
      </c>
      <c r="H435">
        <f t="shared" si="56"/>
        <v>3</v>
      </c>
      <c r="I435" s="23">
        <f t="shared" si="57"/>
        <v>0</v>
      </c>
      <c r="J435" t="str">
        <f t="shared" si="58"/>
        <v xml:space="preserve"> </v>
      </c>
      <c r="K435" t="str">
        <f t="shared" si="59"/>
        <v xml:space="preserve"> </v>
      </c>
      <c r="L435" t="str">
        <f t="shared" si="60"/>
        <v xml:space="preserve"> </v>
      </c>
      <c r="M435" t="str">
        <f t="shared" si="61"/>
        <v xml:space="preserve"> </v>
      </c>
      <c r="N435" s="23" t="str">
        <f t="shared" si="62"/>
        <v xml:space="preserve"> </v>
      </c>
    </row>
    <row r="436" spans="1:14">
      <c r="A436" s="29">
        <v>4878825</v>
      </c>
      <c r="B436" s="10">
        <f>_xlfn.XLOOKUP(A436,Data!E:E,Data!B:B,0,0,-1)</f>
        <v>45311</v>
      </c>
      <c r="C436" s="20">
        <f>_xlfn.XLOOKUP(A436,Data!E:E,Data!B:B)</f>
        <v>45443</v>
      </c>
      <c r="D436" s="21">
        <f>COUNTIF(Data!E:E,A436)</f>
        <v>35</v>
      </c>
      <c r="E436" s="22">
        <f>SUMIF(Data!E:E,'RFM mijozlar tahlili'!A436,Data!J:J)</f>
        <v>32562577.41760001</v>
      </c>
      <c r="F436" s="29">
        <f t="shared" si="54"/>
        <v>7</v>
      </c>
      <c r="G436">
        <f t="shared" si="55"/>
        <v>0</v>
      </c>
      <c r="H436">
        <f t="shared" si="56"/>
        <v>5</v>
      </c>
      <c r="I436" s="23">
        <f t="shared" si="57"/>
        <v>5</v>
      </c>
      <c r="J436" t="str">
        <f t="shared" si="58"/>
        <v xml:space="preserve"> </v>
      </c>
      <c r="K436" t="str">
        <f t="shared" si="59"/>
        <v xml:space="preserve"> </v>
      </c>
      <c r="L436" t="str">
        <f t="shared" si="60"/>
        <v xml:space="preserve"> </v>
      </c>
      <c r="M436" t="str">
        <f t="shared" si="61"/>
        <v>Yo'qotishdagi</v>
      </c>
      <c r="N436" s="23" t="str">
        <f t="shared" si="62"/>
        <v xml:space="preserve"> </v>
      </c>
    </row>
    <row r="437" spans="1:14">
      <c r="A437" s="29">
        <v>4878412</v>
      </c>
      <c r="B437" s="10">
        <f>_xlfn.XLOOKUP(A437,Data!E:E,Data!B:B,0,0,-1)</f>
        <v>45304</v>
      </c>
      <c r="C437" s="20">
        <f>_xlfn.XLOOKUP(A437,Data!E:E,Data!B:B)</f>
        <v>45383</v>
      </c>
      <c r="D437" s="21">
        <f>COUNTIF(Data!E:E,A437)</f>
        <v>5</v>
      </c>
      <c r="E437" s="22">
        <f>SUMIF(Data!E:E,'RFM mijozlar tahlili'!A437,Data!J:J)</f>
        <v>996318.97991999995</v>
      </c>
      <c r="F437" s="29">
        <f t="shared" si="54"/>
        <v>9</v>
      </c>
      <c r="G437">
        <f t="shared" si="55"/>
        <v>0</v>
      </c>
      <c r="H437">
        <f t="shared" si="56"/>
        <v>2</v>
      </c>
      <c r="I437" s="23">
        <f t="shared" si="57"/>
        <v>0</v>
      </c>
      <c r="J437" t="str">
        <f t="shared" si="58"/>
        <v xml:space="preserve"> </v>
      </c>
      <c r="K437" t="str">
        <f t="shared" si="59"/>
        <v xml:space="preserve"> </v>
      </c>
      <c r="L437" t="str">
        <f t="shared" si="60"/>
        <v xml:space="preserve"> </v>
      </c>
      <c r="M437" t="str">
        <f t="shared" si="61"/>
        <v xml:space="preserve"> </v>
      </c>
      <c r="N437" s="23" t="str">
        <f t="shared" si="62"/>
        <v xml:space="preserve"> </v>
      </c>
    </row>
    <row r="438" spans="1:14">
      <c r="A438" s="29">
        <v>6080203</v>
      </c>
      <c r="B438" s="10">
        <f>_xlfn.XLOOKUP(A438,Data!E:E,Data!B:B,0,0,-1)</f>
        <v>45387</v>
      </c>
      <c r="C438" s="20">
        <f>_xlfn.XLOOKUP(A438,Data!E:E,Data!B:B)</f>
        <v>45386</v>
      </c>
      <c r="D438" s="21">
        <f>COUNTIF(Data!E:E,A438)</f>
        <v>6</v>
      </c>
      <c r="E438" s="22">
        <f>SUMIF(Data!E:E,'RFM mijozlar tahlili'!A438,Data!J:J)</f>
        <v>1207659.3695999999</v>
      </c>
      <c r="F438" s="29">
        <f t="shared" si="54"/>
        <v>9</v>
      </c>
      <c r="G438">
        <f t="shared" si="55"/>
        <v>0</v>
      </c>
      <c r="H438">
        <f t="shared" si="56"/>
        <v>2</v>
      </c>
      <c r="I438" s="23">
        <f t="shared" si="57"/>
        <v>0</v>
      </c>
      <c r="J438" t="str">
        <f t="shared" si="58"/>
        <v xml:space="preserve"> </v>
      </c>
      <c r="K438" t="str">
        <f t="shared" si="59"/>
        <v xml:space="preserve"> </v>
      </c>
      <c r="L438" t="str">
        <f t="shared" si="60"/>
        <v xml:space="preserve"> </v>
      </c>
      <c r="M438" t="str">
        <f t="shared" si="61"/>
        <v xml:space="preserve"> </v>
      </c>
      <c r="N438" s="23" t="str">
        <f t="shared" si="62"/>
        <v xml:space="preserve"> </v>
      </c>
    </row>
    <row r="439" spans="1:14">
      <c r="A439" s="29">
        <v>4877572</v>
      </c>
      <c r="B439" s="10">
        <f>_xlfn.XLOOKUP(A439,Data!E:E,Data!B:B,0,0,-1)</f>
        <v>45391</v>
      </c>
      <c r="C439" s="20">
        <f>_xlfn.XLOOKUP(A439,Data!E:E,Data!B:B)</f>
        <v>45391</v>
      </c>
      <c r="D439" s="21">
        <f>COUNTIF(Data!E:E,A439)</f>
        <v>3</v>
      </c>
      <c r="E439" s="22">
        <f>SUMIF(Data!E:E,'RFM mijozlar tahlili'!A439,Data!J:J)</f>
        <v>503191.40399999998</v>
      </c>
      <c r="F439" s="29">
        <f t="shared" si="54"/>
        <v>9</v>
      </c>
      <c r="G439">
        <f t="shared" si="55"/>
        <v>0</v>
      </c>
      <c r="H439">
        <f t="shared" si="56"/>
        <v>1</v>
      </c>
      <c r="I439" s="23">
        <f t="shared" si="57"/>
        <v>0</v>
      </c>
      <c r="J439" t="str">
        <f t="shared" si="58"/>
        <v xml:space="preserve"> </v>
      </c>
      <c r="K439" t="str">
        <f t="shared" si="59"/>
        <v xml:space="preserve"> </v>
      </c>
      <c r="L439" t="str">
        <f t="shared" si="60"/>
        <v>Yo'qotilgan</v>
      </c>
      <c r="M439" t="str">
        <f t="shared" si="61"/>
        <v xml:space="preserve"> </v>
      </c>
      <c r="N439" s="23" t="str">
        <f t="shared" si="62"/>
        <v xml:space="preserve"> </v>
      </c>
    </row>
    <row r="440" spans="1:14">
      <c r="A440" s="29">
        <v>4877637</v>
      </c>
      <c r="B440" s="10">
        <f>_xlfn.XLOOKUP(A440,Data!E:E,Data!B:B,0,0,-1)</f>
        <v>45401</v>
      </c>
      <c r="C440" s="20">
        <f>_xlfn.XLOOKUP(A440,Data!E:E,Data!B:B)</f>
        <v>45401</v>
      </c>
      <c r="D440" s="21">
        <f>COUNTIF(Data!E:E,A440)</f>
        <v>1</v>
      </c>
      <c r="E440" s="22">
        <f>SUMIF(Data!E:E,'RFM mijozlar tahlili'!A440,Data!J:J)</f>
        <v>201276.56159999999</v>
      </c>
      <c r="F440" s="29">
        <f t="shared" si="54"/>
        <v>9</v>
      </c>
      <c r="G440">
        <f t="shared" si="55"/>
        <v>0</v>
      </c>
      <c r="H440">
        <f t="shared" si="56"/>
        <v>0</v>
      </c>
      <c r="I440" s="23">
        <f t="shared" si="57"/>
        <v>0</v>
      </c>
      <c r="J440" t="str">
        <f t="shared" si="58"/>
        <v xml:space="preserve"> </v>
      </c>
      <c r="K440" t="str">
        <f t="shared" si="59"/>
        <v xml:space="preserve"> </v>
      </c>
      <c r="L440" t="str">
        <f t="shared" si="60"/>
        <v>Yo'qotilgan</v>
      </c>
      <c r="M440" t="str">
        <f t="shared" si="61"/>
        <v xml:space="preserve"> </v>
      </c>
      <c r="N440" s="23" t="str">
        <f t="shared" si="62"/>
        <v xml:space="preserve"> </v>
      </c>
    </row>
    <row r="441" spans="1:14">
      <c r="A441" s="29">
        <v>6080024</v>
      </c>
      <c r="B441" s="10">
        <f>_xlfn.XLOOKUP(A441,Data!E:E,Data!B:B,0,0,-1)</f>
        <v>45395</v>
      </c>
      <c r="C441" s="20">
        <f>_xlfn.XLOOKUP(A441,Data!E:E,Data!B:B)</f>
        <v>45395</v>
      </c>
      <c r="D441" s="21">
        <f>COUNTIF(Data!E:E,A441)</f>
        <v>8</v>
      </c>
      <c r="E441" s="22">
        <f>SUMIF(Data!E:E,'RFM mijozlar tahlili'!A441,Data!J:J)</f>
        <v>6968415.6903999997</v>
      </c>
      <c r="F441" s="29">
        <f t="shared" si="54"/>
        <v>9</v>
      </c>
      <c r="G441">
        <f t="shared" si="55"/>
        <v>0</v>
      </c>
      <c r="H441">
        <f t="shared" si="56"/>
        <v>3</v>
      </c>
      <c r="I441" s="23">
        <f t="shared" si="57"/>
        <v>3</v>
      </c>
      <c r="J441" t="str">
        <f t="shared" si="58"/>
        <v xml:space="preserve"> </v>
      </c>
      <c r="K441" t="str">
        <f t="shared" si="59"/>
        <v xml:space="preserve"> </v>
      </c>
      <c r="L441" t="str">
        <f t="shared" si="60"/>
        <v xml:space="preserve"> </v>
      </c>
      <c r="M441" t="str">
        <f t="shared" si="61"/>
        <v>Yo'qotishdagi</v>
      </c>
      <c r="N441" s="23" t="str">
        <f t="shared" si="62"/>
        <v xml:space="preserve"> </v>
      </c>
    </row>
    <row r="442" spans="1:14">
      <c r="A442" s="29">
        <v>4874313</v>
      </c>
      <c r="B442" s="10">
        <f>_xlfn.XLOOKUP(A442,Data!E:E,Data!B:B,0,0,-1)</f>
        <v>45310</v>
      </c>
      <c r="C442" s="20">
        <f>_xlfn.XLOOKUP(A442,Data!E:E,Data!B:B)</f>
        <v>45401</v>
      </c>
      <c r="D442" s="21">
        <f>COUNTIF(Data!E:E,A442)</f>
        <v>21</v>
      </c>
      <c r="E442" s="22">
        <f>SUMIF(Data!E:E,'RFM mijozlar tahlili'!A442,Data!J:J)</f>
        <v>6561334.4727680003</v>
      </c>
      <c r="F442" s="29">
        <f t="shared" si="54"/>
        <v>9</v>
      </c>
      <c r="G442">
        <f t="shared" si="55"/>
        <v>0</v>
      </c>
      <c r="H442">
        <f t="shared" si="56"/>
        <v>5</v>
      </c>
      <c r="I442" s="23">
        <f t="shared" si="57"/>
        <v>3</v>
      </c>
      <c r="J442" t="str">
        <f t="shared" si="58"/>
        <v xml:space="preserve"> </v>
      </c>
      <c r="K442" t="str">
        <f t="shared" si="59"/>
        <v xml:space="preserve"> </v>
      </c>
      <c r="L442" t="str">
        <f t="shared" si="60"/>
        <v xml:space="preserve"> </v>
      </c>
      <c r="M442" t="str">
        <f t="shared" si="61"/>
        <v>Yo'qotishdagi</v>
      </c>
      <c r="N442" s="23" t="str">
        <f t="shared" si="62"/>
        <v xml:space="preserve"> </v>
      </c>
    </row>
    <row r="443" spans="1:14">
      <c r="A443" s="29">
        <v>4874152</v>
      </c>
      <c r="B443" s="10">
        <f>_xlfn.XLOOKUP(A443,Data!E:E,Data!B:B,0,0,-1)</f>
        <v>45404</v>
      </c>
      <c r="C443" s="20">
        <f>_xlfn.XLOOKUP(A443,Data!E:E,Data!B:B)</f>
        <v>45404</v>
      </c>
      <c r="D443" s="21">
        <f>COUNTIF(Data!E:E,A443)</f>
        <v>1</v>
      </c>
      <c r="E443" s="22">
        <f>SUMIF(Data!E:E,'RFM mijozlar tahlili'!A443,Data!J:J)</f>
        <v>415871.04800000001</v>
      </c>
      <c r="F443" s="29">
        <f t="shared" si="54"/>
        <v>9</v>
      </c>
      <c r="G443">
        <f t="shared" si="55"/>
        <v>0</v>
      </c>
      <c r="H443">
        <f t="shared" si="56"/>
        <v>0</v>
      </c>
      <c r="I443" s="23">
        <f t="shared" si="57"/>
        <v>0</v>
      </c>
      <c r="J443" t="str">
        <f t="shared" si="58"/>
        <v xml:space="preserve"> </v>
      </c>
      <c r="K443" t="str">
        <f t="shared" si="59"/>
        <v xml:space="preserve"> </v>
      </c>
      <c r="L443" t="str">
        <f t="shared" si="60"/>
        <v>Yo'qotilgan</v>
      </c>
      <c r="M443" t="str">
        <f t="shared" si="61"/>
        <v xml:space="preserve"> </v>
      </c>
      <c r="N443" s="23" t="str">
        <f t="shared" si="62"/>
        <v xml:space="preserve"> </v>
      </c>
    </row>
    <row r="444" spans="1:14">
      <c r="A444" s="29">
        <v>4873793</v>
      </c>
      <c r="B444" s="10">
        <f>_xlfn.XLOOKUP(A444,Data!E:E,Data!B:B,0,0,-1)</f>
        <v>45395</v>
      </c>
      <c r="C444" s="20">
        <f>_xlfn.XLOOKUP(A444,Data!E:E,Data!B:B)</f>
        <v>45395</v>
      </c>
      <c r="D444" s="21">
        <f>COUNTIF(Data!E:E,A444)</f>
        <v>3</v>
      </c>
      <c r="E444" s="22">
        <f>SUMIF(Data!E:E,'RFM mijozlar tahlili'!A444,Data!J:J)</f>
        <v>593765.85671999992</v>
      </c>
      <c r="F444" s="29">
        <f t="shared" si="54"/>
        <v>9</v>
      </c>
      <c r="G444">
        <f t="shared" si="55"/>
        <v>0</v>
      </c>
      <c r="H444">
        <f t="shared" si="56"/>
        <v>1</v>
      </c>
      <c r="I444" s="23">
        <f t="shared" si="57"/>
        <v>0</v>
      </c>
      <c r="J444" t="str">
        <f t="shared" si="58"/>
        <v xml:space="preserve"> </v>
      </c>
      <c r="K444" t="str">
        <f t="shared" si="59"/>
        <v xml:space="preserve"> </v>
      </c>
      <c r="L444" t="str">
        <f t="shared" si="60"/>
        <v>Yo'qotilgan</v>
      </c>
      <c r="M444" t="str">
        <f t="shared" si="61"/>
        <v xml:space="preserve"> </v>
      </c>
      <c r="N444" s="23" t="str">
        <f t="shared" si="62"/>
        <v xml:space="preserve"> </v>
      </c>
    </row>
    <row r="445" spans="1:14">
      <c r="A445" s="29">
        <v>4876387</v>
      </c>
      <c r="B445" s="10">
        <f>_xlfn.XLOOKUP(A445,Data!E:E,Data!B:B,0,0,-1)</f>
        <v>45391</v>
      </c>
      <c r="C445" s="20">
        <f>_xlfn.XLOOKUP(A445,Data!E:E,Data!B:B)</f>
        <v>45391</v>
      </c>
      <c r="D445" s="21">
        <f>COUNTIF(Data!E:E,A445)</f>
        <v>2</v>
      </c>
      <c r="E445" s="22">
        <f>SUMIF(Data!E:E,'RFM mijozlar tahlili'!A445,Data!J:J)</f>
        <v>253794.41599999997</v>
      </c>
      <c r="F445" s="29">
        <f t="shared" si="54"/>
        <v>9</v>
      </c>
      <c r="G445">
        <f t="shared" si="55"/>
        <v>0</v>
      </c>
      <c r="H445">
        <f t="shared" si="56"/>
        <v>0</v>
      </c>
      <c r="I445" s="23">
        <f t="shared" si="57"/>
        <v>0</v>
      </c>
      <c r="J445" t="str">
        <f t="shared" si="58"/>
        <v xml:space="preserve"> </v>
      </c>
      <c r="K445" t="str">
        <f t="shared" si="59"/>
        <v xml:space="preserve"> </v>
      </c>
      <c r="L445" t="str">
        <f t="shared" si="60"/>
        <v>Yo'qotilgan</v>
      </c>
      <c r="M445" t="str">
        <f t="shared" si="61"/>
        <v xml:space="preserve"> </v>
      </c>
      <c r="N445" s="23" t="str">
        <f t="shared" si="62"/>
        <v xml:space="preserve"> </v>
      </c>
    </row>
    <row r="446" spans="1:14">
      <c r="A446" s="29">
        <v>4877141</v>
      </c>
      <c r="B446" s="10">
        <f>_xlfn.XLOOKUP(A446,Data!E:E,Data!B:B,0,0,-1)</f>
        <v>45393</v>
      </c>
      <c r="C446" s="20">
        <f>_xlfn.XLOOKUP(A446,Data!E:E,Data!B:B)</f>
        <v>45393</v>
      </c>
      <c r="D446" s="21">
        <f>COUNTIF(Data!E:E,A446)</f>
        <v>3</v>
      </c>
      <c r="E446" s="22">
        <f>SUMIF(Data!E:E,'RFM mijozlar tahlili'!A446,Data!J:J)</f>
        <v>957131.61439999996</v>
      </c>
      <c r="F446" s="29">
        <f t="shared" si="54"/>
        <v>9</v>
      </c>
      <c r="G446">
        <f t="shared" si="55"/>
        <v>0</v>
      </c>
      <c r="H446">
        <f t="shared" si="56"/>
        <v>1</v>
      </c>
      <c r="I446" s="23">
        <f t="shared" si="57"/>
        <v>0</v>
      </c>
      <c r="J446" t="str">
        <f t="shared" si="58"/>
        <v xml:space="preserve"> </v>
      </c>
      <c r="K446" t="str">
        <f t="shared" si="59"/>
        <v xml:space="preserve"> </v>
      </c>
      <c r="L446" t="str">
        <f t="shared" si="60"/>
        <v>Yo'qotilgan</v>
      </c>
      <c r="M446" t="str">
        <f t="shared" si="61"/>
        <v xml:space="preserve"> </v>
      </c>
      <c r="N446" s="23" t="str">
        <f t="shared" si="62"/>
        <v xml:space="preserve"> </v>
      </c>
    </row>
    <row r="447" spans="1:14">
      <c r="A447" s="29">
        <v>4876666</v>
      </c>
      <c r="B447" s="10">
        <f>_xlfn.XLOOKUP(A447,Data!E:E,Data!B:B,0,0,-1)</f>
        <v>45393</v>
      </c>
      <c r="C447" s="20">
        <f>_xlfn.XLOOKUP(A447,Data!E:E,Data!B:B)</f>
        <v>45393</v>
      </c>
      <c r="D447" s="21">
        <f>COUNTIF(Data!E:E,A447)</f>
        <v>1</v>
      </c>
      <c r="E447" s="22">
        <f>SUMIF(Data!E:E,'RFM mijozlar tahlili'!A447,Data!J:J)</f>
        <v>51512.727999999996</v>
      </c>
      <c r="F447" s="29">
        <f t="shared" si="54"/>
        <v>9</v>
      </c>
      <c r="G447">
        <f t="shared" si="55"/>
        <v>0</v>
      </c>
      <c r="H447">
        <f t="shared" si="56"/>
        <v>0</v>
      </c>
      <c r="I447" s="23">
        <f t="shared" si="57"/>
        <v>0</v>
      </c>
      <c r="J447" t="str">
        <f t="shared" si="58"/>
        <v xml:space="preserve"> </v>
      </c>
      <c r="K447" t="str">
        <f t="shared" si="59"/>
        <v xml:space="preserve"> </v>
      </c>
      <c r="L447" t="str">
        <f t="shared" si="60"/>
        <v>Yo'qotilgan</v>
      </c>
      <c r="M447" t="str">
        <f t="shared" si="61"/>
        <v xml:space="preserve"> </v>
      </c>
      <c r="N447" s="23" t="str">
        <f t="shared" si="62"/>
        <v xml:space="preserve"> </v>
      </c>
    </row>
    <row r="448" spans="1:14">
      <c r="A448" s="29">
        <v>4876236</v>
      </c>
      <c r="B448" s="10">
        <f>_xlfn.XLOOKUP(A448,Data!E:E,Data!B:B,0,0,-1)</f>
        <v>45399</v>
      </c>
      <c r="C448" s="20">
        <f>_xlfn.XLOOKUP(A448,Data!E:E,Data!B:B)</f>
        <v>45399</v>
      </c>
      <c r="D448" s="21">
        <f>COUNTIF(Data!E:E,A448)</f>
        <v>2</v>
      </c>
      <c r="E448" s="22">
        <f>SUMIF(Data!E:E,'RFM mijozlar tahlili'!A448,Data!J:J)</f>
        <v>25379.441599999998</v>
      </c>
      <c r="F448" s="29">
        <f t="shared" si="54"/>
        <v>9</v>
      </c>
      <c r="G448">
        <f t="shared" si="55"/>
        <v>0</v>
      </c>
      <c r="H448">
        <f t="shared" si="56"/>
        <v>0</v>
      </c>
      <c r="I448" s="23">
        <f t="shared" si="57"/>
        <v>0</v>
      </c>
      <c r="J448" t="str">
        <f t="shared" si="58"/>
        <v xml:space="preserve"> </v>
      </c>
      <c r="K448" t="str">
        <f t="shared" si="59"/>
        <v xml:space="preserve"> </v>
      </c>
      <c r="L448" t="str">
        <f t="shared" si="60"/>
        <v>Yo'qotilgan</v>
      </c>
      <c r="M448" t="str">
        <f t="shared" si="61"/>
        <v xml:space="preserve"> </v>
      </c>
      <c r="N448" s="23" t="str">
        <f t="shared" si="62"/>
        <v xml:space="preserve"> </v>
      </c>
    </row>
    <row r="449" spans="1:14">
      <c r="A449" s="29">
        <v>4876784</v>
      </c>
      <c r="B449" s="10">
        <f>_xlfn.XLOOKUP(A449,Data!E:E,Data!B:B,0,0,-1)</f>
        <v>45329</v>
      </c>
      <c r="C449" s="20">
        <f>_xlfn.XLOOKUP(A449,Data!E:E,Data!B:B)</f>
        <v>45402</v>
      </c>
      <c r="D449" s="21">
        <f>COUNTIF(Data!E:E,A449)</f>
        <v>3</v>
      </c>
      <c r="E449" s="22">
        <f>SUMIF(Data!E:E,'RFM mijozlar tahlili'!A449,Data!J:J)</f>
        <v>856618.97439999995</v>
      </c>
      <c r="F449" s="29">
        <f t="shared" si="54"/>
        <v>9</v>
      </c>
      <c r="G449">
        <f t="shared" si="55"/>
        <v>0</v>
      </c>
      <c r="H449">
        <f t="shared" si="56"/>
        <v>1</v>
      </c>
      <c r="I449" s="23">
        <f t="shared" si="57"/>
        <v>0</v>
      </c>
      <c r="J449" t="str">
        <f t="shared" si="58"/>
        <v xml:space="preserve"> </v>
      </c>
      <c r="K449" t="str">
        <f t="shared" si="59"/>
        <v xml:space="preserve"> </v>
      </c>
      <c r="L449" t="str">
        <f t="shared" si="60"/>
        <v>Yo'qotilgan</v>
      </c>
      <c r="M449" t="str">
        <f t="shared" si="61"/>
        <v xml:space="preserve"> </v>
      </c>
      <c r="N449" s="23" t="str">
        <f t="shared" si="62"/>
        <v xml:space="preserve"> </v>
      </c>
    </row>
    <row r="450" spans="1:14">
      <c r="A450" s="29">
        <v>6080272</v>
      </c>
      <c r="B450" s="10">
        <f>_xlfn.XLOOKUP(A450,Data!E:E,Data!B:B,0,0,-1)</f>
        <v>45404</v>
      </c>
      <c r="C450" s="20">
        <f>_xlfn.XLOOKUP(A450,Data!E:E,Data!B:B)</f>
        <v>45404</v>
      </c>
      <c r="D450" s="21">
        <f>COUNTIF(Data!E:E,A450)</f>
        <v>1</v>
      </c>
      <c r="E450" s="22">
        <f>SUMIF(Data!E:E,'RFM mijozlar tahlili'!A450,Data!J:J)</f>
        <v>503065.76319999999</v>
      </c>
      <c r="F450" s="29">
        <f t="shared" si="54"/>
        <v>9</v>
      </c>
      <c r="G450">
        <f t="shared" si="55"/>
        <v>0</v>
      </c>
      <c r="H450">
        <f t="shared" si="56"/>
        <v>0</v>
      </c>
      <c r="I450" s="23">
        <f t="shared" si="57"/>
        <v>0</v>
      </c>
      <c r="J450" t="str">
        <f t="shared" si="58"/>
        <v xml:space="preserve"> </v>
      </c>
      <c r="K450" t="str">
        <f t="shared" si="59"/>
        <v xml:space="preserve"> </v>
      </c>
      <c r="L450" t="str">
        <f t="shared" si="60"/>
        <v>Yo'qotilgan</v>
      </c>
      <c r="M450" t="str">
        <f t="shared" si="61"/>
        <v xml:space="preserve"> </v>
      </c>
      <c r="N450" s="23" t="str">
        <f t="shared" si="62"/>
        <v xml:space="preserve"> </v>
      </c>
    </row>
    <row r="451" spans="1:14">
      <c r="A451" s="29">
        <v>4874488</v>
      </c>
      <c r="B451" s="10">
        <f>_xlfn.XLOOKUP(A451,Data!E:E,Data!B:B,0,0,-1)</f>
        <v>45360</v>
      </c>
      <c r="C451" s="20">
        <f>_xlfn.XLOOKUP(A451,Data!E:E,Data!B:B)</f>
        <v>45387</v>
      </c>
      <c r="D451" s="21">
        <f>COUNTIF(Data!E:E,A451)</f>
        <v>7</v>
      </c>
      <c r="E451" s="22">
        <f>SUMIF(Data!E:E,'RFM mijozlar tahlili'!A451,Data!J:J)</f>
        <v>2596467.6446400001</v>
      </c>
      <c r="F451" s="29">
        <f t="shared" si="54"/>
        <v>9</v>
      </c>
      <c r="G451">
        <f t="shared" si="55"/>
        <v>0</v>
      </c>
      <c r="H451">
        <f t="shared" si="56"/>
        <v>3</v>
      </c>
      <c r="I451" s="23">
        <f t="shared" si="57"/>
        <v>1</v>
      </c>
      <c r="J451" t="str">
        <f t="shared" si="58"/>
        <v xml:space="preserve"> </v>
      </c>
      <c r="K451" t="str">
        <f t="shared" si="59"/>
        <v xml:space="preserve"> </v>
      </c>
      <c r="L451" t="str">
        <f t="shared" si="60"/>
        <v xml:space="preserve"> </v>
      </c>
      <c r="M451" t="str">
        <f t="shared" si="61"/>
        <v xml:space="preserve"> </v>
      </c>
      <c r="N451" s="23" t="str">
        <f t="shared" si="62"/>
        <v xml:space="preserve"> </v>
      </c>
    </row>
    <row r="452" spans="1:14">
      <c r="A452" s="29">
        <v>4872616</v>
      </c>
      <c r="B452" s="10">
        <f>_xlfn.XLOOKUP(A452,Data!E:E,Data!B:B,0,0,-1)</f>
        <v>45388</v>
      </c>
      <c r="C452" s="20">
        <f>_xlfn.XLOOKUP(A452,Data!E:E,Data!B:B)</f>
        <v>45388</v>
      </c>
      <c r="D452" s="21">
        <f>COUNTIF(Data!E:E,A452)</f>
        <v>6</v>
      </c>
      <c r="E452" s="22">
        <f>SUMIF(Data!E:E,'RFM mijozlar tahlili'!A452,Data!J:J)</f>
        <v>1298108.1815199999</v>
      </c>
      <c r="F452" s="29">
        <f t="shared" si="54"/>
        <v>9</v>
      </c>
      <c r="G452">
        <f t="shared" si="55"/>
        <v>0</v>
      </c>
      <c r="H452">
        <f t="shared" si="56"/>
        <v>2</v>
      </c>
      <c r="I452" s="23">
        <f t="shared" si="57"/>
        <v>0</v>
      </c>
      <c r="J452" t="str">
        <f t="shared" si="58"/>
        <v xml:space="preserve"> </v>
      </c>
      <c r="K452" t="str">
        <f t="shared" si="59"/>
        <v xml:space="preserve"> </v>
      </c>
      <c r="L452" t="str">
        <f t="shared" si="60"/>
        <v xml:space="preserve"> </v>
      </c>
      <c r="M452" t="str">
        <f t="shared" si="61"/>
        <v xml:space="preserve"> </v>
      </c>
      <c r="N452" s="23" t="str">
        <f t="shared" si="62"/>
        <v xml:space="preserve"> </v>
      </c>
    </row>
    <row r="453" spans="1:14">
      <c r="A453" s="29">
        <v>4872510</v>
      </c>
      <c r="B453" s="10">
        <f>_xlfn.XLOOKUP(A453,Data!E:E,Data!B:B,0,0,-1)</f>
        <v>45348</v>
      </c>
      <c r="C453" s="20">
        <f>_xlfn.XLOOKUP(A453,Data!E:E,Data!B:B)</f>
        <v>45383</v>
      </c>
      <c r="D453" s="21">
        <f>COUNTIF(Data!E:E,A453)</f>
        <v>3</v>
      </c>
      <c r="E453" s="22">
        <f>SUMIF(Data!E:E,'RFM mijozlar tahlili'!A453,Data!J:J)</f>
        <v>5293246.9040000001</v>
      </c>
      <c r="F453" s="29">
        <f t="shared" si="54"/>
        <v>9</v>
      </c>
      <c r="G453">
        <f t="shared" si="55"/>
        <v>0</v>
      </c>
      <c r="H453">
        <f t="shared" si="56"/>
        <v>1</v>
      </c>
      <c r="I453" s="23">
        <f t="shared" si="57"/>
        <v>2</v>
      </c>
      <c r="J453" t="str">
        <f t="shared" si="58"/>
        <v xml:space="preserve"> </v>
      </c>
      <c r="K453" t="str">
        <f t="shared" si="59"/>
        <v xml:space="preserve"> </v>
      </c>
      <c r="L453" t="str">
        <f t="shared" si="60"/>
        <v>Yo'qotilgan</v>
      </c>
      <c r="M453" t="str">
        <f t="shared" si="61"/>
        <v xml:space="preserve"> </v>
      </c>
      <c r="N453" s="23" t="str">
        <f t="shared" si="62"/>
        <v xml:space="preserve"> </v>
      </c>
    </row>
    <row r="454" spans="1:14">
      <c r="A454" s="29">
        <v>4873258</v>
      </c>
      <c r="B454" s="10">
        <f>_xlfn.XLOOKUP(A454,Data!E:E,Data!B:B,0,0,-1)</f>
        <v>45367</v>
      </c>
      <c r="C454" s="20">
        <f>_xlfn.XLOOKUP(A454,Data!E:E,Data!B:B)</f>
        <v>45384</v>
      </c>
      <c r="D454" s="21">
        <f>COUNTIF(Data!E:E,A454)</f>
        <v>2</v>
      </c>
      <c r="E454" s="22">
        <f>SUMIF(Data!E:E,'RFM mijozlar tahlili'!A454,Data!J:J)</f>
        <v>2517841.6319999998</v>
      </c>
      <c r="F454" s="29">
        <f t="shared" ref="F454:F517" si="63">ROUND(($F$4-C454)/30,0)</f>
        <v>9</v>
      </c>
      <c r="G454">
        <f t="shared" ref="G454:G517" si="64">IF(F454&lt;=1,5,IF(F454=2,4,IF(F454=3,3,IF(F454=4,2,IF(F454=5,1,IF(F454&gt;5,0,0))))))</f>
        <v>0</v>
      </c>
      <c r="H454">
        <f t="shared" ref="H454:H517" si="65">IF(D454&gt;=$D$3,5,IF(D454&lt;3,0,IF(D454&lt;5,1,IF(D454&lt;7,2,IF(D454&lt;9,3,IF(D454&lt;=$D$3,4,0))))))</f>
        <v>0</v>
      </c>
      <c r="I454" s="23">
        <f t="shared" ref="I454:I517" si="66">IF(E454&gt;=$E$3,5,IF(E454&lt;2000000,0,IF(E454&lt;=4000000,1,IF(E454&lt;=6000000,2,IF(E454&lt;=8000000,3,IF(E454&lt;=$E$3,4))))))</f>
        <v>1</v>
      </c>
      <c r="J454" t="str">
        <f t="shared" ref="J454:J517" si="67">IF(AND(G454=5,H454=5,I454=5),"TOP"," ")</f>
        <v xml:space="preserve"> </v>
      </c>
      <c r="K454" t="str">
        <f t="shared" ref="K454:K517" si="68">IF(AND(G454&gt;=4,H454&gt;=4), "Sodiq", " ")</f>
        <v xml:space="preserve"> </v>
      </c>
      <c r="L454" t="str">
        <f t="shared" ref="L454:L517" si="69">IF(AND(G454&lt;=1,H454&lt;=1), "Yo'qotilgan", " ")</f>
        <v>Yo'qotilgan</v>
      </c>
      <c r="M454" t="str">
        <f t="shared" ref="M454:M517" si="70">IF(AND(G454&lt;=3,I454&gt;=3), "Yo'qotishdagi", " ")</f>
        <v xml:space="preserve"> </v>
      </c>
      <c r="N454" s="23" t="str">
        <f t="shared" ref="N454:N517" si="71">IF(AND((B454-$N$2)&gt;0, F454&lt;=2), "Yangi", " ")</f>
        <v xml:space="preserve"> </v>
      </c>
    </row>
    <row r="455" spans="1:14">
      <c r="A455" s="29">
        <v>4876503</v>
      </c>
      <c r="B455" s="10">
        <f>_xlfn.XLOOKUP(A455,Data!E:E,Data!B:B,0,0,-1)</f>
        <v>45320</v>
      </c>
      <c r="C455" s="20">
        <f>_xlfn.XLOOKUP(A455,Data!E:E,Data!B:B)</f>
        <v>45385</v>
      </c>
      <c r="D455" s="21">
        <f>COUNTIF(Data!E:E,A455)</f>
        <v>9</v>
      </c>
      <c r="E455" s="22">
        <f>SUMIF(Data!E:E,'RFM mijozlar tahlili'!A455,Data!J:J)</f>
        <v>4701604.3767999988</v>
      </c>
      <c r="F455" s="29">
        <f t="shared" si="63"/>
        <v>9</v>
      </c>
      <c r="G455">
        <f t="shared" si="64"/>
        <v>0</v>
      </c>
      <c r="H455">
        <f t="shared" si="65"/>
        <v>4</v>
      </c>
      <c r="I455" s="23">
        <f t="shared" si="66"/>
        <v>2</v>
      </c>
      <c r="J455" t="str">
        <f t="shared" si="67"/>
        <v xml:space="preserve"> </v>
      </c>
      <c r="K455" t="str">
        <f t="shared" si="68"/>
        <v xml:space="preserve"> </v>
      </c>
      <c r="L455" t="str">
        <f t="shared" si="69"/>
        <v xml:space="preserve"> </v>
      </c>
      <c r="M455" t="str">
        <f t="shared" si="70"/>
        <v xml:space="preserve"> </v>
      </c>
      <c r="N455" s="23" t="str">
        <f t="shared" si="71"/>
        <v xml:space="preserve"> </v>
      </c>
    </row>
    <row r="456" spans="1:14">
      <c r="A456" s="29">
        <v>4871747</v>
      </c>
      <c r="B456" s="10">
        <f>_xlfn.XLOOKUP(A456,Data!E:E,Data!B:B,0,0,-1)</f>
        <v>45317</v>
      </c>
      <c r="C456" s="20">
        <f>_xlfn.XLOOKUP(A456,Data!E:E,Data!B:B)</f>
        <v>45385</v>
      </c>
      <c r="D456" s="21">
        <f>COUNTIF(Data!E:E,A456)</f>
        <v>8</v>
      </c>
      <c r="E456" s="22">
        <f>SUMIF(Data!E:E,'RFM mijozlar tahlili'!A456,Data!J:J)</f>
        <v>6804705.7279999983</v>
      </c>
      <c r="F456" s="29">
        <f t="shared" si="63"/>
        <v>9</v>
      </c>
      <c r="G456">
        <f t="shared" si="64"/>
        <v>0</v>
      </c>
      <c r="H456">
        <f t="shared" si="65"/>
        <v>3</v>
      </c>
      <c r="I456" s="23">
        <f t="shared" si="66"/>
        <v>3</v>
      </c>
      <c r="J456" t="str">
        <f t="shared" si="67"/>
        <v xml:space="preserve"> </v>
      </c>
      <c r="K456" t="str">
        <f t="shared" si="68"/>
        <v xml:space="preserve"> </v>
      </c>
      <c r="L456" t="str">
        <f t="shared" si="69"/>
        <v xml:space="preserve"> </v>
      </c>
      <c r="M456" t="str">
        <f t="shared" si="70"/>
        <v>Yo'qotishdagi</v>
      </c>
      <c r="N456" s="23" t="str">
        <f t="shared" si="71"/>
        <v xml:space="preserve"> </v>
      </c>
    </row>
    <row r="457" spans="1:14">
      <c r="A457" s="29">
        <v>4875372</v>
      </c>
      <c r="B457" s="10">
        <f>_xlfn.XLOOKUP(A457,Data!E:E,Data!B:B,0,0,-1)</f>
        <v>45301</v>
      </c>
      <c r="C457" s="20">
        <f>_xlfn.XLOOKUP(A457,Data!E:E,Data!B:B)</f>
        <v>45385</v>
      </c>
      <c r="D457" s="21">
        <f>COUNTIF(Data!E:E,A457)</f>
        <v>3</v>
      </c>
      <c r="E457" s="22">
        <f>SUMIF(Data!E:E,'RFM mijozlar tahlili'!A457,Data!J:J)</f>
        <v>6053373.7439999999</v>
      </c>
      <c r="F457" s="29">
        <f t="shared" si="63"/>
        <v>9</v>
      </c>
      <c r="G457">
        <f t="shared" si="64"/>
        <v>0</v>
      </c>
      <c r="H457">
        <f t="shared" si="65"/>
        <v>1</v>
      </c>
      <c r="I457" s="23">
        <f t="shared" si="66"/>
        <v>3</v>
      </c>
      <c r="J457" t="str">
        <f t="shared" si="67"/>
        <v xml:space="preserve"> </v>
      </c>
      <c r="K457" t="str">
        <f t="shared" si="68"/>
        <v xml:space="preserve"> </v>
      </c>
      <c r="L457" t="str">
        <f t="shared" si="69"/>
        <v>Yo'qotilgan</v>
      </c>
      <c r="M457" t="str">
        <f t="shared" si="70"/>
        <v>Yo'qotishdagi</v>
      </c>
      <c r="N457" s="23" t="str">
        <f t="shared" si="71"/>
        <v xml:space="preserve"> </v>
      </c>
    </row>
    <row r="458" spans="1:14">
      <c r="A458" s="29">
        <v>4872246</v>
      </c>
      <c r="B458" s="10">
        <f>_xlfn.XLOOKUP(A458,Data!E:E,Data!B:B,0,0,-1)</f>
        <v>45318</v>
      </c>
      <c r="C458" s="20">
        <f>_xlfn.XLOOKUP(A458,Data!E:E,Data!B:B)</f>
        <v>45389</v>
      </c>
      <c r="D458" s="21">
        <f>COUNTIF(Data!E:E,A458)</f>
        <v>23</v>
      </c>
      <c r="E458" s="22">
        <f>SUMIF(Data!E:E,'RFM mijozlar tahlili'!A458,Data!J:J)</f>
        <v>11861441.364448</v>
      </c>
      <c r="F458" s="29">
        <f t="shared" si="63"/>
        <v>9</v>
      </c>
      <c r="G458">
        <f t="shared" si="64"/>
        <v>0</v>
      </c>
      <c r="H458">
        <f t="shared" si="65"/>
        <v>5</v>
      </c>
      <c r="I458" s="23">
        <f t="shared" si="66"/>
        <v>5</v>
      </c>
      <c r="J458" t="str">
        <f t="shared" si="67"/>
        <v xml:space="preserve"> </v>
      </c>
      <c r="K458" t="str">
        <f t="shared" si="68"/>
        <v xml:space="preserve"> </v>
      </c>
      <c r="L458" t="str">
        <f t="shared" si="69"/>
        <v xml:space="preserve"> </v>
      </c>
      <c r="M458" t="str">
        <f t="shared" si="70"/>
        <v>Yo'qotishdagi</v>
      </c>
      <c r="N458" s="23" t="str">
        <f t="shared" si="71"/>
        <v xml:space="preserve"> </v>
      </c>
    </row>
    <row r="459" spans="1:14">
      <c r="A459" s="29">
        <v>4872136</v>
      </c>
      <c r="B459" s="10">
        <f>_xlfn.XLOOKUP(A459,Data!E:E,Data!B:B,0,0,-1)</f>
        <v>45391</v>
      </c>
      <c r="C459" s="20">
        <f>_xlfn.XLOOKUP(A459,Data!E:E,Data!B:B)</f>
        <v>45391</v>
      </c>
      <c r="D459" s="21">
        <f>COUNTIF(Data!E:E,A459)</f>
        <v>2</v>
      </c>
      <c r="E459" s="22">
        <f>SUMIF(Data!E:E,'RFM mijozlar tahlili'!A459,Data!J:J)</f>
        <v>4056313.2280000001</v>
      </c>
      <c r="F459" s="29">
        <f t="shared" si="63"/>
        <v>9</v>
      </c>
      <c r="G459">
        <f t="shared" si="64"/>
        <v>0</v>
      </c>
      <c r="H459">
        <f t="shared" si="65"/>
        <v>0</v>
      </c>
      <c r="I459" s="23">
        <f t="shared" si="66"/>
        <v>2</v>
      </c>
      <c r="J459" t="str">
        <f t="shared" si="67"/>
        <v xml:space="preserve"> </v>
      </c>
      <c r="K459" t="str">
        <f t="shared" si="68"/>
        <v xml:space="preserve"> </v>
      </c>
      <c r="L459" t="str">
        <f t="shared" si="69"/>
        <v>Yo'qotilgan</v>
      </c>
      <c r="M459" t="str">
        <f t="shared" si="70"/>
        <v xml:space="preserve"> </v>
      </c>
      <c r="N459" s="23" t="str">
        <f t="shared" si="71"/>
        <v xml:space="preserve"> </v>
      </c>
    </row>
    <row r="460" spans="1:14">
      <c r="A460" s="29">
        <v>4873455</v>
      </c>
      <c r="B460" s="10">
        <f>_xlfn.XLOOKUP(A460,Data!E:E,Data!B:B,0,0,-1)</f>
        <v>45367</v>
      </c>
      <c r="C460" s="20">
        <f>_xlfn.XLOOKUP(A460,Data!E:E,Data!B:B)</f>
        <v>45398</v>
      </c>
      <c r="D460" s="21">
        <f>COUNTIF(Data!E:E,A460)</f>
        <v>3</v>
      </c>
      <c r="E460" s="22">
        <f>SUMIF(Data!E:E,'RFM mijozlar tahlili'!A460,Data!J:J)</f>
        <v>2152226.9040000001</v>
      </c>
      <c r="F460" s="29">
        <f t="shared" si="63"/>
        <v>9</v>
      </c>
      <c r="G460">
        <f t="shared" si="64"/>
        <v>0</v>
      </c>
      <c r="H460">
        <f t="shared" si="65"/>
        <v>1</v>
      </c>
      <c r="I460" s="23">
        <f t="shared" si="66"/>
        <v>1</v>
      </c>
      <c r="J460" t="str">
        <f t="shared" si="67"/>
        <v xml:space="preserve"> </v>
      </c>
      <c r="K460" t="str">
        <f t="shared" si="68"/>
        <v xml:space="preserve"> </v>
      </c>
      <c r="L460" t="str">
        <f t="shared" si="69"/>
        <v>Yo'qotilgan</v>
      </c>
      <c r="M460" t="str">
        <f t="shared" si="70"/>
        <v xml:space="preserve"> </v>
      </c>
      <c r="N460" s="23" t="str">
        <f t="shared" si="71"/>
        <v xml:space="preserve"> </v>
      </c>
    </row>
    <row r="461" spans="1:14">
      <c r="A461" s="29">
        <v>4879230</v>
      </c>
      <c r="B461" s="10">
        <f>_xlfn.XLOOKUP(A461,Data!E:E,Data!B:B,0,0,-1)</f>
        <v>45409</v>
      </c>
      <c r="C461" s="20">
        <f>_xlfn.XLOOKUP(A461,Data!E:E,Data!B:B)</f>
        <v>45409</v>
      </c>
      <c r="D461" s="21">
        <f>COUNTIF(Data!E:E,A461)</f>
        <v>2</v>
      </c>
      <c r="E461" s="22">
        <f>SUMIF(Data!E:E,'RFM mijozlar tahlili'!A461,Data!J:J)</f>
        <v>1314579.6904</v>
      </c>
      <c r="F461" s="29">
        <f t="shared" si="63"/>
        <v>8</v>
      </c>
      <c r="G461">
        <f t="shared" si="64"/>
        <v>0</v>
      </c>
      <c r="H461">
        <f t="shared" si="65"/>
        <v>0</v>
      </c>
      <c r="I461" s="23">
        <f t="shared" si="66"/>
        <v>0</v>
      </c>
      <c r="J461" t="str">
        <f t="shared" si="67"/>
        <v xml:space="preserve"> </v>
      </c>
      <c r="K461" t="str">
        <f t="shared" si="68"/>
        <v xml:space="preserve"> </v>
      </c>
      <c r="L461" t="str">
        <f t="shared" si="69"/>
        <v>Yo'qotilgan</v>
      </c>
      <c r="M461" t="str">
        <f t="shared" si="70"/>
        <v xml:space="preserve"> </v>
      </c>
      <c r="N461" s="23" t="str">
        <f t="shared" si="71"/>
        <v xml:space="preserve"> </v>
      </c>
    </row>
    <row r="462" spans="1:14">
      <c r="A462" s="29">
        <v>6080037</v>
      </c>
      <c r="B462" s="10">
        <f>_xlfn.XLOOKUP(A462,Data!E:E,Data!B:B,0,0,-1)</f>
        <v>45358</v>
      </c>
      <c r="C462" s="20">
        <f>_xlfn.XLOOKUP(A462,Data!E:E,Data!B:B)</f>
        <v>45358</v>
      </c>
      <c r="D462" s="21">
        <f>COUNTIF(Data!E:E,A462)</f>
        <v>1</v>
      </c>
      <c r="E462" s="22">
        <f>SUMIF(Data!E:E,'RFM mijozlar tahlili'!A462,Data!J:J)</f>
        <v>582219.46720000007</v>
      </c>
      <c r="F462" s="29">
        <f t="shared" si="63"/>
        <v>10</v>
      </c>
      <c r="G462">
        <f t="shared" si="64"/>
        <v>0</v>
      </c>
      <c r="H462">
        <f t="shared" si="65"/>
        <v>0</v>
      </c>
      <c r="I462" s="23">
        <f t="shared" si="66"/>
        <v>0</v>
      </c>
      <c r="J462" t="str">
        <f t="shared" si="67"/>
        <v xml:space="preserve"> </v>
      </c>
      <c r="K462" t="str">
        <f t="shared" si="68"/>
        <v xml:space="preserve"> </v>
      </c>
      <c r="L462" t="str">
        <f t="shared" si="69"/>
        <v>Yo'qotilgan</v>
      </c>
      <c r="M462" t="str">
        <f t="shared" si="70"/>
        <v xml:space="preserve"> </v>
      </c>
      <c r="N462" s="23" t="str">
        <f t="shared" si="71"/>
        <v xml:space="preserve"> </v>
      </c>
    </row>
    <row r="463" spans="1:14">
      <c r="A463" s="29">
        <v>4874487</v>
      </c>
      <c r="B463" s="10">
        <f>_xlfn.XLOOKUP(A463,Data!E:E,Data!B:B,0,0,-1)</f>
        <v>45318</v>
      </c>
      <c r="C463" s="20">
        <f>_xlfn.XLOOKUP(A463,Data!E:E,Data!B:B)</f>
        <v>45366</v>
      </c>
      <c r="D463" s="21">
        <f>COUNTIF(Data!E:E,A463)</f>
        <v>2</v>
      </c>
      <c r="E463" s="22">
        <f>SUMIF(Data!E:E,'RFM mijozlar tahlili'!A463,Data!J:J)</f>
        <v>982259.77439999999</v>
      </c>
      <c r="F463" s="29">
        <f t="shared" si="63"/>
        <v>10</v>
      </c>
      <c r="G463">
        <f t="shared" si="64"/>
        <v>0</v>
      </c>
      <c r="H463">
        <f t="shared" si="65"/>
        <v>0</v>
      </c>
      <c r="I463" s="23">
        <f t="shared" si="66"/>
        <v>0</v>
      </c>
      <c r="J463" t="str">
        <f t="shared" si="67"/>
        <v xml:space="preserve"> </v>
      </c>
      <c r="K463" t="str">
        <f t="shared" si="68"/>
        <v xml:space="preserve"> </v>
      </c>
      <c r="L463" t="str">
        <f t="shared" si="69"/>
        <v>Yo'qotilgan</v>
      </c>
      <c r="M463" t="str">
        <f t="shared" si="70"/>
        <v xml:space="preserve"> </v>
      </c>
      <c r="N463" s="23" t="str">
        <f t="shared" si="71"/>
        <v xml:space="preserve"> </v>
      </c>
    </row>
    <row r="464" spans="1:14">
      <c r="A464" s="29">
        <v>4875142</v>
      </c>
      <c r="B464" s="10">
        <f>_xlfn.XLOOKUP(A464,Data!E:E,Data!B:B,0,0,-1)</f>
        <v>45378</v>
      </c>
      <c r="C464" s="20">
        <f>_xlfn.XLOOKUP(A464,Data!E:E,Data!B:B)</f>
        <v>45378</v>
      </c>
      <c r="D464" s="21">
        <f>COUNTIF(Data!E:E,A464)</f>
        <v>3</v>
      </c>
      <c r="E464" s="22">
        <f>SUMIF(Data!E:E,'RFM mijozlar tahlili'!A464,Data!J:J)</f>
        <v>453563.28799999994</v>
      </c>
      <c r="F464" s="29">
        <f t="shared" si="63"/>
        <v>9</v>
      </c>
      <c r="G464">
        <f t="shared" si="64"/>
        <v>0</v>
      </c>
      <c r="H464">
        <f t="shared" si="65"/>
        <v>1</v>
      </c>
      <c r="I464" s="23">
        <f t="shared" si="66"/>
        <v>0</v>
      </c>
      <c r="J464" t="str">
        <f t="shared" si="67"/>
        <v xml:space="preserve"> </v>
      </c>
      <c r="K464" t="str">
        <f t="shared" si="68"/>
        <v xml:space="preserve"> </v>
      </c>
      <c r="L464" t="str">
        <f t="shared" si="69"/>
        <v>Yo'qotilgan</v>
      </c>
      <c r="M464" t="str">
        <f t="shared" si="70"/>
        <v xml:space="preserve"> </v>
      </c>
      <c r="N464" s="23" t="str">
        <f t="shared" si="71"/>
        <v xml:space="preserve"> </v>
      </c>
    </row>
    <row r="465" spans="1:14">
      <c r="A465" s="29">
        <v>4878993</v>
      </c>
      <c r="B465" s="10">
        <f>_xlfn.XLOOKUP(A465,Data!E:E,Data!B:B,0,0,-1)</f>
        <v>45380</v>
      </c>
      <c r="C465" s="20">
        <f>_xlfn.XLOOKUP(A465,Data!E:E,Data!B:B)</f>
        <v>45380</v>
      </c>
      <c r="D465" s="21">
        <f>COUNTIF(Data!E:E,A465)</f>
        <v>1</v>
      </c>
      <c r="E465" s="22">
        <f>SUMIF(Data!E:E,'RFM mijozlar tahlili'!A465,Data!J:J)</f>
        <v>2987110.02</v>
      </c>
      <c r="F465" s="29">
        <f t="shared" si="63"/>
        <v>9</v>
      </c>
      <c r="G465">
        <f t="shared" si="64"/>
        <v>0</v>
      </c>
      <c r="H465">
        <f t="shared" si="65"/>
        <v>0</v>
      </c>
      <c r="I465" s="23">
        <f t="shared" si="66"/>
        <v>1</v>
      </c>
      <c r="J465" t="str">
        <f t="shared" si="67"/>
        <v xml:space="preserve"> </v>
      </c>
      <c r="K465" t="str">
        <f t="shared" si="68"/>
        <v xml:space="preserve"> </v>
      </c>
      <c r="L465" t="str">
        <f t="shared" si="69"/>
        <v>Yo'qotilgan</v>
      </c>
      <c r="M465" t="str">
        <f t="shared" si="70"/>
        <v xml:space="preserve"> </v>
      </c>
      <c r="N465" s="23" t="str">
        <f t="shared" si="71"/>
        <v xml:space="preserve"> </v>
      </c>
    </row>
    <row r="466" spans="1:14">
      <c r="A466" s="29">
        <v>4878067</v>
      </c>
      <c r="B466" s="10">
        <f>_xlfn.XLOOKUP(A466,Data!E:E,Data!B:B,0,0,-1)</f>
        <v>45359</v>
      </c>
      <c r="C466" s="20">
        <f>_xlfn.XLOOKUP(A466,Data!E:E,Data!B:B)</f>
        <v>45359</v>
      </c>
      <c r="D466" s="21">
        <f>COUNTIF(Data!E:E,A466)</f>
        <v>3</v>
      </c>
      <c r="E466" s="22">
        <f>SUMIF(Data!E:E,'RFM mijozlar tahlili'!A466,Data!J:J)</f>
        <v>603829.68479999993</v>
      </c>
      <c r="F466" s="29">
        <f t="shared" si="63"/>
        <v>10</v>
      </c>
      <c r="G466">
        <f t="shared" si="64"/>
        <v>0</v>
      </c>
      <c r="H466">
        <f t="shared" si="65"/>
        <v>1</v>
      </c>
      <c r="I466" s="23">
        <f t="shared" si="66"/>
        <v>0</v>
      </c>
      <c r="J466" t="str">
        <f t="shared" si="67"/>
        <v xml:space="preserve"> </v>
      </c>
      <c r="K466" t="str">
        <f t="shared" si="68"/>
        <v xml:space="preserve"> </v>
      </c>
      <c r="L466" t="str">
        <f t="shared" si="69"/>
        <v>Yo'qotilgan</v>
      </c>
      <c r="M466" t="str">
        <f t="shared" si="70"/>
        <v xml:space="preserve"> </v>
      </c>
      <c r="N466" s="23" t="str">
        <f t="shared" si="71"/>
        <v xml:space="preserve"> </v>
      </c>
    </row>
    <row r="467" spans="1:14">
      <c r="A467" s="29">
        <v>4877640</v>
      </c>
      <c r="B467" s="10">
        <f>_xlfn.XLOOKUP(A467,Data!E:E,Data!B:B,0,0,-1)</f>
        <v>45360</v>
      </c>
      <c r="C467" s="20">
        <f>_xlfn.XLOOKUP(A467,Data!E:E,Data!B:B)</f>
        <v>45360</v>
      </c>
      <c r="D467" s="21">
        <f>COUNTIF(Data!E:E,A467)</f>
        <v>2</v>
      </c>
      <c r="E467" s="22">
        <f>SUMIF(Data!E:E,'RFM mijozlar tahlili'!A467,Data!J:J)</f>
        <v>1626234.2076159997</v>
      </c>
      <c r="F467" s="29">
        <f t="shared" si="63"/>
        <v>10</v>
      </c>
      <c r="G467">
        <f t="shared" si="64"/>
        <v>0</v>
      </c>
      <c r="H467">
        <f t="shared" si="65"/>
        <v>0</v>
      </c>
      <c r="I467" s="23">
        <f t="shared" si="66"/>
        <v>0</v>
      </c>
      <c r="J467" t="str">
        <f t="shared" si="67"/>
        <v xml:space="preserve"> </v>
      </c>
      <c r="K467" t="str">
        <f t="shared" si="68"/>
        <v xml:space="preserve"> </v>
      </c>
      <c r="L467" t="str">
        <f t="shared" si="69"/>
        <v>Yo'qotilgan</v>
      </c>
      <c r="M467" t="str">
        <f t="shared" si="70"/>
        <v xml:space="preserve"> </v>
      </c>
      <c r="N467" s="23" t="str">
        <f t="shared" si="71"/>
        <v xml:space="preserve"> </v>
      </c>
    </row>
    <row r="468" spans="1:14">
      <c r="A468" s="29">
        <v>4878297</v>
      </c>
      <c r="B468" s="10">
        <f>_xlfn.XLOOKUP(A468,Data!E:E,Data!B:B,0,0,-1)</f>
        <v>45363</v>
      </c>
      <c r="C468" s="20">
        <f>_xlfn.XLOOKUP(A468,Data!E:E,Data!B:B)</f>
        <v>45363</v>
      </c>
      <c r="D468" s="21">
        <f>COUNTIF(Data!E:E,A468)</f>
        <v>2</v>
      </c>
      <c r="E468" s="22">
        <f>SUMIF(Data!E:E,'RFM mijozlar tahlili'!A468,Data!J:J)</f>
        <v>402553.12319999997</v>
      </c>
      <c r="F468" s="29">
        <f t="shared" si="63"/>
        <v>10</v>
      </c>
      <c r="G468">
        <f t="shared" si="64"/>
        <v>0</v>
      </c>
      <c r="H468">
        <f t="shared" si="65"/>
        <v>0</v>
      </c>
      <c r="I468" s="23">
        <f t="shared" si="66"/>
        <v>0</v>
      </c>
      <c r="J468" t="str">
        <f t="shared" si="67"/>
        <v xml:space="preserve"> </v>
      </c>
      <c r="K468" t="str">
        <f t="shared" si="68"/>
        <v xml:space="preserve"> </v>
      </c>
      <c r="L468" t="str">
        <f t="shared" si="69"/>
        <v>Yo'qotilgan</v>
      </c>
      <c r="M468" t="str">
        <f t="shared" si="70"/>
        <v xml:space="preserve"> </v>
      </c>
      <c r="N468" s="23" t="str">
        <f t="shared" si="71"/>
        <v xml:space="preserve"> </v>
      </c>
    </row>
    <row r="469" spans="1:14">
      <c r="A469" s="29">
        <v>4877648</v>
      </c>
      <c r="B469" s="10">
        <f>_xlfn.XLOOKUP(A469,Data!E:E,Data!B:B,0,0,-1)</f>
        <v>45378</v>
      </c>
      <c r="C469" s="20">
        <f>_xlfn.XLOOKUP(A469,Data!E:E,Data!B:B)</f>
        <v>45367</v>
      </c>
      <c r="D469" s="21">
        <f>COUNTIF(Data!E:E,A469)</f>
        <v>6</v>
      </c>
      <c r="E469" s="22">
        <f>SUMIF(Data!E:E,'RFM mijozlar tahlili'!A469,Data!J:J)</f>
        <v>-2263795.9344000001</v>
      </c>
      <c r="F469" s="29">
        <f t="shared" si="63"/>
        <v>10</v>
      </c>
      <c r="G469">
        <f t="shared" si="64"/>
        <v>0</v>
      </c>
      <c r="H469">
        <f t="shared" si="65"/>
        <v>2</v>
      </c>
      <c r="I469" s="23">
        <f t="shared" si="66"/>
        <v>0</v>
      </c>
      <c r="J469" t="str">
        <f t="shared" si="67"/>
        <v xml:space="preserve"> </v>
      </c>
      <c r="K469" t="str">
        <f t="shared" si="68"/>
        <v xml:space="preserve"> </v>
      </c>
      <c r="L469" t="str">
        <f t="shared" si="69"/>
        <v xml:space="preserve"> </v>
      </c>
      <c r="M469" t="str">
        <f t="shared" si="70"/>
        <v xml:space="preserve"> </v>
      </c>
      <c r="N469" s="23" t="str">
        <f t="shared" si="71"/>
        <v xml:space="preserve"> </v>
      </c>
    </row>
    <row r="470" spans="1:14">
      <c r="A470" s="29">
        <v>4878459</v>
      </c>
      <c r="B470" s="10">
        <f>_xlfn.XLOOKUP(A470,Data!E:E,Data!B:B,0,0,-1)</f>
        <v>45304</v>
      </c>
      <c r="C470" s="20">
        <f>_xlfn.XLOOKUP(A470,Data!E:E,Data!B:B)</f>
        <v>45367</v>
      </c>
      <c r="D470" s="21">
        <f>COUNTIF(Data!E:E,A470)</f>
        <v>9</v>
      </c>
      <c r="E470" s="22">
        <f>SUMIF(Data!E:E,'RFM mijozlar tahlili'!A470,Data!J:J)</f>
        <v>1172341.7407199999</v>
      </c>
      <c r="F470" s="29">
        <f t="shared" si="63"/>
        <v>10</v>
      </c>
      <c r="G470">
        <f t="shared" si="64"/>
        <v>0</v>
      </c>
      <c r="H470">
        <f t="shared" si="65"/>
        <v>4</v>
      </c>
      <c r="I470" s="23">
        <f t="shared" si="66"/>
        <v>0</v>
      </c>
      <c r="J470" t="str">
        <f t="shared" si="67"/>
        <v xml:space="preserve"> </v>
      </c>
      <c r="K470" t="str">
        <f t="shared" si="68"/>
        <v xml:space="preserve"> </v>
      </c>
      <c r="L470" t="str">
        <f t="shared" si="69"/>
        <v xml:space="preserve"> </v>
      </c>
      <c r="M470" t="str">
        <f t="shared" si="70"/>
        <v xml:space="preserve"> </v>
      </c>
      <c r="N470" s="23" t="str">
        <f t="shared" si="71"/>
        <v xml:space="preserve"> </v>
      </c>
    </row>
    <row r="471" spans="1:14">
      <c r="A471" s="29">
        <v>4877930</v>
      </c>
      <c r="B471" s="10">
        <f>_xlfn.XLOOKUP(A471,Data!E:E,Data!B:B,0,0,-1)</f>
        <v>45377</v>
      </c>
      <c r="C471" s="20">
        <f>_xlfn.XLOOKUP(A471,Data!E:E,Data!B:B)</f>
        <v>45377</v>
      </c>
      <c r="D471" s="21">
        <f>COUNTIF(Data!E:E,A471)</f>
        <v>1</v>
      </c>
      <c r="E471" s="22">
        <f>SUMIF(Data!E:E,'RFM mijozlar tahlili'!A471,Data!J:J)</f>
        <v>1006382.808</v>
      </c>
      <c r="F471" s="29">
        <f t="shared" si="63"/>
        <v>10</v>
      </c>
      <c r="G471">
        <f t="shared" si="64"/>
        <v>0</v>
      </c>
      <c r="H471">
        <f t="shared" si="65"/>
        <v>0</v>
      </c>
      <c r="I471" s="23">
        <f t="shared" si="66"/>
        <v>0</v>
      </c>
      <c r="J471" t="str">
        <f t="shared" si="67"/>
        <v xml:space="preserve"> </v>
      </c>
      <c r="K471" t="str">
        <f t="shared" si="68"/>
        <v xml:space="preserve"> </v>
      </c>
      <c r="L471" t="str">
        <f t="shared" si="69"/>
        <v>Yo'qotilgan</v>
      </c>
      <c r="M471" t="str">
        <f t="shared" si="70"/>
        <v xml:space="preserve"> </v>
      </c>
      <c r="N471" s="23" t="str">
        <f t="shared" si="71"/>
        <v xml:space="preserve"> </v>
      </c>
    </row>
    <row r="472" spans="1:14">
      <c r="A472" s="29">
        <v>4876946</v>
      </c>
      <c r="B472" s="10">
        <f>_xlfn.XLOOKUP(A472,Data!E:E,Data!B:B,0,0,-1)</f>
        <v>45365</v>
      </c>
      <c r="C472" s="20">
        <f>_xlfn.XLOOKUP(A472,Data!E:E,Data!B:B)</f>
        <v>45365</v>
      </c>
      <c r="D472" s="21">
        <f>COUNTIF(Data!E:E,A472)</f>
        <v>4</v>
      </c>
      <c r="E472" s="22">
        <f>SUMIF(Data!E:E,'RFM mijozlar tahlili'!A472,Data!J:J)</f>
        <v>2817871.8623999995</v>
      </c>
      <c r="F472" s="29">
        <f t="shared" si="63"/>
        <v>10</v>
      </c>
      <c r="G472">
        <f t="shared" si="64"/>
        <v>0</v>
      </c>
      <c r="H472">
        <f t="shared" si="65"/>
        <v>1</v>
      </c>
      <c r="I472" s="23">
        <f t="shared" si="66"/>
        <v>1</v>
      </c>
      <c r="J472" t="str">
        <f t="shared" si="67"/>
        <v xml:space="preserve"> </v>
      </c>
      <c r="K472" t="str">
        <f t="shared" si="68"/>
        <v xml:space="preserve"> </v>
      </c>
      <c r="L472" t="str">
        <f t="shared" si="69"/>
        <v>Yo'qotilgan</v>
      </c>
      <c r="M472" t="str">
        <f t="shared" si="70"/>
        <v xml:space="preserve"> </v>
      </c>
      <c r="N472" s="23" t="str">
        <f t="shared" si="71"/>
        <v xml:space="preserve"> </v>
      </c>
    </row>
    <row r="473" spans="1:14">
      <c r="A473" s="29">
        <v>4874091</v>
      </c>
      <c r="B473" s="10">
        <f>_xlfn.XLOOKUP(A473,Data!E:E,Data!B:B,0,0,-1)</f>
        <v>45369</v>
      </c>
      <c r="C473" s="20">
        <f>_xlfn.XLOOKUP(A473,Data!E:E,Data!B:B)</f>
        <v>45369</v>
      </c>
      <c r="D473" s="21">
        <f>COUNTIF(Data!E:E,A473)</f>
        <v>2</v>
      </c>
      <c r="E473" s="22">
        <f>SUMIF(Data!E:E,'RFM mijozlar tahlili'!A473,Data!J:J)</f>
        <v>402553.12319999997</v>
      </c>
      <c r="F473" s="29">
        <f t="shared" si="63"/>
        <v>10</v>
      </c>
      <c r="G473">
        <f t="shared" si="64"/>
        <v>0</v>
      </c>
      <c r="H473">
        <f t="shared" si="65"/>
        <v>0</v>
      </c>
      <c r="I473" s="23">
        <f t="shared" si="66"/>
        <v>0</v>
      </c>
      <c r="J473" t="str">
        <f t="shared" si="67"/>
        <v xml:space="preserve"> </v>
      </c>
      <c r="K473" t="str">
        <f t="shared" si="68"/>
        <v xml:space="preserve"> </v>
      </c>
      <c r="L473" t="str">
        <f t="shared" si="69"/>
        <v>Yo'qotilgan</v>
      </c>
      <c r="M473" t="str">
        <f t="shared" si="70"/>
        <v xml:space="preserve"> </v>
      </c>
      <c r="N473" s="23" t="str">
        <f t="shared" si="71"/>
        <v xml:space="preserve"> </v>
      </c>
    </row>
    <row r="474" spans="1:14">
      <c r="A474" s="29">
        <v>4877105</v>
      </c>
      <c r="B474" s="10">
        <f>_xlfn.XLOOKUP(A474,Data!E:E,Data!B:B,0,0,-1)</f>
        <v>45328</v>
      </c>
      <c r="C474" s="20">
        <f>_xlfn.XLOOKUP(A474,Data!E:E,Data!B:B)</f>
        <v>45370</v>
      </c>
      <c r="D474" s="21">
        <f>COUNTIF(Data!E:E,A474)</f>
        <v>2</v>
      </c>
      <c r="E474" s="22">
        <f>SUMIF(Data!E:E,'RFM mijozlar tahlili'!A474,Data!J:J)</f>
        <v>154538.18399999998</v>
      </c>
      <c r="F474" s="29">
        <f t="shared" si="63"/>
        <v>10</v>
      </c>
      <c r="G474">
        <f t="shared" si="64"/>
        <v>0</v>
      </c>
      <c r="H474">
        <f t="shared" si="65"/>
        <v>0</v>
      </c>
      <c r="I474" s="23">
        <f t="shared" si="66"/>
        <v>0</v>
      </c>
      <c r="J474" t="str">
        <f t="shared" si="67"/>
        <v xml:space="preserve"> </v>
      </c>
      <c r="K474" t="str">
        <f t="shared" si="68"/>
        <v xml:space="preserve"> </v>
      </c>
      <c r="L474" t="str">
        <f t="shared" si="69"/>
        <v>Yo'qotilgan</v>
      </c>
      <c r="M474" t="str">
        <f t="shared" si="70"/>
        <v xml:space="preserve"> </v>
      </c>
      <c r="N474" s="23" t="str">
        <f t="shared" si="71"/>
        <v xml:space="preserve"> </v>
      </c>
    </row>
    <row r="475" spans="1:14">
      <c r="A475" s="29">
        <v>4875541</v>
      </c>
      <c r="B475" s="10">
        <f>_xlfn.XLOOKUP(A475,Data!E:E,Data!B:B,0,0,-1)</f>
        <v>45377</v>
      </c>
      <c r="C475" s="20">
        <f>_xlfn.XLOOKUP(A475,Data!E:E,Data!B:B)</f>
        <v>45377</v>
      </c>
      <c r="D475" s="21">
        <f>COUNTIF(Data!E:E,A475)</f>
        <v>8</v>
      </c>
      <c r="E475" s="22">
        <f>SUMIF(Data!E:E,'RFM mijozlar tahlili'!A475,Data!J:J)</f>
        <v>2515831.3791999999</v>
      </c>
      <c r="F475" s="29">
        <f t="shared" si="63"/>
        <v>10</v>
      </c>
      <c r="G475">
        <f t="shared" si="64"/>
        <v>0</v>
      </c>
      <c r="H475">
        <f t="shared" si="65"/>
        <v>3</v>
      </c>
      <c r="I475" s="23">
        <f t="shared" si="66"/>
        <v>1</v>
      </c>
      <c r="J475" t="str">
        <f t="shared" si="67"/>
        <v xml:space="preserve"> </v>
      </c>
      <c r="K475" t="str">
        <f t="shared" si="68"/>
        <v xml:space="preserve"> </v>
      </c>
      <c r="L475" t="str">
        <f t="shared" si="69"/>
        <v xml:space="preserve"> </v>
      </c>
      <c r="M475" t="str">
        <f t="shared" si="70"/>
        <v xml:space="preserve"> </v>
      </c>
      <c r="N475" s="23" t="str">
        <f t="shared" si="71"/>
        <v xml:space="preserve"> </v>
      </c>
    </row>
    <row r="476" spans="1:14">
      <c r="A476" s="29">
        <v>4878770</v>
      </c>
      <c r="B476" s="10">
        <f>_xlfn.XLOOKUP(A476,Data!E:E,Data!B:B,0,0,-1)</f>
        <v>45297</v>
      </c>
      <c r="C476" s="20">
        <f>_xlfn.XLOOKUP(A476,Data!E:E,Data!B:B)</f>
        <v>45355</v>
      </c>
      <c r="D476" s="21">
        <f>COUNTIF(Data!E:E,A476)</f>
        <v>3</v>
      </c>
      <c r="E476" s="22">
        <f>SUMIF(Data!E:E,'RFM mijozlar tahlili'!A476,Data!J:J)</f>
        <v>905618.88639999996</v>
      </c>
      <c r="F476" s="29">
        <f t="shared" si="63"/>
        <v>10</v>
      </c>
      <c r="G476">
        <f t="shared" si="64"/>
        <v>0</v>
      </c>
      <c r="H476">
        <f t="shared" si="65"/>
        <v>1</v>
      </c>
      <c r="I476" s="23">
        <f t="shared" si="66"/>
        <v>0</v>
      </c>
      <c r="J476" t="str">
        <f t="shared" si="67"/>
        <v xml:space="preserve"> </v>
      </c>
      <c r="K476" t="str">
        <f t="shared" si="68"/>
        <v xml:space="preserve"> </v>
      </c>
      <c r="L476" t="str">
        <f t="shared" si="69"/>
        <v>Yo'qotilgan</v>
      </c>
      <c r="M476" t="str">
        <f t="shared" si="70"/>
        <v xml:space="preserve"> </v>
      </c>
      <c r="N476" s="23" t="str">
        <f t="shared" si="71"/>
        <v xml:space="preserve"> </v>
      </c>
    </row>
    <row r="477" spans="1:14">
      <c r="A477" s="29">
        <v>4876754</v>
      </c>
      <c r="B477" s="10">
        <f>_xlfn.XLOOKUP(A477,Data!E:E,Data!B:B,0,0,-1)</f>
        <v>45363</v>
      </c>
      <c r="C477" s="20">
        <f>_xlfn.XLOOKUP(A477,Data!E:E,Data!B:B)</f>
        <v>45363</v>
      </c>
      <c r="D477" s="21">
        <f>COUNTIF(Data!E:E,A477)</f>
        <v>1</v>
      </c>
      <c r="E477" s="22">
        <f>SUMIF(Data!E:E,'RFM mijozlar tahlili'!A477,Data!J:J)</f>
        <v>503191.40399999998</v>
      </c>
      <c r="F477" s="29">
        <f t="shared" si="63"/>
        <v>10</v>
      </c>
      <c r="G477">
        <f t="shared" si="64"/>
        <v>0</v>
      </c>
      <c r="H477">
        <f t="shared" si="65"/>
        <v>0</v>
      </c>
      <c r="I477" s="23">
        <f t="shared" si="66"/>
        <v>0</v>
      </c>
      <c r="J477" t="str">
        <f t="shared" si="67"/>
        <v xml:space="preserve"> </v>
      </c>
      <c r="K477" t="str">
        <f t="shared" si="68"/>
        <v xml:space="preserve"> </v>
      </c>
      <c r="L477" t="str">
        <f t="shared" si="69"/>
        <v>Yo'qotilgan</v>
      </c>
      <c r="M477" t="str">
        <f t="shared" si="70"/>
        <v xml:space="preserve"> </v>
      </c>
      <c r="N477" s="23" t="str">
        <f t="shared" si="71"/>
        <v xml:space="preserve"> </v>
      </c>
    </row>
    <row r="478" spans="1:14">
      <c r="A478" s="29">
        <v>4876081</v>
      </c>
      <c r="B478" s="10">
        <f>_xlfn.XLOOKUP(A478,Data!E:E,Data!B:B,0,0,-1)</f>
        <v>45368</v>
      </c>
      <c r="C478" s="20">
        <f>_xlfn.XLOOKUP(A478,Data!E:E,Data!B:B)</f>
        <v>45368</v>
      </c>
      <c r="D478" s="21">
        <f>COUNTIF(Data!E:E,A478)</f>
        <v>2</v>
      </c>
      <c r="E478" s="22">
        <f>SUMIF(Data!E:E,'RFM mijozlar tahlili'!A478,Data!J:J)</f>
        <v>452809.44319999998</v>
      </c>
      <c r="F478" s="29">
        <f t="shared" si="63"/>
        <v>10</v>
      </c>
      <c r="G478">
        <f t="shared" si="64"/>
        <v>0</v>
      </c>
      <c r="H478">
        <f t="shared" si="65"/>
        <v>0</v>
      </c>
      <c r="I478" s="23">
        <f t="shared" si="66"/>
        <v>0</v>
      </c>
      <c r="J478" t="str">
        <f t="shared" si="67"/>
        <v xml:space="preserve"> </v>
      </c>
      <c r="K478" t="str">
        <f t="shared" si="68"/>
        <v xml:space="preserve"> </v>
      </c>
      <c r="L478" t="str">
        <f t="shared" si="69"/>
        <v>Yo'qotilgan</v>
      </c>
      <c r="M478" t="str">
        <f t="shared" si="70"/>
        <v xml:space="preserve"> </v>
      </c>
      <c r="N478" s="23" t="str">
        <f t="shared" si="71"/>
        <v xml:space="preserve"> </v>
      </c>
    </row>
    <row r="479" spans="1:14">
      <c r="A479" s="29">
        <v>4872953</v>
      </c>
      <c r="B479" s="10">
        <f>_xlfn.XLOOKUP(A479,Data!E:E,Data!B:B,0,0,-1)</f>
        <v>45330</v>
      </c>
      <c r="C479" s="20">
        <f>_xlfn.XLOOKUP(A479,Data!E:E,Data!B:B)</f>
        <v>45360</v>
      </c>
      <c r="D479" s="21">
        <f>COUNTIF(Data!E:E,A479)</f>
        <v>8</v>
      </c>
      <c r="E479" s="22">
        <f>SUMIF(Data!E:E,'RFM mijozlar tahlili'!A479,Data!J:J)</f>
        <v>2606531.4727199995</v>
      </c>
      <c r="F479" s="29">
        <f t="shared" si="63"/>
        <v>10</v>
      </c>
      <c r="G479">
        <f t="shared" si="64"/>
        <v>0</v>
      </c>
      <c r="H479">
        <f t="shared" si="65"/>
        <v>3</v>
      </c>
      <c r="I479" s="23">
        <f t="shared" si="66"/>
        <v>1</v>
      </c>
      <c r="J479" t="str">
        <f t="shared" si="67"/>
        <v xml:space="preserve"> </v>
      </c>
      <c r="K479" t="str">
        <f t="shared" si="68"/>
        <v xml:space="preserve"> </v>
      </c>
      <c r="L479" t="str">
        <f t="shared" si="69"/>
        <v xml:space="preserve"> </v>
      </c>
      <c r="M479" t="str">
        <f t="shared" si="70"/>
        <v xml:space="preserve"> </v>
      </c>
      <c r="N479" s="23" t="str">
        <f t="shared" si="71"/>
        <v xml:space="preserve"> </v>
      </c>
    </row>
    <row r="480" spans="1:14">
      <c r="A480" s="29">
        <v>4873725</v>
      </c>
      <c r="B480" s="10">
        <f>_xlfn.XLOOKUP(A480,Data!E:E,Data!B:B,0,0,-1)</f>
        <v>45360</v>
      </c>
      <c r="C480" s="20">
        <f>_xlfn.XLOOKUP(A480,Data!E:E,Data!B:B)</f>
        <v>45360</v>
      </c>
      <c r="D480" s="21">
        <f>COUNTIF(Data!E:E,A480)</f>
        <v>1</v>
      </c>
      <c r="E480" s="22">
        <f>SUMIF(Data!E:E,'RFM mijozlar tahlili'!A480,Data!J:J)</f>
        <v>1170344.0519999999</v>
      </c>
      <c r="F480" s="29">
        <f t="shared" si="63"/>
        <v>10</v>
      </c>
      <c r="G480">
        <f t="shared" si="64"/>
        <v>0</v>
      </c>
      <c r="H480">
        <f t="shared" si="65"/>
        <v>0</v>
      </c>
      <c r="I480" s="23">
        <f t="shared" si="66"/>
        <v>0</v>
      </c>
      <c r="J480" t="str">
        <f t="shared" si="67"/>
        <v xml:space="preserve"> </v>
      </c>
      <c r="K480" t="str">
        <f t="shared" si="68"/>
        <v xml:space="preserve"> </v>
      </c>
      <c r="L480" t="str">
        <f t="shared" si="69"/>
        <v>Yo'qotilgan</v>
      </c>
      <c r="M480" t="str">
        <f t="shared" si="70"/>
        <v xml:space="preserve"> </v>
      </c>
      <c r="N480" s="23" t="str">
        <f t="shared" si="71"/>
        <v xml:space="preserve"> </v>
      </c>
    </row>
    <row r="481" spans="1:14">
      <c r="A481" s="29">
        <v>4872011</v>
      </c>
      <c r="B481" s="10">
        <f>_xlfn.XLOOKUP(A481,Data!E:E,Data!B:B,0,0,-1)</f>
        <v>45352</v>
      </c>
      <c r="C481" s="20">
        <f>_xlfn.XLOOKUP(A481,Data!E:E,Data!B:B)</f>
        <v>45352</v>
      </c>
      <c r="D481" s="21">
        <f>COUNTIF(Data!E:E,A481)</f>
        <v>1</v>
      </c>
      <c r="E481" s="22">
        <f>SUMIF(Data!E:E,'RFM mijozlar tahlili'!A481,Data!J:J)</f>
        <v>415871.04800000001</v>
      </c>
      <c r="F481" s="29">
        <f t="shared" si="63"/>
        <v>10</v>
      </c>
      <c r="G481">
        <f t="shared" si="64"/>
        <v>0</v>
      </c>
      <c r="H481">
        <f t="shared" si="65"/>
        <v>0</v>
      </c>
      <c r="I481" s="23">
        <f t="shared" si="66"/>
        <v>0</v>
      </c>
      <c r="J481" t="str">
        <f t="shared" si="67"/>
        <v xml:space="preserve"> </v>
      </c>
      <c r="K481" t="str">
        <f t="shared" si="68"/>
        <v xml:space="preserve"> </v>
      </c>
      <c r="L481" t="str">
        <f t="shared" si="69"/>
        <v>Yo'qotilgan</v>
      </c>
      <c r="M481" t="str">
        <f t="shared" si="70"/>
        <v xml:space="preserve"> </v>
      </c>
      <c r="N481" s="23" t="str">
        <f t="shared" si="71"/>
        <v xml:space="preserve"> </v>
      </c>
    </row>
    <row r="482" spans="1:14">
      <c r="A482" s="29">
        <v>4873352</v>
      </c>
      <c r="B482" s="10">
        <f>_xlfn.XLOOKUP(A482,Data!E:E,Data!B:B,0,0,-1)</f>
        <v>45358</v>
      </c>
      <c r="C482" s="20">
        <f>_xlfn.XLOOKUP(A482,Data!E:E,Data!B:B)</f>
        <v>45358</v>
      </c>
      <c r="D482" s="21">
        <f>COUNTIF(Data!E:E,A482)</f>
        <v>1</v>
      </c>
      <c r="E482" s="22">
        <f>SUMIF(Data!E:E,'RFM mijozlar tahlili'!A482,Data!J:J)</f>
        <v>2079355.24</v>
      </c>
      <c r="F482" s="29">
        <f t="shared" si="63"/>
        <v>10</v>
      </c>
      <c r="G482">
        <f t="shared" si="64"/>
        <v>0</v>
      </c>
      <c r="H482">
        <f t="shared" si="65"/>
        <v>0</v>
      </c>
      <c r="I482" s="23">
        <f t="shared" si="66"/>
        <v>1</v>
      </c>
      <c r="J482" t="str">
        <f t="shared" si="67"/>
        <v xml:space="preserve"> </v>
      </c>
      <c r="K482" t="str">
        <f t="shared" si="68"/>
        <v xml:space="preserve"> </v>
      </c>
      <c r="L482" t="str">
        <f t="shared" si="69"/>
        <v>Yo'qotilgan</v>
      </c>
      <c r="M482" t="str">
        <f t="shared" si="70"/>
        <v xml:space="preserve"> </v>
      </c>
      <c r="N482" s="23" t="str">
        <f t="shared" si="71"/>
        <v xml:space="preserve"> </v>
      </c>
    </row>
    <row r="483" spans="1:14">
      <c r="A483" s="29">
        <v>4878908</v>
      </c>
      <c r="B483" s="10">
        <f>_xlfn.XLOOKUP(A483,Data!E:E,Data!B:B,0,0,-1)</f>
        <v>45305</v>
      </c>
      <c r="C483" s="20">
        <f>_xlfn.XLOOKUP(A483,Data!E:E,Data!B:B)</f>
        <v>45374</v>
      </c>
      <c r="D483" s="21">
        <f>COUNTIF(Data!E:E,A483)</f>
        <v>2</v>
      </c>
      <c r="E483" s="22">
        <f>SUMIF(Data!E:E,'RFM mijozlar tahlili'!A483,Data!J:J)</f>
        <v>4349382.9580799993</v>
      </c>
      <c r="F483" s="29">
        <f t="shared" si="63"/>
        <v>10</v>
      </c>
      <c r="G483">
        <f t="shared" si="64"/>
        <v>0</v>
      </c>
      <c r="H483">
        <f t="shared" si="65"/>
        <v>0</v>
      </c>
      <c r="I483" s="23">
        <f t="shared" si="66"/>
        <v>2</v>
      </c>
      <c r="J483" t="str">
        <f t="shared" si="67"/>
        <v xml:space="preserve"> </v>
      </c>
      <c r="K483" t="str">
        <f t="shared" si="68"/>
        <v xml:space="preserve"> </v>
      </c>
      <c r="L483" t="str">
        <f t="shared" si="69"/>
        <v>Yo'qotilgan</v>
      </c>
      <c r="M483" t="str">
        <f t="shared" si="70"/>
        <v xml:space="preserve"> </v>
      </c>
      <c r="N483" s="23" t="str">
        <f t="shared" si="71"/>
        <v xml:space="preserve"> </v>
      </c>
    </row>
    <row r="484" spans="1:14">
      <c r="A484" s="29">
        <v>4871883</v>
      </c>
      <c r="B484" s="10">
        <f>_xlfn.XLOOKUP(A484,Data!E:E,Data!B:B,0,0,-1)</f>
        <v>45375</v>
      </c>
      <c r="C484" s="20">
        <f>_xlfn.XLOOKUP(A484,Data!E:E,Data!B:B)</f>
        <v>45375</v>
      </c>
      <c r="D484" s="21">
        <f>COUNTIF(Data!E:E,A484)</f>
        <v>1</v>
      </c>
      <c r="E484" s="22">
        <f>SUMIF(Data!E:E,'RFM mijozlar tahlili'!A484,Data!J:J)</f>
        <v>1771535.28</v>
      </c>
      <c r="F484" s="29">
        <f t="shared" si="63"/>
        <v>10</v>
      </c>
      <c r="G484">
        <f t="shared" si="64"/>
        <v>0</v>
      </c>
      <c r="H484">
        <f t="shared" si="65"/>
        <v>0</v>
      </c>
      <c r="I484" s="23">
        <f t="shared" si="66"/>
        <v>0</v>
      </c>
      <c r="J484" t="str">
        <f t="shared" si="67"/>
        <v xml:space="preserve"> </v>
      </c>
      <c r="K484" t="str">
        <f t="shared" si="68"/>
        <v xml:space="preserve"> </v>
      </c>
      <c r="L484" t="str">
        <f t="shared" si="69"/>
        <v>Yo'qotilgan</v>
      </c>
      <c r="M484" t="str">
        <f t="shared" si="70"/>
        <v xml:space="preserve"> </v>
      </c>
      <c r="N484" s="23" t="str">
        <f t="shared" si="71"/>
        <v xml:space="preserve"> </v>
      </c>
    </row>
    <row r="485" spans="1:14">
      <c r="A485" s="29">
        <v>4872080</v>
      </c>
      <c r="B485" s="10">
        <f>_xlfn.XLOOKUP(A485,Data!E:E,Data!B:B,0,0,-1)</f>
        <v>45331</v>
      </c>
      <c r="C485" s="20">
        <f>_xlfn.XLOOKUP(A485,Data!E:E,Data!B:B)</f>
        <v>45381</v>
      </c>
      <c r="D485" s="21">
        <f>COUNTIF(Data!E:E,A485)</f>
        <v>3</v>
      </c>
      <c r="E485" s="22">
        <f>SUMIF(Data!E:E,'RFM mijozlar tahlili'!A485,Data!J:J)</f>
        <v>4980351.0556800002</v>
      </c>
      <c r="F485" s="29">
        <f t="shared" si="63"/>
        <v>9</v>
      </c>
      <c r="G485">
        <f t="shared" si="64"/>
        <v>0</v>
      </c>
      <c r="H485">
        <f t="shared" si="65"/>
        <v>1</v>
      </c>
      <c r="I485" s="23">
        <f t="shared" si="66"/>
        <v>2</v>
      </c>
      <c r="J485" t="str">
        <f t="shared" si="67"/>
        <v xml:space="preserve"> </v>
      </c>
      <c r="K485" t="str">
        <f t="shared" si="68"/>
        <v xml:space="preserve"> </v>
      </c>
      <c r="L485" t="str">
        <f t="shared" si="69"/>
        <v>Yo'qotilgan</v>
      </c>
      <c r="M485" t="str">
        <f t="shared" si="70"/>
        <v xml:space="preserve"> </v>
      </c>
      <c r="N485" s="23" t="str">
        <f t="shared" si="71"/>
        <v xml:space="preserve"> </v>
      </c>
    </row>
    <row r="486" spans="1:14">
      <c r="A486" s="29">
        <v>4879063</v>
      </c>
      <c r="B486" s="10">
        <f>_xlfn.XLOOKUP(A486,Data!E:E,Data!B:B,0,0,-1)</f>
        <v>45330</v>
      </c>
      <c r="C486" s="20">
        <f>_xlfn.XLOOKUP(A486,Data!E:E,Data!B:B)</f>
        <v>45330</v>
      </c>
      <c r="D486" s="21">
        <f>COUNTIF(Data!E:E,A486)</f>
        <v>3</v>
      </c>
      <c r="E486" s="22">
        <f>SUMIF(Data!E:E,'RFM mijozlar tahlili'!A486,Data!J:J)</f>
        <v>1781297.5701599997</v>
      </c>
      <c r="F486" s="29">
        <f t="shared" si="63"/>
        <v>11</v>
      </c>
      <c r="G486">
        <f t="shared" si="64"/>
        <v>0</v>
      </c>
      <c r="H486">
        <f t="shared" si="65"/>
        <v>1</v>
      </c>
      <c r="I486" s="23">
        <f t="shared" si="66"/>
        <v>0</v>
      </c>
      <c r="J486" t="str">
        <f t="shared" si="67"/>
        <v xml:space="preserve"> </v>
      </c>
      <c r="K486" t="str">
        <f t="shared" si="68"/>
        <v xml:space="preserve"> </v>
      </c>
      <c r="L486" t="str">
        <f t="shared" si="69"/>
        <v>Yo'qotilgan</v>
      </c>
      <c r="M486" t="str">
        <f t="shared" si="70"/>
        <v xml:space="preserve"> </v>
      </c>
      <c r="N486" s="23" t="str">
        <f t="shared" si="71"/>
        <v xml:space="preserve"> </v>
      </c>
    </row>
    <row r="487" spans="1:14">
      <c r="A487" s="29">
        <v>4878466</v>
      </c>
      <c r="B487" s="10">
        <f>_xlfn.XLOOKUP(A487,Data!E:E,Data!B:B,0,0,-1)</f>
        <v>45338</v>
      </c>
      <c r="C487" s="20">
        <f>_xlfn.XLOOKUP(A487,Data!E:E,Data!B:B)</f>
        <v>45338</v>
      </c>
      <c r="D487" s="21">
        <f>COUNTIF(Data!E:E,A487)</f>
        <v>3</v>
      </c>
      <c r="E487" s="22">
        <f>SUMIF(Data!E:E,'RFM mijozlar tahlili'!A487,Data!J:J)</f>
        <v>301914.84239999996</v>
      </c>
      <c r="F487" s="29">
        <f t="shared" si="63"/>
        <v>11</v>
      </c>
      <c r="G487">
        <f t="shared" si="64"/>
        <v>0</v>
      </c>
      <c r="H487">
        <f t="shared" si="65"/>
        <v>1</v>
      </c>
      <c r="I487" s="23">
        <f t="shared" si="66"/>
        <v>0</v>
      </c>
      <c r="J487" t="str">
        <f t="shared" si="67"/>
        <v xml:space="preserve"> </v>
      </c>
      <c r="K487" t="str">
        <f t="shared" si="68"/>
        <v xml:space="preserve"> </v>
      </c>
      <c r="L487" t="str">
        <f t="shared" si="69"/>
        <v>Yo'qotilgan</v>
      </c>
      <c r="M487" t="str">
        <f t="shared" si="70"/>
        <v xml:space="preserve"> </v>
      </c>
      <c r="N487" s="23" t="str">
        <f t="shared" si="71"/>
        <v xml:space="preserve"> </v>
      </c>
    </row>
    <row r="488" spans="1:14">
      <c r="A488" s="29">
        <v>4878409</v>
      </c>
      <c r="B488" s="10">
        <f>_xlfn.XLOOKUP(A488,Data!E:E,Data!B:B,0,0,-1)</f>
        <v>45340</v>
      </c>
      <c r="C488" s="20">
        <f>_xlfn.XLOOKUP(A488,Data!E:E,Data!B:B)</f>
        <v>45340</v>
      </c>
      <c r="D488" s="21">
        <f>COUNTIF(Data!E:E,A488)</f>
        <v>1</v>
      </c>
      <c r="E488" s="22">
        <f>SUMIF(Data!E:E,'RFM mijozlar tahlili'!A488,Data!J:J)</f>
        <v>402553.12319999997</v>
      </c>
      <c r="F488" s="29">
        <f t="shared" si="63"/>
        <v>11</v>
      </c>
      <c r="G488">
        <f t="shared" si="64"/>
        <v>0</v>
      </c>
      <c r="H488">
        <f t="shared" si="65"/>
        <v>0</v>
      </c>
      <c r="I488" s="23">
        <f t="shared" si="66"/>
        <v>0</v>
      </c>
      <c r="J488" t="str">
        <f t="shared" si="67"/>
        <v xml:space="preserve"> </v>
      </c>
      <c r="K488" t="str">
        <f t="shared" si="68"/>
        <v xml:space="preserve"> </v>
      </c>
      <c r="L488" t="str">
        <f t="shared" si="69"/>
        <v>Yo'qotilgan</v>
      </c>
      <c r="M488" t="str">
        <f t="shared" si="70"/>
        <v xml:space="preserve"> </v>
      </c>
      <c r="N488" s="23" t="str">
        <f t="shared" si="71"/>
        <v xml:space="preserve"> </v>
      </c>
    </row>
    <row r="489" spans="1:14">
      <c r="A489" s="29">
        <v>4878068</v>
      </c>
      <c r="B489" s="10">
        <f>_xlfn.XLOOKUP(A489,Data!E:E,Data!B:B,0,0,-1)</f>
        <v>45345</v>
      </c>
      <c r="C489" s="20">
        <f>_xlfn.XLOOKUP(A489,Data!E:E,Data!B:B)</f>
        <v>45345</v>
      </c>
      <c r="D489" s="21">
        <f>COUNTIF(Data!E:E,A489)</f>
        <v>2</v>
      </c>
      <c r="E489" s="22">
        <f>SUMIF(Data!E:E,'RFM mijozlar tahlili'!A489,Data!J:J)</f>
        <v>402553.12319999997</v>
      </c>
      <c r="F489" s="29">
        <f t="shared" si="63"/>
        <v>11</v>
      </c>
      <c r="G489">
        <f t="shared" si="64"/>
        <v>0</v>
      </c>
      <c r="H489">
        <f t="shared" si="65"/>
        <v>0</v>
      </c>
      <c r="I489" s="23">
        <f t="shared" si="66"/>
        <v>0</v>
      </c>
      <c r="J489" t="str">
        <f t="shared" si="67"/>
        <v xml:space="preserve"> </v>
      </c>
      <c r="K489" t="str">
        <f t="shared" si="68"/>
        <v xml:space="preserve"> </v>
      </c>
      <c r="L489" t="str">
        <f t="shared" si="69"/>
        <v>Yo'qotilgan</v>
      </c>
      <c r="M489" t="str">
        <f t="shared" si="70"/>
        <v xml:space="preserve"> </v>
      </c>
      <c r="N489" s="23" t="str">
        <f t="shared" si="71"/>
        <v xml:space="preserve"> </v>
      </c>
    </row>
    <row r="490" spans="1:14">
      <c r="A490" s="29">
        <v>4878465</v>
      </c>
      <c r="B490" s="10">
        <f>_xlfn.XLOOKUP(A490,Data!E:E,Data!B:B,0,0,-1)</f>
        <v>45346</v>
      </c>
      <c r="C490" s="20">
        <f>_xlfn.XLOOKUP(A490,Data!E:E,Data!B:B)</f>
        <v>45345</v>
      </c>
      <c r="D490" s="21">
        <f>COUNTIF(Data!E:E,A490)</f>
        <v>4</v>
      </c>
      <c r="E490" s="22">
        <f>SUMIF(Data!E:E,'RFM mijozlar tahlili'!A490,Data!J:J)</f>
        <v>603829.68479999993</v>
      </c>
      <c r="F490" s="29">
        <f t="shared" si="63"/>
        <v>11</v>
      </c>
      <c r="G490">
        <f t="shared" si="64"/>
        <v>0</v>
      </c>
      <c r="H490">
        <f t="shared" si="65"/>
        <v>1</v>
      </c>
      <c r="I490" s="23">
        <f t="shared" si="66"/>
        <v>0</v>
      </c>
      <c r="J490" t="str">
        <f t="shared" si="67"/>
        <v xml:space="preserve"> </v>
      </c>
      <c r="K490" t="str">
        <f t="shared" si="68"/>
        <v xml:space="preserve"> </v>
      </c>
      <c r="L490" t="str">
        <f t="shared" si="69"/>
        <v>Yo'qotilgan</v>
      </c>
      <c r="M490" t="str">
        <f t="shared" si="70"/>
        <v xml:space="preserve"> </v>
      </c>
      <c r="N490" s="23" t="str">
        <f t="shared" si="71"/>
        <v xml:space="preserve"> </v>
      </c>
    </row>
    <row r="491" spans="1:14">
      <c r="A491" s="29">
        <v>4875765</v>
      </c>
      <c r="B491" s="10">
        <f>_xlfn.XLOOKUP(A491,Data!E:E,Data!B:B,0,0,-1)</f>
        <v>45323</v>
      </c>
      <c r="C491" s="20">
        <f>_xlfn.XLOOKUP(A491,Data!E:E,Data!B:B)</f>
        <v>45323</v>
      </c>
      <c r="D491" s="21">
        <f>COUNTIF(Data!E:E,A491)</f>
        <v>2</v>
      </c>
      <c r="E491" s="22">
        <f>SUMIF(Data!E:E,'RFM mijozlar tahlili'!A491,Data!J:J)</f>
        <v>654086.0048</v>
      </c>
      <c r="F491" s="29">
        <f t="shared" si="63"/>
        <v>11</v>
      </c>
      <c r="G491">
        <f t="shared" si="64"/>
        <v>0</v>
      </c>
      <c r="H491">
        <f t="shared" si="65"/>
        <v>0</v>
      </c>
      <c r="I491" s="23">
        <f t="shared" si="66"/>
        <v>0</v>
      </c>
      <c r="J491" t="str">
        <f t="shared" si="67"/>
        <v xml:space="preserve"> </v>
      </c>
      <c r="K491" t="str">
        <f t="shared" si="68"/>
        <v xml:space="preserve"> </v>
      </c>
      <c r="L491" t="str">
        <f t="shared" si="69"/>
        <v>Yo'qotilgan</v>
      </c>
      <c r="M491" t="str">
        <f t="shared" si="70"/>
        <v xml:space="preserve"> </v>
      </c>
      <c r="N491" s="23" t="str">
        <f t="shared" si="71"/>
        <v xml:space="preserve"> </v>
      </c>
    </row>
    <row r="492" spans="1:14">
      <c r="A492" s="29">
        <v>4879154</v>
      </c>
      <c r="B492" s="10">
        <f>_xlfn.XLOOKUP(A492,Data!E:E,Data!B:B,0,0,-1)</f>
        <v>45329</v>
      </c>
      <c r="C492" s="20">
        <f>_xlfn.XLOOKUP(A492,Data!E:E,Data!B:B)</f>
        <v>45329</v>
      </c>
      <c r="D492" s="21">
        <f>COUNTIF(Data!E:E,A492)</f>
        <v>1</v>
      </c>
      <c r="E492" s="22">
        <f>SUMIF(Data!E:E,'RFM mijozlar tahlili'!A492,Data!J:J)</f>
        <v>77269.09199999999</v>
      </c>
      <c r="F492" s="29">
        <f t="shared" si="63"/>
        <v>11</v>
      </c>
      <c r="G492">
        <f t="shared" si="64"/>
        <v>0</v>
      </c>
      <c r="H492">
        <f t="shared" si="65"/>
        <v>0</v>
      </c>
      <c r="I492" s="23">
        <f t="shared" si="66"/>
        <v>0</v>
      </c>
      <c r="J492" t="str">
        <f t="shared" si="67"/>
        <v xml:space="preserve"> </v>
      </c>
      <c r="K492" t="str">
        <f t="shared" si="68"/>
        <v xml:space="preserve"> </v>
      </c>
      <c r="L492" t="str">
        <f t="shared" si="69"/>
        <v>Yo'qotilgan</v>
      </c>
      <c r="M492" t="str">
        <f t="shared" si="70"/>
        <v xml:space="preserve"> </v>
      </c>
      <c r="N492" s="23" t="str">
        <f t="shared" si="71"/>
        <v xml:space="preserve"> </v>
      </c>
    </row>
    <row r="493" spans="1:14">
      <c r="A493" s="29">
        <v>4876770</v>
      </c>
      <c r="B493" s="10">
        <f>_xlfn.XLOOKUP(A493,Data!E:E,Data!B:B,0,0,-1)</f>
        <v>45302</v>
      </c>
      <c r="C493" s="20">
        <f>_xlfn.XLOOKUP(A493,Data!E:E,Data!B:B)</f>
        <v>45330</v>
      </c>
      <c r="D493" s="21">
        <f>COUNTIF(Data!E:E,A493)</f>
        <v>2</v>
      </c>
      <c r="E493" s="22">
        <f>SUMIF(Data!E:E,'RFM mijozlar tahlili'!A493,Data!J:J)</f>
        <v>402553.12319999997</v>
      </c>
      <c r="F493" s="29">
        <f t="shared" si="63"/>
        <v>11</v>
      </c>
      <c r="G493">
        <f t="shared" si="64"/>
        <v>0</v>
      </c>
      <c r="H493">
        <f t="shared" si="65"/>
        <v>0</v>
      </c>
      <c r="I493" s="23">
        <f t="shared" si="66"/>
        <v>0</v>
      </c>
      <c r="J493" t="str">
        <f t="shared" si="67"/>
        <v xml:space="preserve"> </v>
      </c>
      <c r="K493" t="str">
        <f t="shared" si="68"/>
        <v xml:space="preserve"> </v>
      </c>
      <c r="L493" t="str">
        <f t="shared" si="69"/>
        <v>Yo'qotilgan</v>
      </c>
      <c r="M493" t="str">
        <f t="shared" si="70"/>
        <v xml:space="preserve"> </v>
      </c>
      <c r="N493" s="23" t="str">
        <f t="shared" si="71"/>
        <v xml:space="preserve"> </v>
      </c>
    </row>
    <row r="494" spans="1:14">
      <c r="A494" s="29">
        <v>4874955</v>
      </c>
      <c r="B494" s="10">
        <f>_xlfn.XLOOKUP(A494,Data!E:E,Data!B:B,0,0,-1)</f>
        <v>45316</v>
      </c>
      <c r="C494" s="20">
        <f>_xlfn.XLOOKUP(A494,Data!E:E,Data!B:B)</f>
        <v>45351</v>
      </c>
      <c r="D494" s="21">
        <f>COUNTIF(Data!E:E,A494)</f>
        <v>3</v>
      </c>
      <c r="E494" s="22">
        <f>SUMIF(Data!E:E,'RFM mijozlar tahlili'!A494,Data!J:J)</f>
        <v>1207659.3695999999</v>
      </c>
      <c r="F494" s="29">
        <f t="shared" si="63"/>
        <v>10</v>
      </c>
      <c r="G494">
        <f t="shared" si="64"/>
        <v>0</v>
      </c>
      <c r="H494">
        <f t="shared" si="65"/>
        <v>1</v>
      </c>
      <c r="I494" s="23">
        <f t="shared" si="66"/>
        <v>0</v>
      </c>
      <c r="J494" t="str">
        <f t="shared" si="67"/>
        <v xml:space="preserve"> </v>
      </c>
      <c r="K494" t="str">
        <f t="shared" si="68"/>
        <v xml:space="preserve"> </v>
      </c>
      <c r="L494" t="str">
        <f t="shared" si="69"/>
        <v>Yo'qotilgan</v>
      </c>
      <c r="M494" t="str">
        <f t="shared" si="70"/>
        <v xml:space="preserve"> </v>
      </c>
      <c r="N494" s="23" t="str">
        <f t="shared" si="71"/>
        <v xml:space="preserve"> </v>
      </c>
    </row>
    <row r="495" spans="1:14">
      <c r="A495" s="29">
        <v>4876484</v>
      </c>
      <c r="B495" s="10">
        <f>_xlfn.XLOOKUP(A495,Data!E:E,Data!B:B,0,0,-1)</f>
        <v>45325</v>
      </c>
      <c r="C495" s="20">
        <f>_xlfn.XLOOKUP(A495,Data!E:E,Data!B:B)</f>
        <v>45325</v>
      </c>
      <c r="D495" s="21">
        <f>COUNTIF(Data!E:E,A495)</f>
        <v>3</v>
      </c>
      <c r="E495" s="22">
        <f>SUMIF(Data!E:E,'RFM mijozlar tahlili'!A495,Data!J:J)</f>
        <v>593765.85671999992</v>
      </c>
      <c r="F495" s="29">
        <f t="shared" si="63"/>
        <v>11</v>
      </c>
      <c r="G495">
        <f t="shared" si="64"/>
        <v>0</v>
      </c>
      <c r="H495">
        <f t="shared" si="65"/>
        <v>1</v>
      </c>
      <c r="I495" s="23">
        <f t="shared" si="66"/>
        <v>0</v>
      </c>
      <c r="J495" t="str">
        <f t="shared" si="67"/>
        <v xml:space="preserve"> </v>
      </c>
      <c r="K495" t="str">
        <f t="shared" si="68"/>
        <v xml:space="preserve"> </v>
      </c>
      <c r="L495" t="str">
        <f t="shared" si="69"/>
        <v>Yo'qotilgan</v>
      </c>
      <c r="M495" t="str">
        <f t="shared" si="70"/>
        <v xml:space="preserve"> </v>
      </c>
      <c r="N495" s="23" t="str">
        <f t="shared" si="71"/>
        <v xml:space="preserve"> </v>
      </c>
    </row>
    <row r="496" spans="1:14">
      <c r="A496" s="29">
        <v>4873678</v>
      </c>
      <c r="B496" s="10">
        <f>_xlfn.XLOOKUP(A496,Data!E:E,Data!B:B,0,0,-1)</f>
        <v>45318</v>
      </c>
      <c r="C496" s="20">
        <f>_xlfn.XLOOKUP(A496,Data!E:E,Data!B:B)</f>
        <v>45326</v>
      </c>
      <c r="D496" s="21">
        <f>COUNTIF(Data!E:E,A496)</f>
        <v>7</v>
      </c>
      <c r="E496" s="22">
        <f>SUMIF(Data!E:E,'RFM mijozlar tahlili'!A496,Data!J:J)</f>
        <v>1976633.834736</v>
      </c>
      <c r="F496" s="29">
        <f t="shared" si="63"/>
        <v>11</v>
      </c>
      <c r="G496">
        <f t="shared" si="64"/>
        <v>0</v>
      </c>
      <c r="H496">
        <f t="shared" si="65"/>
        <v>3</v>
      </c>
      <c r="I496" s="23">
        <f t="shared" si="66"/>
        <v>0</v>
      </c>
      <c r="J496" t="str">
        <f t="shared" si="67"/>
        <v xml:space="preserve"> </v>
      </c>
      <c r="K496" t="str">
        <f t="shared" si="68"/>
        <v xml:space="preserve"> </v>
      </c>
      <c r="L496" t="str">
        <f t="shared" si="69"/>
        <v xml:space="preserve"> </v>
      </c>
      <c r="M496" t="str">
        <f t="shared" si="70"/>
        <v xml:space="preserve"> </v>
      </c>
      <c r="N496" s="23" t="str">
        <f t="shared" si="71"/>
        <v xml:space="preserve"> </v>
      </c>
    </row>
    <row r="497" spans="1:14">
      <c r="A497" s="29">
        <v>4875985</v>
      </c>
      <c r="B497" s="10">
        <f>_xlfn.XLOOKUP(A497,Data!E:E,Data!B:B,0,0,-1)</f>
        <v>45341</v>
      </c>
      <c r="C497" s="20">
        <f>_xlfn.XLOOKUP(A497,Data!E:E,Data!B:B)</f>
        <v>45341</v>
      </c>
      <c r="D497" s="21">
        <f>COUNTIF(Data!E:E,A497)</f>
        <v>1</v>
      </c>
      <c r="E497" s="22">
        <f>SUMIF(Data!E:E,'RFM mijozlar tahlili'!A497,Data!J:J)</f>
        <v>51512.727999999996</v>
      </c>
      <c r="F497" s="29">
        <f t="shared" si="63"/>
        <v>11</v>
      </c>
      <c r="G497">
        <f t="shared" si="64"/>
        <v>0</v>
      </c>
      <c r="H497">
        <f t="shared" si="65"/>
        <v>0</v>
      </c>
      <c r="I497" s="23">
        <f t="shared" si="66"/>
        <v>0</v>
      </c>
      <c r="J497" t="str">
        <f t="shared" si="67"/>
        <v xml:space="preserve"> </v>
      </c>
      <c r="K497" t="str">
        <f t="shared" si="68"/>
        <v xml:space="preserve"> </v>
      </c>
      <c r="L497" t="str">
        <f t="shared" si="69"/>
        <v>Yo'qotilgan</v>
      </c>
      <c r="M497" t="str">
        <f t="shared" si="70"/>
        <v xml:space="preserve"> </v>
      </c>
      <c r="N497" s="23" t="str">
        <f t="shared" si="71"/>
        <v xml:space="preserve"> </v>
      </c>
    </row>
    <row r="498" spans="1:14">
      <c r="A498" s="29">
        <v>4876482</v>
      </c>
      <c r="B498" s="10">
        <f>_xlfn.XLOOKUP(A498,Data!E:E,Data!B:B,0,0,-1)</f>
        <v>45341</v>
      </c>
      <c r="C498" s="20">
        <f>_xlfn.XLOOKUP(A498,Data!E:E,Data!B:B)</f>
        <v>45341</v>
      </c>
      <c r="D498" s="21">
        <f>COUNTIF(Data!E:E,A498)</f>
        <v>1</v>
      </c>
      <c r="E498" s="22">
        <f>SUMIF(Data!E:E,'RFM mijozlar tahlili'!A498,Data!J:J)</f>
        <v>100638.28079999999</v>
      </c>
      <c r="F498" s="29">
        <f t="shared" si="63"/>
        <v>11</v>
      </c>
      <c r="G498">
        <f t="shared" si="64"/>
        <v>0</v>
      </c>
      <c r="H498">
        <f t="shared" si="65"/>
        <v>0</v>
      </c>
      <c r="I498" s="23">
        <f t="shared" si="66"/>
        <v>0</v>
      </c>
      <c r="J498" t="str">
        <f t="shared" si="67"/>
        <v xml:space="preserve"> </v>
      </c>
      <c r="K498" t="str">
        <f t="shared" si="68"/>
        <v xml:space="preserve"> </v>
      </c>
      <c r="L498" t="str">
        <f t="shared" si="69"/>
        <v>Yo'qotilgan</v>
      </c>
      <c r="M498" t="str">
        <f t="shared" si="70"/>
        <v xml:space="preserve"> </v>
      </c>
      <c r="N498" s="23" t="str">
        <f t="shared" si="71"/>
        <v xml:space="preserve"> </v>
      </c>
    </row>
    <row r="499" spans="1:14">
      <c r="A499" s="29">
        <v>4876173</v>
      </c>
      <c r="B499" s="10">
        <f>_xlfn.XLOOKUP(A499,Data!E:E,Data!B:B,0,0,-1)</f>
        <v>45348</v>
      </c>
      <c r="C499" s="20">
        <f>_xlfn.XLOOKUP(A499,Data!E:E,Data!B:B)</f>
        <v>45348</v>
      </c>
      <c r="D499" s="21">
        <f>COUNTIF(Data!E:E,A499)</f>
        <v>1</v>
      </c>
      <c r="E499" s="22">
        <f>SUMIF(Data!E:E,'RFM mijozlar tahlili'!A499,Data!J:J)</f>
        <v>10302.545599999999</v>
      </c>
      <c r="F499" s="29">
        <f t="shared" si="63"/>
        <v>10</v>
      </c>
      <c r="G499">
        <f t="shared" si="64"/>
        <v>0</v>
      </c>
      <c r="H499">
        <f t="shared" si="65"/>
        <v>0</v>
      </c>
      <c r="I499" s="23">
        <f t="shared" si="66"/>
        <v>0</v>
      </c>
      <c r="J499" t="str">
        <f t="shared" si="67"/>
        <v xml:space="preserve"> </v>
      </c>
      <c r="K499" t="str">
        <f t="shared" si="68"/>
        <v xml:space="preserve"> </v>
      </c>
      <c r="L499" t="str">
        <f t="shared" si="69"/>
        <v>Yo'qotilgan</v>
      </c>
      <c r="M499" t="str">
        <f t="shared" si="70"/>
        <v xml:space="preserve"> </v>
      </c>
      <c r="N499" s="23" t="str">
        <f t="shared" si="71"/>
        <v xml:space="preserve"> </v>
      </c>
    </row>
    <row r="500" spans="1:14">
      <c r="A500" s="29">
        <v>4872403</v>
      </c>
      <c r="B500" s="10">
        <f>_xlfn.XLOOKUP(A500,Data!E:E,Data!B:B,0,0,-1)</f>
        <v>45347</v>
      </c>
      <c r="C500" s="20">
        <f>_xlfn.XLOOKUP(A500,Data!E:E,Data!B:B)</f>
        <v>45347</v>
      </c>
      <c r="D500" s="21">
        <f>COUNTIF(Data!E:E,A500)</f>
        <v>1</v>
      </c>
      <c r="E500" s="22">
        <f>SUMIF(Data!E:E,'RFM mijozlar tahlili'!A500,Data!J:J)</f>
        <v>156045.87359999999</v>
      </c>
      <c r="F500" s="29">
        <f t="shared" si="63"/>
        <v>11</v>
      </c>
      <c r="G500">
        <f t="shared" si="64"/>
        <v>0</v>
      </c>
      <c r="H500">
        <f t="shared" si="65"/>
        <v>0</v>
      </c>
      <c r="I500" s="23">
        <f t="shared" si="66"/>
        <v>0</v>
      </c>
      <c r="J500" t="str">
        <f t="shared" si="67"/>
        <v xml:space="preserve"> </v>
      </c>
      <c r="K500" t="str">
        <f t="shared" si="68"/>
        <v xml:space="preserve"> </v>
      </c>
      <c r="L500" t="str">
        <f t="shared" si="69"/>
        <v>Yo'qotilgan</v>
      </c>
      <c r="M500" t="str">
        <f t="shared" si="70"/>
        <v xml:space="preserve"> </v>
      </c>
      <c r="N500" s="23" t="str">
        <f t="shared" si="71"/>
        <v xml:space="preserve"> </v>
      </c>
    </row>
    <row r="501" spans="1:14">
      <c r="A501" s="29">
        <v>4876343</v>
      </c>
      <c r="B501" s="10">
        <f>_xlfn.XLOOKUP(A501,Data!E:E,Data!B:B,0,0,-1)</f>
        <v>45325</v>
      </c>
      <c r="C501" s="20">
        <f>_xlfn.XLOOKUP(A501,Data!E:E,Data!B:B)</f>
        <v>45325</v>
      </c>
      <c r="D501" s="21">
        <f>COUNTIF(Data!E:E,A501)</f>
        <v>20</v>
      </c>
      <c r="E501" s="22">
        <f>SUMIF(Data!E:E,'RFM mijozlar tahlili'!A501,Data!J:J)</f>
        <v>10146982.187071998</v>
      </c>
      <c r="F501" s="29">
        <f t="shared" si="63"/>
        <v>11</v>
      </c>
      <c r="G501">
        <f t="shared" si="64"/>
        <v>0</v>
      </c>
      <c r="H501">
        <f t="shared" si="65"/>
        <v>5</v>
      </c>
      <c r="I501" s="23">
        <f t="shared" si="66"/>
        <v>4</v>
      </c>
      <c r="J501" t="str">
        <f t="shared" si="67"/>
        <v xml:space="preserve"> </v>
      </c>
      <c r="K501" t="str">
        <f t="shared" si="68"/>
        <v xml:space="preserve"> </v>
      </c>
      <c r="L501" t="str">
        <f t="shared" si="69"/>
        <v xml:space="preserve"> </v>
      </c>
      <c r="M501" t="str">
        <f t="shared" si="70"/>
        <v>Yo'qotishdagi</v>
      </c>
      <c r="N501" s="23" t="str">
        <f t="shared" si="71"/>
        <v xml:space="preserve"> </v>
      </c>
    </row>
    <row r="502" spans="1:14">
      <c r="A502" s="29">
        <v>4879007</v>
      </c>
      <c r="B502" s="10">
        <f>_xlfn.XLOOKUP(A502,Data!E:E,Data!B:B,0,0,-1)</f>
        <v>45348</v>
      </c>
      <c r="C502" s="20">
        <f>_xlfn.XLOOKUP(A502,Data!E:E,Data!B:B)</f>
        <v>45348</v>
      </c>
      <c r="D502" s="21">
        <f>COUNTIF(Data!E:E,A502)</f>
        <v>5</v>
      </c>
      <c r="E502" s="22">
        <f>SUMIF(Data!E:E,'RFM mijozlar tahlili'!A502,Data!J:J)</f>
        <v>835888.24239999999</v>
      </c>
      <c r="F502" s="29">
        <f t="shared" si="63"/>
        <v>10</v>
      </c>
      <c r="G502">
        <f t="shared" si="64"/>
        <v>0</v>
      </c>
      <c r="H502">
        <f t="shared" si="65"/>
        <v>2</v>
      </c>
      <c r="I502" s="23">
        <f t="shared" si="66"/>
        <v>0</v>
      </c>
      <c r="J502" t="str">
        <f t="shared" si="67"/>
        <v xml:space="preserve"> </v>
      </c>
      <c r="K502" t="str">
        <f t="shared" si="68"/>
        <v xml:space="preserve"> </v>
      </c>
      <c r="L502" t="str">
        <f t="shared" si="69"/>
        <v xml:space="preserve"> </v>
      </c>
      <c r="M502" t="str">
        <f t="shared" si="70"/>
        <v xml:space="preserve"> </v>
      </c>
      <c r="N502" s="23" t="str">
        <f t="shared" si="71"/>
        <v xml:space="preserve"> </v>
      </c>
    </row>
    <row r="503" spans="1:14">
      <c r="A503" s="29">
        <v>4875794</v>
      </c>
      <c r="B503" s="10">
        <f>_xlfn.XLOOKUP(A503,Data!E:E,Data!B:B,0,0,-1)</f>
        <v>45315</v>
      </c>
      <c r="C503" s="20">
        <f>_xlfn.XLOOKUP(A503,Data!E:E,Data!B:B)</f>
        <v>45300</v>
      </c>
      <c r="D503" s="21">
        <f>COUNTIF(Data!E:E,A503)</f>
        <v>6</v>
      </c>
      <c r="E503" s="22">
        <f>SUMIF(Data!E:E,'RFM mijozlar tahlili'!A503,Data!J:J)</f>
        <v>8233744.1871999996</v>
      </c>
      <c r="F503" s="29">
        <f t="shared" si="63"/>
        <v>12</v>
      </c>
      <c r="G503">
        <f t="shared" si="64"/>
        <v>0</v>
      </c>
      <c r="H503">
        <f t="shared" si="65"/>
        <v>2</v>
      </c>
      <c r="I503" s="23">
        <f t="shared" si="66"/>
        <v>4</v>
      </c>
      <c r="J503" t="str">
        <f t="shared" si="67"/>
        <v xml:space="preserve"> </v>
      </c>
      <c r="K503" t="str">
        <f t="shared" si="68"/>
        <v xml:space="preserve"> </v>
      </c>
      <c r="L503" t="str">
        <f t="shared" si="69"/>
        <v xml:space="preserve"> </v>
      </c>
      <c r="M503" t="str">
        <f t="shared" si="70"/>
        <v>Yo'qotishdagi</v>
      </c>
      <c r="N503" s="23" t="str">
        <f t="shared" si="71"/>
        <v xml:space="preserve"> </v>
      </c>
    </row>
    <row r="504" spans="1:14">
      <c r="A504" s="29">
        <v>4874394</v>
      </c>
      <c r="B504" s="10">
        <f>_xlfn.XLOOKUP(A504,Data!E:E,Data!B:B,0,0,-1)</f>
        <v>45303</v>
      </c>
      <c r="C504" s="20">
        <f>_xlfn.XLOOKUP(A504,Data!E:E,Data!B:B)</f>
        <v>45303</v>
      </c>
      <c r="D504" s="21">
        <f>COUNTIF(Data!E:E,A504)</f>
        <v>2</v>
      </c>
      <c r="E504" s="22">
        <f>SUMIF(Data!E:E,'RFM mijozlar tahlili'!A504,Data!J:J)</f>
        <v>402553.12319999997</v>
      </c>
      <c r="F504" s="29">
        <f t="shared" si="63"/>
        <v>12</v>
      </c>
      <c r="G504">
        <f t="shared" si="64"/>
        <v>0</v>
      </c>
      <c r="H504">
        <f t="shared" si="65"/>
        <v>0</v>
      </c>
      <c r="I504" s="23">
        <f t="shared" si="66"/>
        <v>0</v>
      </c>
      <c r="J504" t="str">
        <f t="shared" si="67"/>
        <v xml:space="preserve"> </v>
      </c>
      <c r="K504" t="str">
        <f t="shared" si="68"/>
        <v xml:space="preserve"> </v>
      </c>
      <c r="L504" t="str">
        <f t="shared" si="69"/>
        <v>Yo'qotilgan</v>
      </c>
      <c r="M504" t="str">
        <f t="shared" si="70"/>
        <v xml:space="preserve"> </v>
      </c>
      <c r="N504" s="23" t="str">
        <f t="shared" si="71"/>
        <v xml:space="preserve"> </v>
      </c>
    </row>
    <row r="505" spans="1:14">
      <c r="A505" s="29">
        <v>4878190</v>
      </c>
      <c r="B505" s="10">
        <f>_xlfn.XLOOKUP(A505,Data!E:E,Data!B:B,0,0,-1)</f>
        <v>45306</v>
      </c>
      <c r="C505" s="20">
        <f>_xlfn.XLOOKUP(A505,Data!E:E,Data!B:B)</f>
        <v>45306</v>
      </c>
      <c r="D505" s="21">
        <f>COUNTIF(Data!E:E,A505)</f>
        <v>1</v>
      </c>
      <c r="E505" s="22">
        <f>SUMIF(Data!E:E,'RFM mijozlar tahlili'!A505,Data!J:J)</f>
        <v>201276.56159999999</v>
      </c>
      <c r="F505" s="29">
        <f t="shared" si="63"/>
        <v>12</v>
      </c>
      <c r="G505">
        <f t="shared" si="64"/>
        <v>0</v>
      </c>
      <c r="H505">
        <f t="shared" si="65"/>
        <v>0</v>
      </c>
      <c r="I505" s="23">
        <f t="shared" si="66"/>
        <v>0</v>
      </c>
      <c r="J505" t="str">
        <f t="shared" si="67"/>
        <v xml:space="preserve"> </v>
      </c>
      <c r="K505" t="str">
        <f t="shared" si="68"/>
        <v xml:space="preserve"> </v>
      </c>
      <c r="L505" t="str">
        <f t="shared" si="69"/>
        <v>Yo'qotilgan</v>
      </c>
      <c r="M505" t="str">
        <f t="shared" si="70"/>
        <v xml:space="preserve"> </v>
      </c>
      <c r="N505" s="23" t="str">
        <f t="shared" si="71"/>
        <v xml:space="preserve"> </v>
      </c>
    </row>
    <row r="506" spans="1:14">
      <c r="A506" s="29">
        <v>4873069</v>
      </c>
      <c r="B506" s="10">
        <f>_xlfn.XLOOKUP(A506,Data!E:E,Data!B:B,0,0,-1)</f>
        <v>45314</v>
      </c>
      <c r="C506" s="20">
        <f>_xlfn.XLOOKUP(A506,Data!E:E,Data!B:B)</f>
        <v>45314</v>
      </c>
      <c r="D506" s="21">
        <f>COUNTIF(Data!E:E,A506)</f>
        <v>5</v>
      </c>
      <c r="E506" s="22">
        <f>SUMIF(Data!E:E,'RFM mijozlar tahlili'!A506,Data!J:J)</f>
        <v>1006382.808</v>
      </c>
      <c r="F506" s="29">
        <f t="shared" si="63"/>
        <v>12</v>
      </c>
      <c r="G506">
        <f t="shared" si="64"/>
        <v>0</v>
      </c>
      <c r="H506">
        <f t="shared" si="65"/>
        <v>2</v>
      </c>
      <c r="I506" s="23">
        <f t="shared" si="66"/>
        <v>0</v>
      </c>
      <c r="J506" t="str">
        <f t="shared" si="67"/>
        <v xml:space="preserve"> </v>
      </c>
      <c r="K506" t="str">
        <f t="shared" si="68"/>
        <v xml:space="preserve"> </v>
      </c>
      <c r="L506" t="str">
        <f t="shared" si="69"/>
        <v xml:space="preserve"> </v>
      </c>
      <c r="M506" t="str">
        <f t="shared" si="70"/>
        <v xml:space="preserve"> </v>
      </c>
      <c r="N506" s="23" t="str">
        <f t="shared" si="71"/>
        <v xml:space="preserve"> </v>
      </c>
    </row>
    <row r="507" spans="1:14">
      <c r="A507" s="29">
        <v>4874563</v>
      </c>
      <c r="B507" s="10">
        <f>_xlfn.XLOOKUP(A507,Data!E:E,Data!B:B,0,0,-1)</f>
        <v>45321</v>
      </c>
      <c r="C507" s="20">
        <f>_xlfn.XLOOKUP(A507,Data!E:E,Data!B:B)</f>
        <v>45321</v>
      </c>
      <c r="D507" s="21">
        <f>COUNTIF(Data!E:E,A507)</f>
        <v>3</v>
      </c>
      <c r="E507" s="22">
        <f>SUMIF(Data!E:E,'RFM mijozlar tahlili'!A507,Data!J:J)</f>
        <v>603829.68479999993</v>
      </c>
      <c r="F507" s="29">
        <f t="shared" si="63"/>
        <v>11</v>
      </c>
      <c r="G507">
        <f t="shared" si="64"/>
        <v>0</v>
      </c>
      <c r="H507">
        <f t="shared" si="65"/>
        <v>1</v>
      </c>
      <c r="I507" s="23">
        <f t="shared" si="66"/>
        <v>0</v>
      </c>
      <c r="J507" t="str">
        <f t="shared" si="67"/>
        <v xml:space="preserve"> </v>
      </c>
      <c r="K507" t="str">
        <f t="shared" si="68"/>
        <v xml:space="preserve"> </v>
      </c>
      <c r="L507" t="str">
        <f t="shared" si="69"/>
        <v>Yo'qotilgan</v>
      </c>
      <c r="M507" t="str">
        <f t="shared" si="70"/>
        <v xml:space="preserve"> </v>
      </c>
      <c r="N507" s="23" t="str">
        <f t="shared" si="71"/>
        <v xml:space="preserve"> </v>
      </c>
    </row>
    <row r="508" spans="1:14">
      <c r="A508" s="29">
        <v>4879084</v>
      </c>
      <c r="B508" s="10">
        <f>_xlfn.XLOOKUP(A508,Data!E:E,Data!B:B,0,0,-1)</f>
        <v>45306</v>
      </c>
      <c r="C508" s="20">
        <f>_xlfn.XLOOKUP(A508,Data!E:E,Data!B:B)</f>
        <v>45306</v>
      </c>
      <c r="D508" s="21">
        <f>COUNTIF(Data!E:E,A508)</f>
        <v>2</v>
      </c>
      <c r="E508" s="22">
        <f>SUMIF(Data!E:E,'RFM mijozlar tahlili'!A508,Data!J:J)</f>
        <v>392489.29511999997</v>
      </c>
      <c r="F508" s="29">
        <f t="shared" si="63"/>
        <v>12</v>
      </c>
      <c r="G508">
        <f t="shared" si="64"/>
        <v>0</v>
      </c>
      <c r="H508">
        <f t="shared" si="65"/>
        <v>0</v>
      </c>
      <c r="I508" s="23">
        <f t="shared" si="66"/>
        <v>0</v>
      </c>
      <c r="J508" t="str">
        <f t="shared" si="67"/>
        <v xml:space="preserve"> </v>
      </c>
      <c r="K508" t="str">
        <f t="shared" si="68"/>
        <v xml:space="preserve"> </v>
      </c>
      <c r="L508" t="str">
        <f t="shared" si="69"/>
        <v>Yo'qotilgan</v>
      </c>
      <c r="M508" t="str">
        <f t="shared" si="70"/>
        <v xml:space="preserve"> </v>
      </c>
      <c r="N508" s="23" t="str">
        <f t="shared" si="71"/>
        <v xml:space="preserve"> </v>
      </c>
    </row>
    <row r="509" spans="1:14">
      <c r="A509" s="29">
        <v>4878903</v>
      </c>
      <c r="B509" s="10">
        <f>_xlfn.XLOOKUP(A509,Data!E:E,Data!B:B,0,0,-1)</f>
        <v>45306</v>
      </c>
      <c r="C509" s="20">
        <f>_xlfn.XLOOKUP(A509,Data!E:E,Data!B:B)</f>
        <v>45306</v>
      </c>
      <c r="D509" s="21">
        <f>COUNTIF(Data!E:E,A509)</f>
        <v>3</v>
      </c>
      <c r="E509" s="22">
        <f>SUMIF(Data!E:E,'RFM mijozlar tahlili'!A509,Data!J:J)</f>
        <v>603829.68479999993</v>
      </c>
      <c r="F509" s="29">
        <f t="shared" si="63"/>
        <v>12</v>
      </c>
      <c r="G509">
        <f t="shared" si="64"/>
        <v>0</v>
      </c>
      <c r="H509">
        <f t="shared" si="65"/>
        <v>1</v>
      </c>
      <c r="I509" s="23">
        <f t="shared" si="66"/>
        <v>0</v>
      </c>
      <c r="J509" t="str">
        <f t="shared" si="67"/>
        <v xml:space="preserve"> </v>
      </c>
      <c r="K509" t="str">
        <f t="shared" si="68"/>
        <v xml:space="preserve"> </v>
      </c>
      <c r="L509" t="str">
        <f t="shared" si="69"/>
        <v>Yo'qotilgan</v>
      </c>
      <c r="M509" t="str">
        <f t="shared" si="70"/>
        <v xml:space="preserve"> </v>
      </c>
      <c r="N509" s="23" t="str">
        <f t="shared" si="71"/>
        <v xml:space="preserve"> </v>
      </c>
    </row>
    <row r="510" spans="1:14">
      <c r="A510" s="29">
        <v>4878061</v>
      </c>
      <c r="B510" s="10">
        <f>_xlfn.XLOOKUP(A510,Data!E:E,Data!B:B,0,0,-1)</f>
        <v>45314</v>
      </c>
      <c r="C510" s="20">
        <f>_xlfn.XLOOKUP(A510,Data!E:E,Data!B:B)</f>
        <v>45314</v>
      </c>
      <c r="D510" s="21">
        <f>COUNTIF(Data!E:E,A510)</f>
        <v>1</v>
      </c>
      <c r="E510" s="22">
        <f>SUMIF(Data!E:E,'RFM mijozlar tahlili'!A510,Data!J:J)</f>
        <v>125766.4408</v>
      </c>
      <c r="F510" s="29">
        <f t="shared" si="63"/>
        <v>12</v>
      </c>
      <c r="G510">
        <f t="shared" si="64"/>
        <v>0</v>
      </c>
      <c r="H510">
        <f t="shared" si="65"/>
        <v>0</v>
      </c>
      <c r="I510" s="23">
        <f t="shared" si="66"/>
        <v>0</v>
      </c>
      <c r="J510" t="str">
        <f t="shared" si="67"/>
        <v xml:space="preserve"> </v>
      </c>
      <c r="K510" t="str">
        <f t="shared" si="68"/>
        <v xml:space="preserve"> </v>
      </c>
      <c r="L510" t="str">
        <f t="shared" si="69"/>
        <v>Yo'qotilgan</v>
      </c>
      <c r="M510" t="str">
        <f t="shared" si="70"/>
        <v xml:space="preserve"> </v>
      </c>
      <c r="N510" s="23" t="str">
        <f t="shared" si="71"/>
        <v xml:space="preserve"> </v>
      </c>
    </row>
    <row r="511" spans="1:14">
      <c r="A511" s="29">
        <v>4876846</v>
      </c>
      <c r="B511" s="10">
        <f>_xlfn.XLOOKUP(A511,Data!E:E,Data!B:B,0,0,-1)</f>
        <v>45296</v>
      </c>
      <c r="C511" s="20">
        <f>_xlfn.XLOOKUP(A511,Data!E:E,Data!B:B)</f>
        <v>45296</v>
      </c>
      <c r="D511" s="21">
        <f>COUNTIF(Data!E:E,A511)</f>
        <v>1</v>
      </c>
      <c r="E511" s="22">
        <f>SUMIF(Data!E:E,'RFM mijozlar tahlili'!A511,Data!J:J)</f>
        <v>125766.4408</v>
      </c>
      <c r="F511" s="29">
        <f t="shared" si="63"/>
        <v>12</v>
      </c>
      <c r="G511">
        <f t="shared" si="64"/>
        <v>0</v>
      </c>
      <c r="H511">
        <f t="shared" si="65"/>
        <v>0</v>
      </c>
      <c r="I511" s="23">
        <f t="shared" si="66"/>
        <v>0</v>
      </c>
      <c r="J511" t="str">
        <f t="shared" si="67"/>
        <v xml:space="preserve"> </v>
      </c>
      <c r="K511" t="str">
        <f t="shared" si="68"/>
        <v xml:space="preserve"> </v>
      </c>
      <c r="L511" t="str">
        <f t="shared" si="69"/>
        <v>Yo'qotilgan</v>
      </c>
      <c r="M511" t="str">
        <f t="shared" si="70"/>
        <v xml:space="preserve"> </v>
      </c>
      <c r="N511" s="23" t="str">
        <f t="shared" si="71"/>
        <v xml:space="preserve"> </v>
      </c>
    </row>
    <row r="512" spans="1:14">
      <c r="A512" s="29">
        <v>4874109</v>
      </c>
      <c r="B512" s="10">
        <f>_xlfn.XLOOKUP(A512,Data!E:E,Data!B:B,0,0,-1)</f>
        <v>45297</v>
      </c>
      <c r="C512" s="20">
        <f>_xlfn.XLOOKUP(A512,Data!E:E,Data!B:B)</f>
        <v>45297</v>
      </c>
      <c r="D512" s="21">
        <f>COUNTIF(Data!E:E,A512)</f>
        <v>5</v>
      </c>
      <c r="E512" s="22">
        <f>SUMIF(Data!E:E,'RFM mijozlar tahlili'!A512,Data!J:J)</f>
        <v>855362.56639999989</v>
      </c>
      <c r="F512" s="29">
        <f t="shared" si="63"/>
        <v>12</v>
      </c>
      <c r="G512">
        <f t="shared" si="64"/>
        <v>0</v>
      </c>
      <c r="H512">
        <f t="shared" si="65"/>
        <v>2</v>
      </c>
      <c r="I512" s="23">
        <f t="shared" si="66"/>
        <v>0</v>
      </c>
      <c r="J512" t="str">
        <f t="shared" si="67"/>
        <v xml:space="preserve"> </v>
      </c>
      <c r="K512" t="str">
        <f t="shared" si="68"/>
        <v xml:space="preserve"> </v>
      </c>
      <c r="L512" t="str">
        <f t="shared" si="69"/>
        <v xml:space="preserve"> </v>
      </c>
      <c r="M512" t="str">
        <f t="shared" si="70"/>
        <v xml:space="preserve"> </v>
      </c>
      <c r="N512" s="23" t="str">
        <f t="shared" si="71"/>
        <v xml:space="preserve"> </v>
      </c>
    </row>
    <row r="513" spans="1:14">
      <c r="A513" s="29">
        <v>4875944</v>
      </c>
      <c r="B513" s="10">
        <f>_xlfn.XLOOKUP(A513,Data!E:E,Data!B:B,0,0,-1)</f>
        <v>45297</v>
      </c>
      <c r="C513" s="20">
        <f>_xlfn.XLOOKUP(A513,Data!E:E,Data!B:B)</f>
        <v>45297</v>
      </c>
      <c r="D513" s="21">
        <f>COUNTIF(Data!E:E,A513)</f>
        <v>6</v>
      </c>
      <c r="E513" s="22">
        <f>SUMIF(Data!E:E,'RFM mijozlar tahlili'!A513,Data!J:J)</f>
        <v>2515831.3791999999</v>
      </c>
      <c r="F513" s="29">
        <f t="shared" si="63"/>
        <v>12</v>
      </c>
      <c r="G513">
        <f t="shared" si="64"/>
        <v>0</v>
      </c>
      <c r="H513">
        <f t="shared" si="65"/>
        <v>2</v>
      </c>
      <c r="I513" s="23">
        <f t="shared" si="66"/>
        <v>1</v>
      </c>
      <c r="J513" t="str">
        <f t="shared" si="67"/>
        <v xml:space="preserve"> </v>
      </c>
      <c r="K513" t="str">
        <f t="shared" si="68"/>
        <v xml:space="preserve"> </v>
      </c>
      <c r="L513" t="str">
        <f t="shared" si="69"/>
        <v xml:space="preserve"> </v>
      </c>
      <c r="M513" t="str">
        <f t="shared" si="70"/>
        <v xml:space="preserve"> </v>
      </c>
      <c r="N513" s="23" t="str">
        <f t="shared" si="71"/>
        <v xml:space="preserve"> </v>
      </c>
    </row>
    <row r="514" spans="1:14">
      <c r="A514" s="29">
        <v>4875910</v>
      </c>
      <c r="B514" s="10">
        <f>_xlfn.XLOOKUP(A514,Data!E:E,Data!B:B,0,0,-1)</f>
        <v>45299</v>
      </c>
      <c r="C514" s="20">
        <f>_xlfn.XLOOKUP(A514,Data!E:E,Data!B:B)</f>
        <v>45299</v>
      </c>
      <c r="D514" s="21">
        <f>COUNTIF(Data!E:E,A514)</f>
        <v>6</v>
      </c>
      <c r="E514" s="22">
        <f>SUMIF(Data!E:E,'RFM mijozlar tahlili'!A514,Data!J:J)</f>
        <v>1101864.790368</v>
      </c>
      <c r="F514" s="29">
        <f t="shared" si="63"/>
        <v>12</v>
      </c>
      <c r="G514">
        <f t="shared" si="64"/>
        <v>0</v>
      </c>
      <c r="H514">
        <f t="shared" si="65"/>
        <v>2</v>
      </c>
      <c r="I514" s="23">
        <f t="shared" si="66"/>
        <v>0</v>
      </c>
      <c r="J514" t="str">
        <f t="shared" si="67"/>
        <v xml:space="preserve"> </v>
      </c>
      <c r="K514" t="str">
        <f t="shared" si="68"/>
        <v xml:space="preserve"> </v>
      </c>
      <c r="L514" t="str">
        <f t="shared" si="69"/>
        <v xml:space="preserve"> </v>
      </c>
      <c r="M514" t="str">
        <f t="shared" si="70"/>
        <v xml:space="preserve"> </v>
      </c>
      <c r="N514" s="23" t="str">
        <f t="shared" si="71"/>
        <v xml:space="preserve"> </v>
      </c>
    </row>
    <row r="515" spans="1:14">
      <c r="A515" s="29">
        <v>4874622</v>
      </c>
      <c r="B515" s="10">
        <f>_xlfn.XLOOKUP(A515,Data!E:E,Data!B:B,0,0,-1)</f>
        <v>45301</v>
      </c>
      <c r="C515" s="20">
        <f>_xlfn.XLOOKUP(A515,Data!E:E,Data!B:B)</f>
        <v>45301</v>
      </c>
      <c r="D515" s="21">
        <f>COUNTIF(Data!E:E,A515)</f>
        <v>1</v>
      </c>
      <c r="E515" s="22">
        <f>SUMIF(Data!E:E,'RFM mijozlar tahlili'!A515,Data!J:J)</f>
        <v>201276.56159999999</v>
      </c>
      <c r="F515" s="29">
        <f t="shared" si="63"/>
        <v>12</v>
      </c>
      <c r="G515">
        <f t="shared" si="64"/>
        <v>0</v>
      </c>
      <c r="H515">
        <f t="shared" si="65"/>
        <v>0</v>
      </c>
      <c r="I515" s="23">
        <f t="shared" si="66"/>
        <v>0</v>
      </c>
      <c r="J515" t="str">
        <f t="shared" si="67"/>
        <v xml:space="preserve"> </v>
      </c>
      <c r="K515" t="str">
        <f t="shared" si="68"/>
        <v xml:space="preserve"> </v>
      </c>
      <c r="L515" t="str">
        <f t="shared" si="69"/>
        <v>Yo'qotilgan</v>
      </c>
      <c r="M515" t="str">
        <f t="shared" si="70"/>
        <v xml:space="preserve"> </v>
      </c>
      <c r="N515" s="23" t="str">
        <f t="shared" si="71"/>
        <v xml:space="preserve"> </v>
      </c>
    </row>
    <row r="516" spans="1:14">
      <c r="A516" s="29">
        <v>4875442</v>
      </c>
      <c r="B516" s="10">
        <f>_xlfn.XLOOKUP(A516,Data!E:E,Data!B:B,0,0,-1)</f>
        <v>45302</v>
      </c>
      <c r="C516" s="20">
        <f>_xlfn.XLOOKUP(A516,Data!E:E,Data!B:B)</f>
        <v>45302</v>
      </c>
      <c r="D516" s="21">
        <f>COUNTIF(Data!E:E,A516)</f>
        <v>3</v>
      </c>
      <c r="E516" s="22">
        <f>SUMIF(Data!E:E,'RFM mijozlar tahlili'!A516,Data!J:J)</f>
        <v>593765.85671999992</v>
      </c>
      <c r="F516" s="29">
        <f t="shared" si="63"/>
        <v>12</v>
      </c>
      <c r="G516">
        <f t="shared" si="64"/>
        <v>0</v>
      </c>
      <c r="H516">
        <f t="shared" si="65"/>
        <v>1</v>
      </c>
      <c r="I516" s="23">
        <f t="shared" si="66"/>
        <v>0</v>
      </c>
      <c r="J516" t="str">
        <f t="shared" si="67"/>
        <v xml:space="preserve"> </v>
      </c>
      <c r="K516" t="str">
        <f t="shared" si="68"/>
        <v xml:space="preserve"> </v>
      </c>
      <c r="L516" t="str">
        <f t="shared" si="69"/>
        <v>Yo'qotilgan</v>
      </c>
      <c r="M516" t="str">
        <f t="shared" si="70"/>
        <v xml:space="preserve"> </v>
      </c>
      <c r="N516" s="23" t="str">
        <f t="shared" si="71"/>
        <v xml:space="preserve"> </v>
      </c>
    </row>
    <row r="517" spans="1:14">
      <c r="A517" s="29">
        <v>4876263</v>
      </c>
      <c r="B517" s="10">
        <f>_xlfn.XLOOKUP(A517,Data!E:E,Data!B:B,0,0,-1)</f>
        <v>45303</v>
      </c>
      <c r="C517" s="20">
        <f>_xlfn.XLOOKUP(A517,Data!E:E,Data!B:B)</f>
        <v>45303</v>
      </c>
      <c r="D517" s="21">
        <f>COUNTIF(Data!E:E,A517)</f>
        <v>1</v>
      </c>
      <c r="E517" s="22">
        <f>SUMIF(Data!E:E,'RFM mijozlar tahlili'!A517,Data!J:J)</f>
        <v>201276.56159999999</v>
      </c>
      <c r="F517" s="29">
        <f t="shared" si="63"/>
        <v>12</v>
      </c>
      <c r="G517">
        <f t="shared" si="64"/>
        <v>0</v>
      </c>
      <c r="H517">
        <f t="shared" si="65"/>
        <v>0</v>
      </c>
      <c r="I517" s="23">
        <f t="shared" si="66"/>
        <v>0</v>
      </c>
      <c r="J517" t="str">
        <f t="shared" si="67"/>
        <v xml:space="preserve"> </v>
      </c>
      <c r="K517" t="str">
        <f t="shared" si="68"/>
        <v xml:space="preserve"> </v>
      </c>
      <c r="L517" t="str">
        <f t="shared" si="69"/>
        <v>Yo'qotilgan</v>
      </c>
      <c r="M517" t="str">
        <f t="shared" si="70"/>
        <v xml:space="preserve"> </v>
      </c>
      <c r="N517" s="23" t="str">
        <f t="shared" si="71"/>
        <v xml:space="preserve"> </v>
      </c>
    </row>
    <row r="518" spans="1:14">
      <c r="A518" s="29">
        <v>4874896</v>
      </c>
      <c r="B518" s="10">
        <f>_xlfn.XLOOKUP(A518,Data!E:E,Data!B:B,0,0,-1)</f>
        <v>45308</v>
      </c>
      <c r="C518" s="20">
        <f>_xlfn.XLOOKUP(A518,Data!E:E,Data!B:B)</f>
        <v>45308</v>
      </c>
      <c r="D518" s="21">
        <f>COUNTIF(Data!E:E,A518)</f>
        <v>4</v>
      </c>
      <c r="E518" s="22">
        <f>SUMIF(Data!E:E,'RFM mijozlar tahlili'!A518,Data!J:J)</f>
        <v>2385127.2549599996</v>
      </c>
      <c r="F518" s="29">
        <f t="shared" ref="F518:F534" si="72">ROUND(($F$4-C518)/30,0)</f>
        <v>12</v>
      </c>
      <c r="G518">
        <f t="shared" ref="G518:G534" si="73">IF(F518&lt;=1,5,IF(F518=2,4,IF(F518=3,3,IF(F518=4,2,IF(F518=5,1,IF(F518&gt;5,0,0))))))</f>
        <v>0</v>
      </c>
      <c r="H518">
        <f t="shared" ref="H518:H534" si="74">IF(D518&gt;=$D$3,5,IF(D518&lt;3,0,IF(D518&lt;5,1,IF(D518&lt;7,2,IF(D518&lt;9,3,IF(D518&lt;=$D$3,4,0))))))</f>
        <v>1</v>
      </c>
      <c r="I518" s="23">
        <f t="shared" ref="I518:I534" si="75">IF(E518&gt;=$E$3,5,IF(E518&lt;2000000,0,IF(E518&lt;=4000000,1,IF(E518&lt;=6000000,2,IF(E518&lt;=8000000,3,IF(E518&lt;=$E$3,4))))))</f>
        <v>1</v>
      </c>
      <c r="J518" t="str">
        <f t="shared" ref="J518:J534" si="76">IF(AND(G518=5,H518=5,I518=5),"TOP"," ")</f>
        <v xml:space="preserve"> </v>
      </c>
      <c r="K518" t="str">
        <f t="shared" ref="K518:K534" si="77">IF(AND(G518&gt;=4,H518&gt;=4), "Sodiq", " ")</f>
        <v xml:space="preserve"> </v>
      </c>
      <c r="L518" t="str">
        <f t="shared" ref="L518:L534" si="78">IF(AND(G518&lt;=1,H518&lt;=1), "Yo'qotilgan", " ")</f>
        <v>Yo'qotilgan</v>
      </c>
      <c r="M518" t="str">
        <f t="shared" ref="M518:M534" si="79">IF(AND(G518&lt;=3,I518&gt;=3), "Yo'qotishdagi", " ")</f>
        <v xml:space="preserve"> </v>
      </c>
      <c r="N518" s="23" t="str">
        <f t="shared" ref="N518:N534" si="80">IF(AND((B518-$N$2)&gt;0, F518&lt;=2), "Yangi", " ")</f>
        <v xml:space="preserve"> </v>
      </c>
    </row>
    <row r="519" spans="1:14">
      <c r="A519" s="29">
        <v>4874579</v>
      </c>
      <c r="B519" s="10">
        <f>_xlfn.XLOOKUP(A519,Data!E:E,Data!B:B,0,0,-1)</f>
        <v>45309</v>
      </c>
      <c r="C519" s="20">
        <f>_xlfn.XLOOKUP(A519,Data!E:E,Data!B:B)</f>
        <v>45309</v>
      </c>
      <c r="D519" s="21">
        <f>COUNTIF(Data!E:E,A519)</f>
        <v>1</v>
      </c>
      <c r="E519" s="22">
        <f>SUMIF(Data!E:E,'RFM mijozlar tahlili'!A519,Data!J:J)</f>
        <v>402553.12319999997</v>
      </c>
      <c r="F519" s="29">
        <f t="shared" si="72"/>
        <v>12</v>
      </c>
      <c r="G519">
        <f t="shared" si="73"/>
        <v>0</v>
      </c>
      <c r="H519">
        <f t="shared" si="74"/>
        <v>0</v>
      </c>
      <c r="I519" s="23">
        <f t="shared" si="75"/>
        <v>0</v>
      </c>
      <c r="J519" t="str">
        <f t="shared" si="76"/>
        <v xml:space="preserve"> </v>
      </c>
      <c r="K519" t="str">
        <f t="shared" si="77"/>
        <v xml:space="preserve"> </v>
      </c>
      <c r="L519" t="str">
        <f t="shared" si="78"/>
        <v>Yo'qotilgan</v>
      </c>
      <c r="M519" t="str">
        <f t="shared" si="79"/>
        <v xml:space="preserve"> </v>
      </c>
      <c r="N519" s="23" t="str">
        <f t="shared" si="80"/>
        <v xml:space="preserve"> </v>
      </c>
    </row>
    <row r="520" spans="1:14">
      <c r="A520" s="29">
        <v>4874545</v>
      </c>
      <c r="B520" s="10">
        <f>_xlfn.XLOOKUP(A520,Data!E:E,Data!B:B,0,0,-1)</f>
        <v>45316</v>
      </c>
      <c r="C520" s="20">
        <f>_xlfn.XLOOKUP(A520,Data!E:E,Data!B:B)</f>
        <v>45316</v>
      </c>
      <c r="D520" s="21">
        <f>COUNTIF(Data!E:E,A520)</f>
        <v>3</v>
      </c>
      <c r="E520" s="22">
        <f>SUMIF(Data!E:E,'RFM mijozlar tahlili'!A520,Data!J:J)</f>
        <v>603829.68479999993</v>
      </c>
      <c r="F520" s="29">
        <f t="shared" si="72"/>
        <v>12</v>
      </c>
      <c r="G520">
        <f t="shared" si="73"/>
        <v>0</v>
      </c>
      <c r="H520">
        <f t="shared" si="74"/>
        <v>1</v>
      </c>
      <c r="I520" s="23">
        <f t="shared" si="75"/>
        <v>0</v>
      </c>
      <c r="J520" t="str">
        <f t="shared" si="76"/>
        <v xml:space="preserve"> </v>
      </c>
      <c r="K520" t="str">
        <f t="shared" si="77"/>
        <v xml:space="preserve"> </v>
      </c>
      <c r="L520" t="str">
        <f t="shared" si="78"/>
        <v>Yo'qotilgan</v>
      </c>
      <c r="M520" t="str">
        <f t="shared" si="79"/>
        <v xml:space="preserve"> </v>
      </c>
      <c r="N520" s="23" t="str">
        <f t="shared" si="80"/>
        <v xml:space="preserve"> </v>
      </c>
    </row>
    <row r="521" spans="1:14">
      <c r="A521" s="29">
        <v>4873999</v>
      </c>
      <c r="B521" s="10">
        <f>_xlfn.XLOOKUP(A521,Data!E:E,Data!B:B,0,0,-1)</f>
        <v>45305</v>
      </c>
      <c r="C521" s="20">
        <f>_xlfn.XLOOKUP(A521,Data!E:E,Data!B:B)</f>
        <v>45305</v>
      </c>
      <c r="D521" s="21">
        <f>COUNTIF(Data!E:E,A521)</f>
        <v>2</v>
      </c>
      <c r="E521" s="22">
        <f>SUMIF(Data!E:E,'RFM mijozlar tahlili'!A521,Data!J:J)</f>
        <v>493004.44793600001</v>
      </c>
      <c r="F521" s="29">
        <f t="shared" si="72"/>
        <v>12</v>
      </c>
      <c r="G521">
        <f t="shared" si="73"/>
        <v>0</v>
      </c>
      <c r="H521">
        <f t="shared" si="74"/>
        <v>0</v>
      </c>
      <c r="I521" s="23">
        <f t="shared" si="75"/>
        <v>0</v>
      </c>
      <c r="J521" t="str">
        <f t="shared" si="76"/>
        <v xml:space="preserve"> </v>
      </c>
      <c r="K521" t="str">
        <f t="shared" si="77"/>
        <v xml:space="preserve"> </v>
      </c>
      <c r="L521" t="str">
        <f t="shared" si="78"/>
        <v>Yo'qotilgan</v>
      </c>
      <c r="M521" t="str">
        <f t="shared" si="79"/>
        <v xml:space="preserve"> </v>
      </c>
      <c r="N521" s="23" t="str">
        <f t="shared" si="80"/>
        <v xml:space="preserve"> </v>
      </c>
    </row>
    <row r="522" spans="1:14">
      <c r="A522" s="29">
        <v>4875823</v>
      </c>
      <c r="B522" s="10">
        <f>_xlfn.XLOOKUP(A522,Data!E:E,Data!B:B,0,0,-1)</f>
        <v>45297</v>
      </c>
      <c r="C522" s="20">
        <f>_xlfn.XLOOKUP(A522,Data!E:E,Data!B:B)</f>
        <v>45297</v>
      </c>
      <c r="D522" s="21">
        <f>COUNTIF(Data!E:E,A522)</f>
        <v>1</v>
      </c>
      <c r="E522" s="22">
        <f>SUMIF(Data!E:E,'RFM mijozlar tahlili'!A522,Data!J:J)</f>
        <v>628832.20400000003</v>
      </c>
      <c r="F522" s="29">
        <f t="shared" si="72"/>
        <v>12</v>
      </c>
      <c r="G522">
        <f t="shared" si="73"/>
        <v>0</v>
      </c>
      <c r="H522">
        <f t="shared" si="74"/>
        <v>0</v>
      </c>
      <c r="I522" s="23">
        <f t="shared" si="75"/>
        <v>0</v>
      </c>
      <c r="J522" t="str">
        <f t="shared" si="76"/>
        <v xml:space="preserve"> </v>
      </c>
      <c r="K522" t="str">
        <f t="shared" si="77"/>
        <v xml:space="preserve"> </v>
      </c>
      <c r="L522" t="str">
        <f t="shared" si="78"/>
        <v>Yo'qotilgan</v>
      </c>
      <c r="M522" t="str">
        <f t="shared" si="79"/>
        <v xml:space="preserve"> </v>
      </c>
      <c r="N522" s="23" t="str">
        <f t="shared" si="80"/>
        <v xml:space="preserve"> </v>
      </c>
    </row>
    <row r="523" spans="1:14">
      <c r="A523" s="29">
        <v>4877305</v>
      </c>
      <c r="B523" s="10">
        <f>_xlfn.XLOOKUP(A523,Data!E:E,Data!B:B,0,0,-1)</f>
        <v>45307</v>
      </c>
      <c r="C523" s="20">
        <f>_xlfn.XLOOKUP(A523,Data!E:E,Data!B:B)</f>
        <v>45307</v>
      </c>
      <c r="D523" s="21">
        <f>COUNTIF(Data!E:E,A523)</f>
        <v>1</v>
      </c>
      <c r="E523" s="22">
        <f>SUMIF(Data!E:E,'RFM mijozlar tahlili'!A523,Data!J:J)</f>
        <v>2263795.9344000001</v>
      </c>
      <c r="F523" s="29">
        <f t="shared" si="72"/>
        <v>12</v>
      </c>
      <c r="G523">
        <f t="shared" si="73"/>
        <v>0</v>
      </c>
      <c r="H523">
        <f t="shared" si="74"/>
        <v>0</v>
      </c>
      <c r="I523" s="23">
        <f t="shared" si="75"/>
        <v>1</v>
      </c>
      <c r="J523" t="str">
        <f t="shared" si="76"/>
        <v xml:space="preserve"> </v>
      </c>
      <c r="K523" t="str">
        <f t="shared" si="77"/>
        <v xml:space="preserve"> </v>
      </c>
      <c r="L523" t="str">
        <f t="shared" si="78"/>
        <v>Yo'qotilgan</v>
      </c>
      <c r="M523" t="str">
        <f t="shared" si="79"/>
        <v xml:space="preserve"> </v>
      </c>
      <c r="N523" s="23" t="str">
        <f t="shared" si="80"/>
        <v xml:space="preserve"> </v>
      </c>
    </row>
    <row r="524" spans="1:14">
      <c r="A524" s="29">
        <v>4876057</v>
      </c>
      <c r="B524" s="10">
        <f>_xlfn.XLOOKUP(A524,Data!E:E,Data!B:B,0,0,-1)</f>
        <v>45295</v>
      </c>
      <c r="C524" s="20">
        <f>_xlfn.XLOOKUP(A524,Data!E:E,Data!B:B)</f>
        <v>45295</v>
      </c>
      <c r="D524" s="21">
        <f>COUNTIF(Data!E:E,A524)</f>
        <v>1</v>
      </c>
      <c r="E524" s="22">
        <f>SUMIF(Data!E:E,'RFM mijozlar tahlili'!A524,Data!J:J)</f>
        <v>201276.56159999999</v>
      </c>
      <c r="F524" s="29">
        <f t="shared" si="72"/>
        <v>12</v>
      </c>
      <c r="G524">
        <f t="shared" si="73"/>
        <v>0</v>
      </c>
      <c r="H524">
        <f t="shared" si="74"/>
        <v>0</v>
      </c>
      <c r="I524" s="23">
        <f t="shared" si="75"/>
        <v>0</v>
      </c>
      <c r="J524" t="str">
        <f t="shared" si="76"/>
        <v xml:space="preserve"> </v>
      </c>
      <c r="K524" t="str">
        <f t="shared" si="77"/>
        <v xml:space="preserve"> </v>
      </c>
      <c r="L524" t="str">
        <f t="shared" si="78"/>
        <v>Yo'qotilgan</v>
      </c>
      <c r="M524" t="str">
        <f t="shared" si="79"/>
        <v xml:space="preserve"> </v>
      </c>
      <c r="N524" s="23" t="str">
        <f t="shared" si="80"/>
        <v xml:space="preserve"> </v>
      </c>
    </row>
    <row r="525" spans="1:14">
      <c r="A525" s="29">
        <v>4875929</v>
      </c>
      <c r="B525" s="10">
        <f>_xlfn.XLOOKUP(A525,Data!E:E,Data!B:B,0,0,-1)</f>
        <v>45297</v>
      </c>
      <c r="C525" s="20">
        <f>_xlfn.XLOOKUP(A525,Data!E:E,Data!B:B)</f>
        <v>45297</v>
      </c>
      <c r="D525" s="21">
        <f>COUNTIF(Data!E:E,A525)</f>
        <v>2</v>
      </c>
      <c r="E525" s="22">
        <f>SUMIF(Data!E:E,'RFM mijozlar tahlili'!A525,Data!J:J)</f>
        <v>2264047.216</v>
      </c>
      <c r="F525" s="29">
        <f t="shared" si="72"/>
        <v>12</v>
      </c>
      <c r="G525">
        <f t="shared" si="73"/>
        <v>0</v>
      </c>
      <c r="H525">
        <f t="shared" si="74"/>
        <v>0</v>
      </c>
      <c r="I525" s="23">
        <f t="shared" si="75"/>
        <v>1</v>
      </c>
      <c r="J525" t="str">
        <f t="shared" si="76"/>
        <v xml:space="preserve"> </v>
      </c>
      <c r="K525" t="str">
        <f t="shared" si="77"/>
        <v xml:space="preserve"> </v>
      </c>
      <c r="L525" t="str">
        <f t="shared" si="78"/>
        <v>Yo'qotilgan</v>
      </c>
      <c r="M525" t="str">
        <f t="shared" si="79"/>
        <v xml:space="preserve"> </v>
      </c>
      <c r="N525" s="23" t="str">
        <f t="shared" si="80"/>
        <v xml:space="preserve"> </v>
      </c>
    </row>
    <row r="526" spans="1:14">
      <c r="A526" s="29">
        <v>4878904</v>
      </c>
      <c r="B526" s="10">
        <f>_xlfn.XLOOKUP(A526,Data!E:E,Data!B:B,0,0,-1)</f>
        <v>45304</v>
      </c>
      <c r="C526" s="20">
        <f>_xlfn.XLOOKUP(A526,Data!E:E,Data!B:B)</f>
        <v>45304</v>
      </c>
      <c r="D526" s="21">
        <f>COUNTIF(Data!E:E,A526)</f>
        <v>1</v>
      </c>
      <c r="E526" s="22">
        <f>SUMIF(Data!E:E,'RFM mijozlar tahlili'!A526,Data!J:J)</f>
        <v>100638.28079999999</v>
      </c>
      <c r="F526" s="29">
        <f t="shared" si="72"/>
        <v>12</v>
      </c>
      <c r="G526">
        <f t="shared" si="73"/>
        <v>0</v>
      </c>
      <c r="H526">
        <f t="shared" si="74"/>
        <v>0</v>
      </c>
      <c r="I526" s="23">
        <f t="shared" si="75"/>
        <v>0</v>
      </c>
      <c r="J526" t="str">
        <f t="shared" si="76"/>
        <v xml:space="preserve"> </v>
      </c>
      <c r="K526" t="str">
        <f t="shared" si="77"/>
        <v xml:space="preserve"> </v>
      </c>
      <c r="L526" t="str">
        <f t="shared" si="78"/>
        <v>Yo'qotilgan</v>
      </c>
      <c r="M526" t="str">
        <f t="shared" si="79"/>
        <v xml:space="preserve"> </v>
      </c>
      <c r="N526" s="23" t="str">
        <f t="shared" si="80"/>
        <v xml:space="preserve"> </v>
      </c>
    </row>
    <row r="527" spans="1:14">
      <c r="A527" s="29">
        <v>4879049</v>
      </c>
      <c r="B527" s="10">
        <f>_xlfn.XLOOKUP(A527,Data!E:E,Data!B:B,0,0,-1)</f>
        <v>45318</v>
      </c>
      <c r="C527" s="20">
        <f>_xlfn.XLOOKUP(A527,Data!E:E,Data!B:B)</f>
        <v>45318</v>
      </c>
      <c r="D527" s="21">
        <f>COUNTIF(Data!E:E,A527)</f>
        <v>2</v>
      </c>
      <c r="E527" s="22">
        <f>SUMIF(Data!E:E,'RFM mijozlar tahlili'!A527,Data!J:J)</f>
        <v>3169666.1024000002</v>
      </c>
      <c r="F527" s="29">
        <f t="shared" si="72"/>
        <v>11</v>
      </c>
      <c r="G527">
        <f t="shared" si="73"/>
        <v>0</v>
      </c>
      <c r="H527">
        <f t="shared" si="74"/>
        <v>0</v>
      </c>
      <c r="I527" s="23">
        <f t="shared" si="75"/>
        <v>1</v>
      </c>
      <c r="J527" t="str">
        <f t="shared" si="76"/>
        <v xml:space="preserve"> </v>
      </c>
      <c r="K527" t="str">
        <f t="shared" si="77"/>
        <v xml:space="preserve"> </v>
      </c>
      <c r="L527" t="str">
        <f t="shared" si="78"/>
        <v>Yo'qotilgan</v>
      </c>
      <c r="M527" t="str">
        <f t="shared" si="79"/>
        <v xml:space="preserve"> </v>
      </c>
      <c r="N527" s="23" t="str">
        <f t="shared" si="80"/>
        <v xml:space="preserve"> </v>
      </c>
    </row>
    <row r="528" spans="1:14">
      <c r="A528" s="29">
        <v>4876383</v>
      </c>
      <c r="B528" s="10">
        <f>_xlfn.XLOOKUP(A528,Data!E:E,Data!B:B,0,0,-1)</f>
        <v>45302</v>
      </c>
      <c r="C528" s="20">
        <f>_xlfn.XLOOKUP(A528,Data!E:E,Data!B:B)</f>
        <v>45302</v>
      </c>
      <c r="D528" s="21">
        <f>COUNTIF(Data!E:E,A528)</f>
        <v>5</v>
      </c>
      <c r="E528" s="22">
        <f>SUMIF(Data!E:E,'RFM mijozlar tahlili'!A528,Data!J:J)</f>
        <v>1006382.808</v>
      </c>
      <c r="F528" s="29">
        <f t="shared" si="72"/>
        <v>12</v>
      </c>
      <c r="G528">
        <f t="shared" si="73"/>
        <v>0</v>
      </c>
      <c r="H528">
        <f t="shared" si="74"/>
        <v>2</v>
      </c>
      <c r="I528" s="23">
        <f t="shared" si="75"/>
        <v>0</v>
      </c>
      <c r="J528" t="str">
        <f t="shared" si="76"/>
        <v xml:space="preserve"> </v>
      </c>
      <c r="K528" t="str">
        <f t="shared" si="77"/>
        <v xml:space="preserve"> </v>
      </c>
      <c r="L528" t="str">
        <f t="shared" si="78"/>
        <v xml:space="preserve"> </v>
      </c>
      <c r="M528" t="str">
        <f t="shared" si="79"/>
        <v xml:space="preserve"> </v>
      </c>
      <c r="N528" s="23" t="str">
        <f t="shared" si="80"/>
        <v xml:space="preserve"> </v>
      </c>
    </row>
    <row r="529" spans="1:14">
      <c r="A529" s="29">
        <v>4873621</v>
      </c>
      <c r="B529" s="10">
        <f>_xlfn.XLOOKUP(A529,Data!E:E,Data!B:B,0,0,-1)</f>
        <v>45302</v>
      </c>
      <c r="C529" s="20">
        <f>_xlfn.XLOOKUP(A529,Data!E:E,Data!B:B)</f>
        <v>45302</v>
      </c>
      <c r="D529" s="21">
        <f>COUNTIF(Data!E:E,A529)</f>
        <v>3</v>
      </c>
      <c r="E529" s="22">
        <f>SUMIF(Data!E:E,'RFM mijozlar tahlili'!A529,Data!J:J)</f>
        <v>1781297.5701599997</v>
      </c>
      <c r="F529" s="29">
        <f t="shared" si="72"/>
        <v>12</v>
      </c>
      <c r="G529">
        <f t="shared" si="73"/>
        <v>0</v>
      </c>
      <c r="H529">
        <f t="shared" si="74"/>
        <v>1</v>
      </c>
      <c r="I529" s="23">
        <f t="shared" si="75"/>
        <v>0</v>
      </c>
      <c r="J529" t="str">
        <f t="shared" si="76"/>
        <v xml:space="preserve"> </v>
      </c>
      <c r="K529" t="str">
        <f t="shared" si="77"/>
        <v xml:space="preserve"> </v>
      </c>
      <c r="L529" t="str">
        <f t="shared" si="78"/>
        <v>Yo'qotilgan</v>
      </c>
      <c r="M529" t="str">
        <f t="shared" si="79"/>
        <v xml:space="preserve"> </v>
      </c>
      <c r="N529" s="23" t="str">
        <f t="shared" si="80"/>
        <v xml:space="preserve"> </v>
      </c>
    </row>
    <row r="530" spans="1:14">
      <c r="A530" s="29">
        <v>4871863</v>
      </c>
      <c r="B530" s="10">
        <f>_xlfn.XLOOKUP(A530,Data!E:E,Data!B:B,0,0,-1)</f>
        <v>45320</v>
      </c>
      <c r="C530" s="20">
        <f>_xlfn.XLOOKUP(A530,Data!E:E,Data!B:B)</f>
        <v>45302</v>
      </c>
      <c r="D530" s="21">
        <f>COUNTIF(Data!E:E,A530)</f>
        <v>5</v>
      </c>
      <c r="E530" s="22">
        <f>SUMIF(Data!E:E,'RFM mijozlar tahlili'!A530,Data!J:J)</f>
        <v>1903458.1199999996</v>
      </c>
      <c r="F530" s="29">
        <f t="shared" si="72"/>
        <v>12</v>
      </c>
      <c r="G530">
        <f t="shared" si="73"/>
        <v>0</v>
      </c>
      <c r="H530">
        <f t="shared" si="74"/>
        <v>2</v>
      </c>
      <c r="I530" s="23">
        <f t="shared" si="75"/>
        <v>0</v>
      </c>
      <c r="J530" t="str">
        <f t="shared" si="76"/>
        <v xml:space="preserve"> </v>
      </c>
      <c r="K530" t="str">
        <f t="shared" si="77"/>
        <v xml:space="preserve"> </v>
      </c>
      <c r="L530" t="str">
        <f t="shared" si="78"/>
        <v xml:space="preserve"> </v>
      </c>
      <c r="M530" t="str">
        <f t="shared" si="79"/>
        <v xml:space="preserve"> </v>
      </c>
      <c r="N530" s="23" t="str">
        <f t="shared" si="80"/>
        <v xml:space="preserve"> </v>
      </c>
    </row>
    <row r="531" spans="1:14">
      <c r="A531" s="29">
        <v>4875736</v>
      </c>
      <c r="B531" s="10">
        <f>_xlfn.XLOOKUP(A531,Data!E:E,Data!B:B,0,0,-1)</f>
        <v>45306</v>
      </c>
      <c r="C531" s="20">
        <f>_xlfn.XLOOKUP(A531,Data!E:E,Data!B:B)</f>
        <v>45306</v>
      </c>
      <c r="D531" s="21">
        <f>COUNTIF(Data!E:E,A531)</f>
        <v>2</v>
      </c>
      <c r="E531" s="22">
        <f>SUMIF(Data!E:E,'RFM mijozlar tahlili'!A531,Data!J:J)</f>
        <v>6344860.3999999994</v>
      </c>
      <c r="F531" s="29">
        <f t="shared" si="72"/>
        <v>12</v>
      </c>
      <c r="G531">
        <f t="shared" si="73"/>
        <v>0</v>
      </c>
      <c r="H531">
        <f t="shared" si="74"/>
        <v>0</v>
      </c>
      <c r="I531" s="23">
        <f t="shared" si="75"/>
        <v>3</v>
      </c>
      <c r="J531" t="str">
        <f t="shared" si="76"/>
        <v xml:space="preserve"> </v>
      </c>
      <c r="K531" t="str">
        <f t="shared" si="77"/>
        <v xml:space="preserve"> </v>
      </c>
      <c r="L531" t="str">
        <f t="shared" si="78"/>
        <v>Yo'qotilgan</v>
      </c>
      <c r="M531" t="str">
        <f t="shared" si="79"/>
        <v>Yo'qotishdagi</v>
      </c>
      <c r="N531" s="23" t="str">
        <f t="shared" si="80"/>
        <v xml:space="preserve"> </v>
      </c>
    </row>
    <row r="532" spans="1:14">
      <c r="A532" s="29">
        <v>4871845</v>
      </c>
      <c r="B532" s="10">
        <f>_xlfn.XLOOKUP(A532,Data!E:E,Data!B:B,0,0,-1)</f>
        <v>45309</v>
      </c>
      <c r="C532" s="20">
        <f>_xlfn.XLOOKUP(A532,Data!E:E,Data!B:B)</f>
        <v>45309</v>
      </c>
      <c r="D532" s="21">
        <f>COUNTIF(Data!E:E,A532)</f>
        <v>7</v>
      </c>
      <c r="E532" s="22">
        <f>SUMIF(Data!E:E,'RFM mijozlar tahlili'!A532,Data!J:J)</f>
        <v>1247851.86152</v>
      </c>
      <c r="F532" s="29">
        <f t="shared" si="72"/>
        <v>12</v>
      </c>
      <c r="G532">
        <f t="shared" si="73"/>
        <v>0</v>
      </c>
      <c r="H532">
        <f t="shared" si="74"/>
        <v>3</v>
      </c>
      <c r="I532" s="23">
        <f t="shared" si="75"/>
        <v>0</v>
      </c>
      <c r="J532" t="str">
        <f t="shared" si="76"/>
        <v xml:space="preserve"> </v>
      </c>
      <c r="K532" t="str">
        <f t="shared" si="77"/>
        <v xml:space="preserve"> </v>
      </c>
      <c r="L532" t="str">
        <f t="shared" si="78"/>
        <v xml:space="preserve"> </v>
      </c>
      <c r="M532" t="str">
        <f t="shared" si="79"/>
        <v xml:space="preserve"> </v>
      </c>
      <c r="N532" s="23" t="str">
        <f t="shared" si="80"/>
        <v xml:space="preserve"> </v>
      </c>
    </row>
    <row r="533" spans="1:14">
      <c r="A533" s="29">
        <v>4875623</v>
      </c>
      <c r="B533" s="10">
        <f>_xlfn.XLOOKUP(A533,Data!E:E,Data!B:B,0,0,-1)</f>
        <v>45322</v>
      </c>
      <c r="C533" s="20">
        <f>_xlfn.XLOOKUP(A533,Data!E:E,Data!B:B)</f>
        <v>45312</v>
      </c>
      <c r="D533" s="21">
        <f>COUNTIF(Data!E:E,A533)</f>
        <v>6</v>
      </c>
      <c r="E533" s="22">
        <f>SUMIF(Data!E:E,'RFM mijozlar tahlili'!A533,Data!J:J)</f>
        <v>1229395.2279999999</v>
      </c>
      <c r="F533" s="29">
        <f t="shared" si="72"/>
        <v>12</v>
      </c>
      <c r="G533">
        <f t="shared" si="73"/>
        <v>0</v>
      </c>
      <c r="H533">
        <f t="shared" si="74"/>
        <v>2</v>
      </c>
      <c r="I533" s="23">
        <f t="shared" si="75"/>
        <v>0</v>
      </c>
      <c r="J533" t="str">
        <f t="shared" si="76"/>
        <v xml:space="preserve"> </v>
      </c>
      <c r="K533" t="str">
        <f t="shared" si="77"/>
        <v xml:space="preserve"> </v>
      </c>
      <c r="L533" t="str">
        <f t="shared" si="78"/>
        <v xml:space="preserve"> </v>
      </c>
      <c r="M533" t="str">
        <f t="shared" si="79"/>
        <v xml:space="preserve"> </v>
      </c>
      <c r="N533" s="23" t="str">
        <f t="shared" si="80"/>
        <v xml:space="preserve"> </v>
      </c>
    </row>
    <row r="534" spans="1:14">
      <c r="A534" s="30">
        <v>4873376</v>
      </c>
      <c r="B534" s="44">
        <f>_xlfn.XLOOKUP(A534,Data!E:E,Data!B:B,0,0,-1)</f>
        <v>45319</v>
      </c>
      <c r="C534" s="24">
        <f>_xlfn.XLOOKUP(A534,Data!E:E,Data!B:B)</f>
        <v>45319</v>
      </c>
      <c r="D534" s="25">
        <f>COUNTIF(Data!E:E,A534)</f>
        <v>2</v>
      </c>
      <c r="E534" s="26">
        <f>SUMIF(Data!E:E,'RFM mijozlar tahlili'!A534,Data!J:J)</f>
        <v>1249874.6784000001</v>
      </c>
      <c r="F534" s="30">
        <f t="shared" si="72"/>
        <v>11</v>
      </c>
      <c r="G534" s="27">
        <f t="shared" si="73"/>
        <v>0</v>
      </c>
      <c r="H534" s="27">
        <f t="shared" si="74"/>
        <v>0</v>
      </c>
      <c r="I534" s="28">
        <f t="shared" si="75"/>
        <v>0</v>
      </c>
      <c r="J534" s="27" t="str">
        <f t="shared" si="76"/>
        <v xml:space="preserve"> </v>
      </c>
      <c r="K534" s="27" t="str">
        <f t="shared" si="77"/>
        <v xml:space="preserve"> </v>
      </c>
      <c r="L534" s="27" t="str">
        <f t="shared" si="78"/>
        <v>Yo'qotilgan</v>
      </c>
      <c r="M534" s="27" t="str">
        <f t="shared" si="79"/>
        <v xml:space="preserve"> </v>
      </c>
      <c r="N534" s="28" t="str">
        <f t="shared" si="80"/>
        <v xml:space="preserve"> </v>
      </c>
    </row>
  </sheetData>
  <mergeCells count="2">
    <mergeCell ref="C2:F2"/>
    <mergeCell ref="G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BA633-60C8-4737-9ACB-FB03FC505DBA}">
  <dimension ref="A1:A11"/>
  <sheetViews>
    <sheetView showGridLines="0" tabSelected="1" workbookViewId="0">
      <selection sqref="A1:A11"/>
    </sheetView>
  </sheetViews>
  <sheetFormatPr defaultRowHeight="14.4"/>
  <sheetData>
    <row r="1" spans="1:1">
      <c r="A1" t="s">
        <v>316</v>
      </c>
    </row>
    <row r="3" spans="1:1">
      <c r="A3" t="s">
        <v>317</v>
      </c>
    </row>
    <row r="5" spans="1:1">
      <c r="A5" t="s">
        <v>318</v>
      </c>
    </row>
    <row r="7" spans="1:1">
      <c r="A7" t="s">
        <v>319</v>
      </c>
    </row>
    <row r="9" spans="1:1">
      <c r="A9" t="s">
        <v>320</v>
      </c>
    </row>
    <row r="11" spans="1:1">
      <c r="A11"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Лист2</vt:lpstr>
      <vt:lpstr>Reja</vt:lpstr>
      <vt:lpstr>Data</vt:lpstr>
      <vt:lpstr>RFM mijozlar tahlili</vt:lpstr>
      <vt:lpstr>Hulosa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jasur Abduxakimov</cp:lastModifiedBy>
  <dcterms:created xsi:type="dcterms:W3CDTF">2025-08-18T07:39:32Z</dcterms:created>
  <dcterms:modified xsi:type="dcterms:W3CDTF">2026-07-07T07:33:26Z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2025-10-06T06:34:15Z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71207cff-46e6-4035-b7a8-1e1f4e0891fa</vt:lpwstr>
  </property>
  <property fmtid="{D5CDD505-2E9C-101B-9397-08002B2CF9AE}" pid="7" name="MSIP_Label_defa4170-0d19-0005-0004-bc88714345d2_ActionId">
    <vt:lpwstr>79d4661f-5cb8-43d3-b4c4-9a1ab1826599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